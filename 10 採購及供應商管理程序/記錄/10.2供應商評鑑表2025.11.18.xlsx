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0 採購及供應商管理程序\記錄\"/>
    </mc:Choice>
  </mc:AlternateContent>
  <bookViews>
    <workbookView xWindow="0" yWindow="0" windowWidth="28800" windowHeight="11925" activeTab="1"/>
  </bookViews>
  <sheets>
    <sheet name="工作表1" sheetId="1" r:id="rId1"/>
    <sheet name="工作表 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M5" i="2" s="1"/>
  <c r="L4" i="2"/>
  <c r="M4" i="2" s="1"/>
  <c r="M3" i="2"/>
  <c r="L3" i="2"/>
  <c r="L8" i="1" l="1"/>
  <c r="M8" i="1" s="1"/>
  <c r="L7" i="1" l="1"/>
  <c r="M7" i="1" s="1"/>
  <c r="L6" i="1"/>
  <c r="M6" i="1" s="1"/>
  <c r="L4" i="1"/>
  <c r="M4" i="1" s="1"/>
  <c r="L3" i="1"/>
  <c r="M3" i="1" s="1"/>
  <c r="L5" i="1"/>
  <c r="M5" i="1" s="1"/>
</calcChain>
</file>

<file path=xl/sharedStrings.xml><?xml version="1.0" encoding="utf-8"?>
<sst xmlns="http://schemas.openxmlformats.org/spreadsheetml/2006/main" count="95" uniqueCount="48">
  <si>
    <t>供應商名稱</t>
  </si>
  <si>
    <t>供應項目/材料</t>
  </si>
  <si>
    <t>評鑑日期</t>
  </si>
  <si>
    <t>評鑑人員</t>
  </si>
  <si>
    <t>供應商類型</t>
  </si>
  <si>
    <t>交期(20)</t>
  </si>
  <si>
    <t>總分</t>
  </si>
  <si>
    <t>等級</t>
  </si>
  <si>
    <t>改善建議</t>
  </si>
  <si>
    <t>備註</t>
  </si>
  <si>
    <t>文件完整性(20)</t>
    <phoneticPr fontId="2" type="noConversion"/>
  </si>
  <si>
    <t>超音波清洗機</t>
    <phoneticPr fontId="4" type="noConversion"/>
  </si>
  <si>
    <t>終端精密清洗機</t>
    <phoneticPr fontId="4" type="noConversion"/>
  </si>
  <si>
    <t>TTV</t>
    <phoneticPr fontId="4" type="noConversion"/>
  </si>
  <si>
    <t>OCR篩選機/AOI</t>
    <phoneticPr fontId="4" type="noConversion"/>
  </si>
  <si>
    <t>柏連企業股份有限公司</t>
    <phoneticPr fontId="4" type="noConversion"/>
  </si>
  <si>
    <t>化學原料</t>
    <phoneticPr fontId="4" type="noConversion"/>
  </si>
  <si>
    <t>蔡有為</t>
    <phoneticPr fontId="4" type="noConversion"/>
  </si>
  <si>
    <t>關鍵供應商</t>
    <phoneticPr fontId="4" type="noConversion"/>
  </si>
  <si>
    <r>
      <rPr>
        <sz val="12"/>
        <color theme="1"/>
        <rFont val="MingLiU"/>
        <family val="1"/>
        <charset val="136"/>
      </rPr>
      <t>編號：</t>
    </r>
    <r>
      <rPr>
        <sz val="12"/>
        <color theme="1"/>
        <rFont val="Times New Roman"/>
        <family val="1"/>
      </rPr>
      <t>MR10-02(001)A</t>
    </r>
    <phoneticPr fontId="2" type="noConversion"/>
  </si>
  <si>
    <t>2025.08.31</t>
    <phoneticPr fontId="4" type="noConversion"/>
  </si>
  <si>
    <t>2025.08.29</t>
    <phoneticPr fontId="4" type="noConversion"/>
  </si>
  <si>
    <t>2025.09.06</t>
    <phoneticPr fontId="4" type="noConversion"/>
  </si>
  <si>
    <t>2025.09.26</t>
    <phoneticPr fontId="4" type="noConversion"/>
  </si>
  <si>
    <t>2025.09.05</t>
    <phoneticPr fontId="4" type="noConversion"/>
  </si>
  <si>
    <t>NA</t>
    <phoneticPr fontId="4" type="noConversion"/>
  </si>
  <si>
    <t>價格競爭力(15)</t>
    <phoneticPr fontId="4" type="noConversion"/>
  </si>
  <si>
    <t>技術能力(15)</t>
    <phoneticPr fontId="4" type="noConversion"/>
  </si>
  <si>
    <t>溝通服務(10)</t>
    <phoneticPr fontId="4" type="noConversion"/>
  </si>
  <si>
    <t>品質(20)</t>
    <phoneticPr fontId="4" type="noConversion"/>
  </si>
  <si>
    <t>楊特企業有限公司</t>
    <phoneticPr fontId="4" type="noConversion"/>
  </si>
  <si>
    <t>拓生科技有限公司</t>
    <phoneticPr fontId="4" type="noConversion"/>
  </si>
  <si>
    <t>2025.11.13</t>
    <phoneticPr fontId="4" type="noConversion"/>
  </si>
  <si>
    <t>一般供應商</t>
  </si>
  <si>
    <t>手持式微粒子計數器</t>
    <phoneticPr fontId="4" type="noConversion"/>
  </si>
  <si>
    <t>鏵友益科技股份有限公司</t>
    <phoneticPr fontId="4" type="noConversion"/>
  </si>
  <si>
    <t>奈米趨勢科技有限公司</t>
    <phoneticPr fontId="4" type="noConversion"/>
  </si>
  <si>
    <t>金華瑋科技有限公司</t>
    <phoneticPr fontId="4" type="noConversion"/>
  </si>
  <si>
    <t>1.等級大於或等於90分為A級，75分為B級,60分以上為C級，60分以下為D級。2.供應商依據重要程度分為關鍵(影響製程)、一般、備援。</t>
    <phoneticPr fontId="4" type="noConversion"/>
  </si>
  <si>
    <t>潔沛企業有限公司
114年度供應商評鑑表</t>
    <phoneticPr fontId="2" type="noConversion"/>
  </si>
  <si>
    <t>核      准</t>
  </si>
  <si>
    <t>製      訂</t>
  </si>
  <si>
    <t>潔沛企業有限公司
115年度供應商評鑑表</t>
    <phoneticPr fontId="2" type="noConversion"/>
  </si>
  <si>
    <t>尚磊科技股份有限公司</t>
    <phoneticPr fontId="2" type="noConversion"/>
  </si>
  <si>
    <t>清洗無塵用具</t>
    <phoneticPr fontId="2" type="noConversion"/>
  </si>
  <si>
    <t>2026.01.14</t>
    <phoneticPr fontId="4" type="noConversion"/>
  </si>
  <si>
    <r>
      <rPr>
        <sz val="12"/>
        <color theme="1"/>
        <rFont val="MingLiU"/>
        <family val="1"/>
        <charset val="136"/>
      </rPr>
      <t>編號：</t>
    </r>
    <r>
      <rPr>
        <sz val="12"/>
        <color theme="1"/>
        <rFont val="Times New Roman"/>
        <family val="1"/>
      </rPr>
      <t>MR10-02(002)A</t>
    </r>
    <phoneticPr fontId="2" type="noConversion"/>
  </si>
  <si>
    <t>KOH為0.1M~0.2M溶液，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</si>
</sst>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scheme val="minor"/>
    </font>
    <font>
      <sz val="9"/>
      <name val="新細明體"/>
      <family val="2"/>
      <charset val="136"/>
      <scheme val="minor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  <scheme val="minor"/>
    </font>
    <font>
      <sz val="12"/>
      <color theme="1"/>
      <name val="標楷"/>
      <family val="3"/>
      <charset val="136"/>
    </font>
    <font>
      <sz val="12"/>
      <color theme="1"/>
      <name val="Times New Roman"/>
      <family val="1"/>
    </font>
    <font>
      <sz val="22"/>
      <color theme="1"/>
      <name val="DFKai-SB"/>
      <family val="4"/>
      <charset val="136"/>
    </font>
    <font>
      <b/>
      <sz val="16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scheme val="minor"/>
    </font>
    <font>
      <sz val="12"/>
      <color theme="1"/>
      <name val="MingLiU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"/>
  <sheetViews>
    <sheetView workbookViewId="0">
      <selection activeCell="E3" sqref="E3"/>
    </sheetView>
  </sheetViews>
  <sheetFormatPr defaultRowHeight="16.5"/>
  <cols>
    <col min="1" max="1" width="22.875" bestFit="1" customWidth="1"/>
    <col min="2" max="2" width="20.5" bestFit="1" customWidth="1"/>
    <col min="3" max="3" width="11.75" bestFit="1" customWidth="1"/>
    <col min="5" max="5" width="11.75" bestFit="1" customWidth="1"/>
  </cols>
  <sheetData>
    <row r="1" spans="1:15" ht="50.1" customHeight="1">
      <c r="A1" s="11" t="s">
        <v>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</row>
    <row r="2" spans="1:15" ht="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29</v>
      </c>
      <c r="G2" s="1" t="s">
        <v>5</v>
      </c>
      <c r="H2" s="1" t="s">
        <v>10</v>
      </c>
      <c r="I2" s="1" t="s">
        <v>26</v>
      </c>
      <c r="J2" s="1" t="s">
        <v>27</v>
      </c>
      <c r="K2" s="1" t="s">
        <v>28</v>
      </c>
      <c r="L2" s="1" t="s">
        <v>6</v>
      </c>
      <c r="M2" s="1" t="s">
        <v>7</v>
      </c>
      <c r="N2" s="1" t="s">
        <v>8</v>
      </c>
      <c r="O2" s="1" t="s">
        <v>9</v>
      </c>
    </row>
    <row r="3" spans="1:15">
      <c r="A3" s="4" t="s">
        <v>30</v>
      </c>
      <c r="B3" s="4" t="s">
        <v>11</v>
      </c>
      <c r="C3" s="4" t="s">
        <v>20</v>
      </c>
      <c r="D3" s="4" t="s">
        <v>17</v>
      </c>
      <c r="E3" s="5" t="s">
        <v>18</v>
      </c>
      <c r="F3" s="3">
        <v>20</v>
      </c>
      <c r="G3" s="3">
        <v>20</v>
      </c>
      <c r="H3" s="3">
        <v>20</v>
      </c>
      <c r="I3" s="3">
        <v>15</v>
      </c>
      <c r="J3" s="3">
        <v>10</v>
      </c>
      <c r="K3" s="3">
        <v>10</v>
      </c>
      <c r="L3" s="3">
        <f>SUM(F3:G3:I3:J3:K3:K3)</f>
        <v>95</v>
      </c>
      <c r="M3" s="3" t="str">
        <f>IF(L3&gt;=90,"A",IF(M3&gt;=75,"B",IF(M3&gt;=60,"C","D")))</f>
        <v>A</v>
      </c>
      <c r="N3" s="3" t="s">
        <v>25</v>
      </c>
      <c r="O3" s="2"/>
    </row>
    <row r="4" spans="1:15">
      <c r="A4" s="4" t="s">
        <v>37</v>
      </c>
      <c r="B4" s="4" t="s">
        <v>12</v>
      </c>
      <c r="C4" s="4" t="s">
        <v>21</v>
      </c>
      <c r="D4" s="4" t="s">
        <v>17</v>
      </c>
      <c r="E4" s="5" t="s">
        <v>18</v>
      </c>
      <c r="F4" s="3">
        <v>20</v>
      </c>
      <c r="G4" s="3">
        <v>20</v>
      </c>
      <c r="H4" s="3">
        <v>20</v>
      </c>
      <c r="I4" s="3">
        <v>15</v>
      </c>
      <c r="J4" s="3">
        <v>10</v>
      </c>
      <c r="K4" s="3">
        <v>10</v>
      </c>
      <c r="L4" s="3">
        <f>SUM(F4:G4:I4:J4:K4:K4)</f>
        <v>95</v>
      </c>
      <c r="M4" s="3" t="str">
        <f t="shared" ref="M4:M7" si="0">IF(L4&gt;=90,"A",IF(M4&gt;=75,"B",IF(M4&gt;=60,"C","D")))</f>
        <v>A</v>
      </c>
      <c r="N4" s="3" t="s">
        <v>25</v>
      </c>
      <c r="O4" s="2"/>
    </row>
    <row r="5" spans="1:15">
      <c r="A5" s="4" t="s">
        <v>15</v>
      </c>
      <c r="B5" s="4" t="s">
        <v>16</v>
      </c>
      <c r="C5" s="4" t="s">
        <v>24</v>
      </c>
      <c r="D5" s="4" t="s">
        <v>17</v>
      </c>
      <c r="E5" s="5" t="s">
        <v>18</v>
      </c>
      <c r="F5" s="3">
        <v>20</v>
      </c>
      <c r="G5" s="3">
        <v>20</v>
      </c>
      <c r="H5" s="3">
        <v>20</v>
      </c>
      <c r="I5" s="3">
        <v>15</v>
      </c>
      <c r="J5" s="3">
        <v>15</v>
      </c>
      <c r="K5" s="3">
        <v>10</v>
      </c>
      <c r="L5" s="3">
        <f>SUM(F5:G5:I5:J5:K5:K5)</f>
        <v>100</v>
      </c>
      <c r="M5" s="3" t="str">
        <f>IF(L5&gt;=90,"A",IF(M5&gt;=75,"B",IF(M5&gt;=60,"C","D")))</f>
        <v>A</v>
      </c>
      <c r="N5" s="3" t="s">
        <v>25</v>
      </c>
      <c r="O5" s="2"/>
    </row>
    <row r="6" spans="1:15">
      <c r="A6" s="4" t="s">
        <v>35</v>
      </c>
      <c r="B6" s="4" t="s">
        <v>14</v>
      </c>
      <c r="C6" s="4" t="s">
        <v>22</v>
      </c>
      <c r="D6" s="4" t="s">
        <v>17</v>
      </c>
      <c r="E6" s="5" t="s">
        <v>18</v>
      </c>
      <c r="F6" s="3">
        <v>20</v>
      </c>
      <c r="G6" s="3">
        <v>20</v>
      </c>
      <c r="H6" s="3">
        <v>20</v>
      </c>
      <c r="I6" s="3">
        <v>15</v>
      </c>
      <c r="J6" s="3">
        <v>15</v>
      </c>
      <c r="K6" s="3">
        <v>10</v>
      </c>
      <c r="L6" s="3">
        <f>SUM(F6:G6:I6:J6:K6:K6)</f>
        <v>100</v>
      </c>
      <c r="M6" s="3" t="str">
        <f t="shared" si="0"/>
        <v>A</v>
      </c>
      <c r="N6" s="3" t="s">
        <v>25</v>
      </c>
      <c r="O6" s="2"/>
    </row>
    <row r="7" spans="1:15">
      <c r="A7" s="4" t="s">
        <v>36</v>
      </c>
      <c r="B7" s="4" t="s">
        <v>13</v>
      </c>
      <c r="C7" s="4" t="s">
        <v>23</v>
      </c>
      <c r="D7" s="4" t="s">
        <v>17</v>
      </c>
      <c r="E7" s="5" t="s">
        <v>18</v>
      </c>
      <c r="F7" s="3">
        <v>20</v>
      </c>
      <c r="G7" s="3">
        <v>20</v>
      </c>
      <c r="H7" s="3">
        <v>20</v>
      </c>
      <c r="I7" s="3">
        <v>15</v>
      </c>
      <c r="J7" s="3">
        <v>15</v>
      </c>
      <c r="K7" s="3">
        <v>10</v>
      </c>
      <c r="L7" s="3">
        <f>SUM(F7:G7:I7:J7:K7:K7)</f>
        <v>100</v>
      </c>
      <c r="M7" s="3" t="str">
        <f t="shared" si="0"/>
        <v>A</v>
      </c>
      <c r="N7" s="3" t="s">
        <v>25</v>
      </c>
      <c r="O7" s="2"/>
    </row>
    <row r="8" spans="1:15">
      <c r="A8" s="4" t="s">
        <v>31</v>
      </c>
      <c r="B8" s="8" t="s">
        <v>34</v>
      </c>
      <c r="C8" s="4" t="s">
        <v>32</v>
      </c>
      <c r="D8" s="4" t="s">
        <v>17</v>
      </c>
      <c r="E8" s="5" t="s">
        <v>33</v>
      </c>
      <c r="F8" s="3">
        <v>20</v>
      </c>
      <c r="G8" s="3">
        <v>20</v>
      </c>
      <c r="H8" s="3">
        <v>20</v>
      </c>
      <c r="I8" s="3">
        <v>15</v>
      </c>
      <c r="J8" s="3">
        <v>15</v>
      </c>
      <c r="K8" s="3">
        <v>10</v>
      </c>
      <c r="L8" s="3">
        <f>SUM(F8:G8:I8:J8:K8:K8)</f>
        <v>100</v>
      </c>
      <c r="M8" s="3" t="str">
        <f>IF(L8&gt;=90,"A",IF(M8&gt;=75,"B",IF(M8&gt;=60,"C","D")))</f>
        <v>A</v>
      </c>
      <c r="N8" s="3" t="s">
        <v>25</v>
      </c>
      <c r="O8" s="2"/>
    </row>
    <row r="9" spans="1:15">
      <c r="A9" s="14" t="s">
        <v>38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 spans="1:15" ht="46.5" customHeight="1">
      <c r="A10" s="9" t="s">
        <v>40</v>
      </c>
      <c r="B10" s="20"/>
      <c r="C10" s="22"/>
      <c r="D10" s="22"/>
      <c r="E10" s="22"/>
      <c r="F10" s="22"/>
      <c r="G10" s="22"/>
      <c r="H10" s="21"/>
      <c r="I10" s="20" t="s">
        <v>41</v>
      </c>
      <c r="J10" s="21"/>
      <c r="K10" s="17"/>
      <c r="L10" s="18"/>
      <c r="M10" s="18"/>
      <c r="N10" s="18"/>
      <c r="O10" s="19"/>
    </row>
    <row r="11" spans="1:15">
      <c r="B11" s="10"/>
      <c r="C11" s="10"/>
      <c r="D11" s="10"/>
    </row>
    <row r="12" spans="1:15">
      <c r="M12" s="7" t="s">
        <v>19</v>
      </c>
    </row>
    <row r="14" spans="1:15" ht="30">
      <c r="E14" s="6"/>
    </row>
    <row r="15" spans="1:15" ht="30">
      <c r="E15" s="6"/>
    </row>
  </sheetData>
  <mergeCells count="5">
    <mergeCell ref="A1:O1"/>
    <mergeCell ref="A9:O9"/>
    <mergeCell ref="K10:O10"/>
    <mergeCell ref="I10:J10"/>
    <mergeCell ref="B10:H10"/>
  </mergeCells>
  <phoneticPr fontId="4" type="noConversion"/>
  <dataValidations count="1">
    <dataValidation type="list" allowBlank="1" showInputMessage="1" showErrorMessage="1" sqref="E3:E8">
      <formula1>"關鍵供應商,一般供應商,備援供應商"</formula1>
    </dataValidation>
  </dataValidation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workbookViewId="0">
      <selection sqref="A1:O1"/>
    </sheetView>
  </sheetViews>
  <sheetFormatPr defaultRowHeight="16.5"/>
  <cols>
    <col min="1" max="1" width="22.875" bestFit="1" customWidth="1"/>
    <col min="2" max="2" width="20.5" bestFit="1" customWidth="1"/>
    <col min="3" max="3" width="11.75" bestFit="1" customWidth="1"/>
    <col min="5" max="5" width="11.75" bestFit="1" customWidth="1"/>
  </cols>
  <sheetData>
    <row r="1" spans="1:15" ht="50.1" customHeight="1">
      <c r="A1" s="11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</row>
    <row r="2" spans="1:15" ht="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29</v>
      </c>
      <c r="G2" s="1" t="s">
        <v>5</v>
      </c>
      <c r="H2" s="1" t="s">
        <v>10</v>
      </c>
      <c r="I2" s="1" t="s">
        <v>26</v>
      </c>
      <c r="J2" s="1" t="s">
        <v>27</v>
      </c>
      <c r="K2" s="1" t="s">
        <v>28</v>
      </c>
      <c r="L2" s="1" t="s">
        <v>6</v>
      </c>
      <c r="M2" s="1" t="s">
        <v>7</v>
      </c>
      <c r="N2" s="1" t="s">
        <v>8</v>
      </c>
      <c r="O2" s="1" t="s">
        <v>9</v>
      </c>
    </row>
    <row r="3" spans="1:15">
      <c r="A3" s="4" t="s">
        <v>43</v>
      </c>
      <c r="B3" s="4" t="s">
        <v>44</v>
      </c>
      <c r="C3" s="4" t="s">
        <v>45</v>
      </c>
      <c r="D3" s="4" t="s">
        <v>17</v>
      </c>
      <c r="E3" s="5" t="s">
        <v>33</v>
      </c>
      <c r="F3" s="3">
        <v>20</v>
      </c>
      <c r="G3" s="3">
        <v>20</v>
      </c>
      <c r="H3" s="3">
        <v>20</v>
      </c>
      <c r="I3" s="3">
        <v>15</v>
      </c>
      <c r="J3" s="3">
        <v>10</v>
      </c>
      <c r="K3" s="3">
        <v>10</v>
      </c>
      <c r="L3" s="3">
        <f>SUM(F3:G3:I3:J3:K3:K3)</f>
        <v>95</v>
      </c>
      <c r="M3" s="3" t="str">
        <f>IF(L3&gt;=90,"A",IF(M3&gt;=75,"B",IF(M3&gt;=60,"C","D")))</f>
        <v>A</v>
      </c>
      <c r="N3" s="3" t="s">
        <v>25</v>
      </c>
      <c r="O3" s="2"/>
    </row>
    <row r="4" spans="1:15">
      <c r="A4" s="4" t="s">
        <v>15</v>
      </c>
      <c r="B4" s="4" t="s">
        <v>16</v>
      </c>
      <c r="C4" s="4" t="s">
        <v>24</v>
      </c>
      <c r="D4" s="4" t="s">
        <v>17</v>
      </c>
      <c r="E4" s="5" t="s">
        <v>18</v>
      </c>
      <c r="F4" s="3">
        <v>20</v>
      </c>
      <c r="G4" s="3">
        <v>20</v>
      </c>
      <c r="H4" s="3">
        <v>20</v>
      </c>
      <c r="I4" s="3">
        <v>15</v>
      </c>
      <c r="J4" s="3">
        <v>15</v>
      </c>
      <c r="K4" s="3">
        <v>10</v>
      </c>
      <c r="L4" s="3">
        <f>SUM(F4:G4:I4:J4:K4:K4)</f>
        <v>100</v>
      </c>
      <c r="M4" s="3" t="str">
        <f>IF(L4&gt;=90,"A",IF(M4&gt;=75,"B",IF(M4&gt;=60,"C","D")))</f>
        <v>A</v>
      </c>
      <c r="N4" s="3" t="s">
        <v>25</v>
      </c>
      <c r="O4" s="2"/>
    </row>
    <row r="5" spans="1:15">
      <c r="A5" s="4" t="s">
        <v>35</v>
      </c>
      <c r="B5" s="4" t="s">
        <v>14</v>
      </c>
      <c r="C5" s="4" t="s">
        <v>22</v>
      </c>
      <c r="D5" s="4" t="s">
        <v>17</v>
      </c>
      <c r="E5" s="5" t="s">
        <v>18</v>
      </c>
      <c r="F5" s="3">
        <v>20</v>
      </c>
      <c r="G5" s="3">
        <v>20</v>
      </c>
      <c r="H5" s="3">
        <v>20</v>
      </c>
      <c r="I5" s="3">
        <v>15</v>
      </c>
      <c r="J5" s="3">
        <v>15</v>
      </c>
      <c r="K5" s="3">
        <v>10</v>
      </c>
      <c r="L5" s="3">
        <f>SUM(F5:G5:I5:J5:K5:K5)</f>
        <v>100</v>
      </c>
      <c r="M5" s="3" t="str">
        <f>IF(L5&gt;=90,"A",IF(M5&gt;=75,"B",IF(M5&gt;=60,"C","D")))</f>
        <v>A</v>
      </c>
      <c r="N5" s="3" t="s">
        <v>25</v>
      </c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4"/>
      <c r="B7" s="4"/>
      <c r="C7" s="4"/>
      <c r="D7" s="4"/>
      <c r="E7" s="5"/>
      <c r="F7" s="3"/>
      <c r="G7" s="3"/>
      <c r="H7" s="3"/>
      <c r="I7" s="3"/>
      <c r="J7" s="3"/>
      <c r="K7" s="3"/>
      <c r="L7" s="3"/>
      <c r="M7" s="3"/>
      <c r="N7" s="3"/>
      <c r="O7" s="2"/>
    </row>
    <row r="8" spans="1:15">
      <c r="A8" s="4"/>
      <c r="B8" s="8"/>
      <c r="C8" s="4"/>
      <c r="D8" s="4"/>
      <c r="E8" s="5"/>
      <c r="F8" s="3"/>
      <c r="G8" s="3"/>
      <c r="H8" s="3"/>
      <c r="I8" s="3"/>
      <c r="J8" s="3"/>
      <c r="K8" s="3"/>
      <c r="L8" s="3"/>
      <c r="M8" s="3"/>
      <c r="N8" s="3"/>
      <c r="O8" s="2"/>
    </row>
    <row r="9" spans="1:15">
      <c r="A9" s="14" t="s">
        <v>38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 spans="1:15" ht="46.5" customHeight="1">
      <c r="A10" s="9" t="s">
        <v>40</v>
      </c>
      <c r="B10" s="20"/>
      <c r="C10" s="22"/>
      <c r="D10" s="22"/>
      <c r="E10" s="22"/>
      <c r="F10" s="22"/>
      <c r="G10" s="22"/>
      <c r="H10" s="21"/>
      <c r="I10" s="20" t="s">
        <v>41</v>
      </c>
      <c r="J10" s="21"/>
      <c r="K10" s="17"/>
      <c r="L10" s="18"/>
      <c r="M10" s="18"/>
      <c r="N10" s="18"/>
      <c r="O10" s="19"/>
    </row>
    <row r="11" spans="1:15">
      <c r="B11" s="10"/>
      <c r="C11" s="10"/>
      <c r="D11" s="10"/>
    </row>
    <row r="12" spans="1:15">
      <c r="M12" s="7" t="s">
        <v>46</v>
      </c>
    </row>
    <row r="14" spans="1:15" ht="30">
      <c r="E14" s="6"/>
    </row>
    <row r="15" spans="1:15" ht="30">
      <c r="E15" s="6"/>
    </row>
    <row r="24" spans="4:4">
      <c r="D24" s="23" t="s">
        <v>47</v>
      </c>
    </row>
  </sheetData>
  <mergeCells count="5">
    <mergeCell ref="A1:O1"/>
    <mergeCell ref="A9:O9"/>
    <mergeCell ref="B10:H10"/>
    <mergeCell ref="I10:J10"/>
    <mergeCell ref="K10:O10"/>
  </mergeCells>
  <phoneticPr fontId="2" type="noConversion"/>
  <dataValidations count="1">
    <dataValidation type="list" allowBlank="1" showInputMessage="1" showErrorMessage="1" sqref="E3:E5 E7:E8">
      <formula1>"關鍵供應商,一般供應商,備援供應商"</formula1>
    </dataValidation>
  </dataValidations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鼎智 程</dc:creator>
  <cp:lastModifiedBy>USER</cp:lastModifiedBy>
  <cp:lastPrinted>2025-11-19T02:31:58Z</cp:lastPrinted>
  <dcterms:created xsi:type="dcterms:W3CDTF">2025-11-18T12:45:08Z</dcterms:created>
  <dcterms:modified xsi:type="dcterms:W3CDTF">2026-01-15T03:13:07Z</dcterms:modified>
</cp:coreProperties>
</file>