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NAS\公用\ISO文件建立\潔沛修訂版\15 不符合及矯正措施管理程序\記錄\"/>
    </mc:Choice>
  </mc:AlternateContent>
  <bookViews>
    <workbookView xWindow="0" yWindow="0" windowWidth="28800" windowHeight="11925" activeTab="1"/>
  </bookViews>
  <sheets>
    <sheet name="封面" sheetId="1" r:id="rId1"/>
    <sheet name="每批生產缺陷彙總" sheetId="9" r:id="rId2"/>
    <sheet name="CIP_Tracker" sheetId="6" r:id="rId3"/>
  </sheets>
  <definedNames>
    <definedName name="_xlnm.Print_Area" localSheetId="2">CIP_Tracker!$A$1:$K$7</definedName>
  </definedNames>
  <calcPr calcId="162913"/>
</workbook>
</file>

<file path=xl/calcChain.xml><?xml version="1.0" encoding="utf-8"?>
<calcChain xmlns="http://schemas.openxmlformats.org/spreadsheetml/2006/main">
  <c r="H83" i="9" l="1"/>
  <c r="G83" i="9"/>
  <c r="F83" i="9"/>
  <c r="E83" i="9"/>
  <c r="C83" i="9"/>
  <c r="B83" i="9"/>
  <c r="B85" i="9" s="1"/>
  <c r="D82" i="9"/>
  <c r="D81" i="9"/>
  <c r="D86" i="9" l="1"/>
  <c r="B89" i="9"/>
  <c r="I82" i="9"/>
  <c r="J82" i="9" s="1"/>
  <c r="D83" i="9"/>
  <c r="B86" i="9"/>
  <c r="I81" i="9"/>
  <c r="C57" i="9"/>
  <c r="C56" i="9"/>
  <c r="I83" i="9" l="1"/>
  <c r="B88" i="9" s="1"/>
  <c r="D87" i="9"/>
  <c r="B87" i="9"/>
  <c r="D89" i="9"/>
  <c r="J81" i="9"/>
  <c r="H58" i="9"/>
  <c r="G58" i="9"/>
  <c r="F58" i="9"/>
  <c r="E58" i="9"/>
  <c r="C58" i="9"/>
  <c r="B61" i="9" s="1"/>
  <c r="B58" i="9"/>
  <c r="B60" i="9" s="1"/>
  <c r="D57" i="9"/>
  <c r="I57" i="9" s="1"/>
  <c r="D56" i="9"/>
  <c r="I56" i="9" s="1"/>
  <c r="D88" i="9" l="1"/>
  <c r="J83" i="9"/>
  <c r="B90" i="9" s="1"/>
  <c r="D58" i="9"/>
  <c r="D62" i="9" s="1"/>
  <c r="B64" i="9"/>
  <c r="D61" i="9"/>
  <c r="D64" i="9"/>
  <c r="B62" i="9"/>
  <c r="I58" i="9"/>
  <c r="B63" i="9" s="1"/>
  <c r="J57" i="9"/>
  <c r="B9" i="9"/>
  <c r="C33" i="9"/>
  <c r="H9" i="9"/>
  <c r="J58" i="9" l="1"/>
  <c r="B65" i="9" s="1"/>
  <c r="D63" i="9"/>
  <c r="J56" i="9"/>
  <c r="D32" i="9"/>
  <c r="I32" i="9" s="1"/>
  <c r="B33" i="9"/>
  <c r="E33" i="9"/>
  <c r="F33" i="9"/>
  <c r="G33" i="9"/>
  <c r="H33" i="9"/>
  <c r="B43" i="9" s="1"/>
  <c r="D8" i="9"/>
  <c r="D7" i="9"/>
  <c r="J32" i="9" l="1"/>
  <c r="B35" i="9"/>
  <c r="D31" i="9"/>
  <c r="D33" i="9" s="1"/>
  <c r="B39" i="9" l="1"/>
  <c r="I31" i="9"/>
  <c r="J31" i="9" l="1"/>
  <c r="I33" i="9"/>
  <c r="J33" i="9" s="1"/>
  <c r="D37" i="9"/>
  <c r="B37" i="9"/>
  <c r="D39" i="9"/>
  <c r="G9" i="9"/>
  <c r="F9" i="9"/>
  <c r="E9" i="9"/>
  <c r="C9" i="9"/>
  <c r="B40" i="9" l="1"/>
  <c r="D38" i="9"/>
  <c r="B38" i="9"/>
  <c r="D9" i="9"/>
  <c r="N29" i="9"/>
  <c r="O29" i="9" s="1"/>
  <c r="N28" i="9"/>
  <c r="O28" i="9" s="1"/>
  <c r="N27" i="9"/>
  <c r="O27" i="9" s="1"/>
  <c r="B12" i="9"/>
  <c r="I8" i="9"/>
  <c r="J8" i="9" s="1"/>
  <c r="I7" i="9"/>
  <c r="I9" i="9" l="1"/>
  <c r="J9" i="9" s="1"/>
  <c r="J7" i="9"/>
  <c r="B15" i="9"/>
  <c r="D12" i="9"/>
  <c r="B11" i="9"/>
  <c r="N26" i="9"/>
  <c r="O26" i="9" s="1"/>
  <c r="D13" i="9"/>
  <c r="A94" i="9" l="1"/>
  <c r="B96" i="9"/>
  <c r="A96" i="9"/>
  <c r="A93" i="9"/>
  <c r="A95" i="9"/>
  <c r="B94" i="9"/>
  <c r="A69" i="9"/>
  <c r="B71" i="9"/>
  <c r="A71" i="9"/>
  <c r="A68" i="9"/>
  <c r="A70" i="9"/>
  <c r="B69" i="9"/>
  <c r="B19" i="9"/>
  <c r="A43" i="9"/>
  <c r="B46" i="9"/>
  <c r="A46" i="9"/>
  <c r="B45" i="9"/>
  <c r="A45" i="9"/>
  <c r="B44" i="9"/>
  <c r="A44" i="9"/>
  <c r="B14" i="9"/>
  <c r="B16" i="9"/>
  <c r="D14" i="9"/>
  <c r="B13" i="9"/>
  <c r="D15" i="9"/>
  <c r="B20" i="9"/>
  <c r="B21" i="9"/>
  <c r="A20" i="9"/>
  <c r="A19" i="9"/>
  <c r="B22" i="9"/>
  <c r="A21" i="9"/>
  <c r="A22" i="9"/>
  <c r="B72" i="9" l="1"/>
  <c r="B97" i="9"/>
  <c r="B47" i="9"/>
  <c r="B23" i="9"/>
  <c r="D93" i="9" l="1"/>
  <c r="C95" i="9"/>
  <c r="C94" i="9"/>
  <c r="C96" i="9"/>
  <c r="C45" i="9"/>
  <c r="D68" i="9"/>
  <c r="C70" i="9"/>
  <c r="C69" i="9"/>
  <c r="C71" i="9"/>
  <c r="C44" i="9"/>
  <c r="C46" i="9"/>
  <c r="D43" i="9"/>
  <c r="D19" i="9"/>
  <c r="C20" i="9"/>
  <c r="C19" i="9"/>
  <c r="C21" i="9"/>
  <c r="C22" i="9"/>
  <c r="D36" i="9" l="1"/>
  <c r="B36" i="9"/>
</calcChain>
</file>

<file path=xl/sharedStrings.xml><?xml version="1.0" encoding="utf-8"?>
<sst xmlns="http://schemas.openxmlformats.org/spreadsheetml/2006/main" count="208" uniqueCount="96">
  <si>
    <t>表單編號</t>
  </si>
  <si>
    <t>文件名稱</t>
  </si>
  <si>
    <t>版本</t>
  </si>
  <si>
    <t>A</t>
  </si>
  <si>
    <t>生效日</t>
  </si>
  <si>
    <t>適用範圍</t>
  </si>
  <si>
    <t>文件類型</t>
  </si>
  <si>
    <t>文件目的與稽核可見證據</t>
  </si>
  <si>
    <t>本表單用於證明組織已透過缺陷資料之 Top Defect（柏拉圖）分析，驅動持續改善（CIP）閉環管理：
1) 數據收集 → 2) Top Defect 分析 → 3) 行動（圍堵/矯正/預防） → 4) 有效性驗證 → 5) 標準化（SOP/Control Plan/FMEA/OCAP）。</t>
  </si>
  <si>
    <t>編製/審核/核准（依文件管制要求）</t>
  </si>
  <si>
    <t>角色</t>
  </si>
  <si>
    <t>簽名</t>
  </si>
  <si>
    <t>日期</t>
  </si>
  <si>
    <t>註：本文件為受控文件；未經核准不得自行修改。若為影印本，視為非受控文件。</t>
  </si>
  <si>
    <t>缺陷類別</t>
  </si>
  <si>
    <t>chipping</t>
  </si>
  <si>
    <t>破片</t>
  </si>
  <si>
    <t>裂痕</t>
  </si>
  <si>
    <t>數量</t>
  </si>
  <si>
    <t>占比</t>
  </si>
  <si>
    <t>本期 Top Defect</t>
  </si>
  <si>
    <t>合計</t>
  </si>
  <si>
    <t>CIP 行動追蹤表（Top Defect 驅動；供稽核查核閉環證據）</t>
  </si>
  <si>
    <t>對應Top Defect/議題</t>
  </si>
  <si>
    <t>問題敘述(含範圍/批次)</t>
  </si>
  <si>
    <t>根本原因(5Why，含具體/系統性)</t>
  </si>
  <si>
    <t>圍堵措施(Containment)</t>
  </si>
  <si>
    <t>矯正措施(Corrective)</t>
  </si>
  <si>
    <t>預防措施(Preventive)</t>
  </si>
  <si>
    <t>有效性驗證方法/判定(含期間)</t>
  </si>
  <si>
    <t>有效性驗證結果/證據</t>
  </si>
  <si>
    <t>責任人</t>
  </si>
  <si>
    <t>目標完成日</t>
  </si>
  <si>
    <t>狀態(Open/In progress/Verified/Closed)</t>
  </si>
  <si>
    <t>（範例）立即建立Top defect報表與行動追蹤，對高風險批次加嚴檢查。</t>
  </si>
  <si>
    <t>（範例）內稽查檢表新增必查證據點；能力矩陣與再訓週期；制度化管理審查輸入。</t>
  </si>
  <si>
    <t>（範例）改善後連續4週Top defect占比下降且粒子P95下降≥X%，且無再發。</t>
  </si>
  <si>
    <t>QA/製程</t>
  </si>
  <si>
    <t>2026-01-15</t>
  </si>
  <si>
    <t>Open</t>
  </si>
  <si>
    <r>
      <t xml:space="preserve">CIP </t>
    </r>
    <r>
      <rPr>
        <b/>
        <sz val="11"/>
        <color rgb="FF404040"/>
        <rFont val="細明體"/>
        <family val="3"/>
        <charset val="136"/>
      </rPr>
      <t>追蹤改善紀錄表</t>
    </r>
    <phoneticPr fontId="5" type="noConversion"/>
  </si>
  <si>
    <t>潔沛企業有限公司</t>
    <phoneticPr fontId="5" type="noConversion"/>
  </si>
  <si>
    <t>2025.12.01</t>
    <phoneticPr fontId="5" type="noConversion"/>
  </si>
  <si>
    <r>
      <t xml:space="preserve"> </t>
    </r>
    <r>
      <rPr>
        <sz val="11"/>
        <color rgb="FF000000"/>
        <rFont val="細明體"/>
        <family val="3"/>
        <charset val="136"/>
      </rPr>
      <t>缺陷（</t>
    </r>
    <r>
      <rPr>
        <sz val="11"/>
        <color rgb="FF000000"/>
        <rFont val="細明體"/>
        <family val="3"/>
        <charset val="136"/>
      </rPr>
      <t>外觀缺陷）之</t>
    </r>
    <r>
      <rPr>
        <sz val="11"/>
        <color rgb="FF000000"/>
        <rFont val="Calibri"/>
        <family val="2"/>
      </rPr>
      <t xml:space="preserve"> Top Defect </t>
    </r>
    <r>
      <rPr>
        <sz val="11"/>
        <color rgb="FF000000"/>
        <rFont val="細明體"/>
        <family val="3"/>
        <charset val="136"/>
      </rPr>
      <t>分析與改善追蹤</t>
    </r>
    <phoneticPr fontId="5" type="noConversion"/>
  </si>
  <si>
    <r>
      <t xml:space="preserve"> </t>
    </r>
    <r>
      <rPr>
        <sz val="11"/>
        <color rgb="FF000000"/>
        <rFont val="細明體"/>
        <family val="3"/>
        <charset val="136"/>
      </rPr>
      <t>記錄</t>
    </r>
    <phoneticPr fontId="5" type="noConversion"/>
  </si>
  <si>
    <t>文件資訊</t>
    <phoneticPr fontId="5" type="noConversion"/>
  </si>
  <si>
    <t>其他缺陷</t>
    <phoneticPr fontId="5" type="noConversion"/>
  </si>
  <si>
    <t>（範例）雖有缺陷資料，但未形成Top defect/Pareto與行動追蹤，未能證明以Top defect分析推動CIP。</t>
    <phoneticPr fontId="5" type="noConversion"/>
  </si>
  <si>
    <t>編製(品管課)</t>
    <phoneticPr fontId="5" type="noConversion"/>
  </si>
  <si>
    <t>審核(管理部)</t>
    <phoneticPr fontId="5" type="noConversion"/>
  </si>
  <si>
    <t>核准(協理)</t>
    <phoneticPr fontId="5" type="noConversion"/>
  </si>
  <si>
    <r>
      <rPr>
        <sz val="11"/>
        <color rgb="FF000000"/>
        <rFont val="細明體"/>
        <family val="3"/>
        <charset val="136"/>
      </rPr>
      <t>建議稽核證據附件（可於工作表中檢視</t>
    </r>
    <r>
      <rPr>
        <sz val="11"/>
        <color rgb="FF000000"/>
        <rFont val="Calibri"/>
        <family val="2"/>
      </rPr>
      <t>/</t>
    </r>
    <r>
      <rPr>
        <sz val="11"/>
        <color rgb="FF000000"/>
        <rFont val="細明體"/>
        <family val="3"/>
        <charset val="136"/>
      </rPr>
      <t xml:space="preserve">列印）：
</t>
    </r>
    <r>
      <rPr>
        <sz val="11"/>
        <color rgb="FF000000"/>
        <rFont val="Calibri"/>
        <family val="2"/>
      </rPr>
      <t>• Defect_Pareto</t>
    </r>
    <r>
      <rPr>
        <sz val="11"/>
        <color rgb="FF000000"/>
        <rFont val="細明體"/>
        <family val="3"/>
        <charset val="136"/>
      </rPr>
      <t>：缺陷類別柏拉圖（</t>
    </r>
    <r>
      <rPr>
        <sz val="11"/>
        <color rgb="FF000000"/>
        <rFont val="Calibri"/>
        <family val="2"/>
      </rPr>
      <t>Top Defect</t>
    </r>
    <r>
      <rPr>
        <sz val="11"/>
        <color rgb="FF000000"/>
        <rFont val="細明體"/>
        <family val="3"/>
        <charset val="136"/>
      </rPr>
      <t xml:space="preserve">、占比、累積占比）
</t>
    </r>
    <r>
      <rPr>
        <sz val="11"/>
        <color rgb="FF000000"/>
        <rFont val="Calibri"/>
        <family val="2"/>
      </rPr>
      <t>• CIP_Tracker</t>
    </r>
    <r>
      <rPr>
        <sz val="11"/>
        <color rgb="FF000000"/>
        <rFont val="細明體"/>
        <family val="3"/>
        <charset val="136"/>
      </rPr>
      <t>：</t>
    </r>
    <r>
      <rPr>
        <sz val="11"/>
        <color rgb="FF000000"/>
        <rFont val="Calibri"/>
        <family val="2"/>
      </rPr>
      <t xml:space="preserve">Top 1~3 </t>
    </r>
    <r>
      <rPr>
        <sz val="11"/>
        <color rgb="FF000000"/>
        <rFont val="細明體"/>
        <family val="3"/>
        <charset val="136"/>
      </rPr>
      <t>缺陷改善追蹤（</t>
    </r>
    <r>
      <rPr>
        <sz val="11"/>
        <color rgb="FF000000"/>
        <rFont val="Calibri"/>
        <family val="2"/>
      </rPr>
      <t xml:space="preserve">5 Why </t>
    </r>
    <r>
      <rPr>
        <sz val="11"/>
        <color rgb="FF000000"/>
        <rFont val="細明體"/>
        <family val="3"/>
        <charset val="136"/>
      </rPr>
      <t xml:space="preserve">根因、對策、證據、結案條件）
</t>
    </r>
    <r>
      <rPr>
        <sz val="11"/>
        <color rgb="FF000000"/>
        <rFont val="Calibri"/>
        <family val="2"/>
      </rPr>
      <t/>
    </r>
    <phoneticPr fontId="5" type="noConversion"/>
  </si>
  <si>
    <t>2025.12.24</t>
  </si>
  <si>
    <t>裂痕(填寫範例)</t>
    <phoneticPr fontId="5" type="noConversion"/>
  </si>
  <si>
    <t>（範例）附：柏拉圖、I-MR圖、行動追蹤表、SOP版本、訓練紀錄。</t>
    <phoneticPr fontId="5" type="noConversion"/>
  </si>
  <si>
    <t>工程部/品管課</t>
    <phoneticPr fontId="5" type="noConversion"/>
  </si>
  <si>
    <t>（範例）請以5Why撰寫並收斂具體/系統性根因。</t>
    <phoneticPr fontId="5" type="noConversion"/>
  </si>
  <si>
    <t>Closed</t>
  </si>
  <si>
    <t>驗證指標：
1. 良率驗證： 使用新配方試清洗後，確認良率已提升至 90% 以上（符合客戶接受標準）。
2. 客戶承認： 提交改善後之良率報告，並已於2025/12/24獲得客戶承認。</t>
    <phoneticPr fontId="5" type="noConversion"/>
  </si>
  <si>
    <t>（範例）建立每週柏拉圖+例會機制；定義門檻觸發OCAP/CAPA；指定責任人與輸出物。</t>
    <phoneticPr fontId="5" type="noConversion"/>
  </si>
  <si>
    <t xml:space="preserve">1. Why?該批次的汙染率過高。
2. Why?  玻璃表面經清洗後目檢時發現在有大量汙染狀況，AOI也無法判讀是刮裂痕或髒汙造成。
系統性原因：
Why? 製程參數未針對此基材特性進行最佳化匹配。
</t>
    <phoneticPr fontId="5" type="noConversion"/>
  </si>
  <si>
    <t>附：本行動追蹤表、產品良率提升計畫、重工測試報告。</t>
    <phoneticPr fontId="5" type="noConversion"/>
  </si>
  <si>
    <t xml:space="preserve">防止再發（系統面）：
1.將污染的AOI外觀圖像、目檢光源觀察、AOI wafer map 的位置分佈，三方面交叉比對，與建立資料庫。 將實測的資料轉化為品檢教育訓練的範本，建立於工程的重要文件。
 </t>
    <phoneticPr fontId="5" type="noConversion"/>
  </si>
  <si>
    <t>風險評估與阻斷：：
1.在客戶同意下，對產品進行重工洗淨實驗分析，確認造成汙染物來源。
2.因AOI圖像為2D俯視圖，無法判定屬凹點（刮線）或凸點（髒污），故尋求KEYENCE提供雷射顯微鏡判讀與分析，經雷射顯微鏡觀察，結果顯示目視認為的汙染，其實是刮傷所造成。</t>
    <phoneticPr fontId="5" type="noConversion"/>
  </si>
  <si>
    <t>1.建立產品良率提升計畫，提升良率與乾淨度：
本次測試重工洗淨流程增加了洗淨時間，發現確實可以提升乾淨度。因考量增加洗淨時間會壓縮到產能，因此提升良率的方向，會採用除膠藥水的配方調整，在洗淨時間與流程參數不變的前提下，請藥水供應商柏連企業調整原料配方的比例，以達到提升乾淨度的目的，並同時大幅減少刮傷狀況。</t>
    <phoneticPr fontId="5" type="noConversion"/>
  </si>
  <si>
    <t>總良率</t>
  </si>
  <si>
    <t>OCR篩選不用洗</t>
  </si>
  <si>
    <t>需清洗/檢驗</t>
    <phoneticPr fontId="5" type="noConversion"/>
  </si>
  <si>
    <t>每日資料輸入（藍色為輸入；其餘自動計算）</t>
  </si>
  <si>
    <t>每日生產數量</t>
    <phoneticPr fontId="5" type="noConversion"/>
  </si>
  <si>
    <t>備註</t>
  </si>
  <si>
    <t>其他缺陷</t>
  </si>
  <si>
    <t>期間彙總（自動）</t>
  </si>
  <si>
    <t>總生產數量</t>
  </si>
  <si>
    <t>OCR篩選不用洗（片）</t>
  </si>
  <si>
    <t>需清洗/檢驗（片）</t>
  </si>
  <si>
    <t>洗後OK(無缺陷)（片）</t>
  </si>
  <si>
    <t>總缺陷數（片）</t>
  </si>
  <si>
    <t>缺陷柏拉圖（僅統計缺陷；依數量由大到小排序）</t>
  </si>
  <si>
    <t>合計缺陷</t>
  </si>
  <si>
    <t>分析期間</t>
    <phoneticPr fontId="5" type="noConversion"/>
  </si>
  <si>
    <t>每日缺陷彙總— 柏拉圖與良率</t>
    <phoneticPr fontId="5" type="noConversion"/>
  </si>
  <si>
    <t>洗後OK(無缺陷)</t>
    <phoneticPr fontId="5" type="noConversion"/>
  </si>
  <si>
    <t>總良率</t>
    <phoneticPr fontId="5" type="noConversion"/>
  </si>
  <si>
    <t>產品名稱/訂單編號</t>
    <phoneticPr fontId="5" type="noConversion"/>
  </si>
  <si>
    <t>MR15-02(002)A</t>
    <phoneticPr fontId="5" type="noConversion"/>
  </si>
  <si>
    <r>
      <t xml:space="preserve">CIP </t>
    </r>
    <r>
      <rPr>
        <sz val="11"/>
        <color rgb="FF000000"/>
        <rFont val="細明體"/>
        <family val="3"/>
        <charset val="136"/>
      </rPr>
      <t>追蹤改善紀錄表</t>
    </r>
    <phoneticPr fontId="5" type="noConversion"/>
  </si>
  <si>
    <t>統計顯示裂痕為Top 1缺陷：針對美光玻璃洗淨產品，經檢驗發現「」數量達 39 pcs，佔總檢驗數（836 pcs）之 4.7%。此缺陷率嚴重超出品質目標，需確認問題來源。</t>
    <phoneticPr fontId="5" type="noConversion"/>
  </si>
  <si>
    <t>20260121~20260122</t>
    <phoneticPr fontId="5" type="noConversion"/>
  </si>
  <si>
    <t xml:space="preserve"> RECYCLE GLASS NEG ABC-1 (JEPE)/4516243668                              來料代號： 20260113第二板</t>
    <phoneticPr fontId="5" type="noConversion"/>
  </si>
  <si>
    <t xml:space="preserve"> RECYCLE GLASS NEG ABC-1 (JEPE)/4516243668                        來料代號：20260114第三板</t>
    <phoneticPr fontId="5" type="noConversion"/>
  </si>
  <si>
    <t>20260126~20260127</t>
    <phoneticPr fontId="5" type="noConversion"/>
  </si>
  <si>
    <t xml:space="preserve"> RECYCLE GLASS NEG ABC-1 (JEPE)/4516243668                        來料代號：20260114第四板</t>
    <phoneticPr fontId="5" type="noConversion"/>
  </si>
  <si>
    <t>20260123~20260124</t>
    <phoneticPr fontId="5" type="noConversion"/>
  </si>
  <si>
    <t xml:space="preserve"> RECYCLE GLASS NEG ABC-1 (JEPE)/4516243668                        來料代號：20260119第五板</t>
    <phoneticPr fontId="5" type="noConversion"/>
  </si>
  <si>
    <t>20260129~20260130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</si>
</sst>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20">
    <font>
      <sz val="11"/>
      <color theme="1"/>
      <name val="新細明體"/>
      <family val="2"/>
      <scheme val="minor"/>
    </font>
    <font>
      <sz val="11"/>
      <color rgb="FF0000FF"/>
      <name val="新細明體"/>
      <family val="1"/>
      <charset val="136"/>
    </font>
    <font>
      <b/>
      <sz val="14"/>
      <name val="新細明體"/>
      <family val="1"/>
      <charset val="136"/>
    </font>
    <font>
      <b/>
      <sz val="11"/>
      <name val="新細明體"/>
      <family val="1"/>
      <charset val="136"/>
    </font>
    <font>
      <b/>
      <sz val="11"/>
      <color rgb="FFFFFFFF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000000"/>
      <name val="Calibri"/>
      <family val="2"/>
    </font>
    <font>
      <b/>
      <sz val="11"/>
      <color rgb="FF404040"/>
      <name val="Calibri"/>
      <family val="2"/>
    </font>
    <font>
      <b/>
      <sz val="16"/>
      <color rgb="FF1F4E79"/>
      <name val="Calibri"/>
      <family val="2"/>
    </font>
    <font>
      <b/>
      <sz val="11"/>
      <color rgb="FF000000"/>
      <name val="Calibri"/>
      <family val="2"/>
    </font>
    <font>
      <i/>
      <sz val="10"/>
      <color rgb="FF404040"/>
      <name val="Calibri"/>
      <family val="2"/>
    </font>
    <font>
      <b/>
      <sz val="20"/>
      <color rgb="FFFFFFFF"/>
      <name val="細明體"/>
      <family val="3"/>
      <charset val="136"/>
    </font>
    <font>
      <b/>
      <sz val="11"/>
      <color rgb="FF404040"/>
      <name val="細明體"/>
      <family val="3"/>
      <charset val="136"/>
    </font>
    <font>
      <sz val="11"/>
      <color rgb="FF000000"/>
      <name val="細明體"/>
      <family val="3"/>
      <charset val="136"/>
    </font>
    <font>
      <b/>
      <sz val="11"/>
      <color rgb="FF000000"/>
      <name val="細明體"/>
      <family val="3"/>
      <charset val="136"/>
    </font>
    <font>
      <b/>
      <sz val="16"/>
      <color rgb="FF1F4E79"/>
      <name val="細明體"/>
      <family val="3"/>
      <charset val="136"/>
    </font>
    <font>
      <sz val="11"/>
      <color theme="1"/>
      <name val="PMingLiu"/>
      <family val="1"/>
    </font>
    <font>
      <sz val="11"/>
      <color rgb="FF000000"/>
      <name val="PMingLiu"/>
      <family val="1"/>
    </font>
    <font>
      <sz val="11"/>
      <color theme="1"/>
      <name val="新細明體"/>
      <family val="2"/>
      <scheme val="minor"/>
    </font>
    <font>
      <sz val="11"/>
      <name val="Microsoft JhengHei"/>
      <family val="2"/>
      <charset val="136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E9EFF7"/>
      </patternFill>
    </fill>
    <fill>
      <patternFill patternType="solid">
        <fgColor theme="9"/>
        <bgColor indexed="64"/>
      </patternFill>
    </fill>
    <fill>
      <patternFill patternType="solid">
        <fgColor rgb="FFFFF2CC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 style="medium">
        <color rgb="FF1F4E79"/>
      </left>
      <right style="thin">
        <color rgb="FF404040"/>
      </right>
      <top style="thin">
        <color rgb="FF404040"/>
      </top>
      <bottom style="thin">
        <color rgb="FF404040"/>
      </bottom>
      <diagonal/>
    </border>
    <border>
      <left/>
      <right/>
      <top style="medium">
        <color rgb="FF1F4E79"/>
      </top>
      <bottom/>
      <diagonal/>
    </border>
    <border>
      <left style="medium">
        <color rgb="FF1F4E79"/>
      </left>
      <right/>
      <top/>
      <bottom/>
      <diagonal/>
    </border>
    <border>
      <left/>
      <right style="thin">
        <color rgb="FF404040"/>
      </right>
      <top style="medium">
        <color rgb="FF1F4E79"/>
      </top>
      <bottom/>
      <diagonal/>
    </border>
    <border>
      <left/>
      <right style="thin">
        <color rgb="FF404040"/>
      </right>
      <top/>
      <bottom/>
      <diagonal/>
    </border>
    <border>
      <left style="medium">
        <color rgb="FF1F4E79"/>
      </left>
      <right/>
      <top/>
      <bottom style="thin">
        <color rgb="FF404040"/>
      </bottom>
      <diagonal/>
    </border>
    <border>
      <left/>
      <right/>
      <top/>
      <bottom style="thin">
        <color rgb="FF404040"/>
      </bottom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>
      <left/>
      <right/>
      <top style="thin">
        <color rgb="FF404040"/>
      </top>
      <bottom/>
      <diagonal/>
    </border>
    <border>
      <left/>
      <right style="thin">
        <color rgb="FF404040"/>
      </right>
      <top style="thin">
        <color rgb="FF404040"/>
      </top>
      <bottom/>
      <diagonal/>
    </border>
    <border>
      <left/>
      <right/>
      <top style="thin">
        <color rgb="FF404040"/>
      </top>
      <bottom style="thin">
        <color rgb="FF404040"/>
      </bottom>
      <diagonal/>
    </border>
    <border>
      <left/>
      <right style="thin">
        <color rgb="FF404040"/>
      </right>
      <top style="thin">
        <color rgb="FF404040"/>
      </top>
      <bottom style="thin">
        <color rgb="FF404040"/>
      </bottom>
      <diagonal/>
    </border>
    <border>
      <left/>
      <right/>
      <top style="thin">
        <color rgb="FF404040"/>
      </top>
      <bottom style="medium">
        <color rgb="FF1F4E79"/>
      </bottom>
      <diagonal/>
    </border>
    <border>
      <left style="medium">
        <color rgb="FF1F4E79"/>
      </left>
      <right style="medium">
        <color rgb="FF1F4E79"/>
      </right>
      <top style="thin">
        <color rgb="FF404040"/>
      </top>
      <bottom style="medium">
        <color rgb="FF1F4E79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404040"/>
      </left>
      <right/>
      <top style="thin">
        <color rgb="FF404040"/>
      </top>
      <bottom style="thin">
        <color rgb="FF404040"/>
      </bottom>
      <diagonal/>
    </border>
    <border>
      <left/>
      <right/>
      <top/>
      <bottom style="medium">
        <color rgb="FF1F4E79"/>
      </bottom>
      <diagonal/>
    </border>
    <border>
      <left/>
      <right style="thin">
        <color rgb="FF404040"/>
      </right>
      <top/>
      <bottom style="medium">
        <color rgb="FF1F4E7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9E9E9E"/>
      </left>
      <right style="thin">
        <color rgb="FF9E9E9E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medium">
        <color rgb="FF1F4E79"/>
      </left>
      <right style="thin">
        <color rgb="FF404040"/>
      </right>
      <top/>
      <bottom style="thin">
        <color rgb="FF404040"/>
      </bottom>
      <diagonal/>
    </border>
  </borders>
  <cellStyleXfs count="2">
    <xf numFmtId="0" fontId="0" fillId="0" borderId="0"/>
    <xf numFmtId="0" fontId="18" fillId="0" borderId="0"/>
  </cellStyleXfs>
  <cellXfs count="90">
    <xf numFmtId="0" fontId="0" fillId="0" borderId="0" xfId="0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top" wrapText="1"/>
    </xf>
    <xf numFmtId="0" fontId="0" fillId="0" borderId="0" xfId="0"/>
    <xf numFmtId="0" fontId="16" fillId="6" borderId="25" xfId="0" applyFont="1" applyFill="1" applyBorder="1" applyAlignment="1">
      <alignment vertical="top" wrapText="1"/>
    </xf>
    <xf numFmtId="0" fontId="0" fillId="6" borderId="26" xfId="0" applyFill="1" applyBorder="1" applyAlignment="1">
      <alignment vertical="top" wrapText="1"/>
    </xf>
    <xf numFmtId="0" fontId="0" fillId="0" borderId="27" xfId="0" applyBorder="1" applyAlignment="1">
      <alignment vertical="top" wrapText="1"/>
    </xf>
    <xf numFmtId="0" fontId="16" fillId="0" borderId="2" xfId="0" applyFont="1" applyBorder="1" applyAlignment="1">
      <alignment vertical="top" wrapText="1"/>
    </xf>
    <xf numFmtId="0" fontId="17" fillId="0" borderId="2" xfId="0" applyFont="1" applyBorder="1" applyAlignment="1">
      <alignment vertical="top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19" fillId="7" borderId="2" xfId="1" applyFont="1" applyFill="1" applyBorder="1" applyAlignment="1">
      <alignment horizontal="center" vertical="center" wrapText="1"/>
    </xf>
    <xf numFmtId="14" fontId="19" fillId="7" borderId="2" xfId="1" applyNumberFormat="1" applyFont="1" applyFill="1" applyBorder="1" applyAlignment="1">
      <alignment horizontal="center" vertical="center" wrapText="1"/>
    </xf>
    <xf numFmtId="0" fontId="0" fillId="0" borderId="30" xfId="0" applyBorder="1" applyAlignment="1">
      <alignment horizontal="center"/>
    </xf>
    <xf numFmtId="0" fontId="1" fillId="0" borderId="30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76" fontId="0" fillId="0" borderId="30" xfId="0" applyNumberFormat="1" applyBorder="1" applyAlignment="1">
      <alignment horizontal="center" vertical="center"/>
    </xf>
    <xf numFmtId="0" fontId="1" fillId="0" borderId="30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176" fontId="0" fillId="0" borderId="2" xfId="0" applyNumberFormat="1" applyBorder="1" applyAlignment="1">
      <alignment horizontal="center" vertical="center"/>
    </xf>
    <xf numFmtId="176" fontId="3" fillId="0" borderId="2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8" borderId="30" xfId="0" applyFill="1" applyBorder="1" applyAlignment="1">
      <alignment horizontal="center" vertical="center" wrapText="1"/>
    </xf>
    <xf numFmtId="176" fontId="0" fillId="0" borderId="36" xfId="0" applyNumberFormat="1" applyBorder="1" applyAlignment="1">
      <alignment horizontal="center" vertical="center"/>
    </xf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3" borderId="36" xfId="0" applyFont="1" applyFill="1" applyBorder="1" applyAlignment="1">
      <alignment horizontal="center" vertical="center"/>
    </xf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0" fillId="0" borderId="13" xfId="0" applyBorder="1"/>
    <xf numFmtId="0" fontId="0" fillId="0" borderId="14" xfId="0" applyBorder="1"/>
    <xf numFmtId="0" fontId="0" fillId="0" borderId="6" xfId="0" applyBorder="1"/>
    <xf numFmtId="0" fontId="0" fillId="0" borderId="0" xfId="0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9" fillId="5" borderId="16" xfId="0" applyFont="1" applyFill="1" applyBorder="1" applyAlignment="1">
      <alignment horizontal="center" vertical="center" wrapText="1"/>
    </xf>
    <xf numFmtId="0" fontId="0" fillId="0" borderId="16" xfId="0" applyBorder="1"/>
    <xf numFmtId="0" fontId="8" fillId="0" borderId="37" xfId="0" applyFont="1" applyBorder="1" applyAlignment="1">
      <alignment horizontal="left" vertical="center" wrapText="1"/>
    </xf>
    <xf numFmtId="0" fontId="0" fillId="0" borderId="15" xfId="0" applyBorder="1"/>
    <xf numFmtId="0" fontId="11" fillId="3" borderId="12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7" xfId="0" applyBorder="1"/>
    <xf numFmtId="0" fontId="0" fillId="0" borderId="0" xfId="0" applyBorder="1"/>
    <xf numFmtId="0" fontId="6" fillId="0" borderId="3" xfId="0" applyFont="1" applyBorder="1" applyAlignment="1">
      <alignment horizontal="left" vertical="center" wrapText="1"/>
    </xf>
    <xf numFmtId="0" fontId="15" fillId="0" borderId="16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10" fillId="4" borderId="18" xfId="0" applyFont="1" applyFill="1" applyBorder="1" applyAlignment="1">
      <alignment horizontal="left" vertical="center" wrapText="1"/>
    </xf>
    <xf numFmtId="0" fontId="0" fillId="0" borderId="17" xfId="0" applyBorder="1"/>
    <xf numFmtId="0" fontId="0" fillId="0" borderId="23" xfId="0" applyBorder="1"/>
    <xf numFmtId="0" fontId="0" fillId="0" borderId="24" xfId="0" applyBorder="1"/>
    <xf numFmtId="0" fontId="9" fillId="5" borderId="3" xfId="0" applyFont="1" applyFill="1" applyBorder="1" applyAlignment="1">
      <alignment horizontal="center" vertical="center" wrapText="1"/>
    </xf>
    <xf numFmtId="0" fontId="9" fillId="5" borderId="22" xfId="0" applyFont="1" applyFill="1" applyBorder="1" applyAlignment="1">
      <alignment horizontal="center" vertical="center" wrapText="1"/>
    </xf>
    <xf numFmtId="0" fontId="9" fillId="5" borderId="15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4" fillId="3" borderId="3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4" fillId="3" borderId="19" xfId="0" applyFont="1" applyFill="1" applyBorder="1" applyAlignment="1">
      <alignment horizontal="left" vertical="center"/>
    </xf>
    <xf numFmtId="0" fontId="0" fillId="0" borderId="28" xfId="0" applyBorder="1"/>
    <xf numFmtId="0" fontId="0" fillId="0" borderId="29" xfId="0" applyBorder="1"/>
    <xf numFmtId="0" fontId="4" fillId="3" borderId="30" xfId="0" applyFont="1" applyFill="1" applyBorder="1" applyAlignment="1">
      <alignment horizontal="center" vertical="center" wrapText="1"/>
    </xf>
    <xf numFmtId="0" fontId="0" fillId="0" borderId="31" xfId="0" applyBorder="1"/>
    <xf numFmtId="0" fontId="4" fillId="3" borderId="35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0" fillId="0" borderId="20" xfId="0" applyBorder="1"/>
    <xf numFmtId="0" fontId="0" fillId="0" borderId="21" xfId="0" applyBorder="1"/>
  </cellXfs>
  <cellStyles count="2">
    <cellStyle name="Normal" xfId="1"/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缺陷柏拉圖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每批生產缺陷彙總!$B$18</c:f>
              <c:strCache>
                <c:ptCount val="1"/>
                <c:pt idx="0">
                  <c:v>數量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每批生產缺陷彙總!$A$19:$A$22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每批生產缺陷彙總!$B$19:$B$22</c:f>
              <c:numCache>
                <c:formatCode>General</c:formatCode>
                <c:ptCount val="4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E-4B6A-910C-A2E348BD436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lineChart>
        <c:grouping val="standard"/>
        <c:varyColors val="1"/>
        <c:ser>
          <c:idx val="1"/>
          <c:order val="1"/>
          <c:tx>
            <c:strRef>
              <c:f>每批生產缺陷彙總!#REF!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每批生產缺陷彙總!$A$19:$A$22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每批生產缺陷彙總!#REF!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D1E-4B6A-910C-A2E348BD43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缺陷類別</a:t>
                </a:r>
              </a:p>
            </c:rich>
          </c:tx>
          <c:layout>
            <c:manualLayout>
              <c:xMode val="edge"/>
              <c:yMode val="edge"/>
              <c:x val="0.4683985380116959"/>
              <c:y val="0.7490966049382715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數量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  <c:max val="1"/>
          <c:min val="0"/>
        </c:scaling>
        <c:delete val="1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累積占比</a:t>
                </a:r>
              </a:p>
            </c:rich>
          </c:tx>
          <c:layout/>
          <c:overlay val="1"/>
        </c:title>
        <c:numFmt formatCode="0%" sourceLinked="0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0318713450292401"/>
          <c:y val="0.39776141975308643"/>
          <c:w val="0.12997076023391813"/>
          <c:h val="0.14176111111111112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每日生產良率趨勢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circle"/>
            <c:size val="17"/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645-4FFC-B783-2EAE50E1ED00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645-4FFC-B783-2EAE50E1ED00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645-4FFC-B783-2EAE50E1ED00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645-4FFC-B783-2EAE50E1ED00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6645-4FFC-B783-2EAE50E1ED00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6645-4FFC-B783-2EAE50E1ED00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每批生產缺陷彙總!$J$7:$J$8</c:f>
              <c:numCache>
                <c:formatCode>0.0%</c:formatCode>
                <c:ptCount val="2"/>
                <c:pt idx="0">
                  <c:v>0.90222222222222226</c:v>
                </c:pt>
                <c:pt idx="1">
                  <c:v>0.92428198433420361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6645-4FFC-B783-2EAE50E1ED0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良率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每日生產良率趨勢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circle"/>
            <c:size val="17"/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B5-4B4D-B4AA-972FFD2E1FDE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B5-4B4D-B4AA-972FFD2E1FDE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B5-4B4D-B4AA-972FFD2E1FD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FB5-4B4D-B4AA-972FFD2E1FD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FB5-4B4D-B4AA-972FFD2E1FD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FB5-4B4D-B4AA-972FFD2E1FDE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每批生產缺陷彙總!$J$31:$J$32</c:f>
              <c:numCache>
                <c:formatCode>0.0%</c:formatCode>
                <c:ptCount val="2"/>
                <c:pt idx="0">
                  <c:v>0.93333333333333335</c:v>
                </c:pt>
                <c:pt idx="1">
                  <c:v>0.97333333333333338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4FB5-4B4D-B4AA-972FFD2E1F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良率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缺陷柏拉圖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每批生產缺陷彙總!$B$42</c:f>
              <c:strCache>
                <c:ptCount val="1"/>
                <c:pt idx="0">
                  <c:v>數量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每批生產缺陷彙總!$A$43:$A$46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每批生產缺陷彙總!$B$43:$B$46</c:f>
              <c:numCache>
                <c:formatCode>General</c:formatCode>
                <c:ptCount val="4"/>
                <c:pt idx="0">
                  <c:v>20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52-4917-BCE1-CF98B4B11E70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缺陷類別</a:t>
                </a:r>
              </a:p>
            </c:rich>
          </c:tx>
          <c:layout>
            <c:manualLayout>
              <c:xMode val="edge"/>
              <c:yMode val="edge"/>
              <c:x val="0.42106637426900584"/>
              <c:y val="0.76869537037037039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數量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zh-TW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缺陷柏拉圖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每批生產缺陷彙總!$B$67</c:f>
              <c:strCache>
                <c:ptCount val="1"/>
                <c:pt idx="0">
                  <c:v>數量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每批生產缺陷彙總!$A$68:$A$71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每批生產缺陷彙總!$B$68:$B$71</c:f>
              <c:numCache>
                <c:formatCode>General</c:formatCode>
                <c:ptCount val="4"/>
                <c:pt idx="0">
                  <c:v>16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2A-4985-A490-6FDB7D9B7543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缺陷類別</a:t>
                </a:r>
              </a:p>
            </c:rich>
          </c:tx>
          <c:layout>
            <c:manualLayout>
              <c:xMode val="edge"/>
              <c:yMode val="edge"/>
              <c:x val="0.42106637426900584"/>
              <c:y val="0.76869537037037039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數量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zh-TW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每日生產良率趨勢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circle"/>
            <c:size val="17"/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23-4C3B-88E5-1BEBA2284FC3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C23-4C3B-88E5-1BEBA2284FC3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C23-4C3B-88E5-1BEBA2284FC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C23-4C3B-88E5-1BEBA2284FC3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C23-4C3B-88E5-1BEBA2284FC3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4C23-4C3B-88E5-1BEBA2284FC3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每批生產缺陷彙總!$J$56:$J$57</c:f>
              <c:numCache>
                <c:formatCode>0.0%</c:formatCode>
                <c:ptCount val="2"/>
                <c:pt idx="0">
                  <c:v>0.96449704142011838</c:v>
                </c:pt>
                <c:pt idx="1">
                  <c:v>0.96527777777777779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4C23-4C3B-88E5-1BEBA2284FC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良率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TW" altLang="en-US"/>
              <a:t>缺陷柏拉圖</a:t>
            </a:r>
          </a:p>
        </c:rich>
      </c:tx>
      <c:layout/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每批生產缺陷彙總!$B$92</c:f>
              <c:strCache>
                <c:ptCount val="1"/>
                <c:pt idx="0">
                  <c:v>數量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每批生產缺陷彙總!$A$93:$A$96</c:f>
              <c:strCache>
                <c:ptCount val="4"/>
                <c:pt idx="0">
                  <c:v>其他缺陷</c:v>
                </c:pt>
                <c:pt idx="1">
                  <c:v>裂痕</c:v>
                </c:pt>
                <c:pt idx="2">
                  <c:v>破片</c:v>
                </c:pt>
                <c:pt idx="3">
                  <c:v>chipping</c:v>
                </c:pt>
              </c:strCache>
            </c:strRef>
          </c:cat>
          <c:val>
            <c:numRef>
              <c:f>每批生產缺陷彙總!$B$93:$B$96</c:f>
              <c:numCache>
                <c:formatCode>General</c:formatCode>
                <c:ptCount val="4"/>
                <c:pt idx="0">
                  <c:v>18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A-4BE8-A474-573A338FC49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缺陷類別</a:t>
                </a:r>
              </a:p>
            </c:rich>
          </c:tx>
          <c:layout>
            <c:manualLayout>
              <c:xMode val="edge"/>
              <c:yMode val="edge"/>
              <c:x val="0.42106637426900584"/>
              <c:y val="0.76869537037037039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數量</a:t>
                </a:r>
              </a:p>
            </c:rich>
          </c:tx>
          <c:layout/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rtl="0">
            <a:defRPr/>
          </a:pPr>
          <a:endParaRPr lang="zh-TW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/>
              <a:t>每日生產良率趨勢</a:t>
            </a:r>
          </a:p>
        </c:rich>
      </c:tx>
      <c:layout/>
      <c:overlay val="1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circle"/>
            <c:size val="17"/>
          </c:marker>
          <c:dPt>
            <c:idx val="0"/>
            <c:marker>
              <c:spPr>
                <a:solidFill>
                  <a:schemeClr val="accent1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8A-4F42-9910-98404DE6566A}"/>
              </c:ext>
            </c:extLst>
          </c:dPt>
          <c:dPt>
            <c:idx val="1"/>
            <c:marker>
              <c:spPr>
                <a:solidFill>
                  <a:schemeClr val="accent2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8A-4F42-9910-98404DE6566A}"/>
              </c:ext>
            </c:extLst>
          </c:dPt>
          <c:dPt>
            <c:idx val="2"/>
            <c:marker>
              <c:spPr>
                <a:solidFill>
                  <a:schemeClr val="accent3"/>
                </a:solidFill>
                <a:ln>
                  <a:noFill/>
                </a:ln>
                <a:effectLst/>
              </c:spPr>
            </c:marker>
            <c:bubble3D val="0"/>
            <c:spPr>
              <a:ln w="31750" cap="rnd">
                <a:solidFill>
                  <a:schemeClr val="accent3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8A-4F42-9910-98404DE6566A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F18A-4F42-9910-98404DE6566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F18A-4F42-9910-98404DE6566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F18A-4F42-9910-98404DE6566A}"/>
                </c:ext>
              </c:extLst>
            </c:dLbl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每批生產缺陷彙總!$J$81:$J$82</c:f>
              <c:numCache>
                <c:formatCode>0.0%</c:formatCode>
                <c:ptCount val="2"/>
                <c:pt idx="0">
                  <c:v>0.95819935691318325</c:v>
                </c:pt>
                <c:pt idx="1">
                  <c:v>0.96268656716417911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F18A-4F42-9910-98404DE656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/>
                  <a:t>良率</a:t>
                </a:r>
              </a:p>
            </c:rich>
          </c:tx>
          <c:layout/>
          <c:overlay val="1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19050</xdr:colOff>
      <xdr:row>3</xdr:row>
      <xdr:rowOff>152400</xdr:rowOff>
    </xdr:from>
    <xdr:ext cx="4477800" cy="2344650"/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24</xdr:col>
      <xdr:colOff>38099</xdr:colOff>
      <xdr:row>3</xdr:row>
      <xdr:rowOff>85725</xdr:rowOff>
    </xdr:from>
    <xdr:ext cx="3828375" cy="1981200"/>
    <xdr:graphicFrame macro="">
      <xdr:nvGraphicFramePr>
        <xdr:cNvPr id="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23</xdr:col>
      <xdr:colOff>238125</xdr:colOff>
      <xdr:row>24</xdr:row>
      <xdr:rowOff>190500</xdr:rowOff>
    </xdr:from>
    <xdr:ext cx="4466550" cy="2033250"/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15</xdr:col>
      <xdr:colOff>161925</xdr:colOff>
      <xdr:row>24</xdr:row>
      <xdr:rowOff>133350</xdr:rowOff>
    </xdr:from>
    <xdr:ext cx="4649250" cy="2154150"/>
    <xdr:graphicFrame macro="">
      <xdr:nvGraphicFramePr>
        <xdr:cNvPr id="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15</xdr:col>
      <xdr:colOff>228600</xdr:colOff>
      <xdr:row>50</xdr:row>
      <xdr:rowOff>152400</xdr:rowOff>
    </xdr:from>
    <xdr:ext cx="6840000" cy="3240000"/>
    <xdr:graphicFrame macro="">
      <xdr:nvGraphicFramePr>
        <xdr:cNvPr id="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27</xdr:col>
      <xdr:colOff>209550</xdr:colOff>
      <xdr:row>51</xdr:row>
      <xdr:rowOff>152400</xdr:rowOff>
    </xdr:from>
    <xdr:ext cx="4466550" cy="2033250"/>
    <xdr:graphicFrame macro="">
      <xdr:nvGraphicFramePr>
        <xdr:cNvPr id="8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15</xdr:col>
      <xdr:colOff>304800</xdr:colOff>
      <xdr:row>72</xdr:row>
      <xdr:rowOff>104775</xdr:rowOff>
    </xdr:from>
    <xdr:ext cx="6840000" cy="3240000"/>
    <xdr:graphicFrame macro="">
      <xdr:nvGraphicFramePr>
        <xdr:cNvPr id="9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28</xdr:col>
      <xdr:colOff>504825</xdr:colOff>
      <xdr:row>73</xdr:row>
      <xdr:rowOff>152400</xdr:rowOff>
    </xdr:from>
    <xdr:ext cx="4466550" cy="2033250"/>
    <xdr:graphicFrame macro="">
      <xdr:nvGraphicFramePr>
        <xdr:cNvPr id="10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3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D9" sqref="D9:E9"/>
    </sheetView>
  </sheetViews>
  <sheetFormatPr defaultRowHeight="15.75"/>
  <cols>
    <col min="1" max="1" width="2.42578125" customWidth="1"/>
    <col min="2" max="11" width="16" customWidth="1"/>
    <col min="12" max="12" width="2.42578125" customWidth="1"/>
  </cols>
  <sheetData>
    <row r="1" spans="2:11" ht="27.95" customHeight="1">
      <c r="B1" s="53" t="s">
        <v>41</v>
      </c>
      <c r="C1" s="54"/>
      <c r="D1" s="54"/>
      <c r="E1" s="54"/>
      <c r="F1" s="54"/>
      <c r="G1" s="54"/>
      <c r="H1" s="54"/>
      <c r="I1" s="54"/>
      <c r="J1" s="54"/>
      <c r="K1" s="55"/>
    </row>
    <row r="2" spans="2:11" ht="27.95" customHeight="1">
      <c r="B2" s="43"/>
      <c r="C2" s="44"/>
      <c r="D2" s="44"/>
      <c r="E2" s="44"/>
      <c r="F2" s="44"/>
      <c r="G2" s="44"/>
      <c r="H2" s="44"/>
      <c r="I2" s="44"/>
      <c r="J2" s="44"/>
      <c r="K2" s="45"/>
    </row>
    <row r="3" spans="2:11" ht="27.95" customHeight="1">
      <c r="B3" s="43"/>
      <c r="C3" s="56"/>
      <c r="D3" s="47"/>
      <c r="E3" s="47"/>
      <c r="F3" s="47"/>
      <c r="G3" s="47"/>
      <c r="H3" s="47"/>
      <c r="I3" s="47"/>
      <c r="J3" s="47"/>
      <c r="K3" s="48"/>
    </row>
    <row r="4" spans="2:11" ht="21.95" customHeight="1">
      <c r="B4" s="39" t="s">
        <v>40</v>
      </c>
      <c r="C4" s="39"/>
      <c r="D4" s="58" t="s">
        <v>45</v>
      </c>
      <c r="E4" s="59"/>
      <c r="F4" s="59"/>
      <c r="G4" s="59"/>
      <c r="H4" s="59"/>
      <c r="I4" s="59"/>
      <c r="J4" s="59"/>
      <c r="K4" s="60"/>
    </row>
    <row r="5" spans="2:11" ht="21.95" customHeight="1">
      <c r="B5" s="39"/>
      <c r="C5" s="39"/>
      <c r="D5" s="49" t="s">
        <v>0</v>
      </c>
      <c r="E5" s="50"/>
      <c r="F5" s="57" t="s">
        <v>85</v>
      </c>
      <c r="G5" s="52"/>
      <c r="H5" s="52"/>
      <c r="I5" s="52"/>
      <c r="J5" s="52"/>
      <c r="K5" s="50"/>
    </row>
    <row r="6" spans="2:11" ht="21.95" customHeight="1">
      <c r="B6" s="39"/>
      <c r="C6" s="39"/>
      <c r="D6" s="49" t="s">
        <v>1</v>
      </c>
      <c r="E6" s="50"/>
      <c r="F6" s="57" t="s">
        <v>86</v>
      </c>
      <c r="G6" s="52"/>
      <c r="H6" s="52"/>
      <c r="I6" s="52"/>
      <c r="J6" s="52"/>
      <c r="K6" s="50"/>
    </row>
    <row r="7" spans="2:11" ht="21.95" customHeight="1">
      <c r="B7" s="39"/>
      <c r="C7" s="39"/>
      <c r="D7" s="49" t="s">
        <v>2</v>
      </c>
      <c r="E7" s="50"/>
      <c r="F7" s="57" t="s">
        <v>3</v>
      </c>
      <c r="G7" s="52"/>
      <c r="H7" s="52"/>
      <c r="I7" s="52"/>
      <c r="J7" s="52"/>
      <c r="K7" s="50"/>
    </row>
    <row r="8" spans="2:11" ht="26.1" customHeight="1">
      <c r="B8" s="39"/>
      <c r="C8" s="39"/>
      <c r="D8" s="49" t="s">
        <v>4</v>
      </c>
      <c r="E8" s="50"/>
      <c r="F8" s="57" t="s">
        <v>42</v>
      </c>
      <c r="G8" s="52"/>
      <c r="H8" s="52"/>
      <c r="I8" s="52"/>
      <c r="J8" s="52"/>
      <c r="K8" s="50"/>
    </row>
    <row r="9" spans="2:11" ht="21.95" customHeight="1">
      <c r="B9" s="39"/>
      <c r="C9" s="39"/>
      <c r="D9" s="49" t="s">
        <v>5</v>
      </c>
      <c r="E9" s="50"/>
      <c r="F9" s="57" t="s">
        <v>43</v>
      </c>
      <c r="G9" s="52"/>
      <c r="H9" s="52"/>
      <c r="I9" s="52"/>
      <c r="J9" s="52"/>
      <c r="K9" s="50"/>
    </row>
    <row r="10" spans="2:11" ht="21.95" customHeight="1">
      <c r="B10" s="39"/>
      <c r="C10" s="39"/>
      <c r="D10" s="49" t="s">
        <v>6</v>
      </c>
      <c r="E10" s="50"/>
      <c r="F10" s="57" t="s">
        <v>44</v>
      </c>
      <c r="G10" s="52"/>
      <c r="H10" s="52"/>
      <c r="I10" s="52"/>
      <c r="J10" s="52"/>
      <c r="K10" s="50"/>
    </row>
    <row r="11" spans="2:11" ht="21.95" customHeight="1">
      <c r="B11" s="51" t="s">
        <v>7</v>
      </c>
      <c r="C11" s="47"/>
      <c r="D11" s="52"/>
      <c r="E11" s="52"/>
      <c r="F11" s="52"/>
      <c r="G11" s="52"/>
      <c r="H11" s="52"/>
      <c r="I11" s="52"/>
      <c r="J11" s="52"/>
      <c r="K11" s="50"/>
    </row>
    <row r="12" spans="2:11" ht="21.95" customHeight="1">
      <c r="B12" s="40" t="s">
        <v>8</v>
      </c>
      <c r="C12" s="41"/>
      <c r="D12" s="41"/>
      <c r="E12" s="41"/>
      <c r="F12" s="41"/>
      <c r="G12" s="41"/>
      <c r="H12" s="41"/>
      <c r="I12" s="41"/>
      <c r="J12" s="41"/>
      <c r="K12" s="42"/>
    </row>
    <row r="13" spans="2:11" ht="21.95" customHeight="1">
      <c r="B13" s="43"/>
      <c r="C13" s="44"/>
      <c r="D13" s="44"/>
      <c r="E13" s="44"/>
      <c r="F13" s="44"/>
      <c r="G13" s="44"/>
      <c r="H13" s="44"/>
      <c r="I13" s="44"/>
      <c r="J13" s="44"/>
      <c r="K13" s="45"/>
    </row>
    <row r="14" spans="2:11" ht="21.95" customHeight="1">
      <c r="B14" s="46"/>
      <c r="C14" s="47"/>
      <c r="D14" s="47"/>
      <c r="E14" s="47"/>
      <c r="F14" s="47"/>
      <c r="G14" s="47"/>
      <c r="H14" s="47"/>
      <c r="I14" s="47"/>
      <c r="J14" s="47"/>
      <c r="K14" s="48"/>
    </row>
    <row r="15" spans="2:11" ht="21.95" customHeight="1">
      <c r="B15" s="40" t="s">
        <v>51</v>
      </c>
      <c r="C15" s="41"/>
      <c r="D15" s="41"/>
      <c r="E15" s="41"/>
      <c r="F15" s="41"/>
      <c r="G15" s="41"/>
      <c r="H15" s="41"/>
      <c r="I15" s="41"/>
      <c r="J15" s="41"/>
      <c r="K15" s="42"/>
    </row>
    <row r="16" spans="2:11" ht="21.95" customHeight="1">
      <c r="B16" s="43"/>
      <c r="C16" s="44"/>
      <c r="D16" s="44"/>
      <c r="E16" s="44"/>
      <c r="F16" s="44"/>
      <c r="G16" s="44"/>
      <c r="H16" s="44"/>
      <c r="I16" s="44"/>
      <c r="J16" s="44"/>
      <c r="K16" s="45"/>
    </row>
    <row r="17" spans="2:11" ht="21.95" customHeight="1">
      <c r="B17" s="43"/>
      <c r="C17" s="44"/>
      <c r="D17" s="44"/>
      <c r="E17" s="44"/>
      <c r="F17" s="44"/>
      <c r="G17" s="44"/>
      <c r="H17" s="44"/>
      <c r="I17" s="44"/>
      <c r="J17" s="44"/>
      <c r="K17" s="45"/>
    </row>
    <row r="18" spans="2:11" ht="21.95" customHeight="1">
      <c r="B18" s="43"/>
      <c r="C18" s="44"/>
      <c r="D18" s="44"/>
      <c r="E18" s="44"/>
      <c r="F18" s="44"/>
      <c r="G18" s="44"/>
      <c r="H18" s="44"/>
      <c r="I18" s="44"/>
      <c r="J18" s="44"/>
      <c r="K18" s="45"/>
    </row>
    <row r="19" spans="2:11" ht="21.95" customHeight="1">
      <c r="B19" s="46"/>
      <c r="C19" s="47"/>
      <c r="D19" s="47"/>
      <c r="E19" s="47"/>
      <c r="F19" s="47"/>
      <c r="G19" s="47"/>
      <c r="H19" s="47"/>
      <c r="I19" s="47"/>
      <c r="J19" s="47"/>
      <c r="K19" s="48"/>
    </row>
    <row r="20" spans="2:11" ht="21.95" customHeight="1">
      <c r="B20" s="72" t="s">
        <v>9</v>
      </c>
      <c r="C20" s="52"/>
      <c r="D20" s="52"/>
      <c r="E20" s="52"/>
      <c r="F20" s="52"/>
      <c r="G20" s="52"/>
      <c r="H20" s="41"/>
      <c r="I20" s="41"/>
      <c r="J20" s="41"/>
      <c r="K20" s="42"/>
    </row>
    <row r="21" spans="2:11" ht="21.95" customHeight="1">
      <c r="B21" s="65" t="s">
        <v>10</v>
      </c>
      <c r="C21" s="50"/>
      <c r="D21" s="66" t="s">
        <v>11</v>
      </c>
      <c r="E21" s="67"/>
      <c r="F21" s="67"/>
      <c r="G21" s="67"/>
      <c r="H21" s="70" t="s">
        <v>12</v>
      </c>
      <c r="I21" s="70"/>
      <c r="J21" s="70"/>
      <c r="K21" s="70"/>
    </row>
    <row r="22" spans="2:11" ht="21.95" customHeight="1">
      <c r="B22" s="73" t="s">
        <v>48</v>
      </c>
      <c r="C22" s="60"/>
      <c r="D22" s="68"/>
      <c r="E22" s="69"/>
      <c r="F22" s="69"/>
      <c r="G22" s="69"/>
      <c r="H22" s="71"/>
      <c r="I22" s="71"/>
      <c r="J22" s="71"/>
      <c r="K22" s="71"/>
    </row>
    <row r="23" spans="2:11" ht="21.95" customHeight="1">
      <c r="B23" s="73" t="s">
        <v>49</v>
      </c>
      <c r="C23" s="60"/>
      <c r="D23" s="68"/>
      <c r="E23" s="69"/>
      <c r="F23" s="69"/>
      <c r="G23" s="69"/>
      <c r="H23" s="71"/>
      <c r="I23" s="71"/>
      <c r="J23" s="71"/>
      <c r="K23" s="71"/>
    </row>
    <row r="24" spans="2:11" ht="21.95" customHeight="1">
      <c r="B24" s="73" t="s">
        <v>50</v>
      </c>
      <c r="C24" s="60"/>
      <c r="D24" s="68"/>
      <c r="E24" s="69"/>
      <c r="F24" s="69"/>
      <c r="G24" s="69"/>
      <c r="H24" s="71"/>
      <c r="I24" s="71"/>
      <c r="J24" s="71"/>
      <c r="K24" s="71"/>
    </row>
    <row r="25" spans="2:11" ht="21.95" customHeight="1">
      <c r="B25" s="61" t="s">
        <v>13</v>
      </c>
      <c r="C25" s="62"/>
      <c r="D25" s="62"/>
      <c r="E25" s="62"/>
      <c r="F25" s="62"/>
      <c r="G25" s="62"/>
      <c r="H25" s="63"/>
      <c r="I25" s="63"/>
      <c r="J25" s="63"/>
      <c r="K25" s="64"/>
    </row>
    <row r="26" spans="2:11" ht="21.95" customHeight="1"/>
    <row r="27" spans="2:11" ht="21.95" customHeight="1"/>
    <row r="28" spans="2:11" ht="21.95" customHeight="1"/>
    <row r="29" spans="2:11" ht="21.95" customHeight="1"/>
    <row r="30" spans="2:11" ht="21.95" customHeight="1"/>
    <row r="31" spans="2:11" ht="21.95" customHeight="1"/>
    <row r="32" spans="2:11" ht="21.95" customHeight="1"/>
  </sheetData>
  <mergeCells count="32">
    <mergeCell ref="B25:K25"/>
    <mergeCell ref="B21:C21"/>
    <mergeCell ref="F10:K10"/>
    <mergeCell ref="D21:G21"/>
    <mergeCell ref="D22:G22"/>
    <mergeCell ref="D23:G23"/>
    <mergeCell ref="D24:G24"/>
    <mergeCell ref="H21:K21"/>
    <mergeCell ref="H22:K22"/>
    <mergeCell ref="H24:K24"/>
    <mergeCell ref="H23:K23"/>
    <mergeCell ref="B20:K20"/>
    <mergeCell ref="B12:K14"/>
    <mergeCell ref="B24:C24"/>
    <mergeCell ref="B23:C23"/>
    <mergeCell ref="B22:C22"/>
    <mergeCell ref="B4:C10"/>
    <mergeCell ref="B15:K19"/>
    <mergeCell ref="D8:E8"/>
    <mergeCell ref="B11:K11"/>
    <mergeCell ref="B1:K3"/>
    <mergeCell ref="D10:E10"/>
    <mergeCell ref="D6:E6"/>
    <mergeCell ref="F9:K9"/>
    <mergeCell ref="F8:K8"/>
    <mergeCell ref="F5:K5"/>
    <mergeCell ref="F7:K7"/>
    <mergeCell ref="D7:E7"/>
    <mergeCell ref="D4:K4"/>
    <mergeCell ref="D9:E9"/>
    <mergeCell ref="D5:E5"/>
    <mergeCell ref="F6:K6"/>
  </mergeCells>
  <phoneticPr fontId="5" type="noConversion"/>
  <pageMargins left="0.5" right="0.5" top="0.6" bottom="0.6" header="0.5" footer="0.5"/>
  <pageSetup paperSize="9" scale="9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7"/>
  <sheetViews>
    <sheetView tabSelected="1" topLeftCell="A13" workbookViewId="0">
      <selection activeCell="P97" sqref="P97"/>
    </sheetView>
  </sheetViews>
  <sheetFormatPr defaultRowHeight="15.75"/>
  <cols>
    <col min="1" max="1" width="26.85546875" style="5" bestFit="1" customWidth="1"/>
    <col min="2" max="2" width="14" style="5" customWidth="1"/>
    <col min="3" max="3" width="18" style="5" customWidth="1"/>
    <col min="4" max="4" width="16" style="5" customWidth="1"/>
    <col min="5" max="7" width="10" style="5" customWidth="1"/>
    <col min="8" max="8" width="12" style="5" customWidth="1"/>
    <col min="9" max="9" width="14" style="5" customWidth="1"/>
    <col min="10" max="10" width="10" style="5" customWidth="1"/>
    <col min="11" max="11" width="20" style="5" customWidth="1"/>
    <col min="12" max="12" width="0.85546875" style="5" customWidth="1"/>
    <col min="13" max="13" width="14" style="5" hidden="1" customWidth="1"/>
    <col min="14" max="14" width="10.7109375" style="5" hidden="1" customWidth="1"/>
    <col min="15" max="15" width="9.5703125" style="5" hidden="1" customWidth="1"/>
    <col min="16" max="16384" width="9.140625" style="5"/>
  </cols>
  <sheetData>
    <row r="1" spans="1:11" ht="19.5">
      <c r="A1" s="87" t="s">
        <v>81</v>
      </c>
      <c r="B1" s="88"/>
      <c r="C1" s="88"/>
      <c r="D1" s="88"/>
      <c r="E1" s="88"/>
      <c r="F1" s="88"/>
      <c r="G1" s="88"/>
      <c r="H1" s="88"/>
      <c r="I1" s="88"/>
      <c r="J1" s="88"/>
      <c r="K1" s="89"/>
    </row>
    <row r="2" spans="1:11">
      <c r="A2" s="16" t="s">
        <v>80</v>
      </c>
      <c r="B2" s="78" t="s">
        <v>88</v>
      </c>
      <c r="C2" s="79"/>
      <c r="D2" s="79"/>
      <c r="E2" s="79"/>
      <c r="F2" s="79"/>
      <c r="G2" s="79"/>
      <c r="H2" s="79"/>
      <c r="I2" s="79"/>
      <c r="J2" s="79"/>
      <c r="K2" s="80"/>
    </row>
    <row r="3" spans="1:11">
      <c r="A3" s="16" t="s">
        <v>84</v>
      </c>
      <c r="B3" s="78" t="s">
        <v>89</v>
      </c>
      <c r="C3" s="79"/>
      <c r="D3" s="79"/>
      <c r="E3" s="79"/>
      <c r="F3" s="79"/>
      <c r="G3" s="79"/>
      <c r="H3" s="79"/>
      <c r="I3" s="79"/>
      <c r="J3" s="79"/>
      <c r="K3" s="80"/>
    </row>
    <row r="4" spans="1:11">
      <c r="A4" s="81" t="s">
        <v>68</v>
      </c>
      <c r="B4" s="82"/>
      <c r="C4" s="82"/>
      <c r="D4" s="82"/>
      <c r="E4" s="82"/>
      <c r="F4" s="82"/>
      <c r="G4" s="82"/>
      <c r="H4" s="82"/>
      <c r="I4" s="82"/>
      <c r="J4" s="82"/>
      <c r="K4" s="83"/>
    </row>
    <row r="5" spans="1:11">
      <c r="A5" s="84" t="s">
        <v>12</v>
      </c>
      <c r="B5" s="84" t="s">
        <v>69</v>
      </c>
      <c r="C5" s="84" t="s">
        <v>66</v>
      </c>
      <c r="D5" s="84" t="s">
        <v>67</v>
      </c>
      <c r="E5" s="84" t="s">
        <v>14</v>
      </c>
      <c r="F5" s="79"/>
      <c r="G5" s="79"/>
      <c r="H5" s="80"/>
      <c r="I5" s="84" t="s">
        <v>82</v>
      </c>
      <c r="J5" s="84" t="s">
        <v>65</v>
      </c>
      <c r="K5" s="84" t="s">
        <v>70</v>
      </c>
    </row>
    <row r="6" spans="1:11">
      <c r="A6" s="85"/>
      <c r="B6" s="85"/>
      <c r="C6" s="85"/>
      <c r="D6" s="85"/>
      <c r="E6" s="26" t="s">
        <v>15</v>
      </c>
      <c r="F6" s="26" t="s">
        <v>16</v>
      </c>
      <c r="G6" s="26" t="s">
        <v>17</v>
      </c>
      <c r="H6" s="26" t="s">
        <v>71</v>
      </c>
      <c r="I6" s="85"/>
      <c r="J6" s="85"/>
      <c r="K6" s="85"/>
    </row>
    <row r="7" spans="1:11">
      <c r="A7" s="15">
        <v>46043</v>
      </c>
      <c r="B7" s="14">
        <v>225</v>
      </c>
      <c r="C7" s="17">
        <v>0</v>
      </c>
      <c r="D7" s="18">
        <f>B7-C7</f>
        <v>225</v>
      </c>
      <c r="E7" s="17">
        <v>0</v>
      </c>
      <c r="F7" s="17">
        <v>0</v>
      </c>
      <c r="G7" s="17">
        <v>0</v>
      </c>
      <c r="H7" s="17">
        <v>22</v>
      </c>
      <c r="I7" s="18">
        <f t="shared" ref="I7:I8" si="0">IF($D7="","",MAX(0,$D7-SUM($E7:$H7)))</f>
        <v>203</v>
      </c>
      <c r="J7" s="19">
        <f t="shared" ref="J7:J8" si="1" xml:space="preserve"> IF($D7="","",IF($D7=0,0,$I7/$D7))</f>
        <v>0.90222222222222226</v>
      </c>
      <c r="K7" s="20"/>
    </row>
    <row r="8" spans="1:11">
      <c r="A8" s="15">
        <v>46044</v>
      </c>
      <c r="B8" s="14">
        <v>450</v>
      </c>
      <c r="C8" s="24">
        <v>67</v>
      </c>
      <c r="D8" s="18">
        <f>B8-C8</f>
        <v>383</v>
      </c>
      <c r="E8" s="17">
        <v>0</v>
      </c>
      <c r="F8" s="17">
        <v>0</v>
      </c>
      <c r="G8" s="17">
        <v>0</v>
      </c>
      <c r="H8" s="17">
        <v>29</v>
      </c>
      <c r="I8" s="18">
        <f t="shared" si="0"/>
        <v>354</v>
      </c>
      <c r="J8" s="19">
        <f t="shared" si="1"/>
        <v>0.92428198433420361</v>
      </c>
      <c r="K8" s="20"/>
    </row>
    <row r="9" spans="1:11">
      <c r="A9" s="3" t="s">
        <v>21</v>
      </c>
      <c r="B9" s="3">
        <f>SUM(B7:B8)</f>
        <v>675</v>
      </c>
      <c r="C9" s="3">
        <f t="shared" ref="C9:H9" si="2">SUM(C7:C8)</f>
        <v>67</v>
      </c>
      <c r="D9" s="3">
        <f t="shared" si="2"/>
        <v>608</v>
      </c>
      <c r="E9" s="3">
        <f t="shared" si="2"/>
        <v>0</v>
      </c>
      <c r="F9" s="3">
        <f t="shared" si="2"/>
        <v>0</v>
      </c>
      <c r="G9" s="25">
        <f t="shared" si="2"/>
        <v>0</v>
      </c>
      <c r="H9" s="3">
        <f t="shared" si="2"/>
        <v>51</v>
      </c>
      <c r="I9" s="3">
        <f>SUM(I7:I8)</f>
        <v>557</v>
      </c>
      <c r="J9" s="23">
        <f xml:space="preserve"> IF($D9="","",IF($D9=0,0,$I9/$D9))</f>
        <v>0.91611842105263153</v>
      </c>
      <c r="K9" s="13"/>
    </row>
    <row r="10" spans="1:11">
      <c r="A10" s="86" t="s">
        <v>72</v>
      </c>
      <c r="B10" s="56"/>
      <c r="C10" s="56"/>
      <c r="D10" s="56"/>
      <c r="E10" s="82"/>
      <c r="F10" s="82"/>
      <c r="G10" s="82"/>
      <c r="H10" s="82"/>
      <c r="I10" s="82"/>
      <c r="J10" s="82"/>
      <c r="K10" s="83"/>
    </row>
    <row r="11" spans="1:11">
      <c r="A11" s="21" t="s">
        <v>73</v>
      </c>
      <c r="B11" s="12">
        <f>B9</f>
        <v>675</v>
      </c>
      <c r="C11" s="12"/>
      <c r="D11" s="12"/>
    </row>
    <row r="12" spans="1:11">
      <c r="A12" s="21" t="s">
        <v>74</v>
      </c>
      <c r="B12" s="12">
        <f>C9</f>
        <v>67</v>
      </c>
      <c r="C12" s="12" t="s">
        <v>19</v>
      </c>
      <c r="D12" s="22">
        <f>IF(B9=0,0,C9/B9)</f>
        <v>9.9259259259259255E-2</v>
      </c>
    </row>
    <row r="13" spans="1:11">
      <c r="A13" s="21" t="s">
        <v>75</v>
      </c>
      <c r="B13" s="12">
        <f>D9</f>
        <v>608</v>
      </c>
      <c r="C13" s="12" t="s">
        <v>19</v>
      </c>
      <c r="D13" s="22">
        <f>IF(B9=0,0,D9/B9)</f>
        <v>0.90074074074074073</v>
      </c>
    </row>
    <row r="14" spans="1:11">
      <c r="A14" s="21" t="s">
        <v>76</v>
      </c>
      <c r="B14" s="12">
        <f>I9</f>
        <v>557</v>
      </c>
      <c r="C14" s="12" t="s">
        <v>19</v>
      </c>
      <c r="D14" s="22">
        <f>IF(D9=0,0,I9/D9)</f>
        <v>0.91611842105263153</v>
      </c>
    </row>
    <row r="15" spans="1:11">
      <c r="A15" s="21" t="s">
        <v>77</v>
      </c>
      <c r="B15" s="12">
        <f>SUM(E9:H9)</f>
        <v>51</v>
      </c>
      <c r="C15" s="12" t="s">
        <v>19</v>
      </c>
      <c r="D15" s="22">
        <f>IF(D9=0,0,SUM(E9:H9)/D9)</f>
        <v>8.3881578947368418E-2</v>
      </c>
    </row>
    <row r="16" spans="1:11">
      <c r="A16" s="21" t="s">
        <v>83</v>
      </c>
      <c r="B16" s="22">
        <f>J9</f>
        <v>0.91611842105263153</v>
      </c>
      <c r="C16" s="12"/>
      <c r="D16" s="12"/>
    </row>
    <row r="17" spans="1:15">
      <c r="A17" s="81" t="s">
        <v>78</v>
      </c>
      <c r="B17" s="82"/>
      <c r="C17" s="82"/>
      <c r="D17" s="82"/>
      <c r="E17" s="82"/>
      <c r="F17" s="82"/>
      <c r="G17" s="82"/>
      <c r="H17" s="82"/>
      <c r="I17" s="82"/>
      <c r="J17" s="82"/>
      <c r="K17" s="83"/>
    </row>
    <row r="18" spans="1:15">
      <c r="A18" s="34" t="s">
        <v>14</v>
      </c>
      <c r="B18" s="34" t="s">
        <v>18</v>
      </c>
      <c r="C18" s="34" t="s">
        <v>19</v>
      </c>
      <c r="D18" s="75" t="s">
        <v>20</v>
      </c>
      <c r="E18" s="76"/>
    </row>
    <row r="19" spans="1:15">
      <c r="A19" s="12" t="str">
        <f>INDEX($M$26:$M$29,MATCH(LARGE($O$26:$O$29,1),$O$26:$O$29,0))</f>
        <v>其他缺陷</v>
      </c>
      <c r="B19" s="12">
        <f>INT(LARGE($O$26:$O$29,1))</f>
        <v>51</v>
      </c>
      <c r="C19" s="22">
        <f>IF($B$23=0,0,B19/$B$23)</f>
        <v>1</v>
      </c>
      <c r="D19" s="77" t="str">
        <f>IF($B$23=0,"",INDEX($M$26:$M$29,MATCH(MAX($O$26:$O$29),$O$26:$O$29,0)))</f>
        <v>其他缺陷</v>
      </c>
      <c r="E19" s="77"/>
    </row>
    <row r="20" spans="1:15">
      <c r="A20" s="12" t="str">
        <f>INDEX($M$26:$M$29,MATCH(LARGE($O$26:$O$29,2),$O$26:$O$29,0))</f>
        <v>裂痕</v>
      </c>
      <c r="B20" s="12">
        <f>INT(LARGE($O$26:$O$29,2))</f>
        <v>0</v>
      </c>
      <c r="C20" s="22">
        <f>IF($B$23=0,0,B20/$B$23)</f>
        <v>0</v>
      </c>
      <c r="D20" s="74"/>
      <c r="E20" s="74"/>
    </row>
    <row r="21" spans="1:15">
      <c r="A21" s="12" t="str">
        <f>INDEX($M$26:$M$29,MATCH(LARGE($O$26:$O$29,3),$O$26:$O$29,0))</f>
        <v>破片</v>
      </c>
      <c r="B21" s="12">
        <f>INT(LARGE($O$26:$O$29,3))</f>
        <v>0</v>
      </c>
      <c r="C21" s="22">
        <f>IF($B$23=0,0,B21/$B$23)</f>
        <v>0</v>
      </c>
      <c r="D21" s="74"/>
      <c r="E21" s="74"/>
    </row>
    <row r="22" spans="1:15">
      <c r="A22" s="12" t="str">
        <f>INDEX($M$26:$M$29,MATCH(LARGE($O$26:$O$29,4),$O$26:$O$29,0))</f>
        <v>chipping</v>
      </c>
      <c r="B22" s="12">
        <f>INT(LARGE($O$26:$O$29,4))</f>
        <v>0</v>
      </c>
      <c r="C22" s="22">
        <f>IF($B$23=0,0,B22/$B$23)</f>
        <v>0</v>
      </c>
      <c r="D22" s="74"/>
      <c r="E22" s="74"/>
    </row>
    <row r="23" spans="1:15">
      <c r="A23" s="33" t="s">
        <v>79</v>
      </c>
      <c r="B23" s="33">
        <f>SUM(B19:B22)</f>
        <v>51</v>
      </c>
      <c r="C23" s="13"/>
      <c r="D23" s="74"/>
      <c r="E23" s="74"/>
    </row>
    <row r="25" spans="1:15" ht="19.5">
      <c r="A25" s="87" t="s">
        <v>81</v>
      </c>
      <c r="B25" s="88"/>
      <c r="C25" s="88"/>
      <c r="D25" s="88"/>
      <c r="E25" s="88"/>
      <c r="F25" s="88"/>
      <c r="G25" s="88"/>
      <c r="H25" s="88"/>
      <c r="I25" s="88"/>
      <c r="J25" s="88"/>
      <c r="K25" s="89"/>
    </row>
    <row r="26" spans="1:15">
      <c r="A26" s="16" t="s">
        <v>80</v>
      </c>
      <c r="B26" s="78" t="s">
        <v>93</v>
      </c>
      <c r="C26" s="79"/>
      <c r="D26" s="79"/>
      <c r="E26" s="79"/>
      <c r="F26" s="79"/>
      <c r="G26" s="79"/>
      <c r="H26" s="79"/>
      <c r="I26" s="79"/>
      <c r="J26" s="79"/>
      <c r="K26" s="80"/>
      <c r="M26" s="5" t="s">
        <v>15</v>
      </c>
      <c r="N26" s="5">
        <f>E9</f>
        <v>0</v>
      </c>
      <c r="O26" s="5">
        <f>N26+ROW(N26)/1000000</f>
        <v>2.5999999999999998E-5</v>
      </c>
    </row>
    <row r="27" spans="1:15">
      <c r="A27" s="16" t="s">
        <v>84</v>
      </c>
      <c r="B27" s="78" t="s">
        <v>90</v>
      </c>
      <c r="C27" s="79"/>
      <c r="D27" s="79"/>
      <c r="E27" s="79"/>
      <c r="F27" s="79"/>
      <c r="G27" s="79"/>
      <c r="H27" s="79"/>
      <c r="I27" s="79"/>
      <c r="J27" s="79"/>
      <c r="K27" s="80"/>
      <c r="M27" s="5" t="s">
        <v>16</v>
      </c>
      <c r="N27" s="5">
        <f>F9</f>
        <v>0</v>
      </c>
      <c r="O27" s="5">
        <f>N27+ROW(N27)/1000000</f>
        <v>2.6999999999999999E-5</v>
      </c>
    </row>
    <row r="28" spans="1:15">
      <c r="A28" s="81" t="s">
        <v>68</v>
      </c>
      <c r="B28" s="82"/>
      <c r="C28" s="82"/>
      <c r="D28" s="82"/>
      <c r="E28" s="82"/>
      <c r="F28" s="82"/>
      <c r="G28" s="82"/>
      <c r="H28" s="82"/>
      <c r="I28" s="82"/>
      <c r="J28" s="82"/>
      <c r="K28" s="83"/>
      <c r="M28" s="5" t="s">
        <v>17</v>
      </c>
      <c r="N28" s="5">
        <f>G9</f>
        <v>0</v>
      </c>
      <c r="O28" s="5">
        <f>N28+ROW(N28)/1000000</f>
        <v>2.8E-5</v>
      </c>
    </row>
    <row r="29" spans="1:15">
      <c r="A29" s="84" t="s">
        <v>12</v>
      </c>
      <c r="B29" s="84" t="s">
        <v>69</v>
      </c>
      <c r="C29" s="84" t="s">
        <v>66</v>
      </c>
      <c r="D29" s="84" t="s">
        <v>67</v>
      </c>
      <c r="E29" s="84" t="s">
        <v>14</v>
      </c>
      <c r="F29" s="79"/>
      <c r="G29" s="79"/>
      <c r="H29" s="80"/>
      <c r="I29" s="84" t="s">
        <v>82</v>
      </c>
      <c r="J29" s="84" t="s">
        <v>65</v>
      </c>
      <c r="K29" s="84" t="s">
        <v>70</v>
      </c>
      <c r="M29" s="5" t="s">
        <v>71</v>
      </c>
      <c r="N29" s="5">
        <f>H9</f>
        <v>51</v>
      </c>
      <c r="O29" s="5">
        <f>N29+ROW(N29)/1000000</f>
        <v>51.000028999999998</v>
      </c>
    </row>
    <row r="30" spans="1:15">
      <c r="A30" s="85"/>
      <c r="B30" s="85"/>
      <c r="C30" s="85"/>
      <c r="D30" s="85"/>
      <c r="E30" s="26" t="s">
        <v>15</v>
      </c>
      <c r="F30" s="26" t="s">
        <v>16</v>
      </c>
      <c r="G30" s="26" t="s">
        <v>17</v>
      </c>
      <c r="H30" s="26" t="s">
        <v>71</v>
      </c>
      <c r="I30" s="85"/>
      <c r="J30" s="85"/>
      <c r="K30" s="85"/>
    </row>
    <row r="31" spans="1:15">
      <c r="A31" s="15">
        <v>46045</v>
      </c>
      <c r="B31" s="14">
        <v>225</v>
      </c>
      <c r="C31" s="31">
        <v>75</v>
      </c>
      <c r="D31" s="30">
        <f>B31-C31</f>
        <v>150</v>
      </c>
      <c r="E31" s="31">
        <v>0</v>
      </c>
      <c r="F31" s="31">
        <v>0</v>
      </c>
      <c r="G31" s="31">
        <v>0</v>
      </c>
      <c r="H31" s="31">
        <v>10</v>
      </c>
      <c r="I31" s="30">
        <f>IF($D31="","",MAX(0,$D31-SUM($E31:$H31)))</f>
        <v>140</v>
      </c>
      <c r="J31" s="27">
        <f t="shared" ref="J31" si="3" xml:space="preserve"> IF($D31="","",IF($D31=0,0,$I31/$D31))</f>
        <v>0.93333333333333335</v>
      </c>
      <c r="K31" s="20"/>
    </row>
    <row r="32" spans="1:15">
      <c r="A32" s="15">
        <v>46046</v>
      </c>
      <c r="B32" s="14">
        <v>450</v>
      </c>
      <c r="C32" s="32">
        <v>75</v>
      </c>
      <c r="D32" s="12">
        <f>B32-C32</f>
        <v>375</v>
      </c>
      <c r="E32" s="32">
        <v>0</v>
      </c>
      <c r="F32" s="32">
        <v>0</v>
      </c>
      <c r="G32" s="32">
        <v>0</v>
      </c>
      <c r="H32" s="32">
        <v>10</v>
      </c>
      <c r="I32" s="18">
        <f t="shared" ref="I32" si="4">IF($D32="","",MAX(0,$D32-SUM($E32:$H32)))</f>
        <v>365</v>
      </c>
      <c r="J32" s="19">
        <f t="shared" ref="J32" si="5" xml:space="preserve"> IF($D32="","",IF($D32=0,0,$I32/$D32))</f>
        <v>0.97333333333333338</v>
      </c>
      <c r="K32" s="20"/>
    </row>
    <row r="33" spans="1:11">
      <c r="A33" s="29" t="s">
        <v>21</v>
      </c>
      <c r="B33" s="29">
        <f>SUM(B31:B32)</f>
        <v>675</v>
      </c>
      <c r="C33" s="29">
        <f>SUM(C31:C32)</f>
        <v>150</v>
      </c>
      <c r="D33" s="29">
        <f>SUM(D31:D32)</f>
        <v>525</v>
      </c>
      <c r="E33" s="29">
        <f>SUM(E32:E32)</f>
        <v>0</v>
      </c>
      <c r="F33" s="29">
        <f>SUM(F32:F32)</f>
        <v>0</v>
      </c>
      <c r="G33" s="29">
        <f>SUM(G32:G32)</f>
        <v>0</v>
      </c>
      <c r="H33" s="29">
        <f>SUM(H31:H32)</f>
        <v>20</v>
      </c>
      <c r="I33" s="29">
        <f>SUM(I31:I32)</f>
        <v>505</v>
      </c>
      <c r="J33" s="23">
        <f xml:space="preserve"> IF($D33="","",IF($D33=0,0,$I33/$D33))</f>
        <v>0.96190476190476193</v>
      </c>
      <c r="K33" s="13"/>
    </row>
    <row r="34" spans="1:11">
      <c r="A34" s="86" t="s">
        <v>72</v>
      </c>
      <c r="B34" s="56"/>
      <c r="C34" s="56"/>
      <c r="D34" s="56"/>
      <c r="E34" s="82"/>
      <c r="F34" s="82"/>
      <c r="G34" s="82"/>
      <c r="H34" s="82"/>
      <c r="I34" s="82"/>
      <c r="J34" s="82"/>
      <c r="K34" s="83"/>
    </row>
    <row r="35" spans="1:11">
      <c r="A35" s="21" t="s">
        <v>73</v>
      </c>
      <c r="B35" s="12">
        <f>B33</f>
        <v>675</v>
      </c>
      <c r="C35" s="12"/>
      <c r="D35" s="12"/>
      <c r="E35" s="28"/>
      <c r="F35" s="28"/>
      <c r="G35" s="28"/>
      <c r="H35" s="28"/>
      <c r="I35" s="28"/>
      <c r="J35" s="28"/>
      <c r="K35" s="28"/>
    </row>
    <row r="36" spans="1:11">
      <c r="A36" s="21" t="s">
        <v>74</v>
      </c>
      <c r="B36" s="12">
        <f>C33</f>
        <v>150</v>
      </c>
      <c r="C36" s="12" t="s">
        <v>19</v>
      </c>
      <c r="D36" s="22">
        <f>IF(B33=0,0,C33/B33)</f>
        <v>0.22222222222222221</v>
      </c>
      <c r="E36" s="28"/>
      <c r="F36" s="28"/>
      <c r="G36" s="28"/>
      <c r="H36" s="28"/>
      <c r="I36" s="28"/>
      <c r="J36" s="28"/>
      <c r="K36" s="28"/>
    </row>
    <row r="37" spans="1:11">
      <c r="A37" s="21" t="s">
        <v>75</v>
      </c>
      <c r="B37" s="12">
        <f>D33</f>
        <v>525</v>
      </c>
      <c r="C37" s="12" t="s">
        <v>19</v>
      </c>
      <c r="D37" s="22">
        <f>IF(B33=0,0,D33/B33)</f>
        <v>0.77777777777777779</v>
      </c>
      <c r="E37" s="28"/>
      <c r="F37" s="28"/>
      <c r="G37" s="28"/>
      <c r="H37" s="28"/>
      <c r="I37" s="28"/>
      <c r="J37" s="28"/>
      <c r="K37" s="28"/>
    </row>
    <row r="38" spans="1:11">
      <c r="A38" s="21" t="s">
        <v>76</v>
      </c>
      <c r="B38" s="12">
        <f>I33</f>
        <v>505</v>
      </c>
      <c r="C38" s="12" t="s">
        <v>19</v>
      </c>
      <c r="D38" s="22">
        <f>IF(D33=0,0,I33/D33)</f>
        <v>0.96190476190476193</v>
      </c>
      <c r="E38" s="28"/>
      <c r="F38" s="28"/>
      <c r="G38" s="28"/>
      <c r="H38" s="28"/>
      <c r="I38" s="28"/>
      <c r="J38" s="28"/>
      <c r="K38" s="28"/>
    </row>
    <row r="39" spans="1:11">
      <c r="A39" s="21" t="s">
        <v>77</v>
      </c>
      <c r="B39" s="12">
        <f>SUM(E33:H33)</f>
        <v>20</v>
      </c>
      <c r="C39" s="12" t="s">
        <v>19</v>
      </c>
      <c r="D39" s="22">
        <f>IF(D33=0,0,SUM(E33:H33)/D33)</f>
        <v>3.8095238095238099E-2</v>
      </c>
      <c r="E39" s="28"/>
      <c r="F39" s="28"/>
      <c r="G39" s="28"/>
      <c r="H39" s="28"/>
      <c r="I39" s="28"/>
      <c r="J39" s="28"/>
      <c r="K39" s="28"/>
    </row>
    <row r="40" spans="1:11">
      <c r="A40" s="21" t="s">
        <v>83</v>
      </c>
      <c r="B40" s="22">
        <f>J33</f>
        <v>0.96190476190476193</v>
      </c>
      <c r="C40" s="12"/>
      <c r="D40" s="12"/>
      <c r="E40" s="28"/>
      <c r="F40" s="28"/>
      <c r="G40" s="28"/>
      <c r="H40" s="28"/>
      <c r="I40" s="28"/>
      <c r="J40" s="28"/>
      <c r="K40" s="28"/>
    </row>
    <row r="41" spans="1:11">
      <c r="A41" s="81" t="s">
        <v>78</v>
      </c>
      <c r="B41" s="82"/>
      <c r="C41" s="82"/>
      <c r="D41" s="82"/>
      <c r="E41" s="82"/>
      <c r="F41" s="82"/>
      <c r="G41" s="82"/>
      <c r="H41" s="82"/>
      <c r="I41" s="82"/>
      <c r="J41" s="82"/>
      <c r="K41" s="83"/>
    </row>
    <row r="42" spans="1:11">
      <c r="A42" s="34" t="s">
        <v>14</v>
      </c>
      <c r="B42" s="34" t="s">
        <v>18</v>
      </c>
      <c r="C42" s="34" t="s">
        <v>19</v>
      </c>
      <c r="D42" s="75" t="s">
        <v>20</v>
      </c>
      <c r="E42" s="76"/>
      <c r="F42" s="28"/>
      <c r="G42" s="28"/>
      <c r="H42" s="28"/>
      <c r="I42" s="28"/>
    </row>
    <row r="43" spans="1:11">
      <c r="A43" s="12" t="str">
        <f>INDEX($M$26:$M$29,MATCH(LARGE($O$26:$O$29,1),$O$26:$O$29,0))</f>
        <v>其他缺陷</v>
      </c>
      <c r="B43" s="12">
        <f>H33</f>
        <v>20</v>
      </c>
      <c r="C43" s="22">
        <v>1</v>
      </c>
      <c r="D43" s="77" t="str">
        <f>IF($B$23=0,"",INDEX($M$26:$M$29,MATCH(MAX($O$26:$O$29),$O$26:$O$29,0)))</f>
        <v>其他缺陷</v>
      </c>
      <c r="E43" s="77"/>
      <c r="F43" s="28"/>
      <c r="G43" s="28"/>
      <c r="H43" s="28"/>
      <c r="I43" s="28"/>
    </row>
    <row r="44" spans="1:11">
      <c r="A44" s="12" t="str">
        <f>INDEX($M$26:$M$29,MATCH(LARGE($O$26:$O$29,2),$O$26:$O$29,0))</f>
        <v>裂痕</v>
      </c>
      <c r="B44" s="12">
        <f>INT(LARGE($O$26:$O$29,2))</f>
        <v>0</v>
      </c>
      <c r="C44" s="22">
        <f>IF($B$23=0,0,B44/$B$23)</f>
        <v>0</v>
      </c>
      <c r="D44" s="74"/>
      <c r="E44" s="74"/>
      <c r="F44" s="28"/>
      <c r="G44" s="28"/>
      <c r="H44" s="28"/>
      <c r="I44" s="28"/>
    </row>
    <row r="45" spans="1:11">
      <c r="A45" s="12" t="str">
        <f>INDEX($M$26:$M$29,MATCH(LARGE($O$26:$O$29,3),$O$26:$O$29,0))</f>
        <v>破片</v>
      </c>
      <c r="B45" s="12">
        <f>INT(LARGE($O$26:$O$29,3))</f>
        <v>0</v>
      </c>
      <c r="C45" s="22">
        <f>IF($B$23=0,0,B45/$B$23)</f>
        <v>0</v>
      </c>
      <c r="D45" s="74"/>
      <c r="E45" s="74"/>
      <c r="F45" s="28"/>
      <c r="G45" s="28"/>
      <c r="H45" s="28"/>
      <c r="I45" s="28"/>
    </row>
    <row r="46" spans="1:11">
      <c r="A46" s="12" t="str">
        <f>INDEX($M$26:$M$29,MATCH(LARGE($O$26:$O$29,4),$O$26:$O$29,0))</f>
        <v>chipping</v>
      </c>
      <c r="B46" s="12">
        <f>INT(LARGE($O$26:$O$29,4))</f>
        <v>0</v>
      </c>
      <c r="C46" s="22">
        <f>IF($B$23=0,0,B46/$B$23)</f>
        <v>0</v>
      </c>
      <c r="D46" s="74"/>
      <c r="E46" s="74"/>
      <c r="F46" s="28"/>
      <c r="G46" s="28"/>
      <c r="H46" s="28"/>
      <c r="I46" s="28"/>
    </row>
    <row r="47" spans="1:11">
      <c r="A47" s="33" t="s">
        <v>79</v>
      </c>
      <c r="B47" s="33">
        <f>SUM(B43:B46)</f>
        <v>20</v>
      </c>
      <c r="C47" s="13"/>
      <c r="D47" s="74"/>
      <c r="E47" s="74"/>
      <c r="F47" s="28"/>
      <c r="G47" s="28"/>
      <c r="H47" s="28"/>
      <c r="I47" s="28"/>
    </row>
    <row r="50" spans="1:11" ht="19.5">
      <c r="A50" s="87" t="s">
        <v>81</v>
      </c>
      <c r="B50" s="88"/>
      <c r="C50" s="88"/>
      <c r="D50" s="88"/>
      <c r="E50" s="88"/>
      <c r="F50" s="88"/>
      <c r="G50" s="88"/>
      <c r="H50" s="88"/>
      <c r="I50" s="88"/>
      <c r="J50" s="88"/>
      <c r="K50" s="89"/>
    </row>
    <row r="51" spans="1:11">
      <c r="A51" s="16" t="s">
        <v>80</v>
      </c>
      <c r="B51" s="78" t="s">
        <v>91</v>
      </c>
      <c r="C51" s="79"/>
      <c r="D51" s="79"/>
      <c r="E51" s="79"/>
      <c r="F51" s="79"/>
      <c r="G51" s="79"/>
      <c r="H51" s="79"/>
      <c r="I51" s="79"/>
      <c r="J51" s="79"/>
      <c r="K51" s="80"/>
    </row>
    <row r="52" spans="1:11">
      <c r="A52" s="16" t="s">
        <v>84</v>
      </c>
      <c r="B52" s="78" t="s">
        <v>92</v>
      </c>
      <c r="C52" s="79"/>
      <c r="D52" s="79"/>
      <c r="E52" s="79"/>
      <c r="F52" s="79"/>
      <c r="G52" s="79"/>
      <c r="H52" s="79"/>
      <c r="I52" s="79"/>
      <c r="J52" s="79"/>
      <c r="K52" s="80"/>
    </row>
    <row r="53" spans="1:11">
      <c r="A53" s="81" t="s">
        <v>68</v>
      </c>
      <c r="B53" s="82"/>
      <c r="C53" s="82"/>
      <c r="D53" s="82"/>
      <c r="E53" s="82"/>
      <c r="F53" s="82"/>
      <c r="G53" s="82"/>
      <c r="H53" s="82"/>
      <c r="I53" s="82"/>
      <c r="J53" s="82"/>
      <c r="K53" s="83"/>
    </row>
    <row r="54" spans="1:11">
      <c r="A54" s="84" t="s">
        <v>12</v>
      </c>
      <c r="B54" s="84" t="s">
        <v>69</v>
      </c>
      <c r="C54" s="84" t="s">
        <v>66</v>
      </c>
      <c r="D54" s="84" t="s">
        <v>67</v>
      </c>
      <c r="E54" s="84" t="s">
        <v>14</v>
      </c>
      <c r="F54" s="79"/>
      <c r="G54" s="79"/>
      <c r="H54" s="80"/>
      <c r="I54" s="84" t="s">
        <v>82</v>
      </c>
      <c r="J54" s="84" t="s">
        <v>65</v>
      </c>
      <c r="K54" s="84" t="s">
        <v>70</v>
      </c>
    </row>
    <row r="55" spans="1:11">
      <c r="A55" s="85"/>
      <c r="B55" s="85"/>
      <c r="C55" s="85"/>
      <c r="D55" s="85"/>
      <c r="E55" s="26" t="s">
        <v>15</v>
      </c>
      <c r="F55" s="26" t="s">
        <v>16</v>
      </c>
      <c r="G55" s="26" t="s">
        <v>17</v>
      </c>
      <c r="H55" s="26" t="s">
        <v>71</v>
      </c>
      <c r="I55" s="85"/>
      <c r="J55" s="85"/>
      <c r="K55" s="85"/>
    </row>
    <row r="56" spans="1:11">
      <c r="A56" s="15">
        <v>46048</v>
      </c>
      <c r="B56" s="14">
        <v>450</v>
      </c>
      <c r="C56" s="31">
        <f>22+90</f>
        <v>112</v>
      </c>
      <c r="D56" s="30">
        <f>B56-C56</f>
        <v>338</v>
      </c>
      <c r="E56" s="31">
        <v>0</v>
      </c>
      <c r="F56" s="31">
        <v>0</v>
      </c>
      <c r="G56" s="31">
        <v>0</v>
      </c>
      <c r="H56" s="31">
        <v>12</v>
      </c>
      <c r="I56" s="30">
        <f>IF($D56="","",MAX(0,$D56-SUM($E56:$H56)))</f>
        <v>326</v>
      </c>
      <c r="J56" s="27">
        <f xml:space="preserve"> IF($D56="","",IF($D56=0,0,$I56/$D56))</f>
        <v>0.96449704142011838</v>
      </c>
      <c r="K56" s="20"/>
    </row>
    <row r="57" spans="1:11">
      <c r="A57" s="15">
        <v>46049</v>
      </c>
      <c r="B57" s="14">
        <v>225</v>
      </c>
      <c r="C57" s="32">
        <f>52+29</f>
        <v>81</v>
      </c>
      <c r="D57" s="12">
        <f>B57-C57</f>
        <v>144</v>
      </c>
      <c r="E57" s="32">
        <v>0</v>
      </c>
      <c r="F57" s="32">
        <v>1</v>
      </c>
      <c r="G57" s="32">
        <v>0</v>
      </c>
      <c r="H57" s="32">
        <v>4</v>
      </c>
      <c r="I57" s="18">
        <f>IF($D57="","",MAX(0,$D57-SUM($E57:$H57)))</f>
        <v>139</v>
      </c>
      <c r="J57" s="19">
        <f xml:space="preserve"> IF($D57="","",IF($D57=0,0,$I57/$D57))</f>
        <v>0.96527777777777779</v>
      </c>
      <c r="K57" s="20"/>
    </row>
    <row r="58" spans="1:11">
      <c r="A58" s="36" t="s">
        <v>21</v>
      </c>
      <c r="B58" s="36">
        <f>SUM(B56:B57)</f>
        <v>675</v>
      </c>
      <c r="C58" s="36">
        <f>SUM(C56:C57)</f>
        <v>193</v>
      </c>
      <c r="D58" s="36">
        <f>SUM(D56:D57)</f>
        <v>482</v>
      </c>
      <c r="E58" s="36">
        <f>SUM(E57:E57)</f>
        <v>0</v>
      </c>
      <c r="F58" s="36">
        <f>SUM(F57:F57)</f>
        <v>1</v>
      </c>
      <c r="G58" s="36">
        <f>SUM(G57:G57)</f>
        <v>0</v>
      </c>
      <c r="H58" s="36">
        <f>SUM(H56:H57)</f>
        <v>16</v>
      </c>
      <c r="I58" s="36">
        <f>SUM(I56:I57)</f>
        <v>465</v>
      </c>
      <c r="J58" s="23">
        <f xml:space="preserve"> IF($D58="","",IF($D58=0,0,$I58/$D58))</f>
        <v>0.96473029045643155</v>
      </c>
      <c r="K58" s="13"/>
    </row>
    <row r="59" spans="1:11">
      <c r="A59" s="86" t="s">
        <v>72</v>
      </c>
      <c r="B59" s="56"/>
      <c r="C59" s="56"/>
      <c r="D59" s="56"/>
      <c r="E59" s="82"/>
      <c r="F59" s="82"/>
      <c r="G59" s="82"/>
      <c r="H59" s="82"/>
      <c r="I59" s="82"/>
      <c r="J59" s="82"/>
      <c r="K59" s="83"/>
    </row>
    <row r="60" spans="1:11">
      <c r="A60" s="21" t="s">
        <v>73</v>
      </c>
      <c r="B60" s="12">
        <f>B58</f>
        <v>675</v>
      </c>
      <c r="C60" s="12"/>
      <c r="D60" s="12"/>
      <c r="E60" s="35"/>
      <c r="F60" s="35"/>
      <c r="G60" s="35"/>
      <c r="H60" s="35"/>
      <c r="I60" s="35"/>
      <c r="J60" s="35"/>
      <c r="K60" s="35"/>
    </row>
    <row r="61" spans="1:11">
      <c r="A61" s="21" t="s">
        <v>74</v>
      </c>
      <c r="B61" s="12">
        <f>C58</f>
        <v>193</v>
      </c>
      <c r="C61" s="12" t="s">
        <v>19</v>
      </c>
      <c r="D61" s="22">
        <f>IF(B58=0,0,C58/B58)</f>
        <v>0.28592592592592592</v>
      </c>
      <c r="E61" s="35"/>
      <c r="F61" s="35"/>
      <c r="G61" s="35"/>
      <c r="H61" s="35"/>
      <c r="I61" s="35"/>
      <c r="J61" s="35"/>
      <c r="K61" s="35"/>
    </row>
    <row r="62" spans="1:11">
      <c r="A62" s="21" t="s">
        <v>75</v>
      </c>
      <c r="B62" s="12">
        <f>D58</f>
        <v>482</v>
      </c>
      <c r="C62" s="12" t="s">
        <v>19</v>
      </c>
      <c r="D62" s="22">
        <f>IF(B58=0,0,D58/B58)</f>
        <v>0.71407407407407408</v>
      </c>
      <c r="E62" s="35"/>
      <c r="F62" s="35"/>
      <c r="G62" s="35"/>
      <c r="H62" s="35"/>
      <c r="I62" s="35"/>
      <c r="J62" s="35"/>
      <c r="K62" s="35"/>
    </row>
    <row r="63" spans="1:11">
      <c r="A63" s="21" t="s">
        <v>76</v>
      </c>
      <c r="B63" s="12">
        <f>I58</f>
        <v>465</v>
      </c>
      <c r="C63" s="12" t="s">
        <v>19</v>
      </c>
      <c r="D63" s="22">
        <f>IF(D58=0,0,I58/D58)</f>
        <v>0.96473029045643155</v>
      </c>
      <c r="E63" s="35"/>
      <c r="F63" s="35"/>
      <c r="G63" s="35"/>
      <c r="H63" s="35"/>
      <c r="I63" s="35"/>
      <c r="J63" s="35"/>
      <c r="K63" s="35"/>
    </row>
    <row r="64" spans="1:11">
      <c r="A64" s="21" t="s">
        <v>77</v>
      </c>
      <c r="B64" s="12">
        <f>SUM(E58:H58)</f>
        <v>17</v>
      </c>
      <c r="C64" s="12" t="s">
        <v>19</v>
      </c>
      <c r="D64" s="22">
        <f>IF(D58=0,0,SUM(E58:H58)/D58)</f>
        <v>3.5269709543568464E-2</v>
      </c>
      <c r="E64" s="35"/>
      <c r="F64" s="35"/>
      <c r="G64" s="35"/>
      <c r="H64" s="35"/>
      <c r="I64" s="35"/>
      <c r="J64" s="35"/>
      <c r="K64" s="35"/>
    </row>
    <row r="65" spans="1:11">
      <c r="A65" s="21" t="s">
        <v>83</v>
      </c>
      <c r="B65" s="22">
        <f>J58</f>
        <v>0.96473029045643155</v>
      </c>
      <c r="C65" s="12"/>
      <c r="D65" s="12"/>
      <c r="E65" s="35"/>
      <c r="F65" s="35"/>
      <c r="G65" s="35"/>
      <c r="H65" s="35"/>
      <c r="I65" s="35"/>
      <c r="J65" s="35"/>
      <c r="K65" s="35"/>
    </row>
    <row r="66" spans="1:11">
      <c r="A66" s="81" t="s">
        <v>78</v>
      </c>
      <c r="B66" s="82"/>
      <c r="C66" s="82"/>
      <c r="D66" s="82"/>
      <c r="E66" s="82"/>
      <c r="F66" s="82"/>
      <c r="G66" s="82"/>
      <c r="H66" s="82"/>
      <c r="I66" s="82"/>
      <c r="J66" s="82"/>
      <c r="K66" s="83"/>
    </row>
    <row r="67" spans="1:11">
      <c r="A67" s="34" t="s">
        <v>14</v>
      </c>
      <c r="B67" s="34" t="s">
        <v>18</v>
      </c>
      <c r="C67" s="34" t="s">
        <v>19</v>
      </c>
      <c r="D67" s="75" t="s">
        <v>20</v>
      </c>
      <c r="E67" s="76"/>
      <c r="F67" s="35"/>
      <c r="G67" s="35"/>
      <c r="H67" s="35"/>
      <c r="I67" s="35"/>
    </row>
    <row r="68" spans="1:11">
      <c r="A68" s="12" t="str">
        <f>INDEX($M$26:$M$29,MATCH(LARGE($O$26:$O$29,1),$O$26:$O$29,0))</f>
        <v>其他缺陷</v>
      </c>
      <c r="B68" s="12">
        <v>16</v>
      </c>
      <c r="C68" s="22">
        <v>1</v>
      </c>
      <c r="D68" s="77" t="str">
        <f>IF($B$23=0,"",INDEX($M$26:$M$29,MATCH(MAX($O$26:$O$29),$O$26:$O$29,0)))</f>
        <v>其他缺陷</v>
      </c>
      <c r="E68" s="77"/>
      <c r="F68" s="35"/>
      <c r="G68" s="35"/>
      <c r="H68" s="35"/>
      <c r="I68" s="35"/>
    </row>
    <row r="69" spans="1:11">
      <c r="A69" s="12" t="str">
        <f>INDEX($M$26:$M$29,MATCH(LARGE($O$26:$O$29,2),$O$26:$O$29,0))</f>
        <v>裂痕</v>
      </c>
      <c r="B69" s="12">
        <f>INT(LARGE($O$26:$O$29,2))</f>
        <v>0</v>
      </c>
      <c r="C69" s="22">
        <f>IF($B$23=0,0,B69/$B$23)</f>
        <v>0</v>
      </c>
      <c r="D69" s="74"/>
      <c r="E69" s="74"/>
      <c r="F69" s="35"/>
      <c r="G69" s="35"/>
      <c r="H69" s="35"/>
      <c r="I69" s="35"/>
    </row>
    <row r="70" spans="1:11">
      <c r="A70" s="12" t="str">
        <f>INDEX($M$26:$M$29,MATCH(LARGE($O$26:$O$29,3),$O$26:$O$29,0))</f>
        <v>破片</v>
      </c>
      <c r="B70" s="12">
        <v>1</v>
      </c>
      <c r="C70" s="22">
        <f>IF($B$23=0,0,B70/$B$23)</f>
        <v>1.9607843137254902E-2</v>
      </c>
      <c r="D70" s="74"/>
      <c r="E70" s="74"/>
      <c r="F70" s="35"/>
      <c r="G70" s="35"/>
      <c r="H70" s="35"/>
      <c r="I70" s="35"/>
    </row>
    <row r="71" spans="1:11">
      <c r="A71" s="12" t="str">
        <f>INDEX($M$26:$M$29,MATCH(LARGE($O$26:$O$29,4),$O$26:$O$29,0))</f>
        <v>chipping</v>
      </c>
      <c r="B71" s="12">
        <f>INT(LARGE($O$26:$O$29,4))</f>
        <v>0</v>
      </c>
      <c r="C71" s="22">
        <f>IF($B$23=0,0,B71/$B$23)</f>
        <v>0</v>
      </c>
      <c r="D71" s="74"/>
      <c r="E71" s="74"/>
      <c r="F71" s="35"/>
      <c r="G71" s="35"/>
      <c r="H71" s="35"/>
      <c r="I71" s="35"/>
    </row>
    <row r="72" spans="1:11">
      <c r="A72" s="36" t="s">
        <v>79</v>
      </c>
      <c r="B72" s="36">
        <f>SUM(B68:B71)</f>
        <v>17</v>
      </c>
      <c r="C72" s="13"/>
      <c r="D72" s="74"/>
      <c r="E72" s="74"/>
      <c r="F72" s="35"/>
      <c r="G72" s="35"/>
      <c r="H72" s="35"/>
      <c r="I72" s="35"/>
    </row>
    <row r="75" spans="1:11" ht="19.5">
      <c r="A75" s="87" t="s">
        <v>81</v>
      </c>
      <c r="B75" s="88"/>
      <c r="C75" s="88"/>
      <c r="D75" s="88"/>
      <c r="E75" s="88"/>
      <c r="F75" s="88"/>
      <c r="G75" s="88"/>
      <c r="H75" s="88"/>
      <c r="I75" s="88"/>
      <c r="J75" s="88"/>
      <c r="K75" s="89"/>
    </row>
    <row r="76" spans="1:11">
      <c r="A76" s="16" t="s">
        <v>80</v>
      </c>
      <c r="B76" s="78" t="s">
        <v>95</v>
      </c>
      <c r="C76" s="79"/>
      <c r="D76" s="79"/>
      <c r="E76" s="79"/>
      <c r="F76" s="79"/>
      <c r="G76" s="79"/>
      <c r="H76" s="79"/>
      <c r="I76" s="79"/>
      <c r="J76" s="79"/>
      <c r="K76" s="80"/>
    </row>
    <row r="77" spans="1:11">
      <c r="A77" s="16" t="s">
        <v>84</v>
      </c>
      <c r="B77" s="78" t="s">
        <v>94</v>
      </c>
      <c r="C77" s="79"/>
      <c r="D77" s="79"/>
      <c r="E77" s="79"/>
      <c r="F77" s="79"/>
      <c r="G77" s="79"/>
      <c r="H77" s="79"/>
      <c r="I77" s="79"/>
      <c r="J77" s="79"/>
      <c r="K77" s="80"/>
    </row>
    <row r="78" spans="1:11">
      <c r="A78" s="81" t="s">
        <v>68</v>
      </c>
      <c r="B78" s="82"/>
      <c r="C78" s="82"/>
      <c r="D78" s="82"/>
      <c r="E78" s="82"/>
      <c r="F78" s="82"/>
      <c r="G78" s="82"/>
      <c r="H78" s="82"/>
      <c r="I78" s="82"/>
      <c r="J78" s="82"/>
      <c r="K78" s="83"/>
    </row>
    <row r="79" spans="1:11">
      <c r="A79" s="84" t="s">
        <v>12</v>
      </c>
      <c r="B79" s="84" t="s">
        <v>69</v>
      </c>
      <c r="C79" s="84" t="s">
        <v>66</v>
      </c>
      <c r="D79" s="84" t="s">
        <v>67</v>
      </c>
      <c r="E79" s="84" t="s">
        <v>14</v>
      </c>
      <c r="F79" s="79"/>
      <c r="G79" s="79"/>
      <c r="H79" s="80"/>
      <c r="I79" s="84" t="s">
        <v>82</v>
      </c>
      <c r="J79" s="84" t="s">
        <v>65</v>
      </c>
      <c r="K79" s="84" t="s">
        <v>70</v>
      </c>
    </row>
    <row r="80" spans="1:11">
      <c r="A80" s="85"/>
      <c r="B80" s="85"/>
      <c r="C80" s="85"/>
      <c r="D80" s="85"/>
      <c r="E80" s="26" t="s">
        <v>15</v>
      </c>
      <c r="F80" s="26" t="s">
        <v>16</v>
      </c>
      <c r="G80" s="26" t="s">
        <v>17</v>
      </c>
      <c r="H80" s="26" t="s">
        <v>71</v>
      </c>
      <c r="I80" s="85"/>
      <c r="J80" s="85"/>
      <c r="K80" s="85"/>
    </row>
    <row r="81" spans="1:11">
      <c r="A81" s="15">
        <v>46048</v>
      </c>
      <c r="B81" s="14">
        <v>450</v>
      </c>
      <c r="C81" s="31">
        <v>139</v>
      </c>
      <c r="D81" s="30">
        <f>B81-C81</f>
        <v>311</v>
      </c>
      <c r="E81" s="31">
        <v>0</v>
      </c>
      <c r="F81" s="31">
        <v>0</v>
      </c>
      <c r="G81" s="31">
        <v>0</v>
      </c>
      <c r="H81" s="31">
        <v>13</v>
      </c>
      <c r="I81" s="30">
        <f>IF($D81="","",MAX(0,$D81-SUM($E81:$H81)))</f>
        <v>298</v>
      </c>
      <c r="J81" s="27">
        <f xml:space="preserve"> IF($D81="","",IF($D81=0,0,$I81/$D81))</f>
        <v>0.95819935691318325</v>
      </c>
      <c r="K81" s="20"/>
    </row>
    <row r="82" spans="1:11">
      <c r="A82" s="15">
        <v>46049</v>
      </c>
      <c r="B82" s="14">
        <v>225</v>
      </c>
      <c r="C82" s="32">
        <v>91</v>
      </c>
      <c r="D82" s="12">
        <f>B82-C82</f>
        <v>134</v>
      </c>
      <c r="E82" s="32">
        <v>0</v>
      </c>
      <c r="F82" s="32">
        <v>0</v>
      </c>
      <c r="G82" s="32">
        <v>0</v>
      </c>
      <c r="H82" s="32">
        <v>5</v>
      </c>
      <c r="I82" s="18">
        <f>IF($D82="","",MAX(0,$D82-SUM($E82:$H82)))</f>
        <v>129</v>
      </c>
      <c r="J82" s="19">
        <f xml:space="preserve"> IF($D82="","",IF($D82=0,0,$I82/$D82))</f>
        <v>0.96268656716417911</v>
      </c>
      <c r="K82" s="20"/>
    </row>
    <row r="83" spans="1:11">
      <c r="A83" s="38" t="s">
        <v>21</v>
      </c>
      <c r="B83" s="38">
        <f>SUM(B81:B82)</f>
        <v>675</v>
      </c>
      <c r="C83" s="38">
        <f>SUM(C81:C82)</f>
        <v>230</v>
      </c>
      <c r="D83" s="38">
        <f>SUM(D81:D82)</f>
        <v>445</v>
      </c>
      <c r="E83" s="38">
        <f>SUM(E82:E82)</f>
        <v>0</v>
      </c>
      <c r="F83" s="38">
        <f>SUM(F82:F82)</f>
        <v>0</v>
      </c>
      <c r="G83" s="38">
        <f>SUM(G82:G82)</f>
        <v>0</v>
      </c>
      <c r="H83" s="38">
        <f>SUM(H81:H82)</f>
        <v>18</v>
      </c>
      <c r="I83" s="38">
        <f>SUM(I81:I82)</f>
        <v>427</v>
      </c>
      <c r="J83" s="23">
        <f xml:space="preserve"> IF($D83="","",IF($D83=0,0,$I83/$D83))</f>
        <v>0.95955056179775278</v>
      </c>
      <c r="K83" s="13"/>
    </row>
    <row r="84" spans="1:11">
      <c r="A84" s="86" t="s">
        <v>72</v>
      </c>
      <c r="B84" s="56"/>
      <c r="C84" s="56"/>
      <c r="D84" s="56"/>
      <c r="E84" s="82"/>
      <c r="F84" s="82"/>
      <c r="G84" s="82"/>
      <c r="H84" s="82"/>
      <c r="I84" s="82"/>
      <c r="J84" s="82"/>
      <c r="K84" s="83"/>
    </row>
    <row r="85" spans="1:11">
      <c r="A85" s="21" t="s">
        <v>73</v>
      </c>
      <c r="B85" s="12">
        <f>B83</f>
        <v>675</v>
      </c>
      <c r="C85" s="12"/>
      <c r="D85" s="12"/>
      <c r="E85" s="37"/>
      <c r="F85" s="37"/>
      <c r="G85" s="37"/>
      <c r="H85" s="37"/>
      <c r="I85" s="37"/>
      <c r="J85" s="37"/>
      <c r="K85" s="37"/>
    </row>
    <row r="86" spans="1:11">
      <c r="A86" s="21" t="s">
        <v>74</v>
      </c>
      <c r="B86" s="12">
        <f>C83</f>
        <v>230</v>
      </c>
      <c r="C86" s="12" t="s">
        <v>19</v>
      </c>
      <c r="D86" s="22">
        <f>IF(B83=0,0,C83/B83)</f>
        <v>0.34074074074074073</v>
      </c>
      <c r="E86" s="37"/>
      <c r="F86" s="37"/>
      <c r="G86" s="37"/>
      <c r="H86" s="37"/>
      <c r="I86" s="37"/>
      <c r="J86" s="37"/>
      <c r="K86" s="37"/>
    </row>
    <row r="87" spans="1:11">
      <c r="A87" s="21" t="s">
        <v>75</v>
      </c>
      <c r="B87" s="12">
        <f>D83</f>
        <v>445</v>
      </c>
      <c r="C87" s="12" t="s">
        <v>19</v>
      </c>
      <c r="D87" s="22">
        <f>IF(B83=0,0,D83/B83)</f>
        <v>0.65925925925925921</v>
      </c>
      <c r="E87" s="37"/>
      <c r="F87" s="37"/>
      <c r="G87" s="37"/>
      <c r="H87" s="37"/>
      <c r="I87" s="37"/>
      <c r="J87" s="37"/>
      <c r="K87" s="37"/>
    </row>
    <row r="88" spans="1:11">
      <c r="A88" s="21" t="s">
        <v>76</v>
      </c>
      <c r="B88" s="12">
        <f>I83</f>
        <v>427</v>
      </c>
      <c r="C88" s="12" t="s">
        <v>19</v>
      </c>
      <c r="D88" s="22">
        <f>IF(D83=0,0,I83/D83)</f>
        <v>0.95955056179775278</v>
      </c>
      <c r="E88" s="37"/>
      <c r="F88" s="37"/>
      <c r="G88" s="37"/>
      <c r="H88" s="37"/>
      <c r="I88" s="37"/>
      <c r="J88" s="37"/>
      <c r="K88" s="37"/>
    </row>
    <row r="89" spans="1:11">
      <c r="A89" s="21" t="s">
        <v>77</v>
      </c>
      <c r="B89" s="12">
        <f>SUM(E83:H83)</f>
        <v>18</v>
      </c>
      <c r="C89" s="12" t="s">
        <v>19</v>
      </c>
      <c r="D89" s="22">
        <f>IF(D83=0,0,SUM(E83:H83)/D83)</f>
        <v>4.0449438202247189E-2</v>
      </c>
      <c r="E89" s="37"/>
      <c r="F89" s="37"/>
      <c r="G89" s="37"/>
      <c r="H89" s="37"/>
      <c r="I89" s="37"/>
      <c r="J89" s="37"/>
      <c r="K89" s="37"/>
    </row>
    <row r="90" spans="1:11">
      <c r="A90" s="21" t="s">
        <v>83</v>
      </c>
      <c r="B90" s="22">
        <f>J83</f>
        <v>0.95955056179775278</v>
      </c>
      <c r="C90" s="12"/>
      <c r="D90" s="12"/>
      <c r="E90" s="37"/>
      <c r="F90" s="37"/>
      <c r="G90" s="37"/>
      <c r="H90" s="37"/>
      <c r="I90" s="37"/>
      <c r="J90" s="37"/>
      <c r="K90" s="37"/>
    </row>
    <row r="91" spans="1:11">
      <c r="A91" s="81" t="s">
        <v>78</v>
      </c>
      <c r="B91" s="82"/>
      <c r="C91" s="82"/>
      <c r="D91" s="82"/>
      <c r="E91" s="82"/>
      <c r="F91" s="82"/>
      <c r="G91" s="82"/>
      <c r="H91" s="82"/>
      <c r="I91" s="82"/>
      <c r="J91" s="82"/>
      <c r="K91" s="83"/>
    </row>
    <row r="92" spans="1:11">
      <c r="A92" s="34" t="s">
        <v>14</v>
      </c>
      <c r="B92" s="34" t="s">
        <v>18</v>
      </c>
      <c r="C92" s="34" t="s">
        <v>19</v>
      </c>
      <c r="D92" s="75" t="s">
        <v>20</v>
      </c>
      <c r="E92" s="76"/>
      <c r="F92" s="37"/>
      <c r="G92" s="37"/>
      <c r="H92" s="37"/>
      <c r="I92" s="37"/>
    </row>
    <row r="93" spans="1:11">
      <c r="A93" s="12" t="str">
        <f>INDEX($M$26:$M$29,MATCH(LARGE($O$26:$O$29,1),$O$26:$O$29,0))</f>
        <v>其他缺陷</v>
      </c>
      <c r="B93" s="12">
        <v>18</v>
      </c>
      <c r="C93" s="22">
        <v>1</v>
      </c>
      <c r="D93" s="77" t="str">
        <f>IF($B$23=0,"",INDEX($M$26:$M$29,MATCH(MAX($O$26:$O$29),$O$26:$O$29,0)))</f>
        <v>其他缺陷</v>
      </c>
      <c r="E93" s="77"/>
      <c r="F93" s="37"/>
      <c r="G93" s="37"/>
      <c r="H93" s="37"/>
      <c r="I93" s="37"/>
    </row>
    <row r="94" spans="1:11">
      <c r="A94" s="12" t="str">
        <f>INDEX($M$26:$M$29,MATCH(LARGE($O$26:$O$29,2),$O$26:$O$29,0))</f>
        <v>裂痕</v>
      </c>
      <c r="B94" s="12">
        <f>INT(LARGE($O$26:$O$29,2))</f>
        <v>0</v>
      </c>
      <c r="C94" s="22">
        <f>IF($B$23=0,0,B94/$B$23)</f>
        <v>0</v>
      </c>
      <c r="D94" s="74"/>
      <c r="E94" s="74"/>
      <c r="F94" s="37"/>
      <c r="G94" s="37"/>
      <c r="H94" s="37"/>
      <c r="I94" s="37"/>
    </row>
    <row r="95" spans="1:11">
      <c r="A95" s="12" t="str">
        <f>INDEX($M$26:$M$29,MATCH(LARGE($O$26:$O$29,3),$O$26:$O$29,0))</f>
        <v>破片</v>
      </c>
      <c r="B95" s="12">
        <v>0</v>
      </c>
      <c r="C95" s="22">
        <f>IF($B$23=0,0,B95/$B$23)</f>
        <v>0</v>
      </c>
      <c r="D95" s="74"/>
      <c r="E95" s="74"/>
      <c r="F95" s="37"/>
      <c r="G95" s="37"/>
      <c r="H95" s="37"/>
      <c r="I95" s="37"/>
    </row>
    <row r="96" spans="1:11">
      <c r="A96" s="12" t="str">
        <f>INDEX($M$26:$M$29,MATCH(LARGE($O$26:$O$29,4),$O$26:$O$29,0))</f>
        <v>chipping</v>
      </c>
      <c r="B96" s="12">
        <f>INT(LARGE($O$26:$O$29,4))</f>
        <v>0</v>
      </c>
      <c r="C96" s="22">
        <f>IF($B$23=0,0,B96/$B$23)</f>
        <v>0</v>
      </c>
      <c r="D96" s="74"/>
      <c r="E96" s="74"/>
      <c r="F96" s="37"/>
      <c r="G96" s="37"/>
      <c r="H96" s="37"/>
      <c r="I96" s="37"/>
    </row>
    <row r="97" spans="1:9">
      <c r="A97" s="38" t="s">
        <v>79</v>
      </c>
      <c r="B97" s="38">
        <f>SUM(B93:B96)</f>
        <v>18</v>
      </c>
      <c r="C97" s="13"/>
      <c r="D97" s="74"/>
      <c r="E97" s="74"/>
      <c r="F97" s="37"/>
      <c r="G97" s="37"/>
      <c r="H97" s="37"/>
      <c r="I97" s="37"/>
    </row>
  </sheetData>
  <mergeCells count="80">
    <mergeCell ref="D70:E70"/>
    <mergeCell ref="D71:E71"/>
    <mergeCell ref="D72:E72"/>
    <mergeCell ref="A59:K59"/>
    <mergeCell ref="A66:K66"/>
    <mergeCell ref="D67:E67"/>
    <mergeCell ref="D68:E68"/>
    <mergeCell ref="D69:E69"/>
    <mergeCell ref="A50:K50"/>
    <mergeCell ref="B51:K51"/>
    <mergeCell ref="B52:K52"/>
    <mergeCell ref="A53:K53"/>
    <mergeCell ref="A54:A55"/>
    <mergeCell ref="B54:B55"/>
    <mergeCell ref="C54:C55"/>
    <mergeCell ref="D54:D55"/>
    <mergeCell ref="E54:H54"/>
    <mergeCell ref="I54:I55"/>
    <mergeCell ref="J54:J55"/>
    <mergeCell ref="K54:K55"/>
    <mergeCell ref="D45:E45"/>
    <mergeCell ref="D46:E46"/>
    <mergeCell ref="D47:E47"/>
    <mergeCell ref="A34:K34"/>
    <mergeCell ref="A41:K41"/>
    <mergeCell ref="D42:E42"/>
    <mergeCell ref="D43:E43"/>
    <mergeCell ref="D44:E44"/>
    <mergeCell ref="A25:K25"/>
    <mergeCell ref="B26:K26"/>
    <mergeCell ref="B27:K27"/>
    <mergeCell ref="A28:K28"/>
    <mergeCell ref="A29:A30"/>
    <mergeCell ref="B29:B30"/>
    <mergeCell ref="C29:C30"/>
    <mergeCell ref="D29:D30"/>
    <mergeCell ref="E29:H29"/>
    <mergeCell ref="I29:I30"/>
    <mergeCell ref="J29:J30"/>
    <mergeCell ref="K29:K30"/>
    <mergeCell ref="D23:E23"/>
    <mergeCell ref="J5:J6"/>
    <mergeCell ref="A10:K10"/>
    <mergeCell ref="A17:K17"/>
    <mergeCell ref="D18:E18"/>
    <mergeCell ref="D19:E19"/>
    <mergeCell ref="D20:E20"/>
    <mergeCell ref="A84:K84"/>
    <mergeCell ref="A91:K91"/>
    <mergeCell ref="A75:K75"/>
    <mergeCell ref="A1:K1"/>
    <mergeCell ref="B2:K2"/>
    <mergeCell ref="B3:K3"/>
    <mergeCell ref="A4:K4"/>
    <mergeCell ref="A5:A6"/>
    <mergeCell ref="B5:B6"/>
    <mergeCell ref="C5:C6"/>
    <mergeCell ref="D5:D6"/>
    <mergeCell ref="E5:H5"/>
    <mergeCell ref="I5:I6"/>
    <mergeCell ref="K5:K6"/>
    <mergeCell ref="D21:E21"/>
    <mergeCell ref="D22:E22"/>
    <mergeCell ref="B76:K76"/>
    <mergeCell ref="B77:K77"/>
    <mergeCell ref="A78:K78"/>
    <mergeCell ref="A79:A80"/>
    <mergeCell ref="B79:B80"/>
    <mergeCell ref="C79:C80"/>
    <mergeCell ref="D79:D80"/>
    <mergeCell ref="E79:H79"/>
    <mergeCell ref="I79:I80"/>
    <mergeCell ref="J79:J80"/>
    <mergeCell ref="K79:K80"/>
    <mergeCell ref="D95:E95"/>
    <mergeCell ref="D96:E96"/>
    <mergeCell ref="D97:E97"/>
    <mergeCell ref="D92:E92"/>
    <mergeCell ref="D93:E93"/>
    <mergeCell ref="D94:E94"/>
  </mergeCells>
  <phoneticPr fontId="5" type="noConversion"/>
  <pageMargins left="0.75" right="0.75" top="1" bottom="1" header="0.5" footer="0.5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2"/>
  <sheetViews>
    <sheetView zoomScale="80" zoomScaleNormal="80" workbookViewId="0">
      <pane ySplit="2" topLeftCell="A3" activePane="bottomLeft" state="frozen"/>
      <selection pane="bottomLeft" activeCell="C4" sqref="C4"/>
    </sheetView>
  </sheetViews>
  <sheetFormatPr defaultRowHeight="15.75"/>
  <cols>
    <col min="1" max="1" width="14" customWidth="1"/>
    <col min="2" max="2" width="31.28515625" customWidth="1"/>
    <col min="3" max="3" width="36.140625" customWidth="1"/>
    <col min="4" max="4" width="34" customWidth="1"/>
    <col min="5" max="7" width="28" customWidth="1"/>
    <col min="8" max="9" width="24" customWidth="1"/>
    <col min="10" max="10" width="12" customWidth="1"/>
    <col min="11" max="11" width="14" customWidth="1"/>
  </cols>
  <sheetData>
    <row r="1" spans="1:11" ht="19.5" customHeight="1">
      <c r="A1" s="1" t="s">
        <v>22</v>
      </c>
    </row>
    <row r="2" spans="1:11" ht="69.400000000000006" customHeight="1" thickBot="1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</row>
    <row r="3" spans="1:11" ht="80.099999999999994" customHeight="1">
      <c r="A3" s="6" t="s">
        <v>53</v>
      </c>
      <c r="B3" s="7" t="s">
        <v>47</v>
      </c>
      <c r="C3" s="7" t="s">
        <v>56</v>
      </c>
      <c r="D3" s="7" t="s">
        <v>34</v>
      </c>
      <c r="E3" s="7" t="s">
        <v>59</v>
      </c>
      <c r="F3" s="7" t="s">
        <v>35</v>
      </c>
      <c r="G3" s="7" t="s">
        <v>36</v>
      </c>
      <c r="H3" s="7" t="s">
        <v>54</v>
      </c>
      <c r="I3" s="7" t="s">
        <v>37</v>
      </c>
      <c r="J3" s="7" t="s">
        <v>38</v>
      </c>
      <c r="K3" s="7" t="s">
        <v>39</v>
      </c>
    </row>
    <row r="4" spans="1:11" ht="204.75">
      <c r="A4" s="4" t="s">
        <v>46</v>
      </c>
      <c r="B4" s="9" t="s">
        <v>87</v>
      </c>
      <c r="C4" s="9" t="s">
        <v>60</v>
      </c>
      <c r="D4" s="9" t="s">
        <v>63</v>
      </c>
      <c r="E4" s="4" t="s">
        <v>64</v>
      </c>
      <c r="F4" s="9" t="s">
        <v>62</v>
      </c>
      <c r="G4" s="9" t="s">
        <v>58</v>
      </c>
      <c r="H4" s="4" t="s">
        <v>61</v>
      </c>
      <c r="I4" s="10" t="s">
        <v>55</v>
      </c>
      <c r="J4" s="10" t="s">
        <v>52</v>
      </c>
      <c r="K4" s="4" t="s">
        <v>57</v>
      </c>
    </row>
    <row r="5" spans="1:11" ht="80.099999999999994" customHeight="1">
      <c r="A5" s="11"/>
      <c r="B5" s="8"/>
      <c r="C5" s="8"/>
      <c r="D5" s="8"/>
      <c r="E5" s="4"/>
      <c r="F5" s="8"/>
      <c r="G5" s="8"/>
      <c r="H5" s="8"/>
      <c r="I5" s="8"/>
      <c r="J5" s="8"/>
      <c r="K5" s="8"/>
    </row>
    <row r="6" spans="1:11" ht="80.099999999999994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80.099999999999994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 spans="1:11" ht="80.099999999999994" customHeight="1"/>
    <row r="9" spans="1:11" ht="80.099999999999994" customHeight="1"/>
    <row r="10" spans="1:11" ht="80.099999999999994" customHeight="1"/>
    <row r="11" spans="1:11" ht="80.099999999999994" customHeight="1"/>
    <row r="12" spans="1:11" ht="80.099999999999994" customHeight="1"/>
    <row r="13" spans="1:11" ht="80.099999999999994" customHeight="1"/>
    <row r="14" spans="1:11" ht="80.099999999999994" customHeight="1"/>
    <row r="15" spans="1:11" ht="80.099999999999994" customHeight="1"/>
    <row r="16" spans="1:11" ht="80.099999999999994" customHeight="1"/>
    <row r="17" ht="80.099999999999994" customHeight="1"/>
    <row r="18" ht="80.099999999999994" customHeight="1"/>
    <row r="19" ht="80.099999999999994" customHeight="1"/>
    <row r="20" ht="80.099999999999994" customHeight="1"/>
    <row r="21" ht="80.099999999999994" customHeight="1"/>
    <row r="22" ht="80.099999999999994" customHeight="1"/>
    <row r="23" ht="80.099999999999994" customHeight="1"/>
    <row r="24" ht="80.099999999999994" customHeight="1"/>
    <row r="25" ht="80.099999999999994" customHeight="1"/>
    <row r="26" ht="80.099999999999994" customHeight="1"/>
    <row r="27" ht="80.099999999999994" customHeight="1"/>
    <row r="28" ht="80.099999999999994" customHeight="1"/>
    <row r="29" ht="80.099999999999994" customHeight="1"/>
    <row r="30" ht="80.099999999999994" customHeight="1"/>
    <row r="31" ht="80.099999999999994" customHeight="1"/>
    <row r="32" ht="80.099999999999994" customHeight="1"/>
    <row r="33" ht="80.099999999999994" customHeight="1"/>
    <row r="34" ht="80.099999999999994" customHeight="1"/>
    <row r="35" ht="80.099999999999994" customHeight="1"/>
    <row r="36" ht="80.099999999999994" customHeight="1"/>
    <row r="37" ht="80.099999999999994" customHeight="1"/>
    <row r="38" ht="80.099999999999994" customHeight="1"/>
    <row r="39" ht="80.099999999999994" customHeight="1"/>
    <row r="40" ht="80.099999999999994" customHeight="1"/>
    <row r="41" ht="80.099999999999994" customHeight="1"/>
    <row r="42" ht="80.099999999999994" customHeight="1"/>
    <row r="43" ht="80.099999999999994" customHeight="1"/>
    <row r="44" ht="80.099999999999994" customHeight="1"/>
    <row r="45" ht="80.099999999999994" customHeight="1"/>
    <row r="46" ht="80.099999999999994" customHeight="1"/>
    <row r="47" ht="80.099999999999994" customHeight="1"/>
    <row r="48" ht="80.099999999999994" customHeight="1"/>
    <row r="49" ht="80.099999999999994" customHeight="1"/>
    <row r="50" ht="80.099999999999994" customHeight="1"/>
    <row r="51" ht="80.099999999999994" customHeight="1"/>
    <row r="52" ht="80.099999999999994" customHeight="1"/>
    <row r="53" ht="80.099999999999994" customHeight="1"/>
    <row r="54" ht="80.099999999999994" customHeight="1"/>
    <row r="55" ht="80.099999999999994" customHeight="1"/>
    <row r="56" ht="80.099999999999994" customHeight="1"/>
    <row r="57" ht="80.099999999999994" customHeight="1"/>
    <row r="58" ht="80.099999999999994" customHeight="1"/>
    <row r="59" ht="80.099999999999994" customHeight="1"/>
    <row r="60" ht="80.099999999999994" customHeight="1"/>
    <row r="61" ht="80.099999999999994" customHeight="1"/>
    <row r="62" ht="80.099999999999994" customHeight="1"/>
    <row r="63" ht="80.099999999999994" customHeight="1"/>
    <row r="64" ht="80.099999999999994" customHeight="1"/>
    <row r="65" ht="80.099999999999994" customHeight="1"/>
    <row r="66" ht="80.099999999999994" customHeight="1"/>
    <row r="67" ht="80.099999999999994" customHeight="1"/>
    <row r="68" ht="80.099999999999994" customHeight="1"/>
    <row r="69" ht="80.099999999999994" customHeight="1"/>
    <row r="70" ht="80.099999999999994" customHeight="1"/>
    <row r="71" ht="80.099999999999994" customHeight="1"/>
    <row r="72" ht="80.099999999999994" customHeight="1"/>
    <row r="73" ht="80.099999999999994" customHeight="1"/>
    <row r="74" ht="80.099999999999994" customHeight="1"/>
    <row r="75" ht="80.099999999999994" customHeight="1"/>
    <row r="76" ht="80.099999999999994" customHeight="1"/>
    <row r="77" ht="80.099999999999994" customHeight="1"/>
    <row r="78" ht="80.099999999999994" customHeight="1"/>
    <row r="79" ht="80.099999999999994" customHeight="1"/>
    <row r="80" ht="80.099999999999994" customHeight="1"/>
    <row r="81" ht="80.099999999999994" customHeight="1"/>
    <row r="82" ht="80.099999999999994" customHeight="1"/>
    <row r="83" ht="80.099999999999994" customHeight="1"/>
    <row r="84" ht="80.099999999999994" customHeight="1"/>
    <row r="85" ht="80.099999999999994" customHeight="1"/>
    <row r="86" ht="80.099999999999994" customHeight="1"/>
    <row r="87" ht="80.099999999999994" customHeight="1"/>
    <row r="88" ht="80.099999999999994" customHeight="1"/>
    <row r="89" ht="80.099999999999994" customHeight="1"/>
    <row r="90" ht="80.099999999999994" customHeight="1"/>
    <row r="91" ht="80.099999999999994" customHeight="1"/>
    <row r="92" ht="80.099999999999994" customHeight="1"/>
    <row r="93" ht="80.099999999999994" customHeight="1"/>
    <row r="94" ht="80.099999999999994" customHeight="1"/>
    <row r="95" ht="80.099999999999994" customHeight="1"/>
    <row r="96" ht="80.099999999999994" customHeight="1"/>
    <row r="97" ht="80.099999999999994" customHeight="1"/>
    <row r="98" ht="80.099999999999994" customHeight="1"/>
    <row r="99" ht="80.099999999999994" customHeight="1"/>
    <row r="100" ht="80.099999999999994" customHeight="1"/>
    <row r="101" ht="80.099999999999994" customHeight="1"/>
    <row r="102" ht="80.099999999999994" customHeight="1"/>
  </sheetData>
  <phoneticPr fontId="5" type="noConversion"/>
  <dataValidations count="1">
    <dataValidation type="list" allowBlank="1" sqref="K3:K7">
      <formula1>"Open,In progress,Verified,Closed"</formula1>
    </dataValidation>
  </dataValidations>
  <pageMargins left="0.74803149606299213" right="0.74803149606299213" top="0.98425196850393704" bottom="0.98425196850393704" header="0.51181102362204722" footer="0.51181102362204722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1</vt:i4>
      </vt:variant>
    </vt:vector>
  </HeadingPairs>
  <TitlesOfParts>
    <vt:vector size="4" baseType="lpstr">
      <vt:lpstr>封面</vt:lpstr>
      <vt:lpstr>每批生產缺陷彙總</vt:lpstr>
      <vt:lpstr>CIP_Tracker</vt:lpstr>
      <vt:lpstr>CIP_Tracker!Print_Area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2025-12-22T01:34:42Z</cp:lastPrinted>
  <dcterms:created xsi:type="dcterms:W3CDTF">2025-12-18T06:52:00Z</dcterms:created>
  <dcterms:modified xsi:type="dcterms:W3CDTF">2026-02-06T09:05:12Z</dcterms:modified>
</cp:coreProperties>
</file>