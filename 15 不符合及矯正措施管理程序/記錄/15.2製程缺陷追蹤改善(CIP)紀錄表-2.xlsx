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5 不符合及矯正措施管理程序\記錄\"/>
    </mc:Choice>
  </mc:AlternateContent>
  <bookViews>
    <workbookView xWindow="0" yWindow="0" windowWidth="28800" windowHeight="11925" activeTab="1"/>
  </bookViews>
  <sheets>
    <sheet name="封面" sheetId="1" r:id="rId1"/>
    <sheet name="每日缺陷彙總" sheetId="9" r:id="rId2"/>
    <sheet name="CIP_Tracker" sheetId="6" r:id="rId3"/>
  </sheets>
  <definedNames>
    <definedName name="_xlnm.Print_Area" localSheetId="2">CIP_Tracker!$A$1:$K$7</definedName>
  </definedNames>
  <calcPr calcId="162913"/>
</workbook>
</file>

<file path=xl/calcChain.xml><?xml version="1.0" encoding="utf-8"?>
<calcChain xmlns="http://schemas.openxmlformats.org/spreadsheetml/2006/main">
  <c r="B35" i="9" l="1"/>
  <c r="B49" i="9"/>
  <c r="B48" i="9"/>
  <c r="D48" i="9" s="1"/>
  <c r="A48" i="9"/>
  <c r="B47" i="9"/>
  <c r="D47" i="9" s="1"/>
  <c r="A47" i="9"/>
  <c r="B46" i="9"/>
  <c r="D46" i="9" s="1"/>
  <c r="A46" i="9"/>
  <c r="F45" i="9"/>
  <c r="A45" i="9"/>
  <c r="D39" i="9"/>
  <c r="B39" i="9"/>
  <c r="D38" i="9"/>
  <c r="B38" i="9"/>
  <c r="B37" i="9"/>
  <c r="E48" i="9" s="1"/>
  <c r="I34" i="9"/>
  <c r="J34" i="9" s="1"/>
  <c r="H35" i="9"/>
  <c r="B41" i="9" s="1"/>
  <c r="H10" i="9"/>
  <c r="D34" i="9"/>
  <c r="D32" i="9"/>
  <c r="C33" i="9"/>
  <c r="D33" i="9" s="1"/>
  <c r="I33" i="9" s="1"/>
  <c r="G35" i="9"/>
  <c r="F35" i="9"/>
  <c r="E35" i="9"/>
  <c r="C35" i="9"/>
  <c r="D41" i="9" l="1"/>
  <c r="E47" i="9"/>
  <c r="E46" i="9"/>
  <c r="I32" i="9"/>
  <c r="J32" i="9" s="1"/>
  <c r="D35" i="9"/>
  <c r="J33" i="9"/>
  <c r="B10" i="9"/>
  <c r="I35" i="9" l="1"/>
  <c r="G10" i="9"/>
  <c r="F10" i="9"/>
  <c r="E10" i="9"/>
  <c r="C10" i="9"/>
  <c r="J35" i="9" l="1"/>
  <c r="B42" i="9" s="1"/>
  <c r="D40" i="9"/>
  <c r="B40" i="9"/>
  <c r="D10" i="9"/>
  <c r="N29" i="9"/>
  <c r="O29" i="9" s="1"/>
  <c r="N28" i="9"/>
  <c r="O28" i="9" s="1"/>
  <c r="N27" i="9"/>
  <c r="O27" i="9" s="1"/>
  <c r="B13" i="9"/>
  <c r="I9" i="9"/>
  <c r="I8" i="9"/>
  <c r="J8" i="9" s="1"/>
  <c r="I7" i="9"/>
  <c r="J7" i="9" l="1"/>
  <c r="I10" i="9"/>
  <c r="J10" i="9" s="1"/>
  <c r="J9" i="9"/>
  <c r="B16" i="9"/>
  <c r="D13" i="9"/>
  <c r="B12" i="9"/>
  <c r="N26" i="9"/>
  <c r="O26" i="9" s="1"/>
  <c r="B20" i="9" s="1"/>
  <c r="D14" i="9"/>
  <c r="B15" i="9" l="1"/>
  <c r="B17" i="9"/>
  <c r="D15" i="9"/>
  <c r="B14" i="9"/>
  <c r="D16" i="9"/>
  <c r="B21" i="9"/>
  <c r="B22" i="9"/>
  <c r="A21" i="9"/>
  <c r="A20" i="9"/>
  <c r="B23" i="9"/>
  <c r="A22" i="9"/>
  <c r="A23" i="9"/>
  <c r="B24" i="9" l="1"/>
  <c r="C21" i="9"/>
  <c r="C20" i="9"/>
  <c r="C22" i="9"/>
  <c r="C23" i="9"/>
  <c r="F20" i="9" l="1"/>
  <c r="E21" i="9"/>
  <c r="E20" i="9"/>
  <c r="E22" i="9"/>
  <c r="D21" i="9"/>
  <c r="D20" i="9"/>
  <c r="E23" i="9"/>
  <c r="D22" i="9"/>
  <c r="D23" i="9"/>
</calcChain>
</file>

<file path=xl/sharedStrings.xml><?xml version="1.0" encoding="utf-8"?>
<sst xmlns="http://schemas.openxmlformats.org/spreadsheetml/2006/main" count="140" uniqueCount="94">
  <si>
    <t>表單編號</t>
  </si>
  <si>
    <t>文件名稱</t>
  </si>
  <si>
    <t>版本</t>
  </si>
  <si>
    <t>A</t>
  </si>
  <si>
    <t>生效日</t>
  </si>
  <si>
    <t>適用範圍</t>
  </si>
  <si>
    <t>文件類型</t>
  </si>
  <si>
    <t>文件目的與稽核可見證據</t>
  </si>
  <si>
    <t>本表單用於證明組織已透過缺陷資料之 Top Defect（柏拉圖）分析，驅動持續改善（CIP）閉環管理：
1) 數據收集 → 2) Top Defect 分析 → 3) 行動（圍堵/矯正/預防） → 4) 有效性驗證 → 5) 標準化（SOP/Control Plan/FMEA/OCAP）。</t>
  </si>
  <si>
    <t>編製/審核/核准（依文件管制要求）</t>
  </si>
  <si>
    <t>角色</t>
  </si>
  <si>
    <t>簽名</t>
  </si>
  <si>
    <t>日期</t>
  </si>
  <si>
    <t>註：本文件為受控文件；未經核准不得自行修改。若為影印本，視為非受控文件。</t>
  </si>
  <si>
    <t>缺陷類別</t>
  </si>
  <si>
    <t>chipping</t>
  </si>
  <si>
    <t>破片</t>
  </si>
  <si>
    <t>裂痕</t>
  </si>
  <si>
    <t>數量</t>
  </si>
  <si>
    <t>累積數量</t>
  </si>
  <si>
    <t>占比</t>
  </si>
  <si>
    <t>累積占比</t>
  </si>
  <si>
    <t>本期 Top Defect</t>
  </si>
  <si>
    <t>合計</t>
  </si>
  <si>
    <t>CIP 行動追蹤表（Top Defect 驅動；供稽核查核閉環證據）</t>
  </si>
  <si>
    <t>對應Top Defect/議題</t>
  </si>
  <si>
    <t>問題敘述(含範圍/批次)</t>
  </si>
  <si>
    <t>根本原因(5Why，含具體/系統性)</t>
  </si>
  <si>
    <t>圍堵措施(Containment)</t>
  </si>
  <si>
    <t>矯正措施(Corrective)</t>
  </si>
  <si>
    <t>預防措施(Preventive)</t>
  </si>
  <si>
    <t>有效性驗證方法/判定(含期間)</t>
  </si>
  <si>
    <t>有效性驗證結果/證據</t>
  </si>
  <si>
    <t>責任人</t>
  </si>
  <si>
    <t>目標完成日</t>
  </si>
  <si>
    <t>狀態(Open/In progress/Verified/Closed)</t>
  </si>
  <si>
    <t>（範例）立即建立Top defect報表與行動追蹤，對高風險批次加嚴檢查。</t>
  </si>
  <si>
    <t>（範例）內稽查檢表新增必查證據點；能力矩陣與再訓週期；制度化管理審查輸入。</t>
  </si>
  <si>
    <t>（範例）改善後連續4週Top defect占比下降且粒子P95下降≥X%，且無再發。</t>
  </si>
  <si>
    <t>QA/製程</t>
  </si>
  <si>
    <t>2026-01-15</t>
  </si>
  <si>
    <t>Open</t>
  </si>
  <si>
    <r>
      <t xml:space="preserve">CIP </t>
    </r>
    <r>
      <rPr>
        <b/>
        <sz val="11"/>
        <color rgb="FF404040"/>
        <rFont val="細明體"/>
        <family val="3"/>
        <charset val="136"/>
      </rPr>
      <t>追蹤改善紀錄表</t>
    </r>
    <phoneticPr fontId="5" type="noConversion"/>
  </si>
  <si>
    <t>潔沛企業有限公司</t>
    <phoneticPr fontId="5" type="noConversion"/>
  </si>
  <si>
    <t>2025.12.01</t>
    <phoneticPr fontId="5" type="noConversion"/>
  </si>
  <si>
    <r>
      <t xml:space="preserve"> </t>
    </r>
    <r>
      <rPr>
        <sz val="11"/>
        <color rgb="FF000000"/>
        <rFont val="細明體"/>
        <family val="3"/>
        <charset val="136"/>
      </rPr>
      <t>缺陷（</t>
    </r>
    <r>
      <rPr>
        <sz val="11"/>
        <color rgb="FF000000"/>
        <rFont val="細明體"/>
        <family val="3"/>
        <charset val="136"/>
      </rPr>
      <t>外觀缺陷）之</t>
    </r>
    <r>
      <rPr>
        <sz val="11"/>
        <color rgb="FF000000"/>
        <rFont val="Calibri"/>
        <family val="2"/>
      </rPr>
      <t xml:space="preserve"> Top Defect </t>
    </r>
    <r>
      <rPr>
        <sz val="11"/>
        <color rgb="FF000000"/>
        <rFont val="細明體"/>
        <family val="3"/>
        <charset val="136"/>
      </rPr>
      <t>分析與改善追蹤</t>
    </r>
    <phoneticPr fontId="5" type="noConversion"/>
  </si>
  <si>
    <r>
      <t xml:space="preserve"> </t>
    </r>
    <r>
      <rPr>
        <sz val="11"/>
        <color rgb="FF000000"/>
        <rFont val="細明體"/>
        <family val="3"/>
        <charset val="136"/>
      </rPr>
      <t>記錄</t>
    </r>
    <phoneticPr fontId="5" type="noConversion"/>
  </si>
  <si>
    <t>文件資訊</t>
    <phoneticPr fontId="5" type="noConversion"/>
  </si>
  <si>
    <t>其他缺陷</t>
    <phoneticPr fontId="5" type="noConversion"/>
  </si>
  <si>
    <t>（範例）雖有缺陷資料，但未形成Top defect/Pareto與行動追蹤，未能證明以Top defect分析推動CIP。</t>
    <phoneticPr fontId="5" type="noConversion"/>
  </si>
  <si>
    <t>編製(品管課)</t>
    <phoneticPr fontId="5" type="noConversion"/>
  </si>
  <si>
    <t>審核(管理部)</t>
    <phoneticPr fontId="5" type="noConversion"/>
  </si>
  <si>
    <t>核准(協理)</t>
    <phoneticPr fontId="5" type="noConversion"/>
  </si>
  <si>
    <r>
      <rPr>
        <sz val="11"/>
        <color rgb="FF000000"/>
        <rFont val="細明體"/>
        <family val="3"/>
        <charset val="136"/>
      </rPr>
      <t>建議稽核證據附件（可於工作表中檢視</t>
    </r>
    <r>
      <rPr>
        <sz val="11"/>
        <color rgb="FF000000"/>
        <rFont val="Calibri"/>
        <family val="2"/>
      </rPr>
      <t>/</t>
    </r>
    <r>
      <rPr>
        <sz val="11"/>
        <color rgb="FF000000"/>
        <rFont val="細明體"/>
        <family val="3"/>
        <charset val="136"/>
      </rPr>
      <t xml:space="preserve">列印）：
</t>
    </r>
    <r>
      <rPr>
        <sz val="11"/>
        <color rgb="FF000000"/>
        <rFont val="Calibri"/>
        <family val="2"/>
      </rPr>
      <t>• Defect_Pareto</t>
    </r>
    <r>
      <rPr>
        <sz val="11"/>
        <color rgb="FF000000"/>
        <rFont val="細明體"/>
        <family val="3"/>
        <charset val="136"/>
      </rPr>
      <t>：缺陷類別柏拉圖（</t>
    </r>
    <r>
      <rPr>
        <sz val="11"/>
        <color rgb="FF000000"/>
        <rFont val="Calibri"/>
        <family val="2"/>
      </rPr>
      <t>Top Defect</t>
    </r>
    <r>
      <rPr>
        <sz val="11"/>
        <color rgb="FF000000"/>
        <rFont val="細明體"/>
        <family val="3"/>
        <charset val="136"/>
      </rPr>
      <t xml:space="preserve">、占比、累積占比）
</t>
    </r>
    <r>
      <rPr>
        <sz val="11"/>
        <color rgb="FF000000"/>
        <rFont val="Calibri"/>
        <family val="2"/>
      </rPr>
      <t>• CIP_Tracker</t>
    </r>
    <r>
      <rPr>
        <sz val="11"/>
        <color rgb="FF000000"/>
        <rFont val="細明體"/>
        <family val="3"/>
        <charset val="136"/>
      </rPr>
      <t>：</t>
    </r>
    <r>
      <rPr>
        <sz val="11"/>
        <color rgb="FF000000"/>
        <rFont val="Calibri"/>
        <family val="2"/>
      </rPr>
      <t xml:space="preserve">Top 1~3 </t>
    </r>
    <r>
      <rPr>
        <sz val="11"/>
        <color rgb="FF000000"/>
        <rFont val="細明體"/>
        <family val="3"/>
        <charset val="136"/>
      </rPr>
      <t>缺陷改善追蹤（</t>
    </r>
    <r>
      <rPr>
        <sz val="11"/>
        <color rgb="FF000000"/>
        <rFont val="Calibri"/>
        <family val="2"/>
      </rPr>
      <t xml:space="preserve">5 Why </t>
    </r>
    <r>
      <rPr>
        <sz val="11"/>
        <color rgb="FF000000"/>
        <rFont val="細明體"/>
        <family val="3"/>
        <charset val="136"/>
      </rPr>
      <t xml:space="preserve">根因、對策、證據、結案條件）
</t>
    </r>
    <r>
      <rPr>
        <sz val="11"/>
        <color rgb="FF000000"/>
        <rFont val="Calibri"/>
        <family val="2"/>
      </rPr>
      <t/>
    </r>
    <phoneticPr fontId="5" type="noConversion"/>
  </si>
  <si>
    <t>2025.12.24</t>
  </si>
  <si>
    <t>裂痕(填寫範例)</t>
    <phoneticPr fontId="5" type="noConversion"/>
  </si>
  <si>
    <t>（範例）附：柏拉圖、I-MR圖、行動追蹤表、SOP版本、訓練紀錄。</t>
    <phoneticPr fontId="5" type="noConversion"/>
  </si>
  <si>
    <t>工程部/品管課</t>
    <phoneticPr fontId="5" type="noConversion"/>
  </si>
  <si>
    <t>（範例）請以5Why撰寫並收斂具體/系統性根因。</t>
    <phoneticPr fontId="5" type="noConversion"/>
  </si>
  <si>
    <t>Closed</t>
  </si>
  <si>
    <t>驗證指標：
1. 良率驗證： 使用新配方試清洗後，確認良率已提升至 90% 以上（符合客戶接受標準）。
2. 客戶承認： 提交改善後之良率報告，並已於2025/12/24獲得客戶承認。</t>
    <phoneticPr fontId="5" type="noConversion"/>
  </si>
  <si>
    <t>（範例）建立每週柏拉圖+例會機制；定義門檻觸發OCAP/CAPA；指定責任人與輸出物。</t>
    <phoneticPr fontId="5" type="noConversion"/>
  </si>
  <si>
    <t xml:space="preserve">1. Why?該批次的汙染率過高。
2. Why?  玻璃表面經清洗後目檢時發現在有大量汙染狀況，AOI也無法判讀是刮裂痕或髒汙造成。
系統性原因：
Why? 製程參數未針對此基材特性進行最佳化匹配。
</t>
    <phoneticPr fontId="5" type="noConversion"/>
  </si>
  <si>
    <t>附：本行動追蹤表、產品良率提升計畫、重工測試報告。</t>
    <phoneticPr fontId="5" type="noConversion"/>
  </si>
  <si>
    <t xml:space="preserve">防止再發（系統面）：
1.將污染的AOI外觀圖像、目檢光源觀察、AOI wafer map 的位置分佈，三方面交叉比對，與建立資料庫。 將實測的資料轉化為品檢教育訓練的範本，建立於工程的重要文件。
 </t>
    <phoneticPr fontId="5" type="noConversion"/>
  </si>
  <si>
    <t>風險評估與阻斷：：
1.在客戶同意下，對產品進行重工洗淨實驗分析，確認造成汙染物來源。
2.因AOI圖像為2D俯視圖，無法判定屬凹點（刮線）或凸點（髒污），故尋求KEYENCE提供雷射顯微鏡判讀與分析，經雷射顯微鏡觀察，結果顯示目視認為的汙染，其實是刮傷所造成。</t>
    <phoneticPr fontId="5" type="noConversion"/>
  </si>
  <si>
    <t>1.建立產品良率提升計畫，提升良率與乾淨度：
本次測試重工洗淨流程增加了洗淨時間，發現確實可以提升乾淨度。因考量增加洗淨時間會壓縮到產能，因此提升良率的方向，會採用除膠藥水的配方調整，在洗淨時間與流程參數不變的前提下，請藥水供應商柏連企業調整原料配方的比例，以達到提升乾淨度的目的，並同時大幅減少刮傷狀況。</t>
    <phoneticPr fontId="5" type="noConversion"/>
  </si>
  <si>
    <t>總良率</t>
  </si>
  <si>
    <t>OCR篩選不用洗</t>
  </si>
  <si>
    <t>需清洗/檢驗</t>
    <phoneticPr fontId="5" type="noConversion"/>
  </si>
  <si>
    <t>每日資料輸入（藍色為輸入；其餘自動計算）</t>
  </si>
  <si>
    <t>每日生產數量</t>
    <phoneticPr fontId="5" type="noConversion"/>
  </si>
  <si>
    <t>備註</t>
  </si>
  <si>
    <t>其他缺陷</t>
  </si>
  <si>
    <t>期間彙總（自動）</t>
  </si>
  <si>
    <t>總生產數量</t>
  </si>
  <si>
    <t>OCR篩選不用洗（片）</t>
  </si>
  <si>
    <t>需清洗/檢驗（片）</t>
  </si>
  <si>
    <t>洗後OK(無缺陷)（片）</t>
  </si>
  <si>
    <t>總缺陷數（片）</t>
  </si>
  <si>
    <t>缺陷柏拉圖（僅統計缺陷；依數量由大到小排序）</t>
  </si>
  <si>
    <t>合計缺陷</t>
  </si>
  <si>
    <t>分析期間</t>
    <phoneticPr fontId="5" type="noConversion"/>
  </si>
  <si>
    <t>每日缺陷彙總— 柏拉圖與良率</t>
    <phoneticPr fontId="5" type="noConversion"/>
  </si>
  <si>
    <t>洗後OK(無缺陷)</t>
    <phoneticPr fontId="5" type="noConversion"/>
  </si>
  <si>
    <t>總良率</t>
    <phoneticPr fontId="5" type="noConversion"/>
  </si>
  <si>
    <t>產品名稱/訂單編號</t>
    <phoneticPr fontId="5" type="noConversion"/>
  </si>
  <si>
    <t>MR15-02(002)A</t>
    <phoneticPr fontId="5" type="noConversion"/>
  </si>
  <si>
    <r>
      <t xml:space="preserve">CIP </t>
    </r>
    <r>
      <rPr>
        <sz val="11"/>
        <color rgb="FF000000"/>
        <rFont val="細明體"/>
        <family val="3"/>
        <charset val="136"/>
      </rPr>
      <t>追蹤改善紀錄表</t>
    </r>
    <phoneticPr fontId="5" type="noConversion"/>
  </si>
  <si>
    <t>統計顯示裂痕為Top 1缺陷：針對美光玻璃洗淨產品，經檢驗發現「」數量達 39 pcs，佔總檢驗數（836 pcs）之 4.7%。此缺陷率嚴重超出品質目標，需確認問題來源。</t>
    <phoneticPr fontId="5" type="noConversion"/>
  </si>
  <si>
    <t>20260108~20260110</t>
    <phoneticPr fontId="5" type="noConversion"/>
  </si>
  <si>
    <t>20260105~20260107</t>
    <phoneticPr fontId="5" type="noConversion"/>
  </si>
  <si>
    <t xml:space="preserve"> RECYCLE GLASS NEG ABC-1 (JEPE)/4516243668                      第十四板</t>
    <phoneticPr fontId="5" type="noConversion"/>
  </si>
  <si>
    <t xml:space="preserve"> RECYCLE GLASS NEG ABC-1 (JEPE)/4516243668                               第十三板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</si>
</sst>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20">
    <font>
      <sz val="11"/>
      <color theme="1"/>
      <name val="新細明體"/>
      <family val="2"/>
      <scheme val="minor"/>
    </font>
    <font>
      <sz val="11"/>
      <color rgb="FF0000FF"/>
      <name val="新細明體"/>
      <family val="1"/>
      <charset val="136"/>
    </font>
    <font>
      <b/>
      <sz val="14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000000"/>
      <name val="Calibri"/>
      <family val="2"/>
    </font>
    <font>
      <b/>
      <sz val="11"/>
      <color rgb="FF404040"/>
      <name val="Calibri"/>
      <family val="2"/>
    </font>
    <font>
      <b/>
      <sz val="16"/>
      <color rgb="FF1F4E79"/>
      <name val="Calibri"/>
      <family val="2"/>
    </font>
    <font>
      <b/>
      <sz val="11"/>
      <color rgb="FF000000"/>
      <name val="Calibri"/>
      <family val="2"/>
    </font>
    <font>
      <i/>
      <sz val="10"/>
      <color rgb="FF404040"/>
      <name val="Calibri"/>
      <family val="2"/>
    </font>
    <font>
      <b/>
      <sz val="20"/>
      <color rgb="FFFFFFFF"/>
      <name val="細明體"/>
      <family val="3"/>
      <charset val="136"/>
    </font>
    <font>
      <b/>
      <sz val="11"/>
      <color rgb="FF404040"/>
      <name val="細明體"/>
      <family val="3"/>
      <charset val="136"/>
    </font>
    <font>
      <sz val="11"/>
      <color rgb="FF000000"/>
      <name val="細明體"/>
      <family val="3"/>
      <charset val="136"/>
    </font>
    <font>
      <b/>
      <sz val="11"/>
      <color rgb="FF000000"/>
      <name val="細明體"/>
      <family val="3"/>
      <charset val="136"/>
    </font>
    <font>
      <b/>
      <sz val="16"/>
      <color rgb="FF1F4E79"/>
      <name val="細明體"/>
      <family val="3"/>
      <charset val="136"/>
    </font>
    <font>
      <sz val="11"/>
      <color theme="1"/>
      <name val="PMingLiu"/>
      <family val="1"/>
    </font>
    <font>
      <sz val="11"/>
      <color rgb="FF000000"/>
      <name val="PMingLiu"/>
      <family val="1"/>
    </font>
    <font>
      <sz val="11"/>
      <color theme="1"/>
      <name val="新細明體"/>
      <family val="2"/>
      <scheme val="minor"/>
    </font>
    <font>
      <sz val="11"/>
      <name val="Microsoft JhengHei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E9EFF7"/>
      </patternFill>
    </fill>
    <fill>
      <patternFill patternType="solid">
        <fgColor theme="9"/>
        <bgColor indexed="64"/>
      </patternFill>
    </fill>
    <fill>
      <patternFill patternType="solid">
        <fgColor rgb="FFFFF2CC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medium">
        <color rgb="FF1F4E79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/>
      <right/>
      <top style="medium">
        <color rgb="FF1F4E79"/>
      </top>
      <bottom/>
      <diagonal/>
    </border>
    <border>
      <left style="medium">
        <color rgb="FF1F4E79"/>
      </left>
      <right/>
      <top/>
      <bottom/>
      <diagonal/>
    </border>
    <border>
      <left/>
      <right style="thin">
        <color rgb="FF404040"/>
      </right>
      <top style="medium">
        <color rgb="FF1F4E79"/>
      </top>
      <bottom/>
      <diagonal/>
    </border>
    <border>
      <left/>
      <right style="thin">
        <color rgb="FF404040"/>
      </right>
      <top/>
      <bottom/>
      <diagonal/>
    </border>
    <border>
      <left style="medium">
        <color rgb="FF1F4E79"/>
      </left>
      <right/>
      <top/>
      <bottom style="thin">
        <color rgb="FF404040"/>
      </bottom>
      <diagonal/>
    </border>
    <border>
      <left/>
      <right/>
      <top/>
      <bottom style="thin">
        <color rgb="FF404040"/>
      </bottom>
      <diagonal/>
    </border>
    <border>
      <left/>
      <right style="thin">
        <color rgb="FF404040"/>
      </right>
      <top/>
      <bottom style="thin">
        <color rgb="FF404040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404040"/>
      </top>
      <bottom/>
      <diagonal/>
    </border>
    <border>
      <left/>
      <right style="thin">
        <color rgb="FF404040"/>
      </right>
      <top style="thin">
        <color rgb="FF404040"/>
      </top>
      <bottom/>
      <diagonal/>
    </border>
    <border>
      <left/>
      <right/>
      <top style="thin">
        <color rgb="FF404040"/>
      </top>
      <bottom style="thin">
        <color rgb="FF404040"/>
      </bottom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  <border>
      <left/>
      <right/>
      <top style="thin">
        <color rgb="FF404040"/>
      </top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 style="thin">
        <color rgb="FF404040"/>
      </top>
      <bottom style="medium">
        <color rgb="FF1F4E79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/>
      <top style="thin">
        <color rgb="FF404040"/>
      </top>
      <bottom style="thin">
        <color rgb="FF404040"/>
      </bottom>
      <diagonal/>
    </border>
    <border>
      <left/>
      <right/>
      <top/>
      <bottom style="medium">
        <color rgb="FF1F4E79"/>
      </bottom>
      <diagonal/>
    </border>
    <border>
      <left/>
      <right style="thin">
        <color rgb="FF404040"/>
      </right>
      <top/>
      <bottom style="medium">
        <color rgb="FF1F4E7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E9E9E"/>
      </left>
      <right style="thin">
        <color rgb="FF9E9E9E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medium">
        <color rgb="FF1F4E79"/>
      </left>
      <right style="thin">
        <color rgb="FF404040"/>
      </right>
      <top/>
      <bottom style="thin">
        <color rgb="FF404040"/>
      </bottom>
      <diagonal/>
    </border>
  </borders>
  <cellStyleXfs count="2">
    <xf numFmtId="0" fontId="0" fillId="0" borderId="0"/>
    <xf numFmtId="0" fontId="18" fillId="0" borderId="0"/>
  </cellStyleXfs>
  <cellXfs count="91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0" xfId="0"/>
    <xf numFmtId="0" fontId="16" fillId="6" borderId="26" xfId="0" applyFont="1" applyFill="1" applyBorder="1" applyAlignment="1">
      <alignment vertical="top" wrapText="1"/>
    </xf>
    <xf numFmtId="0" fontId="0" fillId="6" borderId="27" xfId="0" applyFill="1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17" fillId="0" borderId="2" xfId="0" applyFont="1" applyBorder="1" applyAlignment="1">
      <alignment vertical="top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9" fillId="7" borderId="2" xfId="1" applyFont="1" applyFill="1" applyBorder="1" applyAlignment="1">
      <alignment horizontal="center" vertical="center" wrapText="1"/>
    </xf>
    <xf numFmtId="14" fontId="19" fillId="7" borderId="2" xfId="1" applyNumberFormat="1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76" fontId="0" fillId="0" borderId="31" xfId="0" applyNumberFormat="1" applyBorder="1" applyAlignment="1">
      <alignment horizontal="center" vertical="center"/>
    </xf>
    <xf numFmtId="0" fontId="1" fillId="0" borderId="31" xfId="0" applyFont="1" applyBorder="1" applyAlignment="1">
      <alignment horizontal="left" vertical="center"/>
    </xf>
    <xf numFmtId="0" fontId="3" fillId="0" borderId="3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4" fillId="3" borderId="31" xfId="0" applyFont="1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4" xfId="0" applyNumberFormat="1" applyBorder="1" applyAlignment="1">
      <alignment horizontal="center" vertical="center"/>
    </xf>
    <xf numFmtId="0" fontId="3" fillId="0" borderId="34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8" borderId="31" xfId="0" applyFill="1" applyBorder="1" applyAlignment="1">
      <alignment horizontal="center" vertical="center" wrapText="1"/>
    </xf>
    <xf numFmtId="176" fontId="0" fillId="0" borderId="38" xfId="0" applyNumberFormat="1" applyBorder="1" applyAlignment="1">
      <alignment horizontal="center" vertical="center"/>
    </xf>
    <xf numFmtId="176" fontId="0" fillId="0" borderId="39" xfId="0" applyNumberFormat="1" applyBorder="1" applyAlignment="1">
      <alignment horizontal="center" vertical="center"/>
    </xf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0" fillId="4" borderId="18" xfId="0" applyFont="1" applyFill="1" applyBorder="1" applyAlignment="1">
      <alignment horizontal="left" vertical="center" wrapText="1"/>
    </xf>
    <xf numFmtId="0" fontId="0" fillId="0" borderId="17" xfId="0" applyBorder="1"/>
    <xf numFmtId="0" fontId="0" fillId="0" borderId="24" xfId="0" applyBorder="1"/>
    <xf numFmtId="0" fontId="0" fillId="0" borderId="25" xfId="0" applyBorder="1"/>
    <xf numFmtId="0" fontId="9" fillId="5" borderId="3" xfId="0" applyFont="1" applyFill="1" applyBorder="1" applyAlignment="1">
      <alignment horizontal="center" vertical="center" wrapText="1"/>
    </xf>
    <xf numFmtId="0" fontId="0" fillId="0" borderId="16" xfId="0" applyBorder="1"/>
    <xf numFmtId="0" fontId="6" fillId="0" borderId="3" xfId="0" applyFont="1" applyBorder="1" applyAlignment="1">
      <alignment horizontal="left" vertical="center" wrapText="1"/>
    </xf>
    <xf numFmtId="0" fontId="0" fillId="0" borderId="15" xfId="0" applyBorder="1"/>
    <xf numFmtId="0" fontId="9" fillId="5" borderId="23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0" fillId="0" borderId="13" xfId="0" applyBorder="1"/>
    <xf numFmtId="0" fontId="0" fillId="0" borderId="14" xfId="0" applyBorder="1"/>
    <xf numFmtId="0" fontId="6" fillId="0" borderId="4" xfId="0" applyFont="1" applyBorder="1" applyAlignment="1">
      <alignment horizontal="left" vertical="top" wrapText="1"/>
    </xf>
    <xf numFmtId="0" fontId="0" fillId="0" borderId="6" xfId="0" applyBorder="1"/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4" fillId="4" borderId="3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7" fillId="4" borderId="2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8" fillId="0" borderId="40" xfId="0" applyFont="1" applyBorder="1" applyAlignment="1">
      <alignment horizontal="left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0" fillId="0" borderId="0" xfId="0" applyBorder="1"/>
    <xf numFmtId="0" fontId="15" fillId="0" borderId="16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3" borderId="37" xfId="0" applyFont="1" applyFill="1" applyBorder="1" applyAlignment="1">
      <alignment horizontal="left" vertical="center"/>
    </xf>
    <xf numFmtId="0" fontId="0" fillId="0" borderId="29" xfId="0" applyBorder="1"/>
    <xf numFmtId="0" fontId="0" fillId="0" borderId="30" xfId="0" applyBorder="1"/>
    <xf numFmtId="0" fontId="4" fillId="3" borderId="19" xfId="0" applyFont="1" applyFill="1" applyBorder="1" applyAlignment="1">
      <alignment horizontal="left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1" fillId="0" borderId="31" xfId="0" applyFont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4" fillId="3" borderId="31" xfId="0" applyFont="1" applyFill="1" applyBorder="1" applyAlignment="1">
      <alignment horizontal="center" vertical="center" wrapText="1"/>
    </xf>
    <xf numFmtId="0" fontId="0" fillId="0" borderId="32" xfId="0" applyBorder="1"/>
  </cellXfs>
  <cellStyles count="2">
    <cellStyle name="Normal" xfId="1"/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缺陷柏拉圖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每日缺陷彙總!$B$19</c:f>
              <c:strCache>
                <c:ptCount val="1"/>
                <c:pt idx="0">
                  <c:v>數量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每日缺陷彙總!$A$20:$A$23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每日缺陷彙總!$B$20:$B$23</c:f>
              <c:numCache>
                <c:formatCode>General</c:formatCode>
                <c:ptCount val="4"/>
                <c:pt idx="0">
                  <c:v>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E-4B6A-910C-A2E348BD436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每日缺陷彙總!$E$19</c:f>
              <c:strCache>
                <c:ptCount val="1"/>
                <c:pt idx="0">
                  <c:v>累積占比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每日缺陷彙總!$A$20:$A$23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每日缺陷彙總!$E$20:$E$23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D1E-4B6A-910C-A2E348BD4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缺陷類別</a:t>
                </a:r>
              </a:p>
            </c:rich>
          </c:tx>
          <c:layout>
            <c:manualLayout>
              <c:xMode val="edge"/>
              <c:yMode val="edge"/>
              <c:x val="0.4683985380116959"/>
              <c:y val="0.74909660493827157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數量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  <c:max val="1"/>
          <c:min val="0"/>
        </c:scaling>
        <c:delete val="1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累積占比</a:t>
                </a:r>
              </a:p>
            </c:rich>
          </c:tx>
          <c:layout/>
          <c:overlay val="1"/>
        </c:title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0318713450292401"/>
          <c:y val="0.39776141975308643"/>
          <c:w val="0.12997076023391813"/>
          <c:h val="0.1417611111111111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每日生產良率趨勢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circle"/>
            <c:size val="17"/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45-4FFC-B783-2EAE50E1ED00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45-4FFC-B783-2EAE50E1ED00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645-4FFC-B783-2EAE50E1ED0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645-4FFC-B783-2EAE50E1ED0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645-4FFC-B783-2EAE50E1ED0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645-4FFC-B783-2EAE50E1ED00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每日缺陷彙總!$J$7:$J$9</c:f>
              <c:numCache>
                <c:formatCode>0.0%</c:formatCode>
                <c:ptCount val="3"/>
                <c:pt idx="0">
                  <c:v>0.92666666666666664</c:v>
                </c:pt>
                <c:pt idx="1">
                  <c:v>0.93867924528301883</c:v>
                </c:pt>
                <c:pt idx="2">
                  <c:v>0.9375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645-4FFC-B783-2EAE50E1ED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良率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每日生產良率趨勢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circle"/>
            <c:size val="17"/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B5-4B4D-B4AA-972FFD2E1FDE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B5-4B4D-B4AA-972FFD2E1FDE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B5-4B4D-B4AA-972FFD2E1FD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FB5-4B4D-B4AA-972FFD2E1FD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FB5-4B4D-B4AA-972FFD2E1FD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FB5-4B4D-B4AA-972FFD2E1FDE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每日缺陷彙總!$J$32:$J$34</c:f>
              <c:numCache>
                <c:formatCode>0.0%</c:formatCode>
                <c:ptCount val="3"/>
                <c:pt idx="0">
                  <c:v>0.92817679558011046</c:v>
                </c:pt>
                <c:pt idx="1">
                  <c:v>0.92481203007518797</c:v>
                </c:pt>
                <c:pt idx="2">
                  <c:v>0.93220338983050843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4FB5-4B4D-B4AA-972FFD2E1F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良率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缺陷柏拉圖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每日缺陷彙總!$B$44</c:f>
              <c:strCache>
                <c:ptCount val="1"/>
                <c:pt idx="0">
                  <c:v>數量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每日缺陷彙總!$A$45:$A$48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每日缺陷彙總!$B$45:$B$48</c:f>
              <c:numCache>
                <c:formatCode>General</c:formatCode>
                <c:ptCount val="4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2-4917-BCE1-CF98B4B11E7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缺陷類別</a:t>
                </a:r>
              </a:p>
            </c:rich>
          </c:tx>
          <c:layout>
            <c:manualLayout>
              <c:xMode val="edge"/>
              <c:yMode val="edge"/>
              <c:x val="0.42106637426900584"/>
              <c:y val="0.76869537037037039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數量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zh-TW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457200</xdr:colOff>
      <xdr:row>6</xdr:row>
      <xdr:rowOff>114300</xdr:rowOff>
    </xdr:from>
    <xdr:ext cx="6840000" cy="324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7</xdr:row>
      <xdr:rowOff>0</xdr:rowOff>
    </xdr:from>
    <xdr:ext cx="5400000" cy="2700000"/>
    <xdr:graphicFrame macro="">
      <xdr:nvGraphicFramePr>
        <xdr:cNvPr id="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27</xdr:col>
      <xdr:colOff>0</xdr:colOff>
      <xdr:row>27</xdr:row>
      <xdr:rowOff>0</xdr:rowOff>
    </xdr:from>
    <xdr:ext cx="5400000" cy="2700000"/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361950</xdr:colOff>
      <xdr:row>26</xdr:row>
      <xdr:rowOff>95250</xdr:rowOff>
    </xdr:from>
    <xdr:ext cx="6840000" cy="3240000"/>
    <xdr:graphicFrame macro="">
      <xdr:nvGraphicFramePr>
        <xdr:cNvPr id="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D9" sqref="D9:E9"/>
    </sheetView>
  </sheetViews>
  <sheetFormatPr defaultRowHeight="15.75"/>
  <cols>
    <col min="1" max="1" width="2.42578125" customWidth="1"/>
    <col min="2" max="11" width="16" customWidth="1"/>
    <col min="12" max="12" width="2.42578125" customWidth="1"/>
  </cols>
  <sheetData>
    <row r="1" spans="2:11" ht="27.95" customHeight="1">
      <c r="B1" s="68" t="s">
        <v>43</v>
      </c>
      <c r="C1" s="69"/>
      <c r="D1" s="69"/>
      <c r="E1" s="69"/>
      <c r="F1" s="69"/>
      <c r="G1" s="69"/>
      <c r="H1" s="69"/>
      <c r="I1" s="69"/>
      <c r="J1" s="69"/>
      <c r="K1" s="70"/>
    </row>
    <row r="2" spans="2:11" ht="27.95" customHeight="1">
      <c r="B2" s="57"/>
      <c r="C2" s="58"/>
      <c r="D2" s="58"/>
      <c r="E2" s="58"/>
      <c r="F2" s="58"/>
      <c r="G2" s="58"/>
      <c r="H2" s="58"/>
      <c r="I2" s="58"/>
      <c r="J2" s="58"/>
      <c r="K2" s="59"/>
    </row>
    <row r="3" spans="2:11" ht="27.95" customHeight="1">
      <c r="B3" s="57"/>
      <c r="C3" s="71"/>
      <c r="D3" s="61"/>
      <c r="E3" s="61"/>
      <c r="F3" s="61"/>
      <c r="G3" s="61"/>
      <c r="H3" s="61"/>
      <c r="I3" s="61"/>
      <c r="J3" s="61"/>
      <c r="K3" s="62"/>
    </row>
    <row r="4" spans="2:11" ht="21.95" customHeight="1">
      <c r="B4" s="65" t="s">
        <v>42</v>
      </c>
      <c r="C4" s="65"/>
      <c r="D4" s="72" t="s">
        <v>47</v>
      </c>
      <c r="E4" s="73"/>
      <c r="F4" s="73"/>
      <c r="G4" s="73"/>
      <c r="H4" s="73"/>
      <c r="I4" s="73"/>
      <c r="J4" s="73"/>
      <c r="K4" s="64"/>
    </row>
    <row r="5" spans="2:11" ht="21.95" customHeight="1">
      <c r="B5" s="65"/>
      <c r="C5" s="65"/>
      <c r="D5" s="66" t="s">
        <v>0</v>
      </c>
      <c r="E5" s="44"/>
      <c r="F5" s="45" t="s">
        <v>87</v>
      </c>
      <c r="G5" s="46"/>
      <c r="H5" s="46"/>
      <c r="I5" s="46"/>
      <c r="J5" s="46"/>
      <c r="K5" s="44"/>
    </row>
    <row r="6" spans="2:11" ht="21.95" customHeight="1">
      <c r="B6" s="65"/>
      <c r="C6" s="65"/>
      <c r="D6" s="66" t="s">
        <v>1</v>
      </c>
      <c r="E6" s="44"/>
      <c r="F6" s="45" t="s">
        <v>88</v>
      </c>
      <c r="G6" s="46"/>
      <c r="H6" s="46"/>
      <c r="I6" s="46"/>
      <c r="J6" s="46"/>
      <c r="K6" s="44"/>
    </row>
    <row r="7" spans="2:11" ht="21.95" customHeight="1">
      <c r="B7" s="65"/>
      <c r="C7" s="65"/>
      <c r="D7" s="66" t="s">
        <v>2</v>
      </c>
      <c r="E7" s="44"/>
      <c r="F7" s="45" t="s">
        <v>3</v>
      </c>
      <c r="G7" s="46"/>
      <c r="H7" s="46"/>
      <c r="I7" s="46"/>
      <c r="J7" s="46"/>
      <c r="K7" s="44"/>
    </row>
    <row r="8" spans="2:11" ht="26.1" customHeight="1">
      <c r="B8" s="65"/>
      <c r="C8" s="65"/>
      <c r="D8" s="66" t="s">
        <v>4</v>
      </c>
      <c r="E8" s="44"/>
      <c r="F8" s="45" t="s">
        <v>44</v>
      </c>
      <c r="G8" s="46"/>
      <c r="H8" s="46"/>
      <c r="I8" s="46"/>
      <c r="J8" s="46"/>
      <c r="K8" s="44"/>
    </row>
    <row r="9" spans="2:11" ht="21.95" customHeight="1">
      <c r="B9" s="65"/>
      <c r="C9" s="65"/>
      <c r="D9" s="66" t="s">
        <v>5</v>
      </c>
      <c r="E9" s="44"/>
      <c r="F9" s="45" t="s">
        <v>45</v>
      </c>
      <c r="G9" s="46"/>
      <c r="H9" s="46"/>
      <c r="I9" s="46"/>
      <c r="J9" s="46"/>
      <c r="K9" s="44"/>
    </row>
    <row r="10" spans="2:11" ht="21.95" customHeight="1">
      <c r="B10" s="65"/>
      <c r="C10" s="65"/>
      <c r="D10" s="66" t="s">
        <v>6</v>
      </c>
      <c r="E10" s="44"/>
      <c r="F10" s="45" t="s">
        <v>46</v>
      </c>
      <c r="G10" s="46"/>
      <c r="H10" s="46"/>
      <c r="I10" s="46"/>
      <c r="J10" s="46"/>
      <c r="K10" s="44"/>
    </row>
    <row r="11" spans="2:11" ht="21.95" customHeight="1">
      <c r="B11" s="67" t="s">
        <v>7</v>
      </c>
      <c r="C11" s="61"/>
      <c r="D11" s="46"/>
      <c r="E11" s="46"/>
      <c r="F11" s="46"/>
      <c r="G11" s="46"/>
      <c r="H11" s="46"/>
      <c r="I11" s="46"/>
      <c r="J11" s="46"/>
      <c r="K11" s="44"/>
    </row>
    <row r="12" spans="2:11" ht="21.95" customHeight="1">
      <c r="B12" s="56" t="s">
        <v>8</v>
      </c>
      <c r="C12" s="54"/>
      <c r="D12" s="54"/>
      <c r="E12" s="54"/>
      <c r="F12" s="54"/>
      <c r="G12" s="54"/>
      <c r="H12" s="54"/>
      <c r="I12" s="54"/>
      <c r="J12" s="54"/>
      <c r="K12" s="55"/>
    </row>
    <row r="13" spans="2:11" ht="21.95" customHeight="1">
      <c r="B13" s="57"/>
      <c r="C13" s="58"/>
      <c r="D13" s="58"/>
      <c r="E13" s="58"/>
      <c r="F13" s="58"/>
      <c r="G13" s="58"/>
      <c r="H13" s="58"/>
      <c r="I13" s="58"/>
      <c r="J13" s="58"/>
      <c r="K13" s="59"/>
    </row>
    <row r="14" spans="2:11" ht="21.95" customHeight="1">
      <c r="B14" s="60"/>
      <c r="C14" s="61"/>
      <c r="D14" s="61"/>
      <c r="E14" s="61"/>
      <c r="F14" s="61"/>
      <c r="G14" s="61"/>
      <c r="H14" s="61"/>
      <c r="I14" s="61"/>
      <c r="J14" s="61"/>
      <c r="K14" s="62"/>
    </row>
    <row r="15" spans="2:11" ht="21.95" customHeight="1">
      <c r="B15" s="56" t="s">
        <v>53</v>
      </c>
      <c r="C15" s="54"/>
      <c r="D15" s="54"/>
      <c r="E15" s="54"/>
      <c r="F15" s="54"/>
      <c r="G15" s="54"/>
      <c r="H15" s="54"/>
      <c r="I15" s="54"/>
      <c r="J15" s="54"/>
      <c r="K15" s="55"/>
    </row>
    <row r="16" spans="2:11" ht="21.95" customHeight="1">
      <c r="B16" s="57"/>
      <c r="C16" s="58"/>
      <c r="D16" s="58"/>
      <c r="E16" s="58"/>
      <c r="F16" s="58"/>
      <c r="G16" s="58"/>
      <c r="H16" s="58"/>
      <c r="I16" s="58"/>
      <c r="J16" s="58"/>
      <c r="K16" s="59"/>
    </row>
    <row r="17" spans="2:11" ht="21.95" customHeight="1">
      <c r="B17" s="57"/>
      <c r="C17" s="58"/>
      <c r="D17" s="58"/>
      <c r="E17" s="58"/>
      <c r="F17" s="58"/>
      <c r="G17" s="58"/>
      <c r="H17" s="58"/>
      <c r="I17" s="58"/>
      <c r="J17" s="58"/>
      <c r="K17" s="59"/>
    </row>
    <row r="18" spans="2:11" ht="21.95" customHeight="1">
      <c r="B18" s="57"/>
      <c r="C18" s="58"/>
      <c r="D18" s="58"/>
      <c r="E18" s="58"/>
      <c r="F18" s="58"/>
      <c r="G18" s="58"/>
      <c r="H18" s="58"/>
      <c r="I18" s="58"/>
      <c r="J18" s="58"/>
      <c r="K18" s="59"/>
    </row>
    <row r="19" spans="2:11" ht="21.95" customHeight="1">
      <c r="B19" s="60"/>
      <c r="C19" s="61"/>
      <c r="D19" s="61"/>
      <c r="E19" s="61"/>
      <c r="F19" s="61"/>
      <c r="G19" s="61"/>
      <c r="H19" s="61"/>
      <c r="I19" s="61"/>
      <c r="J19" s="61"/>
      <c r="K19" s="62"/>
    </row>
    <row r="20" spans="2:11" ht="21.95" customHeight="1">
      <c r="B20" s="53" t="s">
        <v>9</v>
      </c>
      <c r="C20" s="46"/>
      <c r="D20" s="46"/>
      <c r="E20" s="46"/>
      <c r="F20" s="46"/>
      <c r="G20" s="46"/>
      <c r="H20" s="54"/>
      <c r="I20" s="54"/>
      <c r="J20" s="54"/>
      <c r="K20" s="55"/>
    </row>
    <row r="21" spans="2:11" ht="21.95" customHeight="1">
      <c r="B21" s="43" t="s">
        <v>10</v>
      </c>
      <c r="C21" s="44"/>
      <c r="D21" s="47" t="s">
        <v>11</v>
      </c>
      <c r="E21" s="48"/>
      <c r="F21" s="48"/>
      <c r="G21" s="48"/>
      <c r="H21" s="51" t="s">
        <v>12</v>
      </c>
      <c r="I21" s="51"/>
      <c r="J21" s="51"/>
      <c r="K21" s="51"/>
    </row>
    <row r="22" spans="2:11" ht="21.95" customHeight="1">
      <c r="B22" s="63" t="s">
        <v>50</v>
      </c>
      <c r="C22" s="64"/>
      <c r="D22" s="49"/>
      <c r="E22" s="50"/>
      <c r="F22" s="50"/>
      <c r="G22" s="50"/>
      <c r="H22" s="52"/>
      <c r="I22" s="52"/>
      <c r="J22" s="52"/>
      <c r="K22" s="52"/>
    </row>
    <row r="23" spans="2:11" ht="21.95" customHeight="1">
      <c r="B23" s="63" t="s">
        <v>51</v>
      </c>
      <c r="C23" s="64"/>
      <c r="D23" s="49"/>
      <c r="E23" s="50"/>
      <c r="F23" s="50"/>
      <c r="G23" s="50"/>
      <c r="H23" s="52"/>
      <c r="I23" s="52"/>
      <c r="J23" s="52"/>
      <c r="K23" s="52"/>
    </row>
    <row r="24" spans="2:11" ht="21.95" customHeight="1">
      <c r="B24" s="63" t="s">
        <v>52</v>
      </c>
      <c r="C24" s="64"/>
      <c r="D24" s="49"/>
      <c r="E24" s="50"/>
      <c r="F24" s="50"/>
      <c r="G24" s="50"/>
      <c r="H24" s="52"/>
      <c r="I24" s="52"/>
      <c r="J24" s="52"/>
      <c r="K24" s="52"/>
    </row>
    <row r="25" spans="2:11" ht="21.95" customHeight="1">
      <c r="B25" s="39" t="s">
        <v>13</v>
      </c>
      <c r="C25" s="40"/>
      <c r="D25" s="40"/>
      <c r="E25" s="40"/>
      <c r="F25" s="40"/>
      <c r="G25" s="40"/>
      <c r="H25" s="41"/>
      <c r="I25" s="41"/>
      <c r="J25" s="41"/>
      <c r="K25" s="42"/>
    </row>
    <row r="26" spans="2:11" ht="21.95" customHeight="1"/>
    <row r="27" spans="2:11" ht="21.95" customHeight="1"/>
    <row r="28" spans="2:11" ht="21.95" customHeight="1"/>
    <row r="29" spans="2:11" ht="21.95" customHeight="1"/>
    <row r="30" spans="2:11" ht="21.95" customHeight="1"/>
    <row r="31" spans="2:11" ht="21.95" customHeight="1"/>
    <row r="32" spans="2:11" ht="21.95" customHeight="1"/>
  </sheetData>
  <mergeCells count="32">
    <mergeCell ref="B4:C10"/>
    <mergeCell ref="B15:K19"/>
    <mergeCell ref="D8:E8"/>
    <mergeCell ref="B11:K11"/>
    <mergeCell ref="B1:K3"/>
    <mergeCell ref="D10:E10"/>
    <mergeCell ref="D6:E6"/>
    <mergeCell ref="F9:K9"/>
    <mergeCell ref="F8:K8"/>
    <mergeCell ref="F5:K5"/>
    <mergeCell ref="F7:K7"/>
    <mergeCell ref="D7:E7"/>
    <mergeCell ref="D4:K4"/>
    <mergeCell ref="D9:E9"/>
    <mergeCell ref="D5:E5"/>
    <mergeCell ref="F6:K6"/>
    <mergeCell ref="B25:K25"/>
    <mergeCell ref="B21:C21"/>
    <mergeCell ref="F10:K10"/>
    <mergeCell ref="D21:G21"/>
    <mergeCell ref="D22:G22"/>
    <mergeCell ref="D23:G23"/>
    <mergeCell ref="D24:G24"/>
    <mergeCell ref="H21:K21"/>
    <mergeCell ref="H22:K22"/>
    <mergeCell ref="H24:K24"/>
    <mergeCell ref="H23:K23"/>
    <mergeCell ref="B20:K20"/>
    <mergeCell ref="B12:K14"/>
    <mergeCell ref="B24:C24"/>
    <mergeCell ref="B23:C23"/>
    <mergeCell ref="B22:C22"/>
  </mergeCells>
  <phoneticPr fontId="5" type="noConversion"/>
  <pageMargins left="0.5" right="0.5" top="0.6" bottom="0.6" header="0.5" footer="0.5"/>
  <pageSetup paperSize="9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workbookViewId="0">
      <pane ySplit="6" topLeftCell="A25" activePane="bottomLeft" state="frozen"/>
      <selection pane="bottomLeft" activeCell="F50" sqref="F50"/>
    </sheetView>
  </sheetViews>
  <sheetFormatPr defaultRowHeight="15.75"/>
  <cols>
    <col min="1" max="1" width="26.85546875" style="5" bestFit="1" customWidth="1"/>
    <col min="2" max="2" width="14" style="5" customWidth="1"/>
    <col min="3" max="3" width="18" style="5" customWidth="1"/>
    <col min="4" max="4" width="16" style="5" customWidth="1"/>
    <col min="5" max="7" width="10" style="5" customWidth="1"/>
    <col min="8" max="8" width="12" style="5" customWidth="1"/>
    <col min="9" max="9" width="14" style="5" customWidth="1"/>
    <col min="10" max="10" width="10" style="5" customWidth="1"/>
    <col min="11" max="11" width="20" style="5" customWidth="1"/>
    <col min="12" max="12" width="0.85546875" style="5" customWidth="1"/>
    <col min="13" max="13" width="14" style="5" hidden="1" customWidth="1"/>
    <col min="14" max="14" width="10.7109375" style="5" hidden="1" customWidth="1"/>
    <col min="15" max="15" width="9.5703125" style="5" hidden="1" customWidth="1"/>
    <col min="16" max="16384" width="9.140625" style="5"/>
  </cols>
  <sheetData>
    <row r="1" spans="1:11" ht="19.5">
      <c r="A1" s="83" t="s">
        <v>83</v>
      </c>
      <c r="B1" s="84"/>
      <c r="C1" s="84"/>
      <c r="D1" s="84"/>
      <c r="E1" s="84"/>
      <c r="F1" s="84"/>
      <c r="G1" s="84"/>
      <c r="H1" s="84"/>
      <c r="I1" s="84"/>
      <c r="J1" s="84"/>
      <c r="K1" s="85"/>
    </row>
    <row r="2" spans="1:11">
      <c r="A2" s="16" t="s">
        <v>82</v>
      </c>
      <c r="B2" s="86" t="s">
        <v>91</v>
      </c>
      <c r="C2" s="87"/>
      <c r="D2" s="87"/>
      <c r="E2" s="87"/>
      <c r="F2" s="87"/>
      <c r="G2" s="87"/>
      <c r="H2" s="87"/>
      <c r="I2" s="87"/>
      <c r="J2" s="87"/>
      <c r="K2" s="88"/>
    </row>
    <row r="3" spans="1:11">
      <c r="A3" s="16" t="s">
        <v>86</v>
      </c>
      <c r="B3" s="86" t="s">
        <v>93</v>
      </c>
      <c r="C3" s="87"/>
      <c r="D3" s="87"/>
      <c r="E3" s="87"/>
      <c r="F3" s="87"/>
      <c r="G3" s="87"/>
      <c r="H3" s="87"/>
      <c r="I3" s="87"/>
      <c r="J3" s="87"/>
      <c r="K3" s="88"/>
    </row>
    <row r="4" spans="1:11">
      <c r="A4" s="79" t="s">
        <v>70</v>
      </c>
      <c r="B4" s="77"/>
      <c r="C4" s="77"/>
      <c r="D4" s="77"/>
      <c r="E4" s="77"/>
      <c r="F4" s="77"/>
      <c r="G4" s="77"/>
      <c r="H4" s="77"/>
      <c r="I4" s="77"/>
      <c r="J4" s="77"/>
      <c r="K4" s="78"/>
    </row>
    <row r="5" spans="1:11">
      <c r="A5" s="89" t="s">
        <v>12</v>
      </c>
      <c r="B5" s="89" t="s">
        <v>71</v>
      </c>
      <c r="C5" s="89" t="s">
        <v>68</v>
      </c>
      <c r="D5" s="89" t="s">
        <v>69</v>
      </c>
      <c r="E5" s="89" t="s">
        <v>14</v>
      </c>
      <c r="F5" s="87"/>
      <c r="G5" s="87"/>
      <c r="H5" s="88"/>
      <c r="I5" s="89" t="s">
        <v>84</v>
      </c>
      <c r="J5" s="89" t="s">
        <v>67</v>
      </c>
      <c r="K5" s="89" t="s">
        <v>72</v>
      </c>
    </row>
    <row r="6" spans="1:11">
      <c r="A6" s="90"/>
      <c r="B6" s="90"/>
      <c r="C6" s="90"/>
      <c r="D6" s="90"/>
      <c r="E6" s="30" t="s">
        <v>15</v>
      </c>
      <c r="F6" s="30" t="s">
        <v>16</v>
      </c>
      <c r="G6" s="30" t="s">
        <v>17</v>
      </c>
      <c r="H6" s="30" t="s">
        <v>73</v>
      </c>
      <c r="I6" s="90"/>
      <c r="J6" s="90"/>
      <c r="K6" s="90"/>
    </row>
    <row r="7" spans="1:11">
      <c r="A7" s="15">
        <v>46027</v>
      </c>
      <c r="B7" s="14">
        <v>150</v>
      </c>
      <c r="C7" s="17">
        <v>0</v>
      </c>
      <c r="D7" s="18">
        <v>150</v>
      </c>
      <c r="E7" s="17">
        <v>0</v>
      </c>
      <c r="F7" s="17">
        <v>0</v>
      </c>
      <c r="G7" s="17">
        <v>0</v>
      </c>
      <c r="H7" s="17">
        <v>11</v>
      </c>
      <c r="I7" s="18">
        <f t="shared" ref="I7:I9" si="0">IF($D7="","",MAX(0,$D7-SUM($E7:$H7)))</f>
        <v>139</v>
      </c>
      <c r="J7" s="19">
        <f t="shared" ref="J7:J9" si="1" xml:space="preserve"> IF($D7="","",IF($D7=0,0,$I7/$D7))</f>
        <v>0.92666666666666664</v>
      </c>
      <c r="K7" s="20"/>
    </row>
    <row r="8" spans="1:11">
      <c r="A8" s="15">
        <v>46028</v>
      </c>
      <c r="B8" s="14">
        <v>250</v>
      </c>
      <c r="C8" s="28">
        <v>38</v>
      </c>
      <c r="D8" s="18">
        <v>212</v>
      </c>
      <c r="E8" s="17">
        <v>0</v>
      </c>
      <c r="F8" s="17">
        <v>0</v>
      </c>
      <c r="G8" s="17">
        <v>0</v>
      </c>
      <c r="H8" s="17">
        <v>13</v>
      </c>
      <c r="I8" s="18">
        <f t="shared" si="0"/>
        <v>199</v>
      </c>
      <c r="J8" s="19">
        <f t="shared" si="1"/>
        <v>0.93867924528301883</v>
      </c>
      <c r="K8" s="20"/>
    </row>
    <row r="9" spans="1:11">
      <c r="A9" s="15">
        <v>46029</v>
      </c>
      <c r="B9" s="14">
        <v>275</v>
      </c>
      <c r="C9" s="28">
        <v>115</v>
      </c>
      <c r="D9" s="18">
        <v>160</v>
      </c>
      <c r="E9" s="17">
        <v>0</v>
      </c>
      <c r="F9" s="17">
        <v>0</v>
      </c>
      <c r="G9" s="17">
        <v>0</v>
      </c>
      <c r="H9" s="17">
        <v>10</v>
      </c>
      <c r="I9" s="18">
        <f t="shared" si="0"/>
        <v>150</v>
      </c>
      <c r="J9" s="19">
        <f t="shared" si="1"/>
        <v>0.9375</v>
      </c>
      <c r="K9" s="20"/>
    </row>
    <row r="10" spans="1:11">
      <c r="A10" s="3" t="s">
        <v>23</v>
      </c>
      <c r="B10" s="3">
        <f t="shared" ref="B10:I10" si="2">SUM(B7:B9)</f>
        <v>675</v>
      </c>
      <c r="C10" s="3">
        <f t="shared" si="2"/>
        <v>153</v>
      </c>
      <c r="D10" s="3">
        <f t="shared" si="2"/>
        <v>522</v>
      </c>
      <c r="E10" s="3">
        <f t="shared" si="2"/>
        <v>0</v>
      </c>
      <c r="F10" s="3">
        <f t="shared" si="2"/>
        <v>0</v>
      </c>
      <c r="G10" s="29">
        <f t="shared" si="2"/>
        <v>0</v>
      </c>
      <c r="H10" s="3">
        <f t="shared" si="2"/>
        <v>34</v>
      </c>
      <c r="I10" s="3">
        <f t="shared" si="2"/>
        <v>488</v>
      </c>
      <c r="J10" s="27">
        <f xml:space="preserve"> IF($D10="","",IF($D10=0,0,$I10/$D10))</f>
        <v>0.93486590038314177</v>
      </c>
      <c r="K10" s="13"/>
    </row>
    <row r="11" spans="1:11">
      <c r="A11" s="76" t="s">
        <v>74</v>
      </c>
      <c r="B11" s="71"/>
      <c r="C11" s="71"/>
      <c r="D11" s="71"/>
      <c r="E11" s="77"/>
      <c r="F11" s="77"/>
      <c r="G11" s="77"/>
      <c r="H11" s="77"/>
      <c r="I11" s="77"/>
      <c r="J11" s="77"/>
      <c r="K11" s="78"/>
    </row>
    <row r="12" spans="1:11">
      <c r="A12" s="22" t="s">
        <v>75</v>
      </c>
      <c r="B12" s="12">
        <f>B10</f>
        <v>675</v>
      </c>
      <c r="C12" s="12"/>
      <c r="D12" s="12"/>
    </row>
    <row r="13" spans="1:11">
      <c r="A13" s="22" t="s">
        <v>76</v>
      </c>
      <c r="B13" s="12">
        <f>C10</f>
        <v>153</v>
      </c>
      <c r="C13" s="12" t="s">
        <v>20</v>
      </c>
      <c r="D13" s="24">
        <f>IF(B10=0,0,C10/B10)</f>
        <v>0.22666666666666666</v>
      </c>
    </row>
    <row r="14" spans="1:11">
      <c r="A14" s="22" t="s">
        <v>77</v>
      </c>
      <c r="B14" s="12">
        <f>D10</f>
        <v>522</v>
      </c>
      <c r="C14" s="12" t="s">
        <v>20</v>
      </c>
      <c r="D14" s="24">
        <f>IF(B10=0,0,D10/B10)</f>
        <v>0.77333333333333332</v>
      </c>
    </row>
    <row r="15" spans="1:11">
      <c r="A15" s="22" t="s">
        <v>78</v>
      </c>
      <c r="B15" s="12">
        <f>I10</f>
        <v>488</v>
      </c>
      <c r="C15" s="12" t="s">
        <v>20</v>
      </c>
      <c r="D15" s="24">
        <f>IF(D10=0,0,I10/D10)</f>
        <v>0.93486590038314177</v>
      </c>
    </row>
    <row r="16" spans="1:11">
      <c r="A16" s="22" t="s">
        <v>79</v>
      </c>
      <c r="B16" s="12">
        <f>SUM(E10:H10)</f>
        <v>34</v>
      </c>
      <c r="C16" s="12" t="s">
        <v>20</v>
      </c>
      <c r="D16" s="24">
        <f>IF(D10=0,0,SUM(E10:H10)/D10)</f>
        <v>6.5134099616858232E-2</v>
      </c>
    </row>
    <row r="17" spans="1:15">
      <c r="A17" s="22" t="s">
        <v>85</v>
      </c>
      <c r="B17" s="24">
        <f>J10</f>
        <v>0.93486590038314177</v>
      </c>
      <c r="C17" s="12"/>
      <c r="D17" s="12"/>
    </row>
    <row r="18" spans="1:15">
      <c r="A18" s="79" t="s">
        <v>80</v>
      </c>
      <c r="B18" s="77"/>
      <c r="C18" s="77"/>
      <c r="D18" s="77"/>
      <c r="E18" s="77"/>
      <c r="F18" s="77"/>
      <c r="G18" s="77"/>
      <c r="H18" s="77"/>
      <c r="I18" s="77"/>
      <c r="J18" s="77"/>
      <c r="K18" s="78"/>
    </row>
    <row r="19" spans="1:15">
      <c r="A19" s="23" t="s">
        <v>14</v>
      </c>
      <c r="B19" s="23" t="s">
        <v>18</v>
      </c>
      <c r="C19" s="23" t="s">
        <v>19</v>
      </c>
      <c r="D19" s="23" t="s">
        <v>20</v>
      </c>
      <c r="E19" s="23" t="s">
        <v>21</v>
      </c>
      <c r="F19" s="80" t="s">
        <v>22</v>
      </c>
      <c r="G19" s="81"/>
    </row>
    <row r="20" spans="1:15">
      <c r="A20" s="18" t="str">
        <f>INDEX($M$26:$M$29,MATCH(LARGE($O$26:$O$29,1),$O$26:$O$29,0))</f>
        <v>其他缺陷</v>
      </c>
      <c r="B20" s="18">
        <f>INT(LARGE($O$26:$O$29,1))</f>
        <v>34</v>
      </c>
      <c r="C20" s="18">
        <f>SUM($B$20:B20)</f>
        <v>34</v>
      </c>
      <c r="D20" s="19">
        <f t="shared" ref="D20:E23" si="3">IF($B$24=0,0,B20/$B$24)</f>
        <v>1</v>
      </c>
      <c r="E20" s="25">
        <f t="shared" si="3"/>
        <v>1</v>
      </c>
      <c r="F20" s="82" t="str">
        <f>IF($B$24=0,"",INDEX($M$26:$M$29,MATCH(MAX($O$26:$O$29),$O$26:$O$29,0)))</f>
        <v>其他缺陷</v>
      </c>
      <c r="G20" s="82"/>
    </row>
    <row r="21" spans="1:15">
      <c r="A21" s="18" t="str">
        <f>INDEX($M$26:$M$29,MATCH(LARGE($O$26:$O$29,2),$O$26:$O$29,0))</f>
        <v>裂痕</v>
      </c>
      <c r="B21" s="18">
        <f>INT(LARGE($O$26:$O$29,2))</f>
        <v>0</v>
      </c>
      <c r="C21" s="18">
        <f>SUM($B$20:B21)</f>
        <v>34</v>
      </c>
      <c r="D21" s="19">
        <f t="shared" si="3"/>
        <v>0</v>
      </c>
      <c r="E21" s="25">
        <f t="shared" si="3"/>
        <v>1</v>
      </c>
      <c r="F21" s="74"/>
      <c r="G21" s="75"/>
    </row>
    <row r="22" spans="1:15">
      <c r="A22" s="18" t="str">
        <f>INDEX($M$26:$M$29,MATCH(LARGE($O$26:$O$29,3),$O$26:$O$29,0))</f>
        <v>破片</v>
      </c>
      <c r="B22" s="18">
        <f>INT(LARGE($O$26:$O$29,3))</f>
        <v>0</v>
      </c>
      <c r="C22" s="18">
        <f>SUM($B$20:B22)</f>
        <v>34</v>
      </c>
      <c r="D22" s="19">
        <f t="shared" si="3"/>
        <v>0</v>
      </c>
      <c r="E22" s="25">
        <f t="shared" si="3"/>
        <v>1</v>
      </c>
      <c r="F22" s="74"/>
      <c r="G22" s="75"/>
    </row>
    <row r="23" spans="1:15">
      <c r="A23" s="18" t="str">
        <f>INDEX($M$26:$M$29,MATCH(LARGE($O$26:$O$29,4),$O$26:$O$29,0))</f>
        <v>chipping</v>
      </c>
      <c r="B23" s="18">
        <f>INT(LARGE($O$26:$O$29,4))</f>
        <v>0</v>
      </c>
      <c r="C23" s="18">
        <f>SUM($B$20:B23)</f>
        <v>34</v>
      </c>
      <c r="D23" s="31">
        <f t="shared" si="3"/>
        <v>0</v>
      </c>
      <c r="E23" s="32">
        <f t="shared" si="3"/>
        <v>1</v>
      </c>
      <c r="F23" s="74"/>
      <c r="G23" s="75"/>
    </row>
    <row r="24" spans="1:15">
      <c r="A24" s="21" t="s">
        <v>81</v>
      </c>
      <c r="B24" s="21">
        <f>SUM(B20:B23)</f>
        <v>34</v>
      </c>
      <c r="C24" s="26">
        <v>34</v>
      </c>
      <c r="D24" s="13"/>
      <c r="E24" s="13"/>
      <c r="F24" s="74"/>
      <c r="G24" s="75"/>
    </row>
    <row r="26" spans="1:15" ht="19.5">
      <c r="A26" s="83" t="s">
        <v>83</v>
      </c>
      <c r="B26" s="84"/>
      <c r="C26" s="84"/>
      <c r="D26" s="84"/>
      <c r="E26" s="84"/>
      <c r="F26" s="84"/>
      <c r="G26" s="84"/>
      <c r="H26" s="84"/>
      <c r="I26" s="84"/>
      <c r="J26" s="84"/>
      <c r="K26" s="85"/>
      <c r="M26" s="5" t="s">
        <v>15</v>
      </c>
      <c r="N26" s="5">
        <f>E10</f>
        <v>0</v>
      </c>
      <c r="O26" s="5">
        <f>N26+ROW(N26)/1000000</f>
        <v>2.5999999999999998E-5</v>
      </c>
    </row>
    <row r="27" spans="1:15">
      <c r="A27" s="16" t="s">
        <v>82</v>
      </c>
      <c r="B27" s="86" t="s">
        <v>90</v>
      </c>
      <c r="C27" s="87"/>
      <c r="D27" s="87"/>
      <c r="E27" s="87"/>
      <c r="F27" s="87"/>
      <c r="G27" s="87"/>
      <c r="H27" s="87"/>
      <c r="I27" s="87"/>
      <c r="J27" s="87"/>
      <c r="K27" s="88"/>
      <c r="M27" s="5" t="s">
        <v>16</v>
      </c>
      <c r="N27" s="5">
        <f>F10</f>
        <v>0</v>
      </c>
      <c r="O27" s="5">
        <f>N27+ROW(N27)/1000000</f>
        <v>2.6999999999999999E-5</v>
      </c>
    </row>
    <row r="28" spans="1:15">
      <c r="A28" s="16" t="s">
        <v>86</v>
      </c>
      <c r="B28" s="86" t="s">
        <v>92</v>
      </c>
      <c r="C28" s="87"/>
      <c r="D28" s="87"/>
      <c r="E28" s="87"/>
      <c r="F28" s="87"/>
      <c r="G28" s="87"/>
      <c r="H28" s="87"/>
      <c r="I28" s="87"/>
      <c r="J28" s="87"/>
      <c r="K28" s="88"/>
      <c r="M28" s="5" t="s">
        <v>17</v>
      </c>
      <c r="N28" s="5">
        <f>G10</f>
        <v>0</v>
      </c>
      <c r="O28" s="5">
        <f>N28+ROW(N28)/1000000</f>
        <v>2.8E-5</v>
      </c>
    </row>
    <row r="29" spans="1:15">
      <c r="A29" s="79" t="s">
        <v>70</v>
      </c>
      <c r="B29" s="77"/>
      <c r="C29" s="77"/>
      <c r="D29" s="77"/>
      <c r="E29" s="77"/>
      <c r="F29" s="77"/>
      <c r="G29" s="77"/>
      <c r="H29" s="77"/>
      <c r="I29" s="77"/>
      <c r="J29" s="77"/>
      <c r="K29" s="78"/>
      <c r="M29" s="5" t="s">
        <v>73</v>
      </c>
      <c r="N29" s="5">
        <f>H10</f>
        <v>34</v>
      </c>
      <c r="O29" s="5">
        <f>N29+ROW(N29)/1000000</f>
        <v>34.000028999999998</v>
      </c>
    </row>
    <row r="30" spans="1:15">
      <c r="A30" s="89" t="s">
        <v>12</v>
      </c>
      <c r="B30" s="89" t="s">
        <v>71</v>
      </c>
      <c r="C30" s="89" t="s">
        <v>68</v>
      </c>
      <c r="D30" s="89" t="s">
        <v>69</v>
      </c>
      <c r="E30" s="89" t="s">
        <v>14</v>
      </c>
      <c r="F30" s="87"/>
      <c r="G30" s="87"/>
      <c r="H30" s="88"/>
      <c r="I30" s="89" t="s">
        <v>84</v>
      </c>
      <c r="J30" s="89" t="s">
        <v>67</v>
      </c>
      <c r="K30" s="89" t="s">
        <v>72</v>
      </c>
    </row>
    <row r="31" spans="1:15">
      <c r="A31" s="90"/>
      <c r="B31" s="90"/>
      <c r="C31" s="90"/>
      <c r="D31" s="90"/>
      <c r="E31" s="30" t="s">
        <v>15</v>
      </c>
      <c r="F31" s="30" t="s">
        <v>16</v>
      </c>
      <c r="G31" s="30" t="s">
        <v>17</v>
      </c>
      <c r="H31" s="30" t="s">
        <v>73</v>
      </c>
      <c r="I31" s="90"/>
      <c r="J31" s="90"/>
      <c r="K31" s="90"/>
    </row>
    <row r="32" spans="1:15">
      <c r="A32" s="15">
        <v>46030</v>
      </c>
      <c r="B32" s="14">
        <v>300</v>
      </c>
      <c r="C32" s="37">
        <v>119</v>
      </c>
      <c r="D32" s="36">
        <f>B32-C32</f>
        <v>181</v>
      </c>
      <c r="E32" s="37">
        <v>0</v>
      </c>
      <c r="F32" s="37">
        <v>0</v>
      </c>
      <c r="G32" s="37">
        <v>0</v>
      </c>
      <c r="H32" s="37">
        <v>13</v>
      </c>
      <c r="I32" s="36">
        <f>IF($D32="","",MAX(0,$D32-SUM($E32:$H32)))</f>
        <v>168</v>
      </c>
      <c r="J32" s="31">
        <f t="shared" ref="J32" si="4" xml:space="preserve"> IF($D32="","",IF($D32=0,0,$I32/$D32))</f>
        <v>0.92817679558011046</v>
      </c>
      <c r="K32" s="20"/>
    </row>
    <row r="33" spans="1:11">
      <c r="A33" s="15">
        <v>46031</v>
      </c>
      <c r="B33" s="14">
        <v>175</v>
      </c>
      <c r="C33" s="38">
        <f>29+13</f>
        <v>42</v>
      </c>
      <c r="D33" s="12">
        <f>B33-C33</f>
        <v>133</v>
      </c>
      <c r="E33" s="38">
        <v>0</v>
      </c>
      <c r="F33" s="38">
        <v>0</v>
      </c>
      <c r="G33" s="38">
        <v>0</v>
      </c>
      <c r="H33" s="38">
        <v>10</v>
      </c>
      <c r="I33" s="18">
        <f t="shared" ref="I33:I34" si="5">IF($D33="","",MAX(0,$D33-SUM($E33:$H33)))</f>
        <v>123</v>
      </c>
      <c r="J33" s="19">
        <f t="shared" ref="J33:J34" si="6" xml:space="preserve"> IF($D33="","",IF($D33=0,0,$I33/$D33))</f>
        <v>0.92481203007518797</v>
      </c>
      <c r="K33" s="20"/>
    </row>
    <row r="34" spans="1:11">
      <c r="A34" s="15">
        <v>46032</v>
      </c>
      <c r="B34" s="14">
        <v>200</v>
      </c>
      <c r="C34" s="35">
        <v>82</v>
      </c>
      <c r="D34" s="12">
        <f>B34-C34</f>
        <v>118</v>
      </c>
      <c r="E34" s="38">
        <v>0</v>
      </c>
      <c r="F34" s="38">
        <v>0</v>
      </c>
      <c r="G34" s="38">
        <v>0</v>
      </c>
      <c r="H34" s="35">
        <v>8</v>
      </c>
      <c r="I34" s="18">
        <f t="shared" si="5"/>
        <v>110</v>
      </c>
      <c r="J34" s="19">
        <f t="shared" si="6"/>
        <v>0.93220338983050843</v>
      </c>
      <c r="K34" s="20"/>
    </row>
    <row r="35" spans="1:11">
      <c r="A35" s="34" t="s">
        <v>23</v>
      </c>
      <c r="B35" s="34">
        <f>SUM(B32:B34)</f>
        <v>675</v>
      </c>
      <c r="C35" s="34">
        <f>SUM(C33:C34)</f>
        <v>124</v>
      </c>
      <c r="D35" s="34">
        <f>SUM(D33:D34)</f>
        <v>251</v>
      </c>
      <c r="E35" s="34">
        <f>SUM(E33:E34)</f>
        <v>0</v>
      </c>
      <c r="F35" s="34">
        <f>SUM(F33:F34)</f>
        <v>0</v>
      </c>
      <c r="G35" s="34">
        <f>SUM(G33:G34)</f>
        <v>0</v>
      </c>
      <c r="H35" s="34">
        <f>SUM(H32:H34)</f>
        <v>31</v>
      </c>
      <c r="I35" s="34">
        <f>SUM(I33:I34)</f>
        <v>233</v>
      </c>
      <c r="J35" s="27">
        <f xml:space="preserve"> IF($D35="","",IF($D35=0,0,$I35/$D35))</f>
        <v>0.92828685258964139</v>
      </c>
      <c r="K35" s="13"/>
    </row>
    <row r="36" spans="1:11">
      <c r="A36" s="76" t="s">
        <v>74</v>
      </c>
      <c r="B36" s="71"/>
      <c r="C36" s="71"/>
      <c r="D36" s="71"/>
      <c r="E36" s="77"/>
      <c r="F36" s="77"/>
      <c r="G36" s="77"/>
      <c r="H36" s="77"/>
      <c r="I36" s="77"/>
      <c r="J36" s="77"/>
      <c r="K36" s="78"/>
    </row>
    <row r="37" spans="1:11">
      <c r="A37" s="22" t="s">
        <v>75</v>
      </c>
      <c r="B37" s="12">
        <f>B35</f>
        <v>675</v>
      </c>
      <c r="C37" s="12"/>
      <c r="D37" s="12"/>
      <c r="E37" s="33"/>
      <c r="F37" s="33"/>
      <c r="G37" s="33"/>
      <c r="H37" s="33"/>
      <c r="I37" s="33"/>
      <c r="J37" s="33"/>
      <c r="K37" s="33"/>
    </row>
    <row r="38" spans="1:11">
      <c r="A38" s="22" t="s">
        <v>76</v>
      </c>
      <c r="B38" s="12">
        <f>C35</f>
        <v>124</v>
      </c>
      <c r="C38" s="12" t="s">
        <v>20</v>
      </c>
      <c r="D38" s="24">
        <f>IF(B35=0,0,C35/B35)</f>
        <v>0.1837037037037037</v>
      </c>
      <c r="E38" s="33"/>
      <c r="F38" s="33"/>
      <c r="G38" s="33"/>
      <c r="H38" s="33"/>
      <c r="I38" s="33"/>
      <c r="J38" s="33"/>
      <c r="K38" s="33"/>
    </row>
    <row r="39" spans="1:11">
      <c r="A39" s="22" t="s">
        <v>77</v>
      </c>
      <c r="B39" s="12">
        <f>D35</f>
        <v>251</v>
      </c>
      <c r="C39" s="12" t="s">
        <v>20</v>
      </c>
      <c r="D39" s="24">
        <f>IF(B35=0,0,D35/B35)</f>
        <v>0.37185185185185188</v>
      </c>
      <c r="E39" s="33"/>
      <c r="F39" s="33"/>
      <c r="G39" s="33"/>
      <c r="H39" s="33"/>
      <c r="I39" s="33"/>
      <c r="J39" s="33"/>
      <c r="K39" s="33"/>
    </row>
    <row r="40" spans="1:11">
      <c r="A40" s="22" t="s">
        <v>78</v>
      </c>
      <c r="B40" s="12">
        <f>I35</f>
        <v>233</v>
      </c>
      <c r="C40" s="12" t="s">
        <v>20</v>
      </c>
      <c r="D40" s="24">
        <f>IF(D35=0,0,I35/D35)</f>
        <v>0.92828685258964139</v>
      </c>
      <c r="E40" s="33"/>
      <c r="F40" s="33"/>
      <c r="G40" s="33"/>
      <c r="H40" s="33"/>
      <c r="I40" s="33"/>
      <c r="J40" s="33"/>
      <c r="K40" s="33"/>
    </row>
    <row r="41" spans="1:11">
      <c r="A41" s="22" t="s">
        <v>79</v>
      </c>
      <c r="B41" s="12">
        <f>SUM(E35:H35)</f>
        <v>31</v>
      </c>
      <c r="C41" s="12" t="s">
        <v>20</v>
      </c>
      <c r="D41" s="24">
        <f>IF(D35=0,0,SUM(E35:H35)/D35)</f>
        <v>0.12350597609561753</v>
      </c>
      <c r="E41" s="33"/>
      <c r="F41" s="33"/>
      <c r="G41" s="33"/>
      <c r="H41" s="33"/>
      <c r="I41" s="33"/>
      <c r="J41" s="33"/>
      <c r="K41" s="33"/>
    </row>
    <row r="42" spans="1:11">
      <c r="A42" s="22" t="s">
        <v>85</v>
      </c>
      <c r="B42" s="24">
        <f>J35</f>
        <v>0.92828685258964139</v>
      </c>
      <c r="C42" s="12"/>
      <c r="D42" s="12"/>
      <c r="E42" s="33"/>
      <c r="F42" s="33"/>
      <c r="G42" s="33"/>
      <c r="H42" s="33"/>
      <c r="I42" s="33"/>
      <c r="J42" s="33"/>
      <c r="K42" s="33"/>
    </row>
    <row r="43" spans="1:11">
      <c r="A43" s="79" t="s">
        <v>80</v>
      </c>
      <c r="B43" s="77"/>
      <c r="C43" s="77"/>
      <c r="D43" s="77"/>
      <c r="E43" s="77"/>
      <c r="F43" s="77"/>
      <c r="G43" s="77"/>
      <c r="H43" s="77"/>
      <c r="I43" s="77"/>
      <c r="J43" s="77"/>
      <c r="K43" s="78"/>
    </row>
    <row r="44" spans="1:11">
      <c r="A44" s="23" t="s">
        <v>14</v>
      </c>
      <c r="B44" s="23" t="s">
        <v>18</v>
      </c>
      <c r="C44" s="23" t="s">
        <v>19</v>
      </c>
      <c r="D44" s="23" t="s">
        <v>20</v>
      </c>
      <c r="E44" s="23" t="s">
        <v>21</v>
      </c>
      <c r="F44" s="80" t="s">
        <v>22</v>
      </c>
      <c r="G44" s="81"/>
      <c r="H44" s="33"/>
      <c r="I44" s="33"/>
      <c r="J44" s="33"/>
      <c r="K44" s="33"/>
    </row>
    <row r="45" spans="1:11">
      <c r="A45" s="18" t="str">
        <f>INDEX($M$26:$M$29,MATCH(LARGE($O$26:$O$29,1),$O$26:$O$29,0))</f>
        <v>其他缺陷</v>
      </c>
      <c r="B45" s="18">
        <v>31</v>
      </c>
      <c r="C45" s="18">
        <v>31</v>
      </c>
      <c r="D45" s="19">
        <v>1</v>
      </c>
      <c r="E45" s="19">
        <v>1</v>
      </c>
      <c r="F45" s="82" t="str">
        <f>IF($B$24=0,"",INDEX($M$26:$M$29,MATCH(MAX($O$26:$O$29),$O$26:$O$29,0)))</f>
        <v>其他缺陷</v>
      </c>
      <c r="G45" s="82"/>
      <c r="H45" s="33"/>
      <c r="I45" s="33"/>
      <c r="J45" s="33"/>
      <c r="K45" s="33"/>
    </row>
    <row r="46" spans="1:11">
      <c r="A46" s="18" t="str">
        <f>INDEX($M$26:$M$29,MATCH(LARGE($O$26:$O$29,2),$O$26:$O$29,0))</f>
        <v>裂痕</v>
      </c>
      <c r="B46" s="18">
        <f>INT(LARGE($O$26:$O$29,2))</f>
        <v>0</v>
      </c>
      <c r="C46" s="18">
        <v>0</v>
      </c>
      <c r="D46" s="19">
        <f t="shared" ref="D46:D48" si="7">IF($B$24=0,0,B46/$B$24)</f>
        <v>0</v>
      </c>
      <c r="E46" s="25">
        <f t="shared" ref="E46:E48" si="8">IF($B$24=0,0,C46/$B$24)</f>
        <v>0</v>
      </c>
      <c r="F46" s="74"/>
      <c r="G46" s="75"/>
      <c r="H46" s="33"/>
      <c r="I46" s="33"/>
      <c r="J46" s="33"/>
      <c r="K46" s="33"/>
    </row>
    <row r="47" spans="1:11">
      <c r="A47" s="18" t="str">
        <f>INDEX($M$26:$M$29,MATCH(LARGE($O$26:$O$29,3),$O$26:$O$29,0))</f>
        <v>破片</v>
      </c>
      <c r="B47" s="18">
        <f>INT(LARGE($O$26:$O$29,3))</f>
        <v>0</v>
      </c>
      <c r="C47" s="18">
        <v>0</v>
      </c>
      <c r="D47" s="19">
        <f t="shared" si="7"/>
        <v>0</v>
      </c>
      <c r="E47" s="25">
        <f t="shared" si="8"/>
        <v>0</v>
      </c>
      <c r="F47" s="74"/>
      <c r="G47" s="75"/>
      <c r="H47" s="33"/>
      <c r="I47" s="33"/>
      <c r="J47" s="33"/>
      <c r="K47" s="33"/>
    </row>
    <row r="48" spans="1:11">
      <c r="A48" s="18" t="str">
        <f>INDEX($M$26:$M$29,MATCH(LARGE($O$26:$O$29,4),$O$26:$O$29,0))</f>
        <v>chipping</v>
      </c>
      <c r="B48" s="18">
        <f>INT(LARGE($O$26:$O$29,4))</f>
        <v>0</v>
      </c>
      <c r="C48" s="18">
        <v>0</v>
      </c>
      <c r="D48" s="31">
        <f t="shared" si="7"/>
        <v>0</v>
      </c>
      <c r="E48" s="32">
        <f t="shared" si="8"/>
        <v>0</v>
      </c>
      <c r="F48" s="74"/>
      <c r="G48" s="75"/>
      <c r="H48" s="33"/>
      <c r="I48" s="33"/>
      <c r="J48" s="33"/>
      <c r="K48" s="33"/>
    </row>
    <row r="49" spans="1:11">
      <c r="A49" s="21" t="s">
        <v>81</v>
      </c>
      <c r="B49" s="21">
        <f>SUM(B45:B48)</f>
        <v>31</v>
      </c>
      <c r="C49" s="26">
        <v>31</v>
      </c>
      <c r="D49" s="13"/>
      <c r="E49" s="13"/>
      <c r="F49" s="74"/>
      <c r="G49" s="75"/>
      <c r="H49" s="33"/>
      <c r="I49" s="33"/>
      <c r="J49" s="33"/>
      <c r="K49" s="33"/>
    </row>
  </sheetData>
  <mergeCells count="40">
    <mergeCell ref="A1:K1"/>
    <mergeCell ref="B2:K2"/>
    <mergeCell ref="B3:K3"/>
    <mergeCell ref="A4:K4"/>
    <mergeCell ref="A5:A6"/>
    <mergeCell ref="B5:B6"/>
    <mergeCell ref="C5:C6"/>
    <mergeCell ref="D5:D6"/>
    <mergeCell ref="E5:H5"/>
    <mergeCell ref="I5:I6"/>
    <mergeCell ref="K5:K6"/>
    <mergeCell ref="F22:G22"/>
    <mergeCell ref="F23:G23"/>
    <mergeCell ref="F24:G24"/>
    <mergeCell ref="J5:J6"/>
    <mergeCell ref="A11:K11"/>
    <mergeCell ref="A18:K18"/>
    <mergeCell ref="F19:G19"/>
    <mergeCell ref="F20:G20"/>
    <mergeCell ref="F21:G21"/>
    <mergeCell ref="A26:K26"/>
    <mergeCell ref="B27:K27"/>
    <mergeCell ref="B28:K28"/>
    <mergeCell ref="A29:K29"/>
    <mergeCell ref="A30:A31"/>
    <mergeCell ref="B30:B31"/>
    <mergeCell ref="C30:C31"/>
    <mergeCell ref="D30:D31"/>
    <mergeCell ref="E30:H30"/>
    <mergeCell ref="I30:I31"/>
    <mergeCell ref="J30:J31"/>
    <mergeCell ref="K30:K31"/>
    <mergeCell ref="F47:G47"/>
    <mergeCell ref="F48:G48"/>
    <mergeCell ref="F49:G49"/>
    <mergeCell ref="A36:K36"/>
    <mergeCell ref="A43:K43"/>
    <mergeCell ref="F44:G44"/>
    <mergeCell ref="F45:G45"/>
    <mergeCell ref="F46:G46"/>
  </mergeCells>
  <phoneticPr fontId="5" type="noConversion"/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2"/>
  <sheetViews>
    <sheetView zoomScale="80" zoomScaleNormal="80" workbookViewId="0">
      <pane ySplit="2" topLeftCell="A3" activePane="bottomLeft" state="frozen"/>
      <selection pane="bottomLeft" activeCell="C4" sqref="C4"/>
    </sheetView>
  </sheetViews>
  <sheetFormatPr defaultRowHeight="15.75"/>
  <cols>
    <col min="1" max="1" width="14" customWidth="1"/>
    <col min="2" max="2" width="31.28515625" customWidth="1"/>
    <col min="3" max="3" width="36.140625" customWidth="1"/>
    <col min="4" max="4" width="34" customWidth="1"/>
    <col min="5" max="7" width="28" customWidth="1"/>
    <col min="8" max="9" width="24" customWidth="1"/>
    <col min="10" max="10" width="12" customWidth="1"/>
    <col min="11" max="11" width="14" customWidth="1"/>
  </cols>
  <sheetData>
    <row r="1" spans="1:11" ht="19.5" customHeight="1">
      <c r="A1" s="1" t="s">
        <v>24</v>
      </c>
    </row>
    <row r="2" spans="1:11" ht="69.400000000000006" customHeight="1" thickBot="1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</row>
    <row r="3" spans="1:11" ht="80.099999999999994" customHeight="1">
      <c r="A3" s="6" t="s">
        <v>55</v>
      </c>
      <c r="B3" s="7" t="s">
        <v>49</v>
      </c>
      <c r="C3" s="7" t="s">
        <v>58</v>
      </c>
      <c r="D3" s="7" t="s">
        <v>36</v>
      </c>
      <c r="E3" s="7" t="s">
        <v>61</v>
      </c>
      <c r="F3" s="7" t="s">
        <v>37</v>
      </c>
      <c r="G3" s="7" t="s">
        <v>38</v>
      </c>
      <c r="H3" s="7" t="s">
        <v>56</v>
      </c>
      <c r="I3" s="7" t="s">
        <v>39</v>
      </c>
      <c r="J3" s="7" t="s">
        <v>40</v>
      </c>
      <c r="K3" s="7" t="s">
        <v>41</v>
      </c>
    </row>
    <row r="4" spans="1:11" ht="204.75">
      <c r="A4" s="4" t="s">
        <v>48</v>
      </c>
      <c r="B4" s="9" t="s">
        <v>89</v>
      </c>
      <c r="C4" s="9" t="s">
        <v>62</v>
      </c>
      <c r="D4" s="9" t="s">
        <v>65</v>
      </c>
      <c r="E4" s="4" t="s">
        <v>66</v>
      </c>
      <c r="F4" s="9" t="s">
        <v>64</v>
      </c>
      <c r="G4" s="9" t="s">
        <v>60</v>
      </c>
      <c r="H4" s="4" t="s">
        <v>63</v>
      </c>
      <c r="I4" s="10" t="s">
        <v>57</v>
      </c>
      <c r="J4" s="10" t="s">
        <v>54</v>
      </c>
      <c r="K4" s="4" t="s">
        <v>59</v>
      </c>
    </row>
    <row r="5" spans="1:11" ht="80.099999999999994" customHeight="1">
      <c r="A5" s="11"/>
      <c r="B5" s="8"/>
      <c r="C5" s="8"/>
      <c r="D5" s="8"/>
      <c r="E5" s="4"/>
      <c r="F5" s="8"/>
      <c r="G5" s="8"/>
      <c r="H5" s="8"/>
      <c r="I5" s="8"/>
      <c r="J5" s="8"/>
      <c r="K5" s="8"/>
    </row>
    <row r="6" spans="1:11" ht="80.099999999999994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80.099999999999994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80.099999999999994" customHeight="1"/>
    <row r="9" spans="1:11" ht="80.099999999999994" customHeight="1"/>
    <row r="10" spans="1:11" ht="80.099999999999994" customHeight="1"/>
    <row r="11" spans="1:11" ht="80.099999999999994" customHeight="1"/>
    <row r="12" spans="1:11" ht="80.099999999999994" customHeight="1"/>
    <row r="13" spans="1:11" ht="80.099999999999994" customHeight="1"/>
    <row r="14" spans="1:11" ht="80.099999999999994" customHeight="1"/>
    <row r="15" spans="1:11" ht="80.099999999999994" customHeight="1"/>
    <row r="16" spans="1:11" ht="80.099999999999994" customHeight="1"/>
    <row r="17" ht="80.099999999999994" customHeight="1"/>
    <row r="18" ht="80.099999999999994" customHeight="1"/>
    <row r="19" ht="80.099999999999994" customHeight="1"/>
    <row r="20" ht="80.099999999999994" customHeight="1"/>
    <row r="21" ht="80.099999999999994" customHeight="1"/>
    <row r="22" ht="80.099999999999994" customHeight="1"/>
    <row r="23" ht="80.099999999999994" customHeight="1"/>
    <row r="24" ht="80.099999999999994" customHeight="1"/>
    <row r="25" ht="80.099999999999994" customHeight="1"/>
    <row r="26" ht="80.099999999999994" customHeight="1"/>
    <row r="27" ht="80.099999999999994" customHeight="1"/>
    <row r="28" ht="80.099999999999994" customHeight="1"/>
    <row r="29" ht="80.099999999999994" customHeight="1"/>
    <row r="30" ht="80.099999999999994" customHeight="1"/>
    <row r="31" ht="80.099999999999994" customHeight="1"/>
    <row r="32" ht="80.099999999999994" customHeight="1"/>
    <row r="33" ht="80.099999999999994" customHeight="1"/>
    <row r="34" ht="80.099999999999994" customHeight="1"/>
    <row r="35" ht="80.099999999999994" customHeight="1"/>
    <row r="36" ht="80.099999999999994" customHeight="1"/>
    <row r="37" ht="80.099999999999994" customHeight="1"/>
    <row r="38" ht="80.099999999999994" customHeight="1"/>
    <row r="39" ht="80.099999999999994" customHeight="1"/>
    <row r="40" ht="80.099999999999994" customHeight="1"/>
    <row r="41" ht="80.099999999999994" customHeight="1"/>
    <row r="42" ht="80.099999999999994" customHeight="1"/>
    <row r="43" ht="80.099999999999994" customHeight="1"/>
    <row r="44" ht="80.099999999999994" customHeight="1"/>
    <row r="45" ht="80.099999999999994" customHeight="1"/>
    <row r="46" ht="80.099999999999994" customHeight="1"/>
    <row r="47" ht="80.099999999999994" customHeight="1"/>
    <row r="48" ht="80.099999999999994" customHeight="1"/>
    <row r="49" ht="80.099999999999994" customHeight="1"/>
    <row r="50" ht="80.099999999999994" customHeight="1"/>
    <row r="51" ht="80.099999999999994" customHeight="1"/>
    <row r="52" ht="80.099999999999994" customHeight="1"/>
    <row r="53" ht="80.099999999999994" customHeight="1"/>
    <row r="54" ht="80.099999999999994" customHeight="1"/>
    <row r="55" ht="80.099999999999994" customHeight="1"/>
    <row r="56" ht="80.099999999999994" customHeight="1"/>
    <row r="57" ht="80.099999999999994" customHeight="1"/>
    <row r="58" ht="80.099999999999994" customHeight="1"/>
    <row r="59" ht="80.099999999999994" customHeight="1"/>
    <row r="60" ht="80.099999999999994" customHeight="1"/>
    <row r="61" ht="80.099999999999994" customHeight="1"/>
    <row r="62" ht="80.099999999999994" customHeight="1"/>
    <row r="63" ht="80.099999999999994" customHeight="1"/>
    <row r="64" ht="80.099999999999994" customHeight="1"/>
    <row r="65" ht="80.099999999999994" customHeight="1"/>
    <row r="66" ht="80.099999999999994" customHeight="1"/>
    <row r="67" ht="80.099999999999994" customHeight="1"/>
    <row r="68" ht="80.099999999999994" customHeight="1"/>
    <row r="69" ht="80.099999999999994" customHeight="1"/>
    <row r="70" ht="80.099999999999994" customHeight="1"/>
    <row r="71" ht="80.099999999999994" customHeight="1"/>
    <row r="72" ht="80.099999999999994" customHeight="1"/>
    <row r="73" ht="80.099999999999994" customHeight="1"/>
    <row r="74" ht="80.099999999999994" customHeight="1"/>
    <row r="75" ht="80.099999999999994" customHeight="1"/>
    <row r="76" ht="80.099999999999994" customHeight="1"/>
    <row r="77" ht="80.099999999999994" customHeight="1"/>
    <row r="78" ht="80.099999999999994" customHeight="1"/>
    <row r="79" ht="80.099999999999994" customHeight="1"/>
    <row r="80" ht="80.099999999999994" customHeight="1"/>
    <row r="81" ht="80.099999999999994" customHeight="1"/>
    <row r="82" ht="80.099999999999994" customHeight="1"/>
    <row r="83" ht="80.099999999999994" customHeight="1"/>
    <row r="84" ht="80.099999999999994" customHeight="1"/>
    <row r="85" ht="80.099999999999994" customHeight="1"/>
    <row r="86" ht="80.099999999999994" customHeight="1"/>
    <row r="87" ht="80.099999999999994" customHeight="1"/>
    <row r="88" ht="80.099999999999994" customHeight="1"/>
    <row r="89" ht="80.099999999999994" customHeight="1"/>
    <row r="90" ht="80.099999999999994" customHeight="1"/>
    <row r="91" ht="80.099999999999994" customHeight="1"/>
    <row r="92" ht="80.099999999999994" customHeight="1"/>
    <row r="93" ht="80.099999999999994" customHeight="1"/>
    <row r="94" ht="80.099999999999994" customHeight="1"/>
    <row r="95" ht="80.099999999999994" customHeight="1"/>
    <row r="96" ht="80.099999999999994" customHeight="1"/>
    <row r="97" ht="80.099999999999994" customHeight="1"/>
    <row r="98" ht="80.099999999999994" customHeight="1"/>
    <row r="99" ht="80.099999999999994" customHeight="1"/>
    <row r="100" ht="80.099999999999994" customHeight="1"/>
    <row r="101" ht="80.099999999999994" customHeight="1"/>
    <row r="102" ht="80.099999999999994" customHeight="1"/>
  </sheetData>
  <phoneticPr fontId="5" type="noConversion"/>
  <dataValidations count="1">
    <dataValidation type="list" allowBlank="1" sqref="K3:K7">
      <formula1>"Open,In progress,Verified,Closed"</formula1>
    </dataValidation>
  </dataValidations>
  <pageMargins left="0.74803149606299213" right="0.74803149606299213" top="0.98425196850393704" bottom="0.98425196850393704" header="0.51181102362204722" footer="0.51181102362204722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封面</vt:lpstr>
      <vt:lpstr>每日缺陷彙總</vt:lpstr>
      <vt:lpstr>CIP_Tracker</vt:lpstr>
      <vt:lpstr>CIP_Tracker!Print_Area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2025-12-22T01:34:42Z</cp:lastPrinted>
  <dcterms:created xsi:type="dcterms:W3CDTF">2025-12-18T06:52:00Z</dcterms:created>
  <dcterms:modified xsi:type="dcterms:W3CDTF">2026-01-30T09:12:26Z</dcterms:modified>
</cp:coreProperties>
</file>