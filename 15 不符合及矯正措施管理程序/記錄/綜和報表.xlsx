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5 不符合及矯正措施管理程序\記錄\"/>
    </mc:Choice>
  </mc:AlternateContent>
  <bookViews>
    <workbookView xWindow="0" yWindow="0" windowWidth="28800" windowHeight="11925"/>
  </bookViews>
  <sheets>
    <sheet name="總表" sheetId="5" r:id="rId1"/>
    <sheet name="20260105~20260110(第十三板、第十四板)" sheetId="1" r:id="rId2"/>
    <sheet name="20260122~20260130(第二、第三、第四、第五板)" sheetId="3" r:id="rId3"/>
    <sheet name="20260128" sheetId="4" state="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2" i="5"/>
  <c r="D7" i="4" l="1"/>
  <c r="B8" i="4"/>
  <c r="B10" i="4" s="1"/>
  <c r="C8" i="4"/>
  <c r="B11" i="4" s="1"/>
  <c r="E8" i="4"/>
  <c r="F8" i="4"/>
  <c r="G8" i="4"/>
  <c r="H8" i="4"/>
  <c r="B14" i="4" l="1"/>
  <c r="D11" i="4"/>
  <c r="D8" i="4"/>
  <c r="B12" i="4" s="1"/>
  <c r="I7" i="4"/>
  <c r="I8" i="4" s="1"/>
  <c r="B13" i="4" s="1"/>
  <c r="D12" i="4"/>
  <c r="D14" i="4"/>
  <c r="J7" i="4" l="1"/>
  <c r="J8" i="4"/>
  <c r="B15" i="4" s="1"/>
  <c r="D13" i="4"/>
  <c r="N25" i="4" l="1"/>
  <c r="O25" i="4" s="1"/>
  <c r="N28" i="4"/>
  <c r="O28" i="4" s="1"/>
  <c r="N26" i="4"/>
  <c r="O26" i="4" s="1"/>
  <c r="B85" i="3"/>
  <c r="H83" i="3"/>
  <c r="G83" i="3"/>
  <c r="F83" i="3"/>
  <c r="E83" i="3"/>
  <c r="B89" i="3" s="1"/>
  <c r="C83" i="3"/>
  <c r="B86" i="3" s="1"/>
  <c r="B83" i="3"/>
  <c r="D86" i="3" s="1"/>
  <c r="D82" i="3"/>
  <c r="D81" i="3"/>
  <c r="I81" i="3" s="1"/>
  <c r="H58" i="3"/>
  <c r="B64" i="3" s="1"/>
  <c r="G58" i="3"/>
  <c r="F58" i="3"/>
  <c r="E58" i="3"/>
  <c r="B58" i="3"/>
  <c r="B60" i="3" s="1"/>
  <c r="D57" i="3"/>
  <c r="C57" i="3"/>
  <c r="C56" i="3"/>
  <c r="C58" i="3" s="1"/>
  <c r="B61" i="3" s="1"/>
  <c r="B39" i="3"/>
  <c r="H33" i="3"/>
  <c r="B43" i="3" s="1"/>
  <c r="G33" i="3"/>
  <c r="F33" i="3"/>
  <c r="E33" i="3"/>
  <c r="C33" i="3"/>
  <c r="B36" i="3" s="1"/>
  <c r="B33" i="3"/>
  <c r="D32" i="3"/>
  <c r="I31" i="3"/>
  <c r="D31" i="3"/>
  <c r="J31" i="3" s="1"/>
  <c r="N29" i="3"/>
  <c r="O29" i="3" s="1"/>
  <c r="B12" i="3"/>
  <c r="H9" i="3"/>
  <c r="G9" i="3"/>
  <c r="N28" i="3" s="1"/>
  <c r="O28" i="3" s="1"/>
  <c r="F9" i="3"/>
  <c r="N27" i="3" s="1"/>
  <c r="O27" i="3" s="1"/>
  <c r="E9" i="3"/>
  <c r="N26" i="3" s="1"/>
  <c r="O26" i="3" s="1"/>
  <c r="C9" i="3"/>
  <c r="B9" i="3"/>
  <c r="D12" i="3" s="1"/>
  <c r="D8" i="3"/>
  <c r="I8" i="3" s="1"/>
  <c r="J8" i="3" s="1"/>
  <c r="D7" i="3"/>
  <c r="N27" i="4" l="1"/>
  <c r="O27" i="4" s="1"/>
  <c r="A20" i="4" s="1"/>
  <c r="A45" i="3"/>
  <c r="B20" i="3"/>
  <c r="A70" i="3"/>
  <c r="B96" i="3"/>
  <c r="A93" i="3"/>
  <c r="B44" i="3"/>
  <c r="B47" i="3" s="1"/>
  <c r="B22" i="3"/>
  <c r="A96" i="3"/>
  <c r="B69" i="3"/>
  <c r="A44" i="3"/>
  <c r="A22" i="3"/>
  <c r="A69" i="3"/>
  <c r="B46" i="3"/>
  <c r="B19" i="3"/>
  <c r="A95" i="3"/>
  <c r="A46" i="3"/>
  <c r="B21" i="3"/>
  <c r="A19" i="3"/>
  <c r="B71" i="3"/>
  <c r="A68" i="3"/>
  <c r="A43" i="3"/>
  <c r="A21" i="3"/>
  <c r="A20" i="3"/>
  <c r="B94" i="3"/>
  <c r="B97" i="3" s="1"/>
  <c r="A71" i="3"/>
  <c r="B45" i="3"/>
  <c r="A94" i="3"/>
  <c r="J81" i="3"/>
  <c r="B15" i="3"/>
  <c r="B35" i="3"/>
  <c r="B11" i="3"/>
  <c r="D33" i="3"/>
  <c r="I82" i="3"/>
  <c r="J82" i="3" s="1"/>
  <c r="D36" i="3"/>
  <c r="D61" i="3"/>
  <c r="I7" i="3"/>
  <c r="I9" i="3" s="1"/>
  <c r="B14" i="3" s="1"/>
  <c r="D9" i="3"/>
  <c r="I32" i="3"/>
  <c r="J32" i="3" s="1"/>
  <c r="I57" i="3"/>
  <c r="J57" i="3" s="1"/>
  <c r="D83" i="3"/>
  <c r="D56" i="3"/>
  <c r="A21" i="4" l="1"/>
  <c r="B19" i="4"/>
  <c r="B21" i="4"/>
  <c r="B18" i="4"/>
  <c r="B20" i="4"/>
  <c r="A18" i="4"/>
  <c r="A19" i="4"/>
  <c r="D39" i="3"/>
  <c r="J33" i="3"/>
  <c r="B40" i="3" s="1"/>
  <c r="B37" i="3"/>
  <c r="B72" i="3"/>
  <c r="J9" i="3"/>
  <c r="B16" i="3" s="1"/>
  <c r="D13" i="3"/>
  <c r="B13" i="3"/>
  <c r="D15" i="3"/>
  <c r="D14" i="3"/>
  <c r="I33" i="3"/>
  <c r="B38" i="3" s="1"/>
  <c r="I83" i="3"/>
  <c r="B88" i="3" s="1"/>
  <c r="B23" i="3"/>
  <c r="J7" i="3"/>
  <c r="D58" i="3"/>
  <c r="I56" i="3"/>
  <c r="I58" i="3" s="1"/>
  <c r="B63" i="3" s="1"/>
  <c r="D37" i="3"/>
  <c r="D89" i="3"/>
  <c r="J83" i="3"/>
  <c r="B90" i="3" s="1"/>
  <c r="D88" i="3"/>
  <c r="D87" i="3"/>
  <c r="B87" i="3"/>
  <c r="B22" i="4" l="1"/>
  <c r="C20" i="4" s="1"/>
  <c r="J56" i="3"/>
  <c r="D64" i="3"/>
  <c r="J58" i="3"/>
  <c r="B65" i="3" s="1"/>
  <c r="D63" i="3"/>
  <c r="B62" i="3"/>
  <c r="D62" i="3"/>
  <c r="C96" i="3"/>
  <c r="C69" i="3"/>
  <c r="D19" i="3"/>
  <c r="C46" i="3"/>
  <c r="C19" i="3"/>
  <c r="C95" i="3"/>
  <c r="D43" i="3"/>
  <c r="C21" i="3"/>
  <c r="C71" i="3"/>
  <c r="D68" i="3"/>
  <c r="C94" i="3"/>
  <c r="C45" i="3"/>
  <c r="C22" i="3"/>
  <c r="C20" i="3"/>
  <c r="C70" i="3"/>
  <c r="D93" i="3"/>
  <c r="C44" i="3"/>
  <c r="D38" i="3"/>
  <c r="C19" i="4" l="1"/>
  <c r="C18" i="4"/>
  <c r="C21" i="4"/>
  <c r="D18" i="4"/>
  <c r="H35" i="1" l="1"/>
  <c r="G35" i="1"/>
  <c r="F35" i="1"/>
  <c r="E35" i="1"/>
  <c r="B41" i="1" s="1"/>
  <c r="B35" i="1"/>
  <c r="B37" i="1" s="1"/>
  <c r="D34" i="1"/>
  <c r="C33" i="1"/>
  <c r="C35" i="1" s="1"/>
  <c r="B38" i="1" s="1"/>
  <c r="D32" i="1"/>
  <c r="I32" i="1" s="1"/>
  <c r="J32" i="1" s="1"/>
  <c r="H10" i="1"/>
  <c r="N29" i="1" s="1"/>
  <c r="O29" i="1" s="1"/>
  <c r="G10" i="1"/>
  <c r="N28" i="1" s="1"/>
  <c r="O28" i="1" s="1"/>
  <c r="F10" i="1"/>
  <c r="N27" i="1" s="1"/>
  <c r="O27" i="1" s="1"/>
  <c r="E10" i="1"/>
  <c r="N26" i="1" s="1"/>
  <c r="O26" i="1" s="1"/>
  <c r="D10" i="1"/>
  <c r="B14" i="1" s="1"/>
  <c r="C10" i="1"/>
  <c r="B13" i="1" s="1"/>
  <c r="B10" i="1"/>
  <c r="B12" i="1" s="1"/>
  <c r="I9" i="1"/>
  <c r="J9" i="1" s="1"/>
  <c r="I8" i="1"/>
  <c r="J8" i="1" s="1"/>
  <c r="I7" i="1"/>
  <c r="I10" i="1" l="1"/>
  <c r="B15" i="1" s="1"/>
  <c r="D13" i="1"/>
  <c r="J7" i="1"/>
  <c r="D16" i="1"/>
  <c r="A23" i="1"/>
  <c r="A20" i="1"/>
  <c r="B21" i="1"/>
  <c r="B48" i="1"/>
  <c r="B46" i="1"/>
  <c r="A21" i="1"/>
  <c r="A46" i="1"/>
  <c r="A45" i="1"/>
  <c r="B20" i="1"/>
  <c r="A48" i="1"/>
  <c r="B22" i="1"/>
  <c r="A22" i="1"/>
  <c r="B47" i="1"/>
  <c r="A47" i="1"/>
  <c r="B23" i="1"/>
  <c r="D33" i="1"/>
  <c r="D14" i="1"/>
  <c r="D38" i="1"/>
  <c r="D15" i="1"/>
  <c r="J10" i="1"/>
  <c r="B17" i="1" s="1"/>
  <c r="B16" i="1"/>
  <c r="I34" i="1"/>
  <c r="J34" i="1" s="1"/>
  <c r="I33" i="1" l="1"/>
  <c r="I35" i="1" s="1"/>
  <c r="B40" i="1" s="1"/>
  <c r="D35" i="1"/>
  <c r="B49" i="1"/>
  <c r="B24" i="1"/>
  <c r="C48" i="1" l="1"/>
  <c r="C46" i="1"/>
  <c r="C21" i="1"/>
  <c r="C22" i="1"/>
  <c r="D20" i="1"/>
  <c r="D45" i="1"/>
  <c r="C47" i="1"/>
  <c r="C23" i="1"/>
  <c r="C20" i="1"/>
  <c r="J35" i="1"/>
  <c r="B42" i="1" s="1"/>
  <c r="D40" i="1"/>
  <c r="B39" i="1"/>
  <c r="D41" i="1"/>
  <c r="D39" i="1"/>
  <c r="J33" i="1"/>
</calcChain>
</file>

<file path=xl/sharedStrings.xml><?xml version="1.0" encoding="utf-8"?>
<sst xmlns="http://schemas.openxmlformats.org/spreadsheetml/2006/main" count="285" uniqueCount="66">
  <si>
    <t>每日缺陷彙總— 柏拉圖與良率</t>
    <phoneticPr fontId="3" type="noConversion"/>
  </si>
  <si>
    <t>分析期間</t>
    <phoneticPr fontId="3" type="noConversion"/>
  </si>
  <si>
    <t>20260105~20260107</t>
    <phoneticPr fontId="3" type="noConversion"/>
  </si>
  <si>
    <t>產品名稱/訂單編號</t>
    <phoneticPr fontId="3" type="noConversion"/>
  </si>
  <si>
    <t xml:space="preserve"> RECYCLE GLASS NEG ABC-1 (JEPE)/4516243668                               第十三板</t>
    <phoneticPr fontId="3" type="noConversion"/>
  </si>
  <si>
    <t>每日資料輸入（藍色為輸入；其餘自動計算）</t>
  </si>
  <si>
    <t>日期</t>
  </si>
  <si>
    <t>每日生產數量</t>
    <phoneticPr fontId="3" type="noConversion"/>
  </si>
  <si>
    <t>OCR篩選不用洗</t>
  </si>
  <si>
    <t>需清洗/檢驗</t>
    <phoneticPr fontId="3" type="noConversion"/>
  </si>
  <si>
    <t>缺陷類別</t>
  </si>
  <si>
    <t>洗後OK(無缺陷)</t>
    <phoneticPr fontId="3" type="noConversion"/>
  </si>
  <si>
    <t>總良率</t>
  </si>
  <si>
    <t>備註</t>
  </si>
  <si>
    <t>chipping</t>
  </si>
  <si>
    <t>破片</t>
  </si>
  <si>
    <t>裂痕</t>
  </si>
  <si>
    <t>其他缺陷</t>
  </si>
  <si>
    <t>合計</t>
  </si>
  <si>
    <t>期間彙總（自動）</t>
  </si>
  <si>
    <t>總生產數量</t>
  </si>
  <si>
    <t>OCR篩選不用洗（片）</t>
  </si>
  <si>
    <t>占比</t>
  </si>
  <si>
    <t>需清洗/檢驗（片）</t>
  </si>
  <si>
    <t>洗後OK(無缺陷)（片）</t>
  </si>
  <si>
    <t>總缺陷數（片）</t>
  </si>
  <si>
    <t>總良率</t>
    <phoneticPr fontId="3" type="noConversion"/>
  </si>
  <si>
    <t>缺陷柏拉圖（僅統計缺陷；依數量由大到小排序）</t>
  </si>
  <si>
    <t>數量</t>
  </si>
  <si>
    <t>本期 Top Defect</t>
  </si>
  <si>
    <t>合計缺陷</t>
  </si>
  <si>
    <t>20260108~20260110</t>
    <phoneticPr fontId="3" type="noConversion"/>
  </si>
  <si>
    <t xml:space="preserve"> RECYCLE GLASS NEG ABC-1 (JEPE)/4516243668                      第十四板</t>
    <phoneticPr fontId="3" type="noConversion"/>
  </si>
  <si>
    <t>20260121~20260122</t>
    <phoneticPr fontId="3" type="noConversion"/>
  </si>
  <si>
    <t xml:space="preserve"> RECYCLE GLASS NEG ABC-1 (JEPE)/4516243668                              來料代號： 20260113第二板</t>
    <phoneticPr fontId="3" type="noConversion"/>
  </si>
  <si>
    <t>20260123~20260124</t>
    <phoneticPr fontId="3" type="noConversion"/>
  </si>
  <si>
    <t xml:space="preserve"> RECYCLE GLASS NEG ABC-1 (JEPE)/4516243668                        來料代號：20260114第三板</t>
    <phoneticPr fontId="3" type="noConversion"/>
  </si>
  <si>
    <t>20260126~20260127</t>
    <phoneticPr fontId="3" type="noConversion"/>
  </si>
  <si>
    <t xml:space="preserve"> RECYCLE GLASS NEG ABC-1 (JEPE)/4516243668                        來料代號：20260114第四板</t>
    <phoneticPr fontId="3" type="noConversion"/>
  </si>
  <si>
    <t>20260129~20260130</t>
    <phoneticPr fontId="3" type="noConversion"/>
  </si>
  <si>
    <t xml:space="preserve"> RECYCLE GLASS NEG ABC-1 (JEPE)/4516243668                        來料代號：20260119第五板</t>
    <phoneticPr fontId="3" type="noConversion"/>
  </si>
  <si>
    <t>查無刻號</t>
    <phoneticPr fontId="3" type="noConversion"/>
  </si>
  <si>
    <t>1051</t>
  </si>
  <si>
    <t>日期/板號</t>
    <phoneticPr fontId="3" type="noConversion"/>
  </si>
  <si>
    <t>20260130~20260204</t>
    <phoneticPr fontId="3" type="noConversion"/>
  </si>
  <si>
    <t>分析期間</t>
  </si>
  <si>
    <t>板號/名稱</t>
  </si>
  <si>
    <t>來料數</t>
  </si>
  <si>
    <t>篩選不用清洗</t>
  </si>
  <si>
    <t>清洗OK</t>
  </si>
  <si>
    <t>NG片數</t>
    <phoneticPr fontId="3" type="noConversion"/>
  </si>
  <si>
    <t>良率</t>
  </si>
  <si>
    <t>20260105~20260107</t>
  </si>
  <si>
    <t>第十三板</t>
  </si>
  <si>
    <t>20260108~20260110</t>
  </si>
  <si>
    <t>第十四板</t>
  </si>
  <si>
    <t>20260121~20260122</t>
  </si>
  <si>
    <t>20260113第二板</t>
  </si>
  <si>
    <t>20260123~20260124</t>
  </si>
  <si>
    <t>20260114第三板</t>
  </si>
  <si>
    <t>20260126~20260127</t>
  </si>
  <si>
    <t>20260114第四板</t>
  </si>
  <si>
    <t>20260129~20260130</t>
  </si>
  <si>
    <t>20260119第五板</t>
  </si>
  <si>
    <t>須清洗總數</t>
    <phoneticPr fontId="3" type="noConversion"/>
  </si>
  <si>
    <t xml:space="preserve"> RECYCLE GLASS NEG ABC-1 (JEPE)/4516243668                              來料代號：1051~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</si>
</sst>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8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FF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name val="Microsoft JhengHei"/>
      <family val="2"/>
      <charset val="136"/>
    </font>
    <font>
      <b/>
      <sz val="1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9E9E9E"/>
      </top>
      <bottom style="thin">
        <color indexed="64"/>
      </bottom>
      <diagonal/>
    </border>
    <border>
      <left/>
      <right/>
      <top style="thin">
        <color rgb="FF9E9E9E"/>
      </top>
      <bottom style="thin">
        <color indexed="64"/>
      </bottom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E9E9E"/>
      </right>
      <top style="thin">
        <color indexed="64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indexed="64"/>
      </bottom>
      <diagonal/>
    </border>
    <border>
      <left style="thin">
        <color rgb="FF9E9E9E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9E9E9E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indexed="64"/>
      </top>
      <bottom style="thin">
        <color rgb="FF808080"/>
      </bottom>
      <diagonal/>
    </border>
    <border>
      <left/>
      <right/>
      <top style="thin">
        <color indexed="64"/>
      </top>
      <bottom style="thin">
        <color rgb="FF808080"/>
      </bottom>
      <diagonal/>
    </border>
    <border>
      <left/>
      <right style="thin">
        <color rgb="FF808080"/>
      </right>
      <top style="thin">
        <color indexed="64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11" xfId="0" applyFont="1" applyFill="1" applyBorder="1" applyAlignment="1">
      <alignment horizontal="left" vertic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5" fillId="2" borderId="7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2" borderId="4" xfId="0" applyFont="1" applyFill="1" applyBorder="1" applyAlignment="1">
      <alignment horizontal="center" vertical="center" wrapText="1"/>
    </xf>
    <xf numFmtId="0" fontId="0" fillId="0" borderId="10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</a:t>
            </a:r>
            <a:r>
              <a:rPr lang="zh-TW" altLang="en-US"/>
              <a:t>批</a:t>
            </a:r>
            <a:r>
              <a:rPr lang="zh-TW"/>
              <a:t>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E8-44C3-8B02-DE42D87E3C0B}"/>
              </c:ext>
            </c:extLst>
          </c:dPt>
          <c:dPt>
            <c:idx val="1"/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2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E8-44C3-8B02-DE42D87E3C0B}"/>
              </c:ext>
            </c:extLst>
          </c:dPt>
          <c:dPt>
            <c:idx val="2"/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3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E8-44C3-8B02-DE42D87E3C0B}"/>
              </c:ext>
            </c:extLst>
          </c:dPt>
          <c:dPt>
            <c:idx val="3"/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4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BE8-44C3-8B02-DE42D87E3C0B}"/>
              </c:ext>
            </c:extLst>
          </c:dPt>
          <c:dPt>
            <c:idx val="4"/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5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BE8-44C3-8B02-DE42D87E3C0B}"/>
              </c:ext>
            </c:extLst>
          </c:dPt>
          <c:dPt>
            <c:idx val="5"/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6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BE8-44C3-8B02-DE42D87E3C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[1]總表!$B$2:$B$7</c:f>
              <c:strCache>
                <c:ptCount val="6"/>
                <c:pt idx="0">
                  <c:v>第十三板</c:v>
                </c:pt>
                <c:pt idx="1">
                  <c:v>第十四板</c:v>
                </c:pt>
                <c:pt idx="2">
                  <c:v>20260113第二板</c:v>
                </c:pt>
                <c:pt idx="3">
                  <c:v>20260114第三板</c:v>
                </c:pt>
                <c:pt idx="4">
                  <c:v>20260114第四板</c:v>
                </c:pt>
                <c:pt idx="5">
                  <c:v>20260119第五板</c:v>
                </c:pt>
              </c:strCache>
            </c:strRef>
          </c:cat>
          <c:val>
            <c:numRef>
              <c:f>[1]總表!$G$2:$G$7</c:f>
              <c:numCache>
                <c:formatCode>General</c:formatCode>
                <c:ptCount val="6"/>
                <c:pt idx="0">
                  <c:v>0.93486590038314177</c:v>
                </c:pt>
                <c:pt idx="1">
                  <c:v>0.9282407407407407</c:v>
                </c:pt>
                <c:pt idx="2">
                  <c:v>0.91611842105263153</c:v>
                </c:pt>
                <c:pt idx="3">
                  <c:v>0.96190476190476193</c:v>
                </c:pt>
                <c:pt idx="4">
                  <c:v>0.96887966804979253</c:v>
                </c:pt>
                <c:pt idx="5">
                  <c:v>0.95955056179775278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BE8-44C3-8B02-DE42D87E3C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sz="1800"/>
                  <a:t>良率</a:t>
                </a:r>
              </a:p>
            </c:rich>
          </c:tx>
          <c:layout>
            <c:manualLayout>
              <c:xMode val="edge"/>
              <c:yMode val="edge"/>
              <c:x val="4.4314908017223494E-2"/>
              <c:y val="0.543720163251844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'20260105~20260110(第十三板、第十四板)'!$B$19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'20260105~20260110(第十三板、第十四板)'!$A$20:$A$23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'20260105~20260110(第十三板、第十四板)'!$B$20:$B$23</c:f>
              <c:numCache>
                <c:formatCode>General</c:formatCode>
                <c:ptCount val="4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7-4EA2-A299-CCCB7B16A39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'20260105~20260110(第十三板、第十四板)'!#REF!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'20260105~20260110(第十三板、第十四板)'!$A$20:$A$23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'20260105~20260110(第十三板、第十四板)'!#REF!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87-4EA2-A299-CCCB7B16A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683985380116959"/>
              <c:y val="0.7490966049382715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0318713450292401"/>
          <c:y val="0.39776141975308643"/>
          <c:w val="0.12997076023391813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0-42C9-83F4-2C2B20246DB3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90-42C9-83F4-2C2B20246DB3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90-42C9-83F4-2C2B20246DB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690-42C9-83F4-2C2B20246DB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690-42C9-83F4-2C2B20246DB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690-42C9-83F4-2C2B20246DB3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'20260105~20260110(第十三板、第十四板)'!$J$7:$J$9</c:f>
              <c:numCache>
                <c:formatCode>0.0%</c:formatCode>
                <c:ptCount val="3"/>
                <c:pt idx="0">
                  <c:v>0.92666666666666664</c:v>
                </c:pt>
                <c:pt idx="1">
                  <c:v>0.93867924528301883</c:v>
                </c:pt>
                <c:pt idx="2">
                  <c:v>0.9375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690-42C9-83F4-2C2B20246D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7C-4E61-83CD-F506F893D1B2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7C-4E61-83CD-F506F893D1B2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7C-4E61-83CD-F506F893D1B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87C-4E61-83CD-F506F893D1B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87C-4E61-83CD-F506F893D1B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87C-4E61-83CD-F506F893D1B2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'20260105~20260110(第十三板、第十四板)'!$J$32:$J$34</c:f>
              <c:numCache>
                <c:formatCode>0.0%</c:formatCode>
                <c:ptCount val="3"/>
                <c:pt idx="0">
                  <c:v>0.92817679558011046</c:v>
                </c:pt>
                <c:pt idx="1">
                  <c:v>0.92481203007518797</c:v>
                </c:pt>
                <c:pt idx="2">
                  <c:v>0.93220338983050843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87C-4E61-83CD-F506F893D1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'20260105~20260110(第十三板、第十四板)'!$B$44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'20260105~20260110(第十三板、第十四板)'!$A$45:$A$48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'20260105~20260110(第十三板、第十四板)'!$B$45:$B$48</c:f>
              <c:numCache>
                <c:formatCode>General</c:formatCode>
                <c:ptCount val="4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6-4C5F-A5B9-46EAAEA7D9B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'20260122~20260130(第二、第三、第四、第五板)'!$B$18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'20260122~20260130(第二、第三、第四、第五板)'!$A$19:$A$22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'20260122~20260130(第二、第三、第四、第五板)'!$B$19:$B$22</c:f>
              <c:numCache>
                <c:formatCode>General</c:formatCode>
                <c:ptCount val="4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A-4760-A1F2-0EF38D889CA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每批生產缺陷彙總!#REF!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'20260122~20260130(第二、第三、第四、第五板)'!$A$19:$A$22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每批生產缺陷彙總!#REF!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A-4760-A1F2-0EF38D88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683985380116959"/>
              <c:y val="0.7490966049382715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0318713450292401"/>
          <c:y val="0.39776141975308643"/>
          <c:w val="0.12997076023391813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3-42D7-ADB5-A5CD7E7EB787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3-42D7-ADB5-A5CD7E7EB787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3-42D7-ADB5-A5CD7E7EB7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83-42D7-ADB5-A5CD7E7EB7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283-42D7-ADB5-A5CD7E7EB7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283-42D7-ADB5-A5CD7E7EB787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'20260122~20260130(第二、第三、第四、第五板)'!$J$7:$J$8</c:f>
              <c:numCache>
                <c:formatCode>0.0%</c:formatCode>
                <c:ptCount val="2"/>
                <c:pt idx="0">
                  <c:v>0.90222222222222226</c:v>
                </c:pt>
                <c:pt idx="1">
                  <c:v>0.92428198433420361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83-42D7-ADB5-A5CD7E7EB7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72-4CCA-928A-0197EF1C9434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72-4CCA-928A-0197EF1C9434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72-4CCA-928A-0197EF1C943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D72-4CCA-928A-0197EF1C943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D72-4CCA-928A-0197EF1C943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D72-4CCA-928A-0197EF1C9434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'20260122~20260130(第二、第三、第四、第五板)'!$J$31:$J$32</c:f>
              <c:numCache>
                <c:formatCode>0.0%</c:formatCode>
                <c:ptCount val="2"/>
                <c:pt idx="0">
                  <c:v>0.93333333333333335</c:v>
                </c:pt>
                <c:pt idx="1">
                  <c:v>0.97333333333333338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D72-4CCA-928A-0197EF1C94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'20260122~20260130(第二、第三、第四、第五板)'!$B$42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'20260122~20260130(第二、第三、第四、第五板)'!$A$43:$A$46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'20260122~20260130(第二、第三、第四、第五板)'!$B$43:$B$46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E-461E-A032-9C9A94A8CE9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'20260122~20260130(第二、第三、第四、第五板)'!$B$67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'20260122~20260130(第二、第三、第四、第五板)'!$A$68:$A$71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'20260122~20260130(第二、第三、第四、第五板)'!$B$68:$B$71</c:f>
              <c:numCache>
                <c:formatCode>General</c:formatCode>
                <c:ptCount val="4"/>
                <c:pt idx="0">
                  <c:v>16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F-4D1B-87D3-96B023D1784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76-4A46-8C31-569E72729AAB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76-4A46-8C31-569E72729AAB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76-4A46-8C31-569E72729AA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776-4A46-8C31-569E72729A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776-4A46-8C31-569E72729AA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776-4A46-8C31-569E72729AAB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'20260122~20260130(第二、第三、第四、第五板)'!$J$56:$J$57</c:f>
              <c:numCache>
                <c:formatCode>0.0%</c:formatCode>
                <c:ptCount val="2"/>
                <c:pt idx="0">
                  <c:v>0.96745562130177509</c:v>
                </c:pt>
                <c:pt idx="1">
                  <c:v>0.97222222222222221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776-4A46-8C31-569E72729A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'20260122~20260130(第二、第三、第四、第五板)'!$B$92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'20260122~20260130(第二、第三、第四、第五板)'!$A$93:$A$96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'20260122~20260130(第二、第三、第四、第五板)'!$B$93:$B$96</c:f>
              <c:numCache>
                <c:formatCode>General</c:formatCode>
                <c:ptCount val="4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943-BF32-7064B63A6A5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1-466A-A08D-4029B8E6CE6D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1-466A-A08D-4029B8E6CE6D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1-466A-A08D-4029B8E6CE6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961-466A-A08D-4029B8E6CE6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961-466A-A08D-4029B8E6CE6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961-466A-A08D-4029B8E6CE6D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'20260122~20260130(第二、第三、第四、第五板)'!$J$81:$J$82</c:f>
              <c:numCache>
                <c:formatCode>0.0%</c:formatCode>
                <c:ptCount val="2"/>
                <c:pt idx="0">
                  <c:v>0.95819935691318325</c:v>
                </c:pt>
                <c:pt idx="1">
                  <c:v>0.96268656716417911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961-466A-A08D-4029B8E6CE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'20260128'!$B$17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'20260128'!$A$18:$A$21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'20260128'!$B$18:$B$21</c:f>
              <c:numCache>
                <c:formatCode>General</c:formatCode>
                <c:ptCount val="4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7-46C3-AE1A-061C5267A2C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每批生產缺陷彙總!#REF!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>
                    <a:prstDash val="solid"/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'20260128'!$A$18:$A$21</c15:sqref>
                        </c15:formulaRef>
                      </c:ext>
                    </c:extLst>
                    <c:strCache>
                      <c:ptCount val="4"/>
                      <c:pt idx="0">
                        <c:v>其他缺陷</c:v>
                      </c:pt>
                      <c:pt idx="1">
                        <c:v>裂痕</c:v>
                      </c:pt>
                      <c:pt idx="2">
                        <c:v>破片</c:v>
                      </c:pt>
                      <c:pt idx="3">
                        <c:v>chipping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每批生產缺陷彙總!#REF!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CDD7-46C3-AE1A-061C5267A2C2}"/>
                  </c:ext>
                </c:extLst>
              </c15:ser>
            </c15:filteredLineSeries>
          </c:ext>
        </c:extLst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683985380116959"/>
              <c:y val="0.7490966049382715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0318713450292401"/>
          <c:y val="0.39776141975308643"/>
          <c:w val="0.12997076023391813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EA-4D82-8D91-A92B4BF69390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EA-4D82-8D91-A92B4BF6939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7EA-4D82-8D91-A92B4BF6939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7EA-4D82-8D91-A92B4BF6939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'20260128'!$J$7:$J$7</c:f>
              <c:numCache>
                <c:formatCode>0.0%</c:formatCode>
                <c:ptCount val="1"/>
                <c:pt idx="0">
                  <c:v>0.84210526315789469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7EA-4D82-8D91-A92B4BF693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123825</xdr:colOff>
      <xdr:row>0</xdr:row>
      <xdr:rowOff>114300</xdr:rowOff>
    </xdr:from>
    <xdr:ext cx="6304876" cy="3638550"/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228599</xdr:colOff>
      <xdr:row>1</xdr:row>
      <xdr:rowOff>66674</xdr:rowOff>
    </xdr:from>
    <xdr:ext cx="5344575" cy="275422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295275</xdr:colOff>
      <xdr:row>1</xdr:row>
      <xdr:rowOff>66675</xdr:rowOff>
    </xdr:from>
    <xdr:ext cx="5400000" cy="270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38100</xdr:colOff>
      <xdr:row>25</xdr:row>
      <xdr:rowOff>47625</xdr:rowOff>
    </xdr:from>
    <xdr:ext cx="5400000" cy="2700000"/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104775</xdr:colOff>
      <xdr:row>25</xdr:row>
      <xdr:rowOff>19050</xdr:rowOff>
    </xdr:from>
    <xdr:ext cx="4935000" cy="2592300"/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19050</xdr:colOff>
      <xdr:row>3</xdr:row>
      <xdr:rowOff>152400</xdr:rowOff>
    </xdr:from>
    <xdr:ext cx="4477800" cy="234465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38099</xdr:colOff>
      <xdr:row>3</xdr:row>
      <xdr:rowOff>85725</xdr:rowOff>
    </xdr:from>
    <xdr:ext cx="3828375" cy="19812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23</xdr:col>
      <xdr:colOff>238125</xdr:colOff>
      <xdr:row>24</xdr:row>
      <xdr:rowOff>190500</xdr:rowOff>
    </xdr:from>
    <xdr:ext cx="4466550" cy="2033250"/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161925</xdr:colOff>
      <xdr:row>24</xdr:row>
      <xdr:rowOff>133350</xdr:rowOff>
    </xdr:from>
    <xdr:ext cx="4649250" cy="2154150"/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15</xdr:col>
      <xdr:colOff>228600</xdr:colOff>
      <xdr:row>50</xdr:row>
      <xdr:rowOff>152400</xdr:rowOff>
    </xdr:from>
    <xdr:ext cx="6840000" cy="3240000"/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27</xdr:col>
      <xdr:colOff>209550</xdr:colOff>
      <xdr:row>51</xdr:row>
      <xdr:rowOff>152400</xdr:rowOff>
    </xdr:from>
    <xdr:ext cx="4466550" cy="2033250"/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15</xdr:col>
      <xdr:colOff>304800</xdr:colOff>
      <xdr:row>72</xdr:row>
      <xdr:rowOff>104775</xdr:rowOff>
    </xdr:from>
    <xdr:ext cx="6840000" cy="3240000"/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28</xdr:col>
      <xdr:colOff>504825</xdr:colOff>
      <xdr:row>73</xdr:row>
      <xdr:rowOff>152400</xdr:rowOff>
    </xdr:from>
    <xdr:ext cx="4466550" cy="2033250"/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19050</xdr:colOff>
      <xdr:row>3</xdr:row>
      <xdr:rowOff>152400</xdr:rowOff>
    </xdr:from>
    <xdr:ext cx="4477800" cy="234465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38099</xdr:colOff>
      <xdr:row>3</xdr:row>
      <xdr:rowOff>85725</xdr:rowOff>
    </xdr:from>
    <xdr:ext cx="3828375" cy="19812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&#32317;&#21644;&#22577;&#34920;_&#24050;&#24409;&#3231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20260105~20260110(第十三板、第十四板)"/>
      <sheetName val="20260122~20260130(第二、第三、第四、第五板)"/>
      <sheetName val="20260128"/>
    </sheetNames>
    <sheetDataSet>
      <sheetData sheetId="0">
        <row r="2">
          <cell r="B2" t="str">
            <v>第十三板</v>
          </cell>
          <cell r="G2">
            <v>0.93486590038314177</v>
          </cell>
        </row>
        <row r="3">
          <cell r="B3" t="str">
            <v>第十四板</v>
          </cell>
          <cell r="G3">
            <v>0.9282407407407407</v>
          </cell>
        </row>
        <row r="4">
          <cell r="B4" t="str">
            <v>20260113第二板</v>
          </cell>
          <cell r="G4">
            <v>0.91611842105263153</v>
          </cell>
        </row>
        <row r="5">
          <cell r="B5" t="str">
            <v>20260114第三板</v>
          </cell>
          <cell r="G5">
            <v>0.96190476190476193</v>
          </cell>
        </row>
        <row r="6">
          <cell r="B6" t="str">
            <v>20260114第四板</v>
          </cell>
          <cell r="G6">
            <v>0.96887966804979253</v>
          </cell>
        </row>
        <row r="7">
          <cell r="B7" t="str">
            <v>20260119第五板</v>
          </cell>
          <cell r="G7">
            <v>0.95955056179775278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A9" sqref="A9"/>
    </sheetView>
  </sheetViews>
  <sheetFormatPr defaultRowHeight="15.75"/>
  <cols>
    <col min="1" max="1" width="20" bestFit="1" customWidth="1"/>
    <col min="2" max="2" width="16.85546875" bestFit="1" customWidth="1"/>
    <col min="4" max="4" width="16.140625" bestFit="1" customWidth="1"/>
    <col min="5" max="5" width="16.140625" customWidth="1"/>
  </cols>
  <sheetData>
    <row r="1" spans="1:8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64</v>
      </c>
      <c r="F1" s="23" t="s">
        <v>49</v>
      </c>
      <c r="G1" s="23" t="s">
        <v>50</v>
      </c>
      <c r="H1" s="23" t="s">
        <v>51</v>
      </c>
    </row>
    <row r="2" spans="1:8">
      <c r="A2" s="13" t="s">
        <v>52</v>
      </c>
      <c r="B2" s="13" t="s">
        <v>53</v>
      </c>
      <c r="C2" s="13">
        <v>675</v>
      </c>
      <c r="D2" s="13">
        <v>153</v>
      </c>
      <c r="E2" s="13">
        <f>C2-D2</f>
        <v>522</v>
      </c>
      <c r="F2" s="13">
        <v>488</v>
      </c>
      <c r="G2" s="13">
        <v>34</v>
      </c>
      <c r="H2" s="14">
        <v>0.93486590038314177</v>
      </c>
    </row>
    <row r="3" spans="1:8">
      <c r="A3" s="13" t="s">
        <v>54</v>
      </c>
      <c r="B3" s="13" t="s">
        <v>55</v>
      </c>
      <c r="C3" s="13">
        <v>675</v>
      </c>
      <c r="D3" s="13">
        <v>243</v>
      </c>
      <c r="E3" s="13">
        <f t="shared" ref="E3:E7" si="0">C3-D3</f>
        <v>432</v>
      </c>
      <c r="F3" s="13">
        <v>401</v>
      </c>
      <c r="G3" s="13">
        <v>31</v>
      </c>
      <c r="H3" s="14">
        <v>0.9282407407407407</v>
      </c>
    </row>
    <row r="4" spans="1:8">
      <c r="A4" s="13" t="s">
        <v>56</v>
      </c>
      <c r="B4" s="13" t="s">
        <v>57</v>
      </c>
      <c r="C4" s="13">
        <v>675</v>
      </c>
      <c r="D4" s="13">
        <v>67</v>
      </c>
      <c r="E4" s="13">
        <f t="shared" si="0"/>
        <v>608</v>
      </c>
      <c r="F4" s="13">
        <v>557</v>
      </c>
      <c r="G4" s="13">
        <v>51</v>
      </c>
      <c r="H4" s="14">
        <v>0.91611842105263153</v>
      </c>
    </row>
    <row r="5" spans="1:8">
      <c r="A5" s="13" t="s">
        <v>58</v>
      </c>
      <c r="B5" s="13" t="s">
        <v>59</v>
      </c>
      <c r="C5" s="13">
        <v>675</v>
      </c>
      <c r="D5" s="13">
        <v>150</v>
      </c>
      <c r="E5" s="13">
        <f t="shared" si="0"/>
        <v>525</v>
      </c>
      <c r="F5" s="13">
        <v>505</v>
      </c>
      <c r="G5" s="13">
        <v>20</v>
      </c>
      <c r="H5" s="14">
        <v>0.96190476190476193</v>
      </c>
    </row>
    <row r="6" spans="1:8">
      <c r="A6" s="13" t="s">
        <v>60</v>
      </c>
      <c r="B6" s="13" t="s">
        <v>61</v>
      </c>
      <c r="C6" s="13">
        <v>675</v>
      </c>
      <c r="D6" s="13">
        <v>193</v>
      </c>
      <c r="E6" s="13">
        <f t="shared" si="0"/>
        <v>482</v>
      </c>
      <c r="F6" s="13">
        <v>467</v>
      </c>
      <c r="G6" s="13">
        <v>15</v>
      </c>
      <c r="H6" s="14">
        <v>0.96887966804979253</v>
      </c>
    </row>
    <row r="7" spans="1:8">
      <c r="A7" s="13" t="s">
        <v>62</v>
      </c>
      <c r="B7" s="13" t="s">
        <v>63</v>
      </c>
      <c r="C7" s="13">
        <v>675</v>
      </c>
      <c r="D7" s="13">
        <v>230</v>
      </c>
      <c r="E7" s="13">
        <f t="shared" si="0"/>
        <v>445</v>
      </c>
      <c r="F7" s="13">
        <v>427</v>
      </c>
      <c r="G7" s="13">
        <v>18</v>
      </c>
      <c r="H7" s="14">
        <v>0.95955056179775278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selection activeCell="D63" sqref="D63"/>
    </sheetView>
  </sheetViews>
  <sheetFormatPr defaultRowHeight="15.75"/>
  <cols>
    <col min="1" max="1" width="26.85546875" bestFit="1" customWidth="1"/>
    <col min="2" max="2" width="14" customWidth="1"/>
    <col min="3" max="3" width="18" customWidth="1"/>
    <col min="4" max="4" width="16" customWidth="1"/>
    <col min="5" max="7" width="10" customWidth="1"/>
    <col min="8" max="8" width="12" customWidth="1"/>
    <col min="9" max="9" width="14" customWidth="1"/>
    <col min="10" max="10" width="10" customWidth="1"/>
    <col min="11" max="11" width="20" customWidth="1"/>
    <col min="12" max="12" width="0.85546875" customWidth="1"/>
    <col min="13" max="13" width="14" hidden="1" customWidth="1"/>
    <col min="14" max="14" width="10.7109375" hidden="1" customWidth="1"/>
    <col min="15" max="15" width="9.5703125" hidden="1" customWidth="1"/>
  </cols>
  <sheetData>
    <row r="1" spans="1:11" ht="19.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>
      <c r="A2" s="1" t="s">
        <v>1</v>
      </c>
      <c r="B2" s="34" t="s">
        <v>2</v>
      </c>
      <c r="C2" s="35"/>
      <c r="D2" s="35"/>
      <c r="E2" s="35"/>
      <c r="F2" s="35"/>
      <c r="G2" s="35"/>
      <c r="H2" s="35"/>
      <c r="I2" s="35"/>
      <c r="J2" s="35"/>
      <c r="K2" s="36"/>
    </row>
    <row r="3" spans="1:11">
      <c r="A3" s="1" t="s">
        <v>3</v>
      </c>
      <c r="B3" s="34" t="s">
        <v>4</v>
      </c>
      <c r="C3" s="35"/>
      <c r="D3" s="35"/>
      <c r="E3" s="35"/>
      <c r="F3" s="35"/>
      <c r="G3" s="35"/>
      <c r="H3" s="35"/>
      <c r="I3" s="35"/>
      <c r="J3" s="35"/>
      <c r="K3" s="36"/>
    </row>
    <row r="4" spans="1:11">
      <c r="A4" s="30" t="s">
        <v>5</v>
      </c>
      <c r="B4" s="28"/>
      <c r="C4" s="28"/>
      <c r="D4" s="28"/>
      <c r="E4" s="28"/>
      <c r="F4" s="28"/>
      <c r="G4" s="28"/>
      <c r="H4" s="28"/>
      <c r="I4" s="28"/>
      <c r="J4" s="28"/>
      <c r="K4" s="29"/>
    </row>
    <row r="5" spans="1:11">
      <c r="A5" s="37" t="s">
        <v>6</v>
      </c>
      <c r="B5" s="37" t="s">
        <v>7</v>
      </c>
      <c r="C5" s="37" t="s">
        <v>8</v>
      </c>
      <c r="D5" s="37" t="s">
        <v>9</v>
      </c>
      <c r="E5" s="37" t="s">
        <v>10</v>
      </c>
      <c r="F5" s="35"/>
      <c r="G5" s="35"/>
      <c r="H5" s="36"/>
      <c r="I5" s="37" t="s">
        <v>11</v>
      </c>
      <c r="J5" s="37" t="s">
        <v>12</v>
      </c>
      <c r="K5" s="37" t="s">
        <v>13</v>
      </c>
    </row>
    <row r="6" spans="1:11">
      <c r="A6" s="38"/>
      <c r="B6" s="38"/>
      <c r="C6" s="38"/>
      <c r="D6" s="38"/>
      <c r="E6" s="2" t="s">
        <v>14</v>
      </c>
      <c r="F6" s="2" t="s">
        <v>15</v>
      </c>
      <c r="G6" s="2" t="s">
        <v>16</v>
      </c>
      <c r="H6" s="2" t="s">
        <v>17</v>
      </c>
      <c r="I6" s="38"/>
      <c r="J6" s="38"/>
      <c r="K6" s="38"/>
    </row>
    <row r="7" spans="1:11">
      <c r="A7" s="3">
        <v>46027</v>
      </c>
      <c r="B7" s="4">
        <v>150</v>
      </c>
      <c r="C7" s="5">
        <v>0</v>
      </c>
      <c r="D7" s="6">
        <v>150</v>
      </c>
      <c r="E7" s="5">
        <v>0</v>
      </c>
      <c r="F7" s="5">
        <v>0</v>
      </c>
      <c r="G7" s="5">
        <v>0</v>
      </c>
      <c r="H7" s="5">
        <v>11</v>
      </c>
      <c r="I7" s="6">
        <f t="shared" ref="I7:I9" si="0">IF($D7="","",MAX(0,$D7-SUM($E7:$H7)))</f>
        <v>139</v>
      </c>
      <c r="J7" s="7">
        <f t="shared" ref="J7:J9" si="1" xml:space="preserve"> IF($D7="","",IF($D7=0,0,$I7/$D7))</f>
        <v>0.92666666666666664</v>
      </c>
      <c r="K7" s="8"/>
    </row>
    <row r="8" spans="1:11">
      <c r="A8" s="3">
        <v>46028</v>
      </c>
      <c r="B8" s="4">
        <v>250</v>
      </c>
      <c r="C8" s="5">
        <v>38</v>
      </c>
      <c r="D8" s="6">
        <v>212</v>
      </c>
      <c r="E8" s="5">
        <v>0</v>
      </c>
      <c r="F8" s="5">
        <v>0</v>
      </c>
      <c r="G8" s="5">
        <v>0</v>
      </c>
      <c r="H8" s="5">
        <v>13</v>
      </c>
      <c r="I8" s="6">
        <f t="shared" si="0"/>
        <v>199</v>
      </c>
      <c r="J8" s="7">
        <f t="shared" si="1"/>
        <v>0.93867924528301883</v>
      </c>
      <c r="K8" s="8"/>
    </row>
    <row r="9" spans="1:11">
      <c r="A9" s="3">
        <v>46029</v>
      </c>
      <c r="B9" s="4">
        <v>275</v>
      </c>
      <c r="C9" s="5">
        <v>115</v>
      </c>
      <c r="D9" s="6">
        <v>160</v>
      </c>
      <c r="E9" s="5">
        <v>0</v>
      </c>
      <c r="F9" s="5">
        <v>0</v>
      </c>
      <c r="G9" s="5">
        <v>0</v>
      </c>
      <c r="H9" s="5">
        <v>10</v>
      </c>
      <c r="I9" s="6">
        <f t="shared" si="0"/>
        <v>150</v>
      </c>
      <c r="J9" s="7">
        <f t="shared" si="1"/>
        <v>0.9375</v>
      </c>
      <c r="K9" s="8"/>
    </row>
    <row r="10" spans="1:11">
      <c r="A10" s="9" t="s">
        <v>18</v>
      </c>
      <c r="B10" s="9">
        <f t="shared" ref="B10:I10" si="2">SUM(B7:B9)</f>
        <v>675</v>
      </c>
      <c r="C10" s="9">
        <f t="shared" si="2"/>
        <v>153</v>
      </c>
      <c r="D10" s="9">
        <f t="shared" si="2"/>
        <v>522</v>
      </c>
      <c r="E10" s="9">
        <f t="shared" si="2"/>
        <v>0</v>
      </c>
      <c r="F10" s="9">
        <f t="shared" si="2"/>
        <v>0</v>
      </c>
      <c r="G10" s="9">
        <f t="shared" si="2"/>
        <v>0</v>
      </c>
      <c r="H10" s="9">
        <f t="shared" si="2"/>
        <v>34</v>
      </c>
      <c r="I10" s="9">
        <f t="shared" si="2"/>
        <v>488</v>
      </c>
      <c r="J10" s="10">
        <f xml:space="preserve"> IF($D10="","",IF($D10=0,0,$I10/$D10))</f>
        <v>0.93486590038314177</v>
      </c>
      <c r="K10" s="11"/>
    </row>
    <row r="11" spans="1:11">
      <c r="A11" s="26" t="s">
        <v>19</v>
      </c>
      <c r="B11" s="27"/>
      <c r="C11" s="27"/>
      <c r="D11" s="27"/>
      <c r="E11" s="28"/>
      <c r="F11" s="28"/>
      <c r="G11" s="28"/>
      <c r="H11" s="28"/>
      <c r="I11" s="28"/>
      <c r="J11" s="28"/>
      <c r="K11" s="29"/>
    </row>
    <row r="12" spans="1:11">
      <c r="A12" s="12" t="s">
        <v>20</v>
      </c>
      <c r="B12" s="13">
        <f>B10</f>
        <v>675</v>
      </c>
      <c r="C12" s="13"/>
      <c r="D12" s="13"/>
    </row>
    <row r="13" spans="1:11">
      <c r="A13" s="12" t="s">
        <v>21</v>
      </c>
      <c r="B13" s="13">
        <f>C10</f>
        <v>153</v>
      </c>
      <c r="C13" s="13" t="s">
        <v>22</v>
      </c>
      <c r="D13" s="14">
        <f>IF(B10=0,0,C10/B10)</f>
        <v>0.22666666666666666</v>
      </c>
    </row>
    <row r="14" spans="1:11">
      <c r="A14" s="12" t="s">
        <v>23</v>
      </c>
      <c r="B14" s="13">
        <f>D10</f>
        <v>522</v>
      </c>
      <c r="C14" s="13" t="s">
        <v>22</v>
      </c>
      <c r="D14" s="14">
        <f>IF(B10=0,0,D10/B10)</f>
        <v>0.77333333333333332</v>
      </c>
    </row>
    <row r="15" spans="1:11">
      <c r="A15" s="12" t="s">
        <v>24</v>
      </c>
      <c r="B15" s="13">
        <f>I10</f>
        <v>488</v>
      </c>
      <c r="C15" s="13" t="s">
        <v>22</v>
      </c>
      <c r="D15" s="14">
        <f>IF(D10=0,0,I10/D10)</f>
        <v>0.93486590038314177</v>
      </c>
    </row>
    <row r="16" spans="1:11">
      <c r="A16" s="12" t="s">
        <v>25</v>
      </c>
      <c r="B16" s="13">
        <f>SUM(E10:H10)</f>
        <v>34</v>
      </c>
      <c r="C16" s="13" t="s">
        <v>22</v>
      </c>
      <c r="D16" s="14">
        <f>IF(D10=0,0,SUM(E10:H10)/D10)</f>
        <v>6.5134099616858232E-2</v>
      </c>
    </row>
    <row r="17" spans="1:15">
      <c r="A17" s="12" t="s">
        <v>26</v>
      </c>
      <c r="B17" s="14">
        <f>J10</f>
        <v>0.93486590038314177</v>
      </c>
      <c r="C17" s="13"/>
      <c r="D17" s="13"/>
    </row>
    <row r="18" spans="1:15">
      <c r="A18" s="30" t="s">
        <v>27</v>
      </c>
      <c r="B18" s="28"/>
      <c r="C18" s="28"/>
      <c r="D18" s="28"/>
      <c r="E18" s="28"/>
      <c r="F18" s="28"/>
      <c r="G18" s="28"/>
      <c r="H18" s="28"/>
      <c r="I18" s="28"/>
      <c r="J18" s="28"/>
      <c r="K18" s="29"/>
    </row>
    <row r="19" spans="1:15">
      <c r="A19" s="15" t="s">
        <v>10</v>
      </c>
      <c r="B19" s="15" t="s">
        <v>28</v>
      </c>
      <c r="C19" s="15" t="s">
        <v>22</v>
      </c>
      <c r="D19" s="31" t="s">
        <v>29</v>
      </c>
      <c r="E19" s="32"/>
    </row>
    <row r="20" spans="1:15">
      <c r="A20" s="6" t="str">
        <f>INDEX($M$26:$M$29,MATCH(LARGE($O$26:$O$29,1),$O$26:$O$29,0))</f>
        <v>其他缺陷</v>
      </c>
      <c r="B20" s="6">
        <f>INT(LARGE($O$26:$O$29,1))</f>
        <v>34</v>
      </c>
      <c r="C20" s="7">
        <f>IF($B$24=0,0,B20/$B$24)</f>
        <v>1</v>
      </c>
      <c r="D20" s="33" t="str">
        <f>IF($B$24=0,"",INDEX($M$26:$M$29,MATCH(MAX($O$26:$O$29),$O$26:$O$29,0)))</f>
        <v>其他缺陷</v>
      </c>
      <c r="E20" s="33"/>
    </row>
    <row r="21" spans="1:15">
      <c r="A21" s="6" t="str">
        <f>INDEX($M$26:$M$29,MATCH(LARGE($O$26:$O$29,2),$O$26:$O$29,0))</f>
        <v>裂痕</v>
      </c>
      <c r="B21" s="6">
        <f>INT(LARGE($O$26:$O$29,2))</f>
        <v>0</v>
      </c>
      <c r="C21" s="7">
        <f>IF($B$24=0,0,B21/$B$24)</f>
        <v>0</v>
      </c>
      <c r="D21" s="24"/>
      <c r="E21" s="25"/>
    </row>
    <row r="22" spans="1:15">
      <c r="A22" s="6" t="str">
        <f>INDEX($M$26:$M$29,MATCH(LARGE($O$26:$O$29,3),$O$26:$O$29,0))</f>
        <v>破片</v>
      </c>
      <c r="B22" s="6">
        <f>INT(LARGE($O$26:$O$29,3))</f>
        <v>0</v>
      </c>
      <c r="C22" s="7">
        <f>IF($B$24=0,0,B22/$B$24)</f>
        <v>0</v>
      </c>
      <c r="D22" s="24"/>
      <c r="E22" s="25"/>
    </row>
    <row r="23" spans="1:15">
      <c r="A23" s="6" t="str">
        <f>INDEX($M$26:$M$29,MATCH(LARGE($O$26:$O$29,4),$O$26:$O$29,0))</f>
        <v>chipping</v>
      </c>
      <c r="B23" s="6">
        <f>INT(LARGE($O$26:$O$29,4))</f>
        <v>0</v>
      </c>
      <c r="C23" s="17">
        <f>IF($B$24=0,0,B23/$B$24)</f>
        <v>0</v>
      </c>
      <c r="D23" s="24"/>
      <c r="E23" s="25"/>
    </row>
    <row r="24" spans="1:15">
      <c r="A24" s="18" t="s">
        <v>30</v>
      </c>
      <c r="B24" s="18">
        <f>SUM(B20:B23)</f>
        <v>34</v>
      </c>
      <c r="C24" s="11"/>
      <c r="D24" s="24"/>
      <c r="E24" s="25"/>
    </row>
    <row r="26" spans="1:15" ht="19.5">
      <c r="A26" s="39" t="s">
        <v>0</v>
      </c>
      <c r="B26" s="40"/>
      <c r="C26" s="40"/>
      <c r="D26" s="40"/>
      <c r="E26" s="40"/>
      <c r="F26" s="40"/>
      <c r="G26" s="40"/>
      <c r="H26" s="40"/>
      <c r="I26" s="40"/>
      <c r="J26" s="40"/>
      <c r="K26" s="41"/>
      <c r="M26" t="s">
        <v>14</v>
      </c>
      <c r="N26">
        <f>E10</f>
        <v>0</v>
      </c>
      <c r="O26">
        <f>N26+ROW(N26)/1000000</f>
        <v>2.5999999999999998E-5</v>
      </c>
    </row>
    <row r="27" spans="1:15">
      <c r="A27" s="1" t="s">
        <v>1</v>
      </c>
      <c r="B27" s="34" t="s">
        <v>31</v>
      </c>
      <c r="C27" s="35"/>
      <c r="D27" s="35"/>
      <c r="E27" s="35"/>
      <c r="F27" s="35"/>
      <c r="G27" s="35"/>
      <c r="H27" s="35"/>
      <c r="I27" s="35"/>
      <c r="J27" s="35"/>
      <c r="K27" s="36"/>
      <c r="M27" t="s">
        <v>15</v>
      </c>
      <c r="N27">
        <f>F10</f>
        <v>0</v>
      </c>
      <c r="O27">
        <f>N27+ROW(N27)/1000000</f>
        <v>2.6999999999999999E-5</v>
      </c>
    </row>
    <row r="28" spans="1:15">
      <c r="A28" s="1" t="s">
        <v>3</v>
      </c>
      <c r="B28" s="34" t="s">
        <v>32</v>
      </c>
      <c r="C28" s="35"/>
      <c r="D28" s="35"/>
      <c r="E28" s="35"/>
      <c r="F28" s="35"/>
      <c r="G28" s="35"/>
      <c r="H28" s="35"/>
      <c r="I28" s="35"/>
      <c r="J28" s="35"/>
      <c r="K28" s="36"/>
      <c r="M28" t="s">
        <v>16</v>
      </c>
      <c r="N28">
        <f>G10</f>
        <v>0</v>
      </c>
      <c r="O28">
        <f>N28+ROW(N28)/1000000</f>
        <v>2.8E-5</v>
      </c>
    </row>
    <row r="29" spans="1:15">
      <c r="A29" s="30" t="s">
        <v>5</v>
      </c>
      <c r="B29" s="28"/>
      <c r="C29" s="28"/>
      <c r="D29" s="28"/>
      <c r="E29" s="28"/>
      <c r="F29" s="28"/>
      <c r="G29" s="28"/>
      <c r="H29" s="28"/>
      <c r="I29" s="28"/>
      <c r="J29" s="28"/>
      <c r="K29" s="29"/>
      <c r="M29" t="s">
        <v>17</v>
      </c>
      <c r="N29">
        <f>H10</f>
        <v>34</v>
      </c>
      <c r="O29">
        <f>N29+ROW(N29)/1000000</f>
        <v>34.000028999999998</v>
      </c>
    </row>
    <row r="30" spans="1:15">
      <c r="A30" s="37" t="s">
        <v>6</v>
      </c>
      <c r="B30" s="37" t="s">
        <v>7</v>
      </c>
      <c r="C30" s="37" t="s">
        <v>8</v>
      </c>
      <c r="D30" s="37" t="s">
        <v>9</v>
      </c>
      <c r="E30" s="37" t="s">
        <v>10</v>
      </c>
      <c r="F30" s="35"/>
      <c r="G30" s="35"/>
      <c r="H30" s="36"/>
      <c r="I30" s="37" t="s">
        <v>11</v>
      </c>
      <c r="J30" s="37" t="s">
        <v>12</v>
      </c>
      <c r="K30" s="37" t="s">
        <v>13</v>
      </c>
    </row>
    <row r="31" spans="1:15">
      <c r="A31" s="38"/>
      <c r="B31" s="38"/>
      <c r="C31" s="38"/>
      <c r="D31" s="38"/>
      <c r="E31" s="2" t="s">
        <v>14</v>
      </c>
      <c r="F31" s="2" t="s">
        <v>15</v>
      </c>
      <c r="G31" s="2" t="s">
        <v>16</v>
      </c>
      <c r="H31" s="2" t="s">
        <v>17</v>
      </c>
      <c r="I31" s="38"/>
      <c r="J31" s="38"/>
      <c r="K31" s="38"/>
    </row>
    <row r="32" spans="1:15">
      <c r="A32" s="3">
        <v>46030</v>
      </c>
      <c r="B32" s="4">
        <v>300</v>
      </c>
      <c r="C32" s="19">
        <v>119</v>
      </c>
      <c r="D32" s="20">
        <f>B32-C32</f>
        <v>181</v>
      </c>
      <c r="E32" s="19">
        <v>0</v>
      </c>
      <c r="F32" s="19">
        <v>0</v>
      </c>
      <c r="G32" s="19">
        <v>0</v>
      </c>
      <c r="H32" s="19">
        <v>13</v>
      </c>
      <c r="I32" s="20">
        <f>IF($D32="","",MAX(0,$D32-SUM($E32:$H32)))</f>
        <v>168</v>
      </c>
      <c r="J32" s="17">
        <f t="shared" ref="J32:J34" si="3" xml:space="preserve"> IF($D32="","",IF($D32=0,0,$I32/$D32))</f>
        <v>0.92817679558011046</v>
      </c>
      <c r="K32" s="8"/>
    </row>
    <row r="33" spans="1:11">
      <c r="A33" s="3">
        <v>46031</v>
      </c>
      <c r="B33" s="4">
        <v>175</v>
      </c>
      <c r="C33" s="21">
        <f>29+13</f>
        <v>42</v>
      </c>
      <c r="D33" s="13">
        <f>B33-C33</f>
        <v>133</v>
      </c>
      <c r="E33" s="21">
        <v>0</v>
      </c>
      <c r="F33" s="21">
        <v>0</v>
      </c>
      <c r="G33" s="21">
        <v>0</v>
      </c>
      <c r="H33" s="21">
        <v>10</v>
      </c>
      <c r="I33" s="6">
        <f t="shared" ref="I33:I34" si="4">IF($D33="","",MAX(0,$D33-SUM($E33:$H33)))</f>
        <v>123</v>
      </c>
      <c r="J33" s="7">
        <f t="shared" si="3"/>
        <v>0.92481203007518797</v>
      </c>
      <c r="K33" s="8"/>
    </row>
    <row r="34" spans="1:11">
      <c r="A34" s="3">
        <v>46032</v>
      </c>
      <c r="B34" s="4">
        <v>200</v>
      </c>
      <c r="C34" s="5">
        <v>82</v>
      </c>
      <c r="D34" s="13">
        <f>B34-C34</f>
        <v>118</v>
      </c>
      <c r="E34" s="21">
        <v>0</v>
      </c>
      <c r="F34" s="21">
        <v>0</v>
      </c>
      <c r="G34" s="21">
        <v>0</v>
      </c>
      <c r="H34" s="5">
        <v>8</v>
      </c>
      <c r="I34" s="6">
        <f t="shared" si="4"/>
        <v>110</v>
      </c>
      <c r="J34" s="7">
        <f t="shared" si="3"/>
        <v>0.93220338983050843</v>
      </c>
      <c r="K34" s="8"/>
    </row>
    <row r="35" spans="1:11">
      <c r="A35" s="9" t="s">
        <v>18</v>
      </c>
      <c r="B35" s="9">
        <f>SUM(B32:B34)</f>
        <v>675</v>
      </c>
      <c r="C35" s="9">
        <f>SUM(C33:C34)</f>
        <v>124</v>
      </c>
      <c r="D35" s="9">
        <f>SUM(D33:D34)</f>
        <v>251</v>
      </c>
      <c r="E35" s="9">
        <f>SUM(E33:E34)</f>
        <v>0</v>
      </c>
      <c r="F35" s="9">
        <f>SUM(F33:F34)</f>
        <v>0</v>
      </c>
      <c r="G35" s="9">
        <f>SUM(G33:G34)</f>
        <v>0</v>
      </c>
      <c r="H35" s="9">
        <f>SUM(H32:H34)</f>
        <v>31</v>
      </c>
      <c r="I35" s="9">
        <f>SUM(I33:I34)</f>
        <v>233</v>
      </c>
      <c r="J35" s="10">
        <f xml:space="preserve"> IF($D35="","",IF($D35=0,0,$I35/$D35))</f>
        <v>0.92828685258964139</v>
      </c>
      <c r="K35" s="11"/>
    </row>
    <row r="36" spans="1:11">
      <c r="A36" s="26" t="s">
        <v>19</v>
      </c>
      <c r="B36" s="27"/>
      <c r="C36" s="27"/>
      <c r="D36" s="27"/>
      <c r="E36" s="28"/>
      <c r="F36" s="28"/>
      <c r="G36" s="28"/>
      <c r="H36" s="28"/>
      <c r="I36" s="28"/>
      <c r="J36" s="28"/>
      <c r="K36" s="29"/>
    </row>
    <row r="37" spans="1:11">
      <c r="A37" s="12" t="s">
        <v>20</v>
      </c>
      <c r="B37" s="13">
        <f>B35</f>
        <v>675</v>
      </c>
      <c r="C37" s="13"/>
      <c r="D37" s="13"/>
    </row>
    <row r="38" spans="1:11">
      <c r="A38" s="12" t="s">
        <v>21</v>
      </c>
      <c r="B38" s="13">
        <f>C35</f>
        <v>124</v>
      </c>
      <c r="C38" s="13" t="s">
        <v>22</v>
      </c>
      <c r="D38" s="14">
        <f>IF(B35=0,0,C35/B35)</f>
        <v>0.1837037037037037</v>
      </c>
    </row>
    <row r="39" spans="1:11">
      <c r="A39" s="12" t="s">
        <v>23</v>
      </c>
      <c r="B39" s="13">
        <f>D35</f>
        <v>251</v>
      </c>
      <c r="C39" s="13" t="s">
        <v>22</v>
      </c>
      <c r="D39" s="14">
        <f>IF(B35=0,0,D35/B35)</f>
        <v>0.37185185185185188</v>
      </c>
    </row>
    <row r="40" spans="1:11">
      <c r="A40" s="12" t="s">
        <v>24</v>
      </c>
      <c r="B40" s="13">
        <f>I35</f>
        <v>233</v>
      </c>
      <c r="C40" s="13" t="s">
        <v>22</v>
      </c>
      <c r="D40" s="14">
        <f>IF(D35=0,0,I35/D35)</f>
        <v>0.92828685258964139</v>
      </c>
    </row>
    <row r="41" spans="1:11">
      <c r="A41" s="12" t="s">
        <v>25</v>
      </c>
      <c r="B41" s="13">
        <f>SUM(E35:H35)</f>
        <v>31</v>
      </c>
      <c r="C41" s="13" t="s">
        <v>22</v>
      </c>
      <c r="D41" s="14">
        <f>IF(D35=0,0,SUM(E35:H35)/D35)</f>
        <v>0.12350597609561753</v>
      </c>
    </row>
    <row r="42" spans="1:11">
      <c r="A42" s="12" t="s">
        <v>26</v>
      </c>
      <c r="B42" s="14">
        <f>J35</f>
        <v>0.92828685258964139</v>
      </c>
      <c r="C42" s="13"/>
      <c r="D42" s="13"/>
    </row>
    <row r="43" spans="1:11">
      <c r="A43" s="30" t="s">
        <v>27</v>
      </c>
      <c r="B43" s="28"/>
      <c r="C43" s="28"/>
      <c r="D43" s="28"/>
      <c r="E43" s="28"/>
      <c r="F43" s="28"/>
      <c r="G43" s="28"/>
      <c r="H43" s="28"/>
      <c r="I43" s="28"/>
      <c r="J43" s="28"/>
      <c r="K43" s="29"/>
    </row>
    <row r="44" spans="1:11">
      <c r="A44" s="15" t="s">
        <v>10</v>
      </c>
      <c r="B44" s="15" t="s">
        <v>28</v>
      </c>
      <c r="C44" s="15" t="s">
        <v>22</v>
      </c>
      <c r="D44" s="31" t="s">
        <v>29</v>
      </c>
      <c r="E44" s="32"/>
    </row>
    <row r="45" spans="1:11">
      <c r="A45" s="6" t="str">
        <f>INDEX($M$26:$M$29,MATCH(LARGE($O$26:$O$29,1),$O$26:$O$29,0))</f>
        <v>其他缺陷</v>
      </c>
      <c r="B45" s="6">
        <v>31</v>
      </c>
      <c r="C45" s="7">
        <v>1</v>
      </c>
      <c r="D45" s="33" t="str">
        <f>IF($B$24=0,"",INDEX($M$26:$M$29,MATCH(MAX($O$26:$O$29),$O$26:$O$29,0)))</f>
        <v>其他缺陷</v>
      </c>
      <c r="E45" s="33"/>
    </row>
    <row r="46" spans="1:11">
      <c r="A46" s="6" t="str">
        <f>INDEX($M$26:$M$29,MATCH(LARGE($O$26:$O$29,2),$O$26:$O$29,0))</f>
        <v>裂痕</v>
      </c>
      <c r="B46" s="6">
        <f>INT(LARGE($O$26:$O$29,2))</f>
        <v>0</v>
      </c>
      <c r="C46" s="7">
        <f>IF($B$24=0,0,B46/$B$24)</f>
        <v>0</v>
      </c>
      <c r="D46" s="24"/>
      <c r="E46" s="25"/>
    </row>
    <row r="47" spans="1:11">
      <c r="A47" s="6" t="str">
        <f>INDEX($M$26:$M$29,MATCH(LARGE($O$26:$O$29,3),$O$26:$O$29,0))</f>
        <v>破片</v>
      </c>
      <c r="B47" s="6">
        <f>INT(LARGE($O$26:$O$29,3))</f>
        <v>0</v>
      </c>
      <c r="C47" s="7">
        <f>IF($B$24=0,0,B47/$B$24)</f>
        <v>0</v>
      </c>
      <c r="D47" s="24"/>
      <c r="E47" s="25"/>
    </row>
    <row r="48" spans="1:11">
      <c r="A48" s="6" t="str">
        <f>INDEX($M$26:$M$29,MATCH(LARGE($O$26:$O$29,4),$O$26:$O$29,0))</f>
        <v>chipping</v>
      </c>
      <c r="B48" s="6">
        <f>INT(LARGE($O$26:$O$29,4))</f>
        <v>0</v>
      </c>
      <c r="C48" s="17">
        <f>IF($B$24=0,0,B48/$B$24)</f>
        <v>0</v>
      </c>
      <c r="D48" s="24"/>
      <c r="E48" s="25"/>
    </row>
    <row r="49" spans="1:5">
      <c r="A49" s="18" t="s">
        <v>30</v>
      </c>
      <c r="B49" s="18">
        <f>SUM(B45:B48)</f>
        <v>31</v>
      </c>
      <c r="C49" s="11"/>
      <c r="D49" s="24"/>
      <c r="E49" s="25"/>
    </row>
  </sheetData>
  <mergeCells count="40">
    <mergeCell ref="A1:K1"/>
    <mergeCell ref="B2:K2"/>
    <mergeCell ref="B3:K3"/>
    <mergeCell ref="A4:K4"/>
    <mergeCell ref="A5:A6"/>
    <mergeCell ref="B5:B6"/>
    <mergeCell ref="C5:C6"/>
    <mergeCell ref="D5:D6"/>
    <mergeCell ref="E5:H5"/>
    <mergeCell ref="I5:I6"/>
    <mergeCell ref="B27:K27"/>
    <mergeCell ref="J5:J6"/>
    <mergeCell ref="K5:K6"/>
    <mergeCell ref="A11:K11"/>
    <mergeCell ref="A18:K18"/>
    <mergeCell ref="D19:E19"/>
    <mergeCell ref="D20:E20"/>
    <mergeCell ref="D21:E21"/>
    <mergeCell ref="D22:E22"/>
    <mergeCell ref="D23:E23"/>
    <mergeCell ref="D24:E24"/>
    <mergeCell ref="A26:K26"/>
    <mergeCell ref="B28:K28"/>
    <mergeCell ref="A29:K29"/>
    <mergeCell ref="A30:A31"/>
    <mergeCell ref="B30:B31"/>
    <mergeCell ref="C30:C31"/>
    <mergeCell ref="D30:D31"/>
    <mergeCell ref="E30:H30"/>
    <mergeCell ref="I30:I31"/>
    <mergeCell ref="J30:J31"/>
    <mergeCell ref="K30:K31"/>
    <mergeCell ref="D48:E48"/>
    <mergeCell ref="D49:E49"/>
    <mergeCell ref="A36:K36"/>
    <mergeCell ref="A43:K43"/>
    <mergeCell ref="D44:E44"/>
    <mergeCell ref="D45:E45"/>
    <mergeCell ref="D46:E46"/>
    <mergeCell ref="D47:E47"/>
  </mergeCells>
  <phoneticPr fontId="3" type="noConversion"/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opLeftCell="A70" workbookViewId="0">
      <selection activeCell="A81" sqref="A81:A82"/>
    </sheetView>
  </sheetViews>
  <sheetFormatPr defaultRowHeight="15.75"/>
  <cols>
    <col min="1" max="1" width="26.85546875" bestFit="1" customWidth="1"/>
    <col min="2" max="2" width="14" customWidth="1"/>
    <col min="3" max="3" width="18" customWidth="1"/>
    <col min="4" max="4" width="16" customWidth="1"/>
    <col min="5" max="7" width="10" customWidth="1"/>
    <col min="8" max="8" width="12" customWidth="1"/>
    <col min="9" max="9" width="14" customWidth="1"/>
    <col min="10" max="10" width="10" customWidth="1"/>
    <col min="11" max="11" width="20" customWidth="1"/>
    <col min="12" max="12" width="0.85546875" customWidth="1"/>
    <col min="13" max="13" width="14" hidden="1" customWidth="1"/>
    <col min="14" max="14" width="10.7109375" hidden="1" customWidth="1"/>
    <col min="15" max="15" width="9.5703125" hidden="1" customWidth="1"/>
  </cols>
  <sheetData>
    <row r="1" spans="1:11" ht="19.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>
      <c r="A2" s="1" t="s">
        <v>1</v>
      </c>
      <c r="B2" s="34" t="s">
        <v>33</v>
      </c>
      <c r="C2" s="35"/>
      <c r="D2" s="35"/>
      <c r="E2" s="35"/>
      <c r="F2" s="35"/>
      <c r="G2" s="35"/>
      <c r="H2" s="35"/>
      <c r="I2" s="35"/>
      <c r="J2" s="35"/>
      <c r="K2" s="36"/>
    </row>
    <row r="3" spans="1:11">
      <c r="A3" s="1" t="s">
        <v>3</v>
      </c>
      <c r="B3" s="34" t="s">
        <v>34</v>
      </c>
      <c r="C3" s="35"/>
      <c r="D3" s="35"/>
      <c r="E3" s="35"/>
      <c r="F3" s="35"/>
      <c r="G3" s="35"/>
      <c r="H3" s="35"/>
      <c r="I3" s="35"/>
      <c r="J3" s="35"/>
      <c r="K3" s="36"/>
    </row>
    <row r="4" spans="1:11">
      <c r="A4" s="30" t="s">
        <v>5</v>
      </c>
      <c r="B4" s="28"/>
      <c r="C4" s="28"/>
      <c r="D4" s="28"/>
      <c r="E4" s="28"/>
      <c r="F4" s="28"/>
      <c r="G4" s="28"/>
      <c r="H4" s="28"/>
      <c r="I4" s="28"/>
      <c r="J4" s="28"/>
      <c r="K4" s="29"/>
    </row>
    <row r="5" spans="1:11">
      <c r="A5" s="37" t="s">
        <v>6</v>
      </c>
      <c r="B5" s="37" t="s">
        <v>7</v>
      </c>
      <c r="C5" s="37" t="s">
        <v>8</v>
      </c>
      <c r="D5" s="37" t="s">
        <v>9</v>
      </c>
      <c r="E5" s="37" t="s">
        <v>10</v>
      </c>
      <c r="F5" s="35"/>
      <c r="G5" s="35"/>
      <c r="H5" s="36"/>
      <c r="I5" s="37" t="s">
        <v>11</v>
      </c>
      <c r="J5" s="37" t="s">
        <v>12</v>
      </c>
      <c r="K5" s="37" t="s">
        <v>13</v>
      </c>
    </row>
    <row r="6" spans="1:11">
      <c r="A6" s="38"/>
      <c r="B6" s="38"/>
      <c r="C6" s="38"/>
      <c r="D6" s="38"/>
      <c r="E6" s="2" t="s">
        <v>14</v>
      </c>
      <c r="F6" s="2" t="s">
        <v>15</v>
      </c>
      <c r="G6" s="2" t="s">
        <v>16</v>
      </c>
      <c r="H6" s="2" t="s">
        <v>17</v>
      </c>
      <c r="I6" s="38"/>
      <c r="J6" s="38"/>
      <c r="K6" s="38"/>
    </row>
    <row r="7" spans="1:11">
      <c r="A7" s="3">
        <v>46043</v>
      </c>
      <c r="B7" s="4">
        <v>225</v>
      </c>
      <c r="C7" s="5">
        <v>0</v>
      </c>
      <c r="D7" s="6">
        <f>B7-C7</f>
        <v>225</v>
      </c>
      <c r="E7" s="5">
        <v>0</v>
      </c>
      <c r="F7" s="5">
        <v>0</v>
      </c>
      <c r="G7" s="5">
        <v>0</v>
      </c>
      <c r="H7" s="5">
        <v>22</v>
      </c>
      <c r="I7" s="6">
        <f t="shared" ref="I7:I8" si="0">IF($D7="","",MAX(0,$D7-SUM($E7:$H7)))</f>
        <v>203</v>
      </c>
      <c r="J7" s="7">
        <f t="shared" ref="J7:J8" si="1" xml:space="preserve"> IF($D7="","",IF($D7=0,0,$I7/$D7))</f>
        <v>0.90222222222222226</v>
      </c>
      <c r="K7" s="8"/>
    </row>
    <row r="8" spans="1:11">
      <c r="A8" s="3">
        <v>46044</v>
      </c>
      <c r="B8" s="4">
        <v>450</v>
      </c>
      <c r="C8" s="5">
        <v>67</v>
      </c>
      <c r="D8" s="6">
        <f>B8-C8</f>
        <v>383</v>
      </c>
      <c r="E8" s="5">
        <v>0</v>
      </c>
      <c r="F8" s="5">
        <v>0</v>
      </c>
      <c r="G8" s="5">
        <v>0</v>
      </c>
      <c r="H8" s="5">
        <v>29</v>
      </c>
      <c r="I8" s="6">
        <f t="shared" si="0"/>
        <v>354</v>
      </c>
      <c r="J8" s="7">
        <f t="shared" si="1"/>
        <v>0.92428198433420361</v>
      </c>
      <c r="K8" s="8"/>
    </row>
    <row r="9" spans="1:11">
      <c r="A9" s="16" t="s">
        <v>18</v>
      </c>
      <c r="B9" s="16">
        <f>SUM(B7:B8)</f>
        <v>675</v>
      </c>
      <c r="C9" s="16">
        <f t="shared" ref="C9:H9" si="2">SUM(C7:C8)</f>
        <v>67</v>
      </c>
      <c r="D9" s="16">
        <f t="shared" si="2"/>
        <v>608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51</v>
      </c>
      <c r="I9" s="16">
        <f>SUM(I7:I8)</f>
        <v>557</v>
      </c>
      <c r="J9" s="10">
        <f xml:space="preserve"> IF($D9="","",IF($D9=0,0,$I9/$D9))</f>
        <v>0.91611842105263153</v>
      </c>
      <c r="K9" s="11"/>
    </row>
    <row r="10" spans="1:11">
      <c r="A10" s="26" t="s">
        <v>19</v>
      </c>
      <c r="B10" s="27"/>
      <c r="C10" s="27"/>
      <c r="D10" s="27"/>
      <c r="E10" s="28"/>
      <c r="F10" s="28"/>
      <c r="G10" s="28"/>
      <c r="H10" s="28"/>
      <c r="I10" s="28"/>
      <c r="J10" s="28"/>
      <c r="K10" s="29"/>
    </row>
    <row r="11" spans="1:11">
      <c r="A11" s="12" t="s">
        <v>20</v>
      </c>
      <c r="B11" s="13">
        <f>B9</f>
        <v>675</v>
      </c>
      <c r="C11" s="13"/>
      <c r="D11" s="13"/>
    </row>
    <row r="12" spans="1:11">
      <c r="A12" s="12" t="s">
        <v>21</v>
      </c>
      <c r="B12" s="13">
        <f>C9</f>
        <v>67</v>
      </c>
      <c r="C12" s="13" t="s">
        <v>22</v>
      </c>
      <c r="D12" s="14">
        <f>IF(B9=0,0,C9/B9)</f>
        <v>9.9259259259259255E-2</v>
      </c>
    </row>
    <row r="13" spans="1:11">
      <c r="A13" s="12" t="s">
        <v>23</v>
      </c>
      <c r="B13" s="13">
        <f>D9</f>
        <v>608</v>
      </c>
      <c r="C13" s="13" t="s">
        <v>22</v>
      </c>
      <c r="D13" s="14">
        <f>IF(B9=0,0,D9/B9)</f>
        <v>0.90074074074074073</v>
      </c>
    </row>
    <row r="14" spans="1:11">
      <c r="A14" s="12" t="s">
        <v>24</v>
      </c>
      <c r="B14" s="13">
        <f>I9</f>
        <v>557</v>
      </c>
      <c r="C14" s="13" t="s">
        <v>22</v>
      </c>
      <c r="D14" s="14">
        <f>IF(D9=0,0,I9/D9)</f>
        <v>0.91611842105263153</v>
      </c>
    </row>
    <row r="15" spans="1:11">
      <c r="A15" s="12" t="s">
        <v>25</v>
      </c>
      <c r="B15" s="13">
        <f>SUM(E9:H9)</f>
        <v>51</v>
      </c>
      <c r="C15" s="13" t="s">
        <v>22</v>
      </c>
      <c r="D15" s="14">
        <f>IF(D9=0,0,SUM(E9:H9)/D9)</f>
        <v>8.3881578947368418E-2</v>
      </c>
    </row>
    <row r="16" spans="1:11">
      <c r="A16" s="12" t="s">
        <v>26</v>
      </c>
      <c r="B16" s="14">
        <f>J9</f>
        <v>0.91611842105263153</v>
      </c>
      <c r="C16" s="13"/>
      <c r="D16" s="13"/>
    </row>
    <row r="17" spans="1:15">
      <c r="A17" s="30" t="s">
        <v>27</v>
      </c>
      <c r="B17" s="28"/>
      <c r="C17" s="28"/>
      <c r="D17" s="28"/>
      <c r="E17" s="28"/>
      <c r="F17" s="28"/>
      <c r="G17" s="28"/>
      <c r="H17" s="28"/>
      <c r="I17" s="28"/>
      <c r="J17" s="28"/>
      <c r="K17" s="29"/>
    </row>
    <row r="18" spans="1:15">
      <c r="A18" s="22" t="s">
        <v>10</v>
      </c>
      <c r="B18" s="22" t="s">
        <v>28</v>
      </c>
      <c r="C18" s="22" t="s">
        <v>22</v>
      </c>
      <c r="D18" s="31" t="s">
        <v>29</v>
      </c>
      <c r="E18" s="32"/>
    </row>
    <row r="19" spans="1:15">
      <c r="A19" s="13" t="str">
        <f>INDEX($M$26:$M$29,MATCH(LARGE($O$26:$O$29,1),$O$26:$O$29,0))</f>
        <v>其他缺陷</v>
      </c>
      <c r="B19" s="13">
        <f>INT(LARGE($O$26:$O$29,1))</f>
        <v>51</v>
      </c>
      <c r="C19" s="14">
        <f>IF($B$23=0,0,B19/$B$23)</f>
        <v>1</v>
      </c>
      <c r="D19" s="33" t="str">
        <f>IF($B$23=0,"",INDEX($M$26:$M$29,MATCH(MAX($O$26:$O$29),$O$26:$O$29,0)))</f>
        <v>其他缺陷</v>
      </c>
      <c r="E19" s="33"/>
    </row>
    <row r="20" spans="1:15">
      <c r="A20" s="13" t="str">
        <f>INDEX($M$26:$M$29,MATCH(LARGE($O$26:$O$29,2),$O$26:$O$29,0))</f>
        <v>裂痕</v>
      </c>
      <c r="B20" s="13">
        <f>INT(LARGE($O$26:$O$29,2))</f>
        <v>0</v>
      </c>
      <c r="C20" s="14">
        <f>IF($B$23=0,0,B20/$B$23)</f>
        <v>0</v>
      </c>
      <c r="D20" s="42"/>
      <c r="E20" s="42"/>
    </row>
    <row r="21" spans="1:15">
      <c r="A21" s="13" t="str">
        <f>INDEX($M$26:$M$29,MATCH(LARGE($O$26:$O$29,3),$O$26:$O$29,0))</f>
        <v>破片</v>
      </c>
      <c r="B21" s="13">
        <f>INT(LARGE($O$26:$O$29,3))</f>
        <v>0</v>
      </c>
      <c r="C21" s="14">
        <f>IF($B$23=0,0,B21/$B$23)</f>
        <v>0</v>
      </c>
      <c r="D21" s="42"/>
      <c r="E21" s="42"/>
    </row>
    <row r="22" spans="1:15">
      <c r="A22" s="13" t="str">
        <f>INDEX($M$26:$M$29,MATCH(LARGE($O$26:$O$29,4),$O$26:$O$29,0))</f>
        <v>chipping</v>
      </c>
      <c r="B22" s="13">
        <f>INT(LARGE($O$26:$O$29,4))</f>
        <v>0</v>
      </c>
      <c r="C22" s="14">
        <f>IF($B$23=0,0,B22/$B$23)</f>
        <v>0</v>
      </c>
      <c r="D22" s="42"/>
      <c r="E22" s="42"/>
    </row>
    <row r="23" spans="1:15">
      <c r="A23" s="16" t="s">
        <v>30</v>
      </c>
      <c r="B23" s="16">
        <f>SUM(B19:B22)</f>
        <v>51</v>
      </c>
      <c r="C23" s="11"/>
      <c r="D23" s="42"/>
      <c r="E23" s="42"/>
    </row>
    <row r="25" spans="1:15" ht="19.5">
      <c r="A25" s="39" t="s">
        <v>0</v>
      </c>
      <c r="B25" s="40"/>
      <c r="C25" s="40"/>
      <c r="D25" s="40"/>
      <c r="E25" s="40"/>
      <c r="F25" s="40"/>
      <c r="G25" s="40"/>
      <c r="H25" s="40"/>
      <c r="I25" s="40"/>
      <c r="J25" s="40"/>
      <c r="K25" s="41"/>
    </row>
    <row r="26" spans="1:15">
      <c r="A26" s="1" t="s">
        <v>1</v>
      </c>
      <c r="B26" s="34" t="s">
        <v>35</v>
      </c>
      <c r="C26" s="35"/>
      <c r="D26" s="35"/>
      <c r="E26" s="35"/>
      <c r="F26" s="35"/>
      <c r="G26" s="35"/>
      <c r="H26" s="35"/>
      <c r="I26" s="35"/>
      <c r="J26" s="35"/>
      <c r="K26" s="36"/>
      <c r="M26" t="s">
        <v>14</v>
      </c>
      <c r="N26">
        <f>E9</f>
        <v>0</v>
      </c>
      <c r="O26">
        <f>N26+ROW(N26)/1000000</f>
        <v>2.5999999999999998E-5</v>
      </c>
    </row>
    <row r="27" spans="1:15">
      <c r="A27" s="1" t="s">
        <v>3</v>
      </c>
      <c r="B27" s="34" t="s">
        <v>36</v>
      </c>
      <c r="C27" s="35"/>
      <c r="D27" s="35"/>
      <c r="E27" s="35"/>
      <c r="F27" s="35"/>
      <c r="G27" s="35"/>
      <c r="H27" s="35"/>
      <c r="I27" s="35"/>
      <c r="J27" s="35"/>
      <c r="K27" s="36"/>
      <c r="M27" t="s">
        <v>15</v>
      </c>
      <c r="N27">
        <f>F9</f>
        <v>0</v>
      </c>
      <c r="O27">
        <f>N27+ROW(N27)/1000000</f>
        <v>2.6999999999999999E-5</v>
      </c>
    </row>
    <row r="28" spans="1:15">
      <c r="A28" s="30" t="s">
        <v>5</v>
      </c>
      <c r="B28" s="28"/>
      <c r="C28" s="28"/>
      <c r="D28" s="28"/>
      <c r="E28" s="28"/>
      <c r="F28" s="28"/>
      <c r="G28" s="28"/>
      <c r="H28" s="28"/>
      <c r="I28" s="28"/>
      <c r="J28" s="28"/>
      <c r="K28" s="29"/>
      <c r="M28" t="s">
        <v>16</v>
      </c>
      <c r="N28">
        <f>G9</f>
        <v>0</v>
      </c>
      <c r="O28">
        <f>N28+ROW(N28)/1000000</f>
        <v>2.8E-5</v>
      </c>
    </row>
    <row r="29" spans="1:15">
      <c r="A29" s="37" t="s">
        <v>6</v>
      </c>
      <c r="B29" s="37" t="s">
        <v>7</v>
      </c>
      <c r="C29" s="37" t="s">
        <v>8</v>
      </c>
      <c r="D29" s="37" t="s">
        <v>9</v>
      </c>
      <c r="E29" s="37" t="s">
        <v>10</v>
      </c>
      <c r="F29" s="35"/>
      <c r="G29" s="35"/>
      <c r="H29" s="36"/>
      <c r="I29" s="37" t="s">
        <v>11</v>
      </c>
      <c r="J29" s="37" t="s">
        <v>12</v>
      </c>
      <c r="K29" s="37" t="s">
        <v>13</v>
      </c>
      <c r="M29" t="s">
        <v>17</v>
      </c>
      <c r="N29">
        <f>H9</f>
        <v>51</v>
      </c>
      <c r="O29">
        <f>N29+ROW(N29)/1000000</f>
        <v>51.000028999999998</v>
      </c>
    </row>
    <row r="30" spans="1:15">
      <c r="A30" s="38"/>
      <c r="B30" s="38"/>
      <c r="C30" s="38"/>
      <c r="D30" s="38"/>
      <c r="E30" s="2" t="s">
        <v>14</v>
      </c>
      <c r="F30" s="2" t="s">
        <v>15</v>
      </c>
      <c r="G30" s="2" t="s">
        <v>16</v>
      </c>
      <c r="H30" s="2" t="s">
        <v>17</v>
      </c>
      <c r="I30" s="38"/>
      <c r="J30" s="38"/>
      <c r="K30" s="38"/>
    </row>
    <row r="31" spans="1:15">
      <c r="A31" s="3">
        <v>46045</v>
      </c>
      <c r="B31" s="4">
        <v>225</v>
      </c>
      <c r="C31" s="19">
        <v>75</v>
      </c>
      <c r="D31" s="20">
        <f>B31-C31</f>
        <v>150</v>
      </c>
      <c r="E31" s="19">
        <v>0</v>
      </c>
      <c r="F31" s="19">
        <v>0</v>
      </c>
      <c r="G31" s="19">
        <v>0</v>
      </c>
      <c r="H31" s="19">
        <v>10</v>
      </c>
      <c r="I31" s="20">
        <f>IF($D31="","",MAX(0,$D31-SUM($E31:$H31)))</f>
        <v>140</v>
      </c>
      <c r="J31" s="17">
        <f t="shared" ref="J31:J32" si="3" xml:space="preserve"> IF($D31="","",IF($D31=0,0,$I31/$D31))</f>
        <v>0.93333333333333335</v>
      </c>
      <c r="K31" s="8"/>
    </row>
    <row r="32" spans="1:15">
      <c r="A32" s="3">
        <v>46046</v>
      </c>
      <c r="B32" s="4">
        <v>450</v>
      </c>
      <c r="C32" s="21">
        <v>75</v>
      </c>
      <c r="D32" s="13">
        <f>B32-C32</f>
        <v>375</v>
      </c>
      <c r="E32" s="21">
        <v>0</v>
      </c>
      <c r="F32" s="21">
        <v>0</v>
      </c>
      <c r="G32" s="21">
        <v>0</v>
      </c>
      <c r="H32" s="21">
        <v>10</v>
      </c>
      <c r="I32" s="6">
        <f t="shared" ref="I32" si="4">IF($D32="","",MAX(0,$D32-SUM($E32:$H32)))</f>
        <v>365</v>
      </c>
      <c r="J32" s="7">
        <f t="shared" si="3"/>
        <v>0.97333333333333338</v>
      </c>
      <c r="K32" s="8"/>
    </row>
    <row r="33" spans="1:11">
      <c r="A33" s="16" t="s">
        <v>18</v>
      </c>
      <c r="B33" s="16">
        <f>SUM(B31:B32)</f>
        <v>675</v>
      </c>
      <c r="C33" s="16">
        <f>SUM(C31:C32)</f>
        <v>150</v>
      </c>
      <c r="D33" s="16">
        <f>SUM(D31:D32)</f>
        <v>525</v>
      </c>
      <c r="E33" s="16">
        <f>SUM(E32:E32)</f>
        <v>0</v>
      </c>
      <c r="F33" s="16">
        <f>SUM(F32:F32)</f>
        <v>0</v>
      </c>
      <c r="G33" s="16">
        <f>SUM(G32:G32)</f>
        <v>0</v>
      </c>
      <c r="H33" s="16">
        <f>SUM(H31:H32)</f>
        <v>20</v>
      </c>
      <c r="I33" s="16">
        <f>SUM(I31:I32)</f>
        <v>505</v>
      </c>
      <c r="J33" s="10">
        <f xml:space="preserve"> IF($D33="","",IF($D33=0,0,$I33/$D33))</f>
        <v>0.96190476190476193</v>
      </c>
      <c r="K33" s="11"/>
    </row>
    <row r="34" spans="1:11">
      <c r="A34" s="26" t="s">
        <v>19</v>
      </c>
      <c r="B34" s="27"/>
      <c r="C34" s="27"/>
      <c r="D34" s="27"/>
      <c r="E34" s="28"/>
      <c r="F34" s="28"/>
      <c r="G34" s="28"/>
      <c r="H34" s="28"/>
      <c r="I34" s="28"/>
      <c r="J34" s="28"/>
      <c r="K34" s="29"/>
    </row>
    <row r="35" spans="1:11">
      <c r="A35" s="12" t="s">
        <v>20</v>
      </c>
      <c r="B35" s="13">
        <f>B33</f>
        <v>675</v>
      </c>
      <c r="C35" s="13"/>
      <c r="D35" s="13"/>
    </row>
    <row r="36" spans="1:11">
      <c r="A36" s="12" t="s">
        <v>21</v>
      </c>
      <c r="B36" s="13">
        <f>C33</f>
        <v>150</v>
      </c>
      <c r="C36" s="13" t="s">
        <v>22</v>
      </c>
      <c r="D36" s="14">
        <f>IF(B33=0,0,C33/B33)</f>
        <v>0.22222222222222221</v>
      </c>
    </row>
    <row r="37" spans="1:11">
      <c r="A37" s="12" t="s">
        <v>23</v>
      </c>
      <c r="B37" s="13">
        <f>D33</f>
        <v>525</v>
      </c>
      <c r="C37" s="13" t="s">
        <v>22</v>
      </c>
      <c r="D37" s="14">
        <f>IF(B33=0,0,D33/B33)</f>
        <v>0.77777777777777779</v>
      </c>
    </row>
    <row r="38" spans="1:11">
      <c r="A38" s="12" t="s">
        <v>24</v>
      </c>
      <c r="B38" s="13">
        <f>I33</f>
        <v>505</v>
      </c>
      <c r="C38" s="13" t="s">
        <v>22</v>
      </c>
      <c r="D38" s="14">
        <f>IF(D33=0,0,I33/D33)</f>
        <v>0.96190476190476193</v>
      </c>
    </row>
    <row r="39" spans="1:11">
      <c r="A39" s="12" t="s">
        <v>25</v>
      </c>
      <c r="B39" s="13">
        <f>SUM(E33:H33)</f>
        <v>20</v>
      </c>
      <c r="C39" s="13" t="s">
        <v>22</v>
      </c>
      <c r="D39" s="14">
        <f>IF(D33=0,0,SUM(E33:H33)/D33)</f>
        <v>3.8095238095238099E-2</v>
      </c>
    </row>
    <row r="40" spans="1:11">
      <c r="A40" s="12" t="s">
        <v>26</v>
      </c>
      <c r="B40" s="14">
        <f>J33</f>
        <v>0.96190476190476193</v>
      </c>
      <c r="C40" s="13"/>
      <c r="D40" s="13"/>
    </row>
    <row r="41" spans="1:11">
      <c r="A41" s="30" t="s">
        <v>27</v>
      </c>
      <c r="B41" s="28"/>
      <c r="C41" s="28"/>
      <c r="D41" s="28"/>
      <c r="E41" s="28"/>
      <c r="F41" s="28"/>
      <c r="G41" s="28"/>
      <c r="H41" s="28"/>
      <c r="I41" s="28"/>
      <c r="J41" s="28"/>
      <c r="K41" s="29"/>
    </row>
    <row r="42" spans="1:11">
      <c r="A42" s="22" t="s">
        <v>10</v>
      </c>
      <c r="B42" s="22" t="s">
        <v>28</v>
      </c>
      <c r="C42" s="22" t="s">
        <v>22</v>
      </c>
      <c r="D42" s="31" t="s">
        <v>29</v>
      </c>
      <c r="E42" s="32"/>
    </row>
    <row r="43" spans="1:11">
      <c r="A43" s="13" t="str">
        <f>INDEX($M$26:$M$29,MATCH(LARGE($O$26:$O$29,1),$O$26:$O$29,0))</f>
        <v>其他缺陷</v>
      </c>
      <c r="B43" s="13">
        <f>H33</f>
        <v>20</v>
      </c>
      <c r="C43" s="14">
        <v>1</v>
      </c>
      <c r="D43" s="33" t="str">
        <f>IF($B$23=0,"",INDEX($M$26:$M$29,MATCH(MAX($O$26:$O$29),$O$26:$O$29,0)))</f>
        <v>其他缺陷</v>
      </c>
      <c r="E43" s="33"/>
    </row>
    <row r="44" spans="1:11">
      <c r="A44" s="13" t="str">
        <f>INDEX($M$26:$M$29,MATCH(LARGE($O$26:$O$29,2),$O$26:$O$29,0))</f>
        <v>裂痕</v>
      </c>
      <c r="B44" s="13">
        <f>INT(LARGE($O$26:$O$29,2))</f>
        <v>0</v>
      </c>
      <c r="C44" s="14">
        <f>IF($B$23=0,0,B44/$B$23)</f>
        <v>0</v>
      </c>
      <c r="D44" s="42"/>
      <c r="E44" s="42"/>
    </row>
    <row r="45" spans="1:11">
      <c r="A45" s="13" t="str">
        <f>INDEX($M$26:$M$29,MATCH(LARGE($O$26:$O$29,3),$O$26:$O$29,0))</f>
        <v>破片</v>
      </c>
      <c r="B45" s="13">
        <f>INT(LARGE($O$26:$O$29,3))</f>
        <v>0</v>
      </c>
      <c r="C45" s="14">
        <f>IF($B$23=0,0,B45/$B$23)</f>
        <v>0</v>
      </c>
      <c r="D45" s="42"/>
      <c r="E45" s="42"/>
    </row>
    <row r="46" spans="1:11">
      <c r="A46" s="13" t="str">
        <f>INDEX($M$26:$M$29,MATCH(LARGE($O$26:$O$29,4),$O$26:$O$29,0))</f>
        <v>chipping</v>
      </c>
      <c r="B46" s="13">
        <f>INT(LARGE($O$26:$O$29,4))</f>
        <v>0</v>
      </c>
      <c r="C46" s="14">
        <f>IF($B$23=0,0,B46/$B$23)</f>
        <v>0</v>
      </c>
      <c r="D46" s="42"/>
      <c r="E46" s="42"/>
    </row>
    <row r="47" spans="1:11">
      <c r="A47" s="16" t="s">
        <v>30</v>
      </c>
      <c r="B47" s="16">
        <f>SUM(B43:B46)</f>
        <v>20</v>
      </c>
      <c r="C47" s="11"/>
      <c r="D47" s="42"/>
      <c r="E47" s="42"/>
    </row>
    <row r="50" spans="1:11" ht="19.5">
      <c r="A50" s="39" t="s">
        <v>0</v>
      </c>
      <c r="B50" s="40"/>
      <c r="C50" s="40"/>
      <c r="D50" s="40"/>
      <c r="E50" s="40"/>
      <c r="F50" s="40"/>
      <c r="G50" s="40"/>
      <c r="H50" s="40"/>
      <c r="I50" s="40"/>
      <c r="J50" s="40"/>
      <c r="K50" s="41"/>
    </row>
    <row r="51" spans="1:11">
      <c r="A51" s="1" t="s">
        <v>1</v>
      </c>
      <c r="B51" s="34" t="s">
        <v>37</v>
      </c>
      <c r="C51" s="35"/>
      <c r="D51" s="35"/>
      <c r="E51" s="35"/>
      <c r="F51" s="35"/>
      <c r="G51" s="35"/>
      <c r="H51" s="35"/>
      <c r="I51" s="35"/>
      <c r="J51" s="35"/>
      <c r="K51" s="36"/>
    </row>
    <row r="52" spans="1:11">
      <c r="A52" s="1" t="s">
        <v>3</v>
      </c>
      <c r="B52" s="34" t="s">
        <v>38</v>
      </c>
      <c r="C52" s="35"/>
      <c r="D52" s="35"/>
      <c r="E52" s="35"/>
      <c r="F52" s="35"/>
      <c r="G52" s="35"/>
      <c r="H52" s="35"/>
      <c r="I52" s="35"/>
      <c r="J52" s="35"/>
      <c r="K52" s="36"/>
    </row>
    <row r="53" spans="1:11">
      <c r="A53" s="30" t="s">
        <v>5</v>
      </c>
      <c r="B53" s="28"/>
      <c r="C53" s="28"/>
      <c r="D53" s="28"/>
      <c r="E53" s="28"/>
      <c r="F53" s="28"/>
      <c r="G53" s="28"/>
      <c r="H53" s="28"/>
      <c r="I53" s="28"/>
      <c r="J53" s="28"/>
      <c r="K53" s="29"/>
    </row>
    <row r="54" spans="1:11">
      <c r="A54" s="37" t="s">
        <v>6</v>
      </c>
      <c r="B54" s="37" t="s">
        <v>7</v>
      </c>
      <c r="C54" s="37" t="s">
        <v>8</v>
      </c>
      <c r="D54" s="37" t="s">
        <v>9</v>
      </c>
      <c r="E54" s="37" t="s">
        <v>10</v>
      </c>
      <c r="F54" s="35"/>
      <c r="G54" s="35"/>
      <c r="H54" s="36"/>
      <c r="I54" s="37" t="s">
        <v>11</v>
      </c>
      <c r="J54" s="37" t="s">
        <v>12</v>
      </c>
      <c r="K54" s="37" t="s">
        <v>13</v>
      </c>
    </row>
    <row r="55" spans="1:11">
      <c r="A55" s="38"/>
      <c r="B55" s="38"/>
      <c r="C55" s="38"/>
      <c r="D55" s="38"/>
      <c r="E55" s="2" t="s">
        <v>14</v>
      </c>
      <c r="F55" s="2" t="s">
        <v>15</v>
      </c>
      <c r="G55" s="2" t="s">
        <v>16</v>
      </c>
      <c r="H55" s="2" t="s">
        <v>17</v>
      </c>
      <c r="I55" s="38"/>
      <c r="J55" s="38"/>
      <c r="K55" s="38"/>
    </row>
    <row r="56" spans="1:11">
      <c r="A56" s="3">
        <v>46048</v>
      </c>
      <c r="B56" s="4">
        <v>450</v>
      </c>
      <c r="C56" s="19">
        <f>22+90</f>
        <v>112</v>
      </c>
      <c r="D56" s="20">
        <f>B56-C56</f>
        <v>338</v>
      </c>
      <c r="E56" s="19">
        <v>0</v>
      </c>
      <c r="F56" s="19">
        <v>0</v>
      </c>
      <c r="G56" s="19">
        <v>0</v>
      </c>
      <c r="H56" s="19">
        <v>11</v>
      </c>
      <c r="I56" s="20">
        <f>IF($D56="","",MAX(0,$D56-SUM($E56:$H56)))</f>
        <v>327</v>
      </c>
      <c r="J56" s="17">
        <f xml:space="preserve"> IF($D56="","",IF($D56=0,0,$I56/$D56))</f>
        <v>0.96745562130177509</v>
      </c>
      <c r="K56" s="8"/>
    </row>
    <row r="57" spans="1:11">
      <c r="A57" s="3">
        <v>46049</v>
      </c>
      <c r="B57" s="4">
        <v>225</v>
      </c>
      <c r="C57" s="21">
        <f>52+29</f>
        <v>81</v>
      </c>
      <c r="D57" s="13">
        <f>B57-C57</f>
        <v>144</v>
      </c>
      <c r="E57" s="21">
        <v>0</v>
      </c>
      <c r="F57" s="21">
        <v>1</v>
      </c>
      <c r="G57" s="21">
        <v>0</v>
      </c>
      <c r="H57" s="21">
        <v>3</v>
      </c>
      <c r="I57" s="6">
        <f>IF($D57="","",MAX(0,$D57-SUM($E57:$H57)))</f>
        <v>140</v>
      </c>
      <c r="J57" s="7">
        <f xml:space="preserve"> IF($D57="","",IF($D57=0,0,$I57/$D57))</f>
        <v>0.97222222222222221</v>
      </c>
      <c r="K57" s="8"/>
    </row>
    <row r="58" spans="1:11">
      <c r="A58" s="16" t="s">
        <v>18</v>
      </c>
      <c r="B58" s="16">
        <f>SUM(B56:B57)</f>
        <v>675</v>
      </c>
      <c r="C58" s="16">
        <f>SUM(C56:C57)</f>
        <v>193</v>
      </c>
      <c r="D58" s="16">
        <f>SUM(D56:D57)</f>
        <v>482</v>
      </c>
      <c r="E58" s="16">
        <f>SUM(E57:E57)</f>
        <v>0</v>
      </c>
      <c r="F58" s="16">
        <f>SUM(F57:F57)</f>
        <v>1</v>
      </c>
      <c r="G58" s="16">
        <f>SUM(G57:G57)</f>
        <v>0</v>
      </c>
      <c r="H58" s="16">
        <f>SUM(H56:H57)</f>
        <v>14</v>
      </c>
      <c r="I58" s="16">
        <f>SUM(I56:I57)</f>
        <v>467</v>
      </c>
      <c r="J58" s="10">
        <f xml:space="preserve"> IF($D58="","",IF($D58=0,0,$I58/$D58))</f>
        <v>0.96887966804979253</v>
      </c>
      <c r="K58" s="11"/>
    </row>
    <row r="59" spans="1:11">
      <c r="A59" s="26" t="s">
        <v>19</v>
      </c>
      <c r="B59" s="27"/>
      <c r="C59" s="27"/>
      <c r="D59" s="27"/>
      <c r="E59" s="28"/>
      <c r="F59" s="28"/>
      <c r="G59" s="28"/>
      <c r="H59" s="28"/>
      <c r="I59" s="28"/>
      <c r="J59" s="28"/>
      <c r="K59" s="29"/>
    </row>
    <row r="60" spans="1:11">
      <c r="A60" s="12" t="s">
        <v>20</v>
      </c>
      <c r="B60" s="13">
        <f>B58</f>
        <v>675</v>
      </c>
      <c r="C60" s="13"/>
      <c r="D60" s="13"/>
    </row>
    <row r="61" spans="1:11">
      <c r="A61" s="12" t="s">
        <v>21</v>
      </c>
      <c r="B61" s="13">
        <f>C58</f>
        <v>193</v>
      </c>
      <c r="C61" s="13" t="s">
        <v>22</v>
      </c>
      <c r="D61" s="14">
        <f>IF(B58=0,0,C58/B58)</f>
        <v>0.28592592592592592</v>
      </c>
    </row>
    <row r="62" spans="1:11">
      <c r="A62" s="12" t="s">
        <v>23</v>
      </c>
      <c r="B62" s="13">
        <f>D58</f>
        <v>482</v>
      </c>
      <c r="C62" s="13" t="s">
        <v>22</v>
      </c>
      <c r="D62" s="14">
        <f>IF(B58=0,0,D58/B58)</f>
        <v>0.71407407407407408</v>
      </c>
    </row>
    <row r="63" spans="1:11">
      <c r="A63" s="12" t="s">
        <v>24</v>
      </c>
      <c r="B63" s="13">
        <f>I58</f>
        <v>467</v>
      </c>
      <c r="C63" s="13" t="s">
        <v>22</v>
      </c>
      <c r="D63" s="14">
        <f>IF(D58=0,0,I58/D58)</f>
        <v>0.96887966804979253</v>
      </c>
    </row>
    <row r="64" spans="1:11">
      <c r="A64" s="12" t="s">
        <v>25</v>
      </c>
      <c r="B64" s="13">
        <f>SUM(E58:H58)</f>
        <v>15</v>
      </c>
      <c r="C64" s="13" t="s">
        <v>22</v>
      </c>
      <c r="D64" s="14">
        <f>IF(D58=0,0,SUM(E58:H58)/D58)</f>
        <v>3.1120331950207469E-2</v>
      </c>
    </row>
    <row r="65" spans="1:11">
      <c r="A65" s="12" t="s">
        <v>26</v>
      </c>
      <c r="B65" s="14">
        <f>J58</f>
        <v>0.96887966804979253</v>
      </c>
      <c r="C65" s="13"/>
      <c r="D65" s="13"/>
    </row>
    <row r="66" spans="1:11">
      <c r="A66" s="30" t="s">
        <v>27</v>
      </c>
      <c r="B66" s="28"/>
      <c r="C66" s="28"/>
      <c r="D66" s="28"/>
      <c r="E66" s="28"/>
      <c r="F66" s="28"/>
      <c r="G66" s="28"/>
      <c r="H66" s="28"/>
      <c r="I66" s="28"/>
      <c r="J66" s="28"/>
      <c r="K66" s="29"/>
    </row>
    <row r="67" spans="1:11">
      <c r="A67" s="22" t="s">
        <v>10</v>
      </c>
      <c r="B67" s="22" t="s">
        <v>28</v>
      </c>
      <c r="C67" s="22" t="s">
        <v>22</v>
      </c>
      <c r="D67" s="31" t="s">
        <v>29</v>
      </c>
      <c r="E67" s="32"/>
    </row>
    <row r="68" spans="1:11">
      <c r="A68" s="13" t="str">
        <f>INDEX($M$26:$M$29,MATCH(LARGE($O$26:$O$29,1),$O$26:$O$29,0))</f>
        <v>其他缺陷</v>
      </c>
      <c r="B68" s="13">
        <v>16</v>
      </c>
      <c r="C68" s="14">
        <v>1</v>
      </c>
      <c r="D68" s="33" t="str">
        <f>IF($B$23=0,"",INDEX($M$26:$M$29,MATCH(MAX($O$26:$O$29),$O$26:$O$29,0)))</f>
        <v>其他缺陷</v>
      </c>
      <c r="E68" s="33"/>
    </row>
    <row r="69" spans="1:11">
      <c r="A69" s="13" t="str">
        <f>INDEX($M$26:$M$29,MATCH(LARGE($O$26:$O$29,2),$O$26:$O$29,0))</f>
        <v>裂痕</v>
      </c>
      <c r="B69" s="13">
        <f>INT(LARGE($O$26:$O$29,2))</f>
        <v>0</v>
      </c>
      <c r="C69" s="14">
        <f>IF($B$23=0,0,B69/$B$23)</f>
        <v>0</v>
      </c>
      <c r="D69" s="42"/>
      <c r="E69" s="42"/>
    </row>
    <row r="70" spans="1:11">
      <c r="A70" s="13" t="str">
        <f>INDEX($M$26:$M$29,MATCH(LARGE($O$26:$O$29,3),$O$26:$O$29,0))</f>
        <v>破片</v>
      </c>
      <c r="B70" s="13">
        <v>1</v>
      </c>
      <c r="C70" s="14">
        <f>IF($B$23=0,0,B70/$B$23)</f>
        <v>1.9607843137254902E-2</v>
      </c>
      <c r="D70" s="42"/>
      <c r="E70" s="42"/>
    </row>
    <row r="71" spans="1:11">
      <c r="A71" s="13" t="str">
        <f>INDEX($M$26:$M$29,MATCH(LARGE($O$26:$O$29,4),$O$26:$O$29,0))</f>
        <v>chipping</v>
      </c>
      <c r="B71" s="13">
        <f>INT(LARGE($O$26:$O$29,4))</f>
        <v>0</v>
      </c>
      <c r="C71" s="14">
        <f>IF($B$23=0,0,B71/$B$23)</f>
        <v>0</v>
      </c>
      <c r="D71" s="42"/>
      <c r="E71" s="42"/>
    </row>
    <row r="72" spans="1:11">
      <c r="A72" s="16" t="s">
        <v>30</v>
      </c>
      <c r="B72" s="16">
        <f>SUM(B68:B71)</f>
        <v>17</v>
      </c>
      <c r="C72" s="11"/>
      <c r="D72" s="42"/>
      <c r="E72" s="42"/>
    </row>
    <row r="75" spans="1:11" ht="19.5">
      <c r="A75" s="39" t="s">
        <v>0</v>
      </c>
      <c r="B75" s="40"/>
      <c r="C75" s="40"/>
      <c r="D75" s="40"/>
      <c r="E75" s="40"/>
      <c r="F75" s="40"/>
      <c r="G75" s="40"/>
      <c r="H75" s="40"/>
      <c r="I75" s="40"/>
      <c r="J75" s="40"/>
      <c r="K75" s="41"/>
    </row>
    <row r="76" spans="1:11">
      <c r="A76" s="1" t="s">
        <v>1</v>
      </c>
      <c r="B76" s="34" t="s">
        <v>39</v>
      </c>
      <c r="C76" s="35"/>
      <c r="D76" s="35"/>
      <c r="E76" s="35"/>
      <c r="F76" s="35"/>
      <c r="G76" s="35"/>
      <c r="H76" s="35"/>
      <c r="I76" s="35"/>
      <c r="J76" s="35"/>
      <c r="K76" s="36"/>
    </row>
    <row r="77" spans="1:11">
      <c r="A77" s="1" t="s">
        <v>3</v>
      </c>
      <c r="B77" s="34" t="s">
        <v>40</v>
      </c>
      <c r="C77" s="35"/>
      <c r="D77" s="35"/>
      <c r="E77" s="35"/>
      <c r="F77" s="35"/>
      <c r="G77" s="35"/>
      <c r="H77" s="35"/>
      <c r="I77" s="35"/>
      <c r="J77" s="35"/>
      <c r="K77" s="36"/>
    </row>
    <row r="78" spans="1:11">
      <c r="A78" s="30" t="s">
        <v>5</v>
      </c>
      <c r="B78" s="28"/>
      <c r="C78" s="28"/>
      <c r="D78" s="28"/>
      <c r="E78" s="28"/>
      <c r="F78" s="28"/>
      <c r="G78" s="28"/>
      <c r="H78" s="28"/>
      <c r="I78" s="28"/>
      <c r="J78" s="28"/>
      <c r="K78" s="29"/>
    </row>
    <row r="79" spans="1:11">
      <c r="A79" s="37" t="s">
        <v>6</v>
      </c>
      <c r="B79" s="37" t="s">
        <v>7</v>
      </c>
      <c r="C79" s="37" t="s">
        <v>8</v>
      </c>
      <c r="D79" s="37" t="s">
        <v>9</v>
      </c>
      <c r="E79" s="37" t="s">
        <v>10</v>
      </c>
      <c r="F79" s="35"/>
      <c r="G79" s="35"/>
      <c r="H79" s="36"/>
      <c r="I79" s="37" t="s">
        <v>11</v>
      </c>
      <c r="J79" s="37" t="s">
        <v>12</v>
      </c>
      <c r="K79" s="37" t="s">
        <v>13</v>
      </c>
    </row>
    <row r="80" spans="1:11">
      <c r="A80" s="38"/>
      <c r="B80" s="38"/>
      <c r="C80" s="38"/>
      <c r="D80" s="38"/>
      <c r="E80" s="2" t="s">
        <v>14</v>
      </c>
      <c r="F80" s="2" t="s">
        <v>15</v>
      </c>
      <c r="G80" s="2" t="s">
        <v>16</v>
      </c>
      <c r="H80" s="2" t="s">
        <v>17</v>
      </c>
      <c r="I80" s="38"/>
      <c r="J80" s="38"/>
      <c r="K80" s="38"/>
    </row>
    <row r="81" spans="1:11">
      <c r="A81" s="3">
        <v>46051</v>
      </c>
      <c r="B81" s="4">
        <v>450</v>
      </c>
      <c r="C81" s="19">
        <v>139</v>
      </c>
      <c r="D81" s="20">
        <f>B81-C81</f>
        <v>311</v>
      </c>
      <c r="E81" s="19">
        <v>0</v>
      </c>
      <c r="F81" s="19">
        <v>0</v>
      </c>
      <c r="G81" s="19">
        <v>0</v>
      </c>
      <c r="H81" s="19">
        <v>13</v>
      </c>
      <c r="I81" s="20">
        <f>IF($D81="","",MAX(0,$D81-SUM($E81:$H81)))</f>
        <v>298</v>
      </c>
      <c r="J81" s="17">
        <f xml:space="preserve"> IF($D81="","",IF($D81=0,0,$I81/$D81))</f>
        <v>0.95819935691318325</v>
      </c>
      <c r="K81" s="8"/>
    </row>
    <row r="82" spans="1:11">
      <c r="A82" s="3">
        <v>46052</v>
      </c>
      <c r="B82" s="4">
        <v>225</v>
      </c>
      <c r="C82" s="21">
        <v>91</v>
      </c>
      <c r="D82" s="13">
        <f>B82-C82</f>
        <v>134</v>
      </c>
      <c r="E82" s="21">
        <v>0</v>
      </c>
      <c r="F82" s="21">
        <v>0</v>
      </c>
      <c r="G82" s="21">
        <v>0</v>
      </c>
      <c r="H82" s="21">
        <v>5</v>
      </c>
      <c r="I82" s="6">
        <f>IF($D82="","",MAX(0,$D82-SUM($E82:$H82)))</f>
        <v>129</v>
      </c>
      <c r="J82" s="7">
        <f xml:space="preserve"> IF($D82="","",IF($D82=0,0,$I82/$D82))</f>
        <v>0.96268656716417911</v>
      </c>
      <c r="K82" s="8"/>
    </row>
    <row r="83" spans="1:11">
      <c r="A83" s="16" t="s">
        <v>18</v>
      </c>
      <c r="B83" s="16">
        <f>SUM(B81:B82)</f>
        <v>675</v>
      </c>
      <c r="C83" s="16">
        <f>SUM(C81:C82)</f>
        <v>230</v>
      </c>
      <c r="D83" s="16">
        <f>SUM(D81:D82)</f>
        <v>445</v>
      </c>
      <c r="E83" s="16">
        <f>SUM(E82:E82)</f>
        <v>0</v>
      </c>
      <c r="F83" s="16">
        <f>SUM(F82:F82)</f>
        <v>0</v>
      </c>
      <c r="G83" s="16">
        <f>SUM(G82:G82)</f>
        <v>0</v>
      </c>
      <c r="H83" s="16">
        <f>SUM(H81:H82)</f>
        <v>18</v>
      </c>
      <c r="I83" s="16">
        <f>SUM(I81:I82)</f>
        <v>427</v>
      </c>
      <c r="J83" s="10">
        <f xml:space="preserve"> IF($D83="","",IF($D83=0,0,$I83/$D83))</f>
        <v>0.95955056179775278</v>
      </c>
      <c r="K83" s="11"/>
    </row>
    <row r="84" spans="1:11">
      <c r="A84" s="26" t="s">
        <v>19</v>
      </c>
      <c r="B84" s="27"/>
      <c r="C84" s="27"/>
      <c r="D84" s="27"/>
      <c r="E84" s="28"/>
      <c r="F84" s="28"/>
      <c r="G84" s="28"/>
      <c r="H84" s="28"/>
      <c r="I84" s="28"/>
      <c r="J84" s="28"/>
      <c r="K84" s="29"/>
    </row>
    <row r="85" spans="1:11">
      <c r="A85" s="12" t="s">
        <v>20</v>
      </c>
      <c r="B85" s="13">
        <f>B83</f>
        <v>675</v>
      </c>
      <c r="C85" s="13"/>
      <c r="D85" s="13"/>
    </row>
    <row r="86" spans="1:11">
      <c r="A86" s="12" t="s">
        <v>21</v>
      </c>
      <c r="B86" s="13">
        <f>C83</f>
        <v>230</v>
      </c>
      <c r="C86" s="13" t="s">
        <v>22</v>
      </c>
      <c r="D86" s="14">
        <f>IF(B83=0,0,C83/B83)</f>
        <v>0.34074074074074073</v>
      </c>
    </row>
    <row r="87" spans="1:11">
      <c r="A87" s="12" t="s">
        <v>23</v>
      </c>
      <c r="B87" s="13">
        <f>D83</f>
        <v>445</v>
      </c>
      <c r="C87" s="13" t="s">
        <v>22</v>
      </c>
      <c r="D87" s="14">
        <f>IF(B83=0,0,D83/B83)</f>
        <v>0.65925925925925921</v>
      </c>
    </row>
    <row r="88" spans="1:11">
      <c r="A88" s="12" t="s">
        <v>24</v>
      </c>
      <c r="B88" s="13">
        <f>I83</f>
        <v>427</v>
      </c>
      <c r="C88" s="13" t="s">
        <v>22</v>
      </c>
      <c r="D88" s="14">
        <f>IF(D83=0,0,I83/D83)</f>
        <v>0.95955056179775278</v>
      </c>
    </row>
    <row r="89" spans="1:11">
      <c r="A89" s="12" t="s">
        <v>25</v>
      </c>
      <c r="B89" s="13">
        <f>SUM(E83:H83)</f>
        <v>18</v>
      </c>
      <c r="C89" s="13" t="s">
        <v>22</v>
      </c>
      <c r="D89" s="14">
        <f>IF(D83=0,0,SUM(E83:H83)/D83)</f>
        <v>4.0449438202247189E-2</v>
      </c>
    </row>
    <row r="90" spans="1:11">
      <c r="A90" s="12" t="s">
        <v>26</v>
      </c>
      <c r="B90" s="14">
        <f>J83</f>
        <v>0.95955056179775278</v>
      </c>
      <c r="C90" s="13"/>
      <c r="D90" s="13"/>
    </row>
    <row r="91" spans="1:11">
      <c r="A91" s="30" t="s">
        <v>27</v>
      </c>
      <c r="B91" s="28"/>
      <c r="C91" s="28"/>
      <c r="D91" s="28"/>
      <c r="E91" s="28"/>
      <c r="F91" s="28"/>
      <c r="G91" s="28"/>
      <c r="H91" s="28"/>
      <c r="I91" s="28"/>
      <c r="J91" s="28"/>
      <c r="K91" s="29"/>
    </row>
    <row r="92" spans="1:11">
      <c r="A92" s="22" t="s">
        <v>10</v>
      </c>
      <c r="B92" s="22" t="s">
        <v>28</v>
      </c>
      <c r="C92" s="22" t="s">
        <v>22</v>
      </c>
      <c r="D92" s="31" t="s">
        <v>29</v>
      </c>
      <c r="E92" s="32"/>
    </row>
    <row r="93" spans="1:11">
      <c r="A93" s="13" t="str">
        <f>INDEX($M$26:$M$29,MATCH(LARGE($O$26:$O$29,1),$O$26:$O$29,0))</f>
        <v>其他缺陷</v>
      </c>
      <c r="B93" s="13">
        <v>18</v>
      </c>
      <c r="C93" s="14">
        <v>1</v>
      </c>
      <c r="D93" s="33" t="str">
        <f>IF($B$23=0,"",INDEX($M$26:$M$29,MATCH(MAX($O$26:$O$29),$O$26:$O$29,0)))</f>
        <v>其他缺陷</v>
      </c>
      <c r="E93" s="33"/>
    </row>
    <row r="94" spans="1:11">
      <c r="A94" s="13" t="str">
        <f>INDEX($M$26:$M$29,MATCH(LARGE($O$26:$O$29,2),$O$26:$O$29,0))</f>
        <v>裂痕</v>
      </c>
      <c r="B94" s="13">
        <f>INT(LARGE($O$26:$O$29,2))</f>
        <v>0</v>
      </c>
      <c r="C94" s="14">
        <f>IF($B$23=0,0,B94/$B$23)</f>
        <v>0</v>
      </c>
      <c r="D94" s="42"/>
      <c r="E94" s="42"/>
    </row>
    <row r="95" spans="1:11">
      <c r="A95" s="13" t="str">
        <f>INDEX($M$26:$M$29,MATCH(LARGE($O$26:$O$29,3),$O$26:$O$29,0))</f>
        <v>破片</v>
      </c>
      <c r="B95" s="13">
        <v>0</v>
      </c>
      <c r="C95" s="14">
        <f>IF($B$23=0,0,B95/$B$23)</f>
        <v>0</v>
      </c>
      <c r="D95" s="42"/>
      <c r="E95" s="42"/>
    </row>
    <row r="96" spans="1:11">
      <c r="A96" s="13" t="str">
        <f>INDEX($M$26:$M$29,MATCH(LARGE($O$26:$O$29,4),$O$26:$O$29,0))</f>
        <v>chipping</v>
      </c>
      <c r="B96" s="13">
        <f>INT(LARGE($O$26:$O$29,4))</f>
        <v>0</v>
      </c>
      <c r="C96" s="14">
        <f>IF($B$23=0,0,B96/$B$23)</f>
        <v>0</v>
      </c>
      <c r="D96" s="42"/>
      <c r="E96" s="42"/>
    </row>
    <row r="97" spans="1:5">
      <c r="A97" s="16" t="s">
        <v>30</v>
      </c>
      <c r="B97" s="16">
        <f>SUM(B93:B96)</f>
        <v>18</v>
      </c>
      <c r="C97" s="11"/>
      <c r="D97" s="42"/>
      <c r="E97" s="42"/>
    </row>
  </sheetData>
  <mergeCells count="80">
    <mergeCell ref="D96:E96"/>
    <mergeCell ref="D97:E97"/>
    <mergeCell ref="A84:K84"/>
    <mergeCell ref="A91:K91"/>
    <mergeCell ref="D92:E92"/>
    <mergeCell ref="D93:E93"/>
    <mergeCell ref="D94:E94"/>
    <mergeCell ref="D95:E95"/>
    <mergeCell ref="D72:E72"/>
    <mergeCell ref="A75:K75"/>
    <mergeCell ref="B77:K77"/>
    <mergeCell ref="A78:K78"/>
    <mergeCell ref="A79:A80"/>
    <mergeCell ref="B79:B80"/>
    <mergeCell ref="C79:C80"/>
    <mergeCell ref="D79:D80"/>
    <mergeCell ref="E79:H79"/>
    <mergeCell ref="I79:I80"/>
    <mergeCell ref="J79:J80"/>
    <mergeCell ref="K79:K80"/>
    <mergeCell ref="B76:K76"/>
    <mergeCell ref="J54:J55"/>
    <mergeCell ref="K54:K55"/>
    <mergeCell ref="A59:K59"/>
    <mergeCell ref="A66:K66"/>
    <mergeCell ref="D67:E67"/>
    <mergeCell ref="I54:I55"/>
    <mergeCell ref="A54:A55"/>
    <mergeCell ref="B54:B55"/>
    <mergeCell ref="C54:C55"/>
    <mergeCell ref="D54:D55"/>
    <mergeCell ref="E54:H54"/>
    <mergeCell ref="D69:E69"/>
    <mergeCell ref="D70:E70"/>
    <mergeCell ref="D71:E71"/>
    <mergeCell ref="A53:K53"/>
    <mergeCell ref="A34:K34"/>
    <mergeCell ref="A41:K41"/>
    <mergeCell ref="D42:E42"/>
    <mergeCell ref="D43:E43"/>
    <mergeCell ref="D44:E44"/>
    <mergeCell ref="D45:E45"/>
    <mergeCell ref="D46:E46"/>
    <mergeCell ref="D47:E47"/>
    <mergeCell ref="A50:K50"/>
    <mergeCell ref="B51:K51"/>
    <mergeCell ref="B52:K52"/>
    <mergeCell ref="D68:E68"/>
    <mergeCell ref="B27:K27"/>
    <mergeCell ref="A28:K28"/>
    <mergeCell ref="A29:A30"/>
    <mergeCell ref="B29:B30"/>
    <mergeCell ref="C29:C30"/>
    <mergeCell ref="D29:D30"/>
    <mergeCell ref="E29:H29"/>
    <mergeCell ref="I29:I30"/>
    <mergeCell ref="J29:J30"/>
    <mergeCell ref="K29:K30"/>
    <mergeCell ref="B26:K26"/>
    <mergeCell ref="J5:J6"/>
    <mergeCell ref="K5:K6"/>
    <mergeCell ref="A10:K10"/>
    <mergeCell ref="A17:K17"/>
    <mergeCell ref="D18:E18"/>
    <mergeCell ref="D19:E19"/>
    <mergeCell ref="D20:E20"/>
    <mergeCell ref="D21:E21"/>
    <mergeCell ref="D22:E22"/>
    <mergeCell ref="D23:E23"/>
    <mergeCell ref="A25:K25"/>
    <mergeCell ref="A1:K1"/>
    <mergeCell ref="B2:K2"/>
    <mergeCell ref="B3:K3"/>
    <mergeCell ref="A4:K4"/>
    <mergeCell ref="A5:A6"/>
    <mergeCell ref="B5:B6"/>
    <mergeCell ref="C5:C6"/>
    <mergeCell ref="D5:D6"/>
    <mergeCell ref="E5:H5"/>
    <mergeCell ref="I5:I6"/>
  </mergeCells>
  <phoneticPr fontId="3" type="noConversion"/>
  <pageMargins left="0.75" right="0.75" top="1" bottom="1" header="0.5" footer="0.5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>
      <selection activeCell="B3" sqref="B3:K3"/>
    </sheetView>
  </sheetViews>
  <sheetFormatPr defaultRowHeight="15.75"/>
  <cols>
    <col min="1" max="1" width="26.85546875" bestFit="1" customWidth="1"/>
    <col min="2" max="2" width="14" customWidth="1"/>
    <col min="3" max="3" width="18" customWidth="1"/>
    <col min="4" max="4" width="16" customWidth="1"/>
    <col min="5" max="7" width="10" customWidth="1"/>
    <col min="8" max="8" width="12" customWidth="1"/>
    <col min="9" max="9" width="14" customWidth="1"/>
    <col min="10" max="10" width="10" customWidth="1"/>
    <col min="11" max="11" width="20" customWidth="1"/>
    <col min="12" max="12" width="0.85546875" customWidth="1"/>
    <col min="13" max="13" width="14" hidden="1" customWidth="1"/>
    <col min="14" max="14" width="10.7109375" hidden="1" customWidth="1"/>
    <col min="15" max="15" width="9.5703125" hidden="1" customWidth="1"/>
  </cols>
  <sheetData>
    <row r="1" spans="1:11" ht="19.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>
      <c r="A2" s="1" t="s">
        <v>1</v>
      </c>
      <c r="B2" s="46" t="s">
        <v>44</v>
      </c>
      <c r="C2" s="47"/>
      <c r="D2" s="47"/>
      <c r="E2" s="47"/>
      <c r="F2" s="47"/>
      <c r="G2" s="47"/>
      <c r="H2" s="47"/>
      <c r="I2" s="47"/>
      <c r="J2" s="47"/>
      <c r="K2" s="48"/>
    </row>
    <row r="3" spans="1:11">
      <c r="A3" s="1" t="s">
        <v>3</v>
      </c>
      <c r="B3" s="49" t="s">
        <v>65</v>
      </c>
      <c r="C3" s="50"/>
      <c r="D3" s="50"/>
      <c r="E3" s="50"/>
      <c r="F3" s="50"/>
      <c r="G3" s="50"/>
      <c r="H3" s="50"/>
      <c r="I3" s="50"/>
      <c r="J3" s="50"/>
      <c r="K3" s="51"/>
    </row>
    <row r="4" spans="1:11">
      <c r="A4" s="52" t="s">
        <v>5</v>
      </c>
      <c r="B4" s="53"/>
      <c r="C4" s="53"/>
      <c r="D4" s="53"/>
      <c r="E4" s="53"/>
      <c r="F4" s="53"/>
      <c r="G4" s="53"/>
      <c r="H4" s="53"/>
      <c r="I4" s="53"/>
      <c r="J4" s="53"/>
      <c r="K4" s="54"/>
    </row>
    <row r="5" spans="1:11" ht="15.75" customHeight="1">
      <c r="A5" s="55" t="s">
        <v>43</v>
      </c>
      <c r="B5" s="55" t="s">
        <v>7</v>
      </c>
      <c r="C5" s="55" t="s">
        <v>41</v>
      </c>
      <c r="D5" s="55" t="s">
        <v>9</v>
      </c>
      <c r="E5" s="58" t="s">
        <v>10</v>
      </c>
      <c r="F5" s="59"/>
      <c r="G5" s="59"/>
      <c r="H5" s="60"/>
      <c r="I5" s="55" t="s">
        <v>11</v>
      </c>
      <c r="J5" s="55" t="s">
        <v>12</v>
      </c>
      <c r="K5" s="55" t="s">
        <v>13</v>
      </c>
    </row>
    <row r="6" spans="1:11">
      <c r="A6" s="56"/>
      <c r="B6" s="56"/>
      <c r="C6" s="57"/>
      <c r="D6" s="57"/>
      <c r="E6" s="2" t="s">
        <v>14</v>
      </c>
      <c r="F6" s="2" t="s">
        <v>15</v>
      </c>
      <c r="G6" s="2" t="s">
        <v>16</v>
      </c>
      <c r="H6" s="2" t="s">
        <v>17</v>
      </c>
      <c r="I6" s="57"/>
      <c r="J6" s="57"/>
      <c r="K6" s="57"/>
    </row>
    <row r="7" spans="1:11">
      <c r="A7" s="4" t="s">
        <v>42</v>
      </c>
      <c r="B7" s="4">
        <v>675</v>
      </c>
      <c r="C7" s="5">
        <v>561</v>
      </c>
      <c r="D7" s="6">
        <f>B7-C7</f>
        <v>114</v>
      </c>
      <c r="E7" s="5">
        <v>0</v>
      </c>
      <c r="F7" s="5">
        <v>0</v>
      </c>
      <c r="G7" s="5">
        <v>0</v>
      </c>
      <c r="H7" s="5">
        <v>18</v>
      </c>
      <c r="I7" s="6">
        <f t="shared" ref="I7" si="0">IF($D7="","",MAX(0,$D7-SUM($E7:$H7)))</f>
        <v>96</v>
      </c>
      <c r="J7" s="7">
        <f t="shared" ref="J7" si="1" xml:space="preserve"> IF($D7="","",IF($D7=0,0,$I7/$D7))</f>
        <v>0.84210526315789469</v>
      </c>
      <c r="K7" s="8"/>
    </row>
    <row r="8" spans="1:11">
      <c r="A8" s="16" t="s">
        <v>18</v>
      </c>
      <c r="B8" s="16">
        <f t="shared" ref="B8:I8" si="2">SUM(B7:B7)</f>
        <v>675</v>
      </c>
      <c r="C8" s="16">
        <f t="shared" si="2"/>
        <v>561</v>
      </c>
      <c r="D8" s="16">
        <f t="shared" si="2"/>
        <v>114</v>
      </c>
      <c r="E8" s="16">
        <f t="shared" si="2"/>
        <v>0</v>
      </c>
      <c r="F8" s="16">
        <f t="shared" si="2"/>
        <v>0</v>
      </c>
      <c r="G8" s="16">
        <f t="shared" si="2"/>
        <v>0</v>
      </c>
      <c r="H8" s="16">
        <f t="shared" si="2"/>
        <v>18</v>
      </c>
      <c r="I8" s="16">
        <f t="shared" si="2"/>
        <v>96</v>
      </c>
      <c r="J8" s="10">
        <f xml:space="preserve"> IF($D8="","",IF($D8=0,0,$I8/$D8))</f>
        <v>0.84210526315789469</v>
      </c>
      <c r="K8" s="11"/>
    </row>
    <row r="9" spans="1:11">
      <c r="A9" s="61" t="s">
        <v>19</v>
      </c>
      <c r="B9" s="62"/>
      <c r="C9" s="62"/>
      <c r="D9" s="62"/>
      <c r="E9" s="62"/>
      <c r="F9" s="62"/>
      <c r="G9" s="62"/>
      <c r="H9" s="62"/>
      <c r="I9" s="62"/>
      <c r="J9" s="62"/>
      <c r="K9" s="63"/>
    </row>
    <row r="10" spans="1:11">
      <c r="A10" s="12" t="s">
        <v>20</v>
      </c>
      <c r="B10" s="13">
        <f>B8</f>
        <v>675</v>
      </c>
      <c r="C10" s="13"/>
      <c r="D10" s="13"/>
    </row>
    <row r="11" spans="1:11">
      <c r="A11" s="12" t="s">
        <v>21</v>
      </c>
      <c r="B11" s="13">
        <f>C8</f>
        <v>561</v>
      </c>
      <c r="C11" s="13" t="s">
        <v>22</v>
      </c>
      <c r="D11" s="14">
        <f>IF(B8=0,0,C8/B8)</f>
        <v>0.83111111111111113</v>
      </c>
    </row>
    <row r="12" spans="1:11">
      <c r="A12" s="12" t="s">
        <v>23</v>
      </c>
      <c r="B12" s="13">
        <f>D8</f>
        <v>114</v>
      </c>
      <c r="C12" s="13" t="s">
        <v>22</v>
      </c>
      <c r="D12" s="14">
        <f>IF(B8=0,0,D8/B8)</f>
        <v>0.16888888888888889</v>
      </c>
    </row>
    <row r="13" spans="1:11">
      <c r="A13" s="12" t="s">
        <v>24</v>
      </c>
      <c r="B13" s="13">
        <f>I8</f>
        <v>96</v>
      </c>
      <c r="C13" s="13" t="s">
        <v>22</v>
      </c>
      <c r="D13" s="14">
        <f>IF(D8=0,0,I8/D8)</f>
        <v>0.84210526315789469</v>
      </c>
    </row>
    <row r="14" spans="1:11">
      <c r="A14" s="12" t="s">
        <v>25</v>
      </c>
      <c r="B14" s="13">
        <f>SUM(E8:H8)</f>
        <v>18</v>
      </c>
      <c r="C14" s="13" t="s">
        <v>22</v>
      </c>
      <c r="D14" s="14">
        <f>IF(D8=0,0,SUM(E8:H8)/D8)</f>
        <v>0.15789473684210525</v>
      </c>
    </row>
    <row r="15" spans="1:11">
      <c r="A15" s="12" t="s">
        <v>26</v>
      </c>
      <c r="B15" s="14">
        <f>J8</f>
        <v>0.84210526315789469</v>
      </c>
      <c r="C15" s="13"/>
      <c r="D15" s="13"/>
    </row>
    <row r="16" spans="1:11">
      <c r="A16" s="64" t="s">
        <v>27</v>
      </c>
      <c r="B16" s="65"/>
      <c r="C16" s="65"/>
      <c r="D16" s="65"/>
      <c r="E16" s="65"/>
      <c r="F16" s="65"/>
      <c r="G16" s="65"/>
      <c r="H16" s="65"/>
      <c r="I16" s="65"/>
      <c r="J16" s="65"/>
      <c r="K16" s="66"/>
    </row>
    <row r="17" spans="1:15">
      <c r="A17" s="22" t="s">
        <v>10</v>
      </c>
      <c r="B17" s="22" t="s">
        <v>28</v>
      </c>
      <c r="C17" s="22" t="s">
        <v>22</v>
      </c>
      <c r="D17" s="67" t="s">
        <v>29</v>
      </c>
      <c r="E17" s="68"/>
    </row>
    <row r="18" spans="1:15">
      <c r="A18" s="13" t="str">
        <f>INDEX($M$25:$M$28,MATCH(LARGE($O$25:$O$28,1),$O$25:$O$28,0))</f>
        <v>其他缺陷</v>
      </c>
      <c r="B18" s="13">
        <f>INT(LARGE($O$25:$O$28,1))</f>
        <v>18</v>
      </c>
      <c r="C18" s="14">
        <f>IF($B$22=0,0,B18/$B$22)</f>
        <v>1</v>
      </c>
      <c r="D18" s="69" t="str">
        <f>IF($B$22=0,"",INDEX($M$25:$M$28,MATCH(MAX($O$25:$O$28),$O$25:$O$28,0)))</f>
        <v>其他缺陷</v>
      </c>
      <c r="E18" s="70"/>
    </row>
    <row r="19" spans="1:15">
      <c r="A19" s="13" t="str">
        <f>INDEX($M$25:$M$28,MATCH(LARGE($O$25:$O$28,2),$O$25:$O$28,0))</f>
        <v>裂痕</v>
      </c>
      <c r="B19" s="13">
        <f>INT(LARGE($O$25:$O$28,2))</f>
        <v>0</v>
      </c>
      <c r="C19" s="14">
        <f>IF($B$22=0,0,B19/$B$22)</f>
        <v>0</v>
      </c>
      <c r="D19" s="24"/>
      <c r="E19" s="25"/>
    </row>
    <row r="20" spans="1:15">
      <c r="A20" s="13" t="str">
        <f>INDEX($M$25:$M$28,MATCH(LARGE($O$25:$O$28,3),$O$25:$O$28,0))</f>
        <v>破片</v>
      </c>
      <c r="B20" s="13">
        <f>INT(LARGE($O$25:$O$28,3))</f>
        <v>0</v>
      </c>
      <c r="C20" s="14">
        <f>IF($B$22=0,0,B20/$B$22)</f>
        <v>0</v>
      </c>
      <c r="D20" s="24"/>
      <c r="E20" s="25"/>
    </row>
    <row r="21" spans="1:15">
      <c r="A21" s="13" t="str">
        <f>INDEX($M$25:$M$28,MATCH(LARGE($O$25:$O$28,4),$O$25:$O$28,0))</f>
        <v>chipping</v>
      </c>
      <c r="B21" s="13">
        <f>INT(LARGE($O$25:$O$28,4))</f>
        <v>0</v>
      </c>
      <c r="C21" s="14">
        <f>IF($B$22=0,0,B21/$B$22)</f>
        <v>0</v>
      </c>
      <c r="D21" s="24"/>
      <c r="E21" s="25"/>
    </row>
    <row r="22" spans="1:15">
      <c r="A22" s="16" t="s">
        <v>30</v>
      </c>
      <c r="B22" s="16">
        <f>SUM(B18:B21)</f>
        <v>18</v>
      </c>
      <c r="C22" s="11"/>
      <c r="D22" s="24"/>
      <c r="E22" s="25"/>
    </row>
    <row r="25" spans="1:15">
      <c r="M25" t="s">
        <v>14</v>
      </c>
      <c r="N25">
        <f>E8</f>
        <v>0</v>
      </c>
      <c r="O25">
        <f>N25+ROW(N25)/1000000</f>
        <v>2.5000000000000001E-5</v>
      </c>
    </row>
    <row r="26" spans="1:15">
      <c r="M26" t="s">
        <v>15</v>
      </c>
      <c r="N26">
        <f>F8</f>
        <v>0</v>
      </c>
      <c r="O26">
        <f>N26+ROW(N26)/1000000</f>
        <v>2.5999999999999998E-5</v>
      </c>
    </row>
    <row r="27" spans="1:15">
      <c r="M27" t="s">
        <v>16</v>
      </c>
      <c r="N27">
        <f>G8</f>
        <v>0</v>
      </c>
      <c r="O27">
        <f>N27+ROW(N27)/1000000</f>
        <v>2.6999999999999999E-5</v>
      </c>
    </row>
    <row r="28" spans="1:15" ht="15.75" customHeight="1">
      <c r="M28" t="s">
        <v>17</v>
      </c>
      <c r="N28">
        <f>H8</f>
        <v>18</v>
      </c>
      <c r="O28">
        <f>N28+ROW(N28)/1000000</f>
        <v>18.000028</v>
      </c>
    </row>
    <row r="53" ht="15.75" customHeight="1"/>
    <row r="78" ht="15.75" customHeight="1"/>
  </sheetData>
  <mergeCells count="20">
    <mergeCell ref="D20:E20"/>
    <mergeCell ref="D21:E21"/>
    <mergeCell ref="D22:E22"/>
    <mergeCell ref="J5:J6"/>
    <mergeCell ref="A9:K9"/>
    <mergeCell ref="A16:K16"/>
    <mergeCell ref="D17:E17"/>
    <mergeCell ref="D18:E18"/>
    <mergeCell ref="D19:E19"/>
    <mergeCell ref="A1:K1"/>
    <mergeCell ref="B2:K2"/>
    <mergeCell ref="B3:K3"/>
    <mergeCell ref="A4:K4"/>
    <mergeCell ref="A5:A6"/>
    <mergeCell ref="B5:B6"/>
    <mergeCell ref="C5:C6"/>
    <mergeCell ref="D5:D6"/>
    <mergeCell ref="E5:H5"/>
    <mergeCell ref="I5:I6"/>
    <mergeCell ref="K5:K6"/>
  </mergeCells>
  <phoneticPr fontId="3" type="noConversion"/>
  <pageMargins left="0.75" right="0.75" top="1" bottom="1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總表</vt:lpstr>
      <vt:lpstr>20260105~20260110(第十三板、第十四板)</vt:lpstr>
      <vt:lpstr>20260122~20260130(第二、第三、第四、第五板)</vt:lpstr>
      <vt:lpstr>20260128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2026-01-30T08:08:18Z</dcterms:created>
  <dcterms:modified xsi:type="dcterms:W3CDTF">2026-02-13T00:50:52Z</dcterms:modified>
</cp:coreProperties>
</file>