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5 不符合及矯正措施管理程序\表單\"/>
    </mc:Choice>
  </mc:AlternateContent>
  <bookViews>
    <workbookView xWindow="0" yWindow="0" windowWidth="28800" windowHeight="11925" activeTab="3"/>
  </bookViews>
  <sheets>
    <sheet name="封面" sheetId="1" r:id="rId1"/>
    <sheet name="Config" sheetId="3" r:id="rId2"/>
    <sheet name="Defect_Pareto" sheetId="5" r:id="rId3"/>
    <sheet name="CIP_Tracker" sheetId="6" r:id="rId4"/>
  </sheets>
  <definedNames>
    <definedName name="_xlnm.Print_Area" localSheetId="3">CIP_Tracker!$A$1:$K$7</definedName>
  </definedNames>
  <calcPr calcId="162913"/>
</workbook>
</file>

<file path=xl/calcChain.xml><?xml version="1.0" encoding="utf-8"?>
<calcChain xmlns="http://schemas.openxmlformats.org/spreadsheetml/2006/main">
  <c r="A3" i="6" l="1"/>
  <c r="B7" i="5" l="1"/>
  <c r="A7" i="5"/>
  <c r="A6" i="5"/>
  <c r="B5" i="5"/>
  <c r="C9" i="5" s="1"/>
  <c r="A5" i="5"/>
  <c r="C5" i="5" l="1"/>
  <c r="C8" i="5"/>
  <c r="C7" i="5"/>
  <c r="B10" i="5"/>
  <c r="C6" i="5"/>
  <c r="E8" i="5" l="1"/>
  <c r="D8" i="5"/>
  <c r="E9" i="5"/>
  <c r="E6" i="5"/>
  <c r="D9" i="5"/>
  <c r="D6" i="5"/>
  <c r="E7" i="5"/>
  <c r="D7" i="5"/>
  <c r="E5" i="5"/>
  <c r="D5" i="5"/>
</calcChain>
</file>

<file path=xl/sharedStrings.xml><?xml version="1.0" encoding="utf-8"?>
<sst xmlns="http://schemas.openxmlformats.org/spreadsheetml/2006/main" count="74" uniqueCount="72">
  <si>
    <t>表單編號</t>
  </si>
  <si>
    <t>文件名稱</t>
  </si>
  <si>
    <t>CIP 追蹤改善紀錄表（試產/測試階段適用）</t>
  </si>
  <si>
    <t>版本</t>
  </si>
  <si>
    <t>A</t>
  </si>
  <si>
    <t>生效日</t>
  </si>
  <si>
    <t>適用範圍</t>
  </si>
  <si>
    <t>文件類型</t>
  </si>
  <si>
    <t>文件目的與稽核可見證據</t>
  </si>
  <si>
    <t>本表單用於證明組織已透過缺陷資料之 Top Defect（柏拉圖）分析，驅動持續改善（CIP）閉環管理：
1) 數據收集 → 2) Top Defect 分析 → 3) 行動（圍堵/矯正/預防） → 4) 有效性驗證 → 5) 標準化（SOP/Control Plan/FMEA/OCAP）。</t>
  </si>
  <si>
    <t>編製/審核/核准（依文件管制要求）</t>
  </si>
  <si>
    <t>角色</t>
  </si>
  <si>
    <t>簽名</t>
  </si>
  <si>
    <t>日期</t>
  </si>
  <si>
    <t>註：本文件為受控文件；未經核准不得自行修改。若為影印本，視為非受控文件。</t>
  </si>
  <si>
    <t>分析設定（藍色為輸入）</t>
  </si>
  <si>
    <t>資料筆數 N（本次分析納入的片數；建議 ≤ 200）</t>
  </si>
  <si>
    <t>分析說明/期間（選填）</t>
  </si>
  <si>
    <t>缺陷類別清單（供下拉選單與柏拉圖使用，可自行增修）</t>
  </si>
  <si>
    <t>缺陷類別</t>
  </si>
  <si>
    <t>排序</t>
  </si>
  <si>
    <t>chipping</t>
  </si>
  <si>
    <t>破片</t>
  </si>
  <si>
    <t>裂痕</t>
  </si>
  <si>
    <t>其他</t>
  </si>
  <si>
    <t>無</t>
  </si>
  <si>
    <t>建議：維持「無」表示無缺陷；其餘為缺陷類別。</t>
  </si>
  <si>
    <t>Top Defect（柏拉圖）— 以缺陷類別統計</t>
  </si>
  <si>
    <t>數量</t>
  </si>
  <si>
    <t>累積數量</t>
  </si>
  <si>
    <t>占比</t>
  </si>
  <si>
    <t>累積占比</t>
  </si>
  <si>
    <t>本期 Top Defect</t>
  </si>
  <si>
    <t>正常無缺陷</t>
  </si>
  <si>
    <t>合計</t>
  </si>
  <si>
    <t>CIP 行動追蹤表（Top Defect 驅動；供稽核查核閉環證據）</t>
  </si>
  <si>
    <t>對應Top Defect/議題</t>
  </si>
  <si>
    <t>問題敘述(含範圍/批次)</t>
  </si>
  <si>
    <t>根本原因(5Why，含具體/系統性)</t>
  </si>
  <si>
    <t>圍堵措施(Containment)</t>
  </si>
  <si>
    <t>矯正措施(Corrective)</t>
  </si>
  <si>
    <t>預防措施(Preventive)</t>
  </si>
  <si>
    <t>有效性驗證方法/判定(含期間)</t>
  </si>
  <si>
    <t>有效性驗證結果/證據</t>
  </si>
  <si>
    <t>責任人</t>
  </si>
  <si>
    <t>目標完成日</t>
  </si>
  <si>
    <t>狀態(Open/In progress/Verified/Closed)</t>
  </si>
  <si>
    <t>（範例）請以三支線5Why撰寫並收斂具體/系統性根因。</t>
  </si>
  <si>
    <t>（範例）立即建立Top defect報表與行動追蹤，對高風險批次加嚴檢查。</t>
  </si>
  <si>
    <t>（範例）建立每週柏拉圖+例會機制；定義門檻觸發OCAP/CAPA；指定責任人與輸出物。</t>
  </si>
  <si>
    <t>（範例）內稽查檢表新增必查證據點；能力矩陣與再訓週期；制度化管理審查輸入。</t>
  </si>
  <si>
    <t>（範例）改善後連續4週Top defect占比下降且粒子P95下降≥X%，且無再發。</t>
  </si>
  <si>
    <t>（範例）附：柏拉圖、I-MR圖、行動追蹤表、SOP版本、訓練紀錄。</t>
  </si>
  <si>
    <t>QA/製程</t>
  </si>
  <si>
    <t>2026-01-15</t>
  </si>
  <si>
    <t>Open</t>
  </si>
  <si>
    <r>
      <t xml:space="preserve">CIP </t>
    </r>
    <r>
      <rPr>
        <b/>
        <sz val="11"/>
        <color rgb="FF404040"/>
        <rFont val="細明體"/>
        <family val="3"/>
        <charset val="136"/>
      </rPr>
      <t>追蹤改善紀錄表</t>
    </r>
    <phoneticPr fontId="7" type="noConversion"/>
  </si>
  <si>
    <t>潔沛企業有限公司</t>
    <phoneticPr fontId="7" type="noConversion"/>
  </si>
  <si>
    <t>MR15-02(001)A</t>
    <phoneticPr fontId="7" type="noConversion"/>
  </si>
  <si>
    <t>2025.12.01</t>
    <phoneticPr fontId="7" type="noConversion"/>
  </si>
  <si>
    <r>
      <t xml:space="preserve"> </t>
    </r>
    <r>
      <rPr>
        <sz val="11"/>
        <color rgb="FF000000"/>
        <rFont val="細明體"/>
        <family val="3"/>
        <charset val="136"/>
      </rPr>
      <t>缺陷（</t>
    </r>
    <r>
      <rPr>
        <sz val="11"/>
        <color rgb="FF000000"/>
        <rFont val="細明體"/>
        <family val="3"/>
        <charset val="136"/>
      </rPr>
      <t>外觀缺陷）之</t>
    </r>
    <r>
      <rPr>
        <sz val="11"/>
        <color rgb="FF000000"/>
        <rFont val="Calibri"/>
        <family val="2"/>
      </rPr>
      <t xml:space="preserve"> Top Defect </t>
    </r>
    <r>
      <rPr>
        <sz val="11"/>
        <color rgb="FF000000"/>
        <rFont val="細明體"/>
        <family val="3"/>
        <charset val="136"/>
      </rPr>
      <t>分析與改善追蹤</t>
    </r>
    <phoneticPr fontId="7" type="noConversion"/>
  </si>
  <si>
    <r>
      <t xml:space="preserve"> </t>
    </r>
    <r>
      <rPr>
        <sz val="11"/>
        <color rgb="FF000000"/>
        <rFont val="細明體"/>
        <family val="3"/>
        <charset val="136"/>
      </rPr>
      <t>記錄</t>
    </r>
    <phoneticPr fontId="7" type="noConversion"/>
  </si>
  <si>
    <t>文件資訊</t>
    <phoneticPr fontId="7" type="noConversion"/>
  </si>
  <si>
    <t>其他缺陷</t>
    <phoneticPr fontId="7" type="noConversion"/>
  </si>
  <si>
    <t>（範例）雖有缺陷資料，但未形成Top defect/Pareto與行動追蹤，未能證明以Top defect分析推動CIP。</t>
    <phoneticPr fontId="7" type="noConversion"/>
  </si>
  <si>
    <t>資料筆數 N</t>
    <phoneticPr fontId="7" type="noConversion"/>
  </si>
  <si>
    <t>產品名稱/批號</t>
    <phoneticPr fontId="7" type="noConversion"/>
  </si>
  <si>
    <t>C001玻璃/ 300-500055</t>
    <phoneticPr fontId="7" type="noConversion"/>
  </si>
  <si>
    <t>編製(品管課)</t>
    <phoneticPr fontId="7" type="noConversion"/>
  </si>
  <si>
    <t>審核(管理部)</t>
    <phoneticPr fontId="7" type="noConversion"/>
  </si>
  <si>
    <t>核准(協理)</t>
    <phoneticPr fontId="7" type="noConversion"/>
  </si>
  <si>
    <r>
      <rPr>
        <sz val="11"/>
        <color rgb="FF000000"/>
        <rFont val="細明體"/>
        <family val="3"/>
        <charset val="136"/>
      </rPr>
      <t>建議稽核證據附件（可於工作表中檢視</t>
    </r>
    <r>
      <rPr>
        <sz val="11"/>
        <color rgb="FF000000"/>
        <rFont val="Calibri"/>
        <family val="2"/>
      </rPr>
      <t>/</t>
    </r>
    <r>
      <rPr>
        <sz val="11"/>
        <color rgb="FF000000"/>
        <rFont val="細明體"/>
        <family val="3"/>
        <charset val="136"/>
      </rPr>
      <t xml:space="preserve">列印）：
</t>
    </r>
    <r>
      <rPr>
        <sz val="11"/>
        <color rgb="FF000000"/>
        <rFont val="Calibri"/>
        <family val="2"/>
      </rPr>
      <t>• Defect_Pareto</t>
    </r>
    <r>
      <rPr>
        <sz val="11"/>
        <color rgb="FF000000"/>
        <rFont val="細明體"/>
        <family val="3"/>
        <charset val="136"/>
      </rPr>
      <t>：缺陷類別柏拉圖（</t>
    </r>
    <r>
      <rPr>
        <sz val="11"/>
        <color rgb="FF000000"/>
        <rFont val="Calibri"/>
        <family val="2"/>
      </rPr>
      <t>Top Defect</t>
    </r>
    <r>
      <rPr>
        <sz val="11"/>
        <color rgb="FF000000"/>
        <rFont val="細明體"/>
        <family val="3"/>
        <charset val="136"/>
      </rPr>
      <t xml:space="preserve">、占比、累積占比）
</t>
    </r>
    <r>
      <rPr>
        <sz val="11"/>
        <color rgb="FF000000"/>
        <rFont val="Calibri"/>
        <family val="2"/>
      </rPr>
      <t>• CIP_Tracker</t>
    </r>
    <r>
      <rPr>
        <sz val="11"/>
        <color rgb="FF000000"/>
        <rFont val="細明體"/>
        <family val="3"/>
        <charset val="136"/>
      </rPr>
      <t>：</t>
    </r>
    <r>
      <rPr>
        <sz val="11"/>
        <color rgb="FF000000"/>
        <rFont val="Calibri"/>
        <family val="2"/>
      </rPr>
      <t xml:space="preserve">Top 1~3 </t>
    </r>
    <r>
      <rPr>
        <sz val="11"/>
        <color rgb="FF000000"/>
        <rFont val="細明體"/>
        <family val="3"/>
        <charset val="136"/>
      </rPr>
      <t>缺陷改善追蹤（</t>
    </r>
    <r>
      <rPr>
        <sz val="11"/>
        <color rgb="FF000000"/>
        <rFont val="Calibri"/>
        <family val="2"/>
      </rPr>
      <t xml:space="preserve">5 Why </t>
    </r>
    <r>
      <rPr>
        <sz val="11"/>
        <color rgb="FF000000"/>
        <rFont val="細明體"/>
        <family val="3"/>
        <charset val="136"/>
      </rPr>
      <t xml:space="preserve">根因、對策、證據、結案條件）
</t>
    </r>
    <r>
      <rPr>
        <sz val="11"/>
        <color rgb="FF000000"/>
        <rFont val="Calibri"/>
        <family val="2"/>
      </rPr>
      <t/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</si>
</sst>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8" x14ac:knownFonts="1">
    <font>
      <sz val="11"/>
      <color theme="1"/>
      <name val="新細明體"/>
      <family val="2"/>
      <scheme val="minor"/>
    </font>
    <font>
      <sz val="11"/>
      <color rgb="FF0000FF"/>
      <name val="新細明體"/>
      <family val="1"/>
      <charset val="136"/>
    </font>
    <font>
      <b/>
      <sz val="14"/>
      <name val="新細明體"/>
      <family val="1"/>
      <charset val="136"/>
    </font>
    <font>
      <i/>
      <sz val="11"/>
      <color rgb="FF666666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color rgb="FFC00000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000000"/>
      <name val="Calibri"/>
      <family val="2"/>
    </font>
    <font>
      <b/>
      <sz val="11"/>
      <color rgb="FF404040"/>
      <name val="Calibri"/>
      <family val="2"/>
    </font>
    <font>
      <b/>
      <sz val="16"/>
      <color rgb="FF1F4E79"/>
      <name val="Calibri"/>
      <family val="2"/>
    </font>
    <font>
      <b/>
      <sz val="11"/>
      <color rgb="FF000000"/>
      <name val="Calibri"/>
      <family val="2"/>
    </font>
    <font>
      <i/>
      <sz val="10"/>
      <color rgb="FF404040"/>
      <name val="Calibri"/>
      <family val="2"/>
    </font>
    <font>
      <b/>
      <sz val="20"/>
      <color rgb="FFFFFFFF"/>
      <name val="細明體"/>
      <family val="3"/>
      <charset val="136"/>
    </font>
    <font>
      <b/>
      <sz val="11"/>
      <color rgb="FF404040"/>
      <name val="細明體"/>
      <family val="3"/>
      <charset val="136"/>
    </font>
    <font>
      <sz val="11"/>
      <color rgb="FF000000"/>
      <name val="細明體"/>
      <family val="3"/>
      <charset val="136"/>
    </font>
    <font>
      <b/>
      <sz val="11"/>
      <color rgb="FF000000"/>
      <name val="細明體"/>
      <family val="3"/>
      <charset val="136"/>
    </font>
    <font>
      <b/>
      <sz val="16"/>
      <color rgb="FF1F4E79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9EFF7"/>
      </patternFill>
    </fill>
  </fills>
  <borders count="27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medium">
        <color rgb="FF1F4E79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/>
      <right style="thin">
        <color rgb="FF404040"/>
      </right>
      <top style="medium">
        <color rgb="FF1F4E79"/>
      </top>
      <bottom/>
      <diagonal/>
    </border>
    <border>
      <left/>
      <right style="thin">
        <color rgb="FF404040"/>
      </right>
      <top/>
      <bottom/>
      <diagonal/>
    </border>
    <border>
      <left style="medium">
        <color rgb="FF1F4E79"/>
      </left>
      <right/>
      <top/>
      <bottom style="thin">
        <color rgb="FF404040"/>
      </bottom>
      <diagonal/>
    </border>
    <border>
      <left/>
      <right/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/>
      <right/>
      <top style="thin">
        <color rgb="FF404040"/>
      </top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thin">
        <color rgb="FF404040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thin">
        <color rgb="FF404040"/>
      </top>
      <bottom style="medium">
        <color rgb="FF1F4E79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/>
      <top style="thin">
        <color rgb="FF404040"/>
      </top>
      <bottom style="thin">
        <color rgb="FF404040"/>
      </bottom>
      <diagonal/>
    </border>
    <border>
      <left/>
      <right/>
      <top/>
      <bottom style="medium">
        <color rgb="FF1F4E79"/>
      </bottom>
      <diagonal/>
    </border>
    <border>
      <left/>
      <right style="thin">
        <color rgb="FF404040"/>
      </right>
      <top/>
      <bottom style="medium">
        <color rgb="FF1F4E79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5" fillId="3" borderId="2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5" borderId="19" xfId="0" applyFont="1" applyFill="1" applyBorder="1" applyAlignment="1">
      <alignment horizontal="left" vertical="center" wrapText="1"/>
    </xf>
    <xf numFmtId="0" fontId="0" fillId="0" borderId="18" xfId="0" applyBorder="1"/>
    <xf numFmtId="0" fontId="0" fillId="0" borderId="25" xfId="0" applyBorder="1"/>
    <xf numFmtId="0" fontId="0" fillId="0" borderId="26" xfId="0" applyBorder="1"/>
    <xf numFmtId="0" fontId="11" fillId="6" borderId="4" xfId="0" applyFont="1" applyFill="1" applyBorder="1" applyAlignment="1">
      <alignment horizontal="center" vertical="center" wrapText="1"/>
    </xf>
    <xf numFmtId="0" fontId="0" fillId="0" borderId="17" xfId="0" applyBorder="1"/>
    <xf numFmtId="0" fontId="8" fillId="0" borderId="4" xfId="0" applyFont="1" applyBorder="1" applyAlignment="1">
      <alignment horizontal="left" vertical="center" wrapText="1"/>
    </xf>
    <xf numFmtId="0" fontId="0" fillId="0" borderId="16" xfId="0" applyBorder="1"/>
    <xf numFmtId="0" fontId="11" fillId="6" borderId="24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0" borderId="5" xfId="0" applyFont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8" fillId="0" borderId="5" xfId="0" applyFont="1" applyBorder="1" applyAlignment="1">
      <alignment horizontal="left" vertical="top" wrapText="1"/>
    </xf>
    <xf numFmtId="0" fontId="16" fillId="5" borderId="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17" fillId="0" borderId="4" xfId="0" applyFont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>
        <c:manualLayout>
          <c:xMode val="edge"/>
          <c:yMode val="edge"/>
          <c:x val="0.44115462962962965"/>
          <c:y val="6.7027777777777783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Defect_Pareto!$B$4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Lbl>
              <c:idx val="0"/>
              <c:layout>
                <c:manualLayout>
                  <c:x val="-1.1377610307436011E-17"/>
                  <c:y val="-3.4246575342465876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614-4441-B964-483F5B7297F0}"/>
                </c:ext>
              </c:extLst>
            </c:dLbl>
            <c:dLbl>
              <c:idx val="1"/>
              <c:layout>
                <c:manualLayout>
                  <c:x val="1.2412081900975824E-3"/>
                  <c:y val="-7.8767123287671353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614-4441-B964-483F5B7297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Defect_Pareto!$A$5:$A$9</c15:sqref>
                  </c15:fullRef>
                </c:ext>
              </c:extLst>
              <c:f>Defect_Pareto!$A$5:$A$8</c:f>
              <c:strCache>
                <c:ptCount val="4"/>
                <c:pt idx="0">
                  <c:v>chipping</c:v>
                </c:pt>
                <c:pt idx="1">
                  <c:v>破片</c:v>
                </c:pt>
                <c:pt idx="2">
                  <c:v>裂痕</c:v>
                </c:pt>
                <c:pt idx="3">
                  <c:v>其他缺陷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Defect_Pareto!$B$5:$B$9</c15:sqref>
                  </c15:fullRef>
                </c:ext>
              </c:extLst>
              <c:f>Defect_Pareto!$B$5:$B$8</c:f>
              <c:numCache>
                <c:formatCode>0</c:formatCode>
                <c:ptCount val="4"/>
                <c:pt idx="0">
                  <c:v>94</c:v>
                </c:pt>
                <c:pt idx="1">
                  <c:v>7</c:v>
                </c:pt>
                <c:pt idx="2">
                  <c:v>198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4-4441-B964-483F5B7297F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Defect_Pareto!$E$4</c:f>
              <c:strCache>
                <c:ptCount val="1"/>
                <c:pt idx="0">
                  <c:v>累積占比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Defect_Pareto!$A$5:$A$9</c15:sqref>
                  </c15:fullRef>
                </c:ext>
              </c:extLst>
              <c:f>Defect_Pareto!$A$5:$A$8</c:f>
              <c:strCache>
                <c:ptCount val="4"/>
                <c:pt idx="0">
                  <c:v>chipping</c:v>
                </c:pt>
                <c:pt idx="1">
                  <c:v>破片</c:v>
                </c:pt>
                <c:pt idx="2">
                  <c:v>裂痕</c:v>
                </c:pt>
                <c:pt idx="3">
                  <c:v>其他缺陷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Defect_Pareto!$E$5:$E$9</c15:sqref>
                  </c15:fullRef>
                </c:ext>
              </c:extLst>
              <c:f>Defect_Pareto!$E$5:$E$8</c:f>
              <c:numCache>
                <c:formatCode>0.0%</c:formatCode>
                <c:ptCount val="4"/>
                <c:pt idx="0">
                  <c:v>0.17904761904761904</c:v>
                </c:pt>
                <c:pt idx="1">
                  <c:v>0.19238095238095237</c:v>
                </c:pt>
                <c:pt idx="2">
                  <c:v>0.56952380952380954</c:v>
                </c:pt>
                <c:pt idx="3">
                  <c:v>0.56952380952380954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614-4441-B964-483F5B729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14685714999747881"/>
              <c:y val="0.34168237650976918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累積占比</a:t>
                </a:r>
              </a:p>
            </c:rich>
          </c:tx>
          <c:layout/>
          <c:overlay val="1"/>
        </c:title>
        <c:numFmt formatCode="0.0%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4.0546069054568819E-2"/>
          <c:y val="8.1907830870456264E-2"/>
          <c:w val="7.9437324166245271E-2"/>
          <c:h val="0.2574172149714162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10</xdr:row>
      <xdr:rowOff>133350</xdr:rowOff>
    </xdr:from>
    <xdr:ext cx="10231966" cy="37084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15" sqref="B15:K19"/>
    </sheetView>
  </sheetViews>
  <sheetFormatPr defaultRowHeight="15.75" x14ac:dyDescent="0.25"/>
  <cols>
    <col min="1" max="1" width="2.42578125" customWidth="1"/>
    <col min="2" max="11" width="16" customWidth="1"/>
    <col min="12" max="12" width="2.42578125" customWidth="1"/>
  </cols>
  <sheetData>
    <row r="1" spans="2:11" ht="27.95" customHeight="1" x14ac:dyDescent="0.25">
      <c r="B1" s="33" t="s">
        <v>57</v>
      </c>
      <c r="C1" s="34"/>
      <c r="D1" s="34"/>
      <c r="E1" s="34"/>
      <c r="F1" s="34"/>
      <c r="G1" s="34"/>
      <c r="H1" s="34"/>
      <c r="I1" s="34"/>
      <c r="J1" s="34"/>
      <c r="K1" s="35"/>
    </row>
    <row r="2" spans="2:11" ht="27.95" customHeight="1" x14ac:dyDescent="0.25">
      <c r="B2" s="36"/>
      <c r="C2" s="37"/>
      <c r="D2" s="37"/>
      <c r="E2" s="37"/>
      <c r="F2" s="37"/>
      <c r="G2" s="37"/>
      <c r="H2" s="37"/>
      <c r="I2" s="37"/>
      <c r="J2" s="37"/>
      <c r="K2" s="38"/>
    </row>
    <row r="3" spans="2:11" ht="27.95" customHeight="1" x14ac:dyDescent="0.25">
      <c r="B3" s="39"/>
      <c r="C3" s="40"/>
      <c r="D3" s="40"/>
      <c r="E3" s="40"/>
      <c r="F3" s="40"/>
      <c r="G3" s="40"/>
      <c r="H3" s="40"/>
      <c r="I3" s="40"/>
      <c r="J3" s="40"/>
      <c r="K3" s="41"/>
    </row>
    <row r="4" spans="2:11" ht="21.95" customHeight="1" x14ac:dyDescent="0.25">
      <c r="B4" s="49" t="s">
        <v>56</v>
      </c>
      <c r="C4" s="44"/>
      <c r="D4" s="48" t="s">
        <v>62</v>
      </c>
      <c r="E4" s="26"/>
      <c r="F4" s="26"/>
      <c r="G4" s="26"/>
      <c r="H4" s="26"/>
      <c r="I4" s="26"/>
      <c r="J4" s="26"/>
      <c r="K4" s="24"/>
    </row>
    <row r="5" spans="2:11" ht="21.95" customHeight="1" x14ac:dyDescent="0.25">
      <c r="B5" s="36"/>
      <c r="C5" s="38"/>
      <c r="D5" s="23" t="s">
        <v>0</v>
      </c>
      <c r="E5" s="24"/>
      <c r="F5" s="25" t="s">
        <v>58</v>
      </c>
      <c r="G5" s="26"/>
      <c r="H5" s="26"/>
      <c r="I5" s="26"/>
      <c r="J5" s="26"/>
      <c r="K5" s="24"/>
    </row>
    <row r="6" spans="2:11" ht="21.95" customHeight="1" x14ac:dyDescent="0.25">
      <c r="B6" s="36"/>
      <c r="C6" s="38"/>
      <c r="D6" s="23" t="s">
        <v>1</v>
      </c>
      <c r="E6" s="24"/>
      <c r="F6" s="25" t="s">
        <v>2</v>
      </c>
      <c r="G6" s="26"/>
      <c r="H6" s="26"/>
      <c r="I6" s="26"/>
      <c r="J6" s="26"/>
      <c r="K6" s="24"/>
    </row>
    <row r="7" spans="2:11" ht="21.95" customHeight="1" x14ac:dyDescent="0.25">
      <c r="B7" s="39"/>
      <c r="C7" s="41"/>
      <c r="D7" s="23" t="s">
        <v>3</v>
      </c>
      <c r="E7" s="24"/>
      <c r="F7" s="25" t="s">
        <v>4</v>
      </c>
      <c r="G7" s="26"/>
      <c r="H7" s="26"/>
      <c r="I7" s="26"/>
      <c r="J7" s="26"/>
      <c r="K7" s="24"/>
    </row>
    <row r="8" spans="2:11" ht="26.1" customHeight="1" x14ac:dyDescent="0.25">
      <c r="B8" s="13"/>
      <c r="C8" s="14"/>
      <c r="D8" s="23" t="s">
        <v>5</v>
      </c>
      <c r="E8" s="24"/>
      <c r="F8" s="25" t="s">
        <v>59</v>
      </c>
      <c r="G8" s="26"/>
      <c r="H8" s="26"/>
      <c r="I8" s="26"/>
      <c r="J8" s="26"/>
      <c r="K8" s="24"/>
    </row>
    <row r="9" spans="2:11" ht="21.95" customHeight="1" x14ac:dyDescent="0.25">
      <c r="B9" s="13"/>
      <c r="C9" s="14"/>
      <c r="D9" s="23" t="s">
        <v>6</v>
      </c>
      <c r="E9" s="24"/>
      <c r="F9" s="25" t="s">
        <v>60</v>
      </c>
      <c r="G9" s="26"/>
      <c r="H9" s="26"/>
      <c r="I9" s="26"/>
      <c r="J9" s="26"/>
      <c r="K9" s="24"/>
    </row>
    <row r="10" spans="2:11" ht="21.95" customHeight="1" x14ac:dyDescent="0.25">
      <c r="B10" s="13"/>
      <c r="C10" s="14"/>
      <c r="D10" s="23" t="s">
        <v>7</v>
      </c>
      <c r="E10" s="24"/>
      <c r="F10" s="25" t="s">
        <v>61</v>
      </c>
      <c r="G10" s="26"/>
      <c r="H10" s="26"/>
      <c r="I10" s="26"/>
      <c r="J10" s="26"/>
      <c r="K10" s="24"/>
    </row>
    <row r="11" spans="2:11" ht="21.95" customHeight="1" x14ac:dyDescent="0.25">
      <c r="B11" s="42" t="s">
        <v>8</v>
      </c>
      <c r="C11" s="26"/>
      <c r="D11" s="26"/>
      <c r="E11" s="26"/>
      <c r="F11" s="26"/>
      <c r="G11" s="26"/>
      <c r="H11" s="26"/>
      <c r="I11" s="26"/>
      <c r="J11" s="26"/>
      <c r="K11" s="24"/>
    </row>
    <row r="12" spans="2:11" ht="21.95" customHeight="1" x14ac:dyDescent="0.25">
      <c r="B12" s="45" t="s">
        <v>9</v>
      </c>
      <c r="C12" s="43"/>
      <c r="D12" s="43"/>
      <c r="E12" s="43"/>
      <c r="F12" s="43"/>
      <c r="G12" s="43"/>
      <c r="H12" s="43"/>
      <c r="I12" s="43"/>
      <c r="J12" s="43"/>
      <c r="K12" s="44"/>
    </row>
    <row r="13" spans="2:11" ht="21.95" customHeight="1" x14ac:dyDescent="0.25">
      <c r="B13" s="36"/>
      <c r="C13" s="37"/>
      <c r="D13" s="37"/>
      <c r="E13" s="37"/>
      <c r="F13" s="37"/>
      <c r="G13" s="37"/>
      <c r="H13" s="37"/>
      <c r="I13" s="37"/>
      <c r="J13" s="37"/>
      <c r="K13" s="38"/>
    </row>
    <row r="14" spans="2:11" ht="21.95" customHeight="1" x14ac:dyDescent="0.25">
      <c r="B14" s="39"/>
      <c r="C14" s="40"/>
      <c r="D14" s="40"/>
      <c r="E14" s="40"/>
      <c r="F14" s="40"/>
      <c r="G14" s="40"/>
      <c r="H14" s="40"/>
      <c r="I14" s="40"/>
      <c r="J14" s="40"/>
      <c r="K14" s="41"/>
    </row>
    <row r="15" spans="2:11" ht="21.95" customHeight="1" x14ac:dyDescent="0.25">
      <c r="B15" s="45" t="s">
        <v>71</v>
      </c>
      <c r="C15" s="43"/>
      <c r="D15" s="43"/>
      <c r="E15" s="43"/>
      <c r="F15" s="43"/>
      <c r="G15" s="43"/>
      <c r="H15" s="43"/>
      <c r="I15" s="43"/>
      <c r="J15" s="43"/>
      <c r="K15" s="44"/>
    </row>
    <row r="16" spans="2:11" ht="21.95" customHeight="1" x14ac:dyDescent="0.25">
      <c r="B16" s="36"/>
      <c r="C16" s="37"/>
      <c r="D16" s="37"/>
      <c r="E16" s="37"/>
      <c r="F16" s="37"/>
      <c r="G16" s="37"/>
      <c r="H16" s="37"/>
      <c r="I16" s="37"/>
      <c r="J16" s="37"/>
      <c r="K16" s="38"/>
    </row>
    <row r="17" spans="2:11" ht="21.95" customHeight="1" x14ac:dyDescent="0.25">
      <c r="B17" s="36"/>
      <c r="C17" s="37"/>
      <c r="D17" s="37"/>
      <c r="E17" s="37"/>
      <c r="F17" s="37"/>
      <c r="G17" s="37"/>
      <c r="H17" s="37"/>
      <c r="I17" s="37"/>
      <c r="J17" s="37"/>
      <c r="K17" s="38"/>
    </row>
    <row r="18" spans="2:11" ht="21.95" customHeight="1" x14ac:dyDescent="0.25">
      <c r="B18" s="36"/>
      <c r="C18" s="37"/>
      <c r="D18" s="37"/>
      <c r="E18" s="37"/>
      <c r="F18" s="37"/>
      <c r="G18" s="37"/>
      <c r="H18" s="37"/>
      <c r="I18" s="37"/>
      <c r="J18" s="37"/>
      <c r="K18" s="38"/>
    </row>
    <row r="19" spans="2:11" ht="21.95" customHeight="1" x14ac:dyDescent="0.25">
      <c r="B19" s="39"/>
      <c r="C19" s="40"/>
      <c r="D19" s="40"/>
      <c r="E19" s="40"/>
      <c r="F19" s="40"/>
      <c r="G19" s="40"/>
      <c r="H19" s="40"/>
      <c r="I19" s="40"/>
      <c r="J19" s="40"/>
      <c r="K19" s="41"/>
    </row>
    <row r="20" spans="2:11" ht="21.95" customHeight="1" x14ac:dyDescent="0.25">
      <c r="B20" s="42" t="s">
        <v>10</v>
      </c>
      <c r="C20" s="26"/>
      <c r="D20" s="26"/>
      <c r="E20" s="26"/>
      <c r="F20" s="26"/>
      <c r="G20" s="26"/>
      <c r="H20" s="43"/>
      <c r="I20" s="43"/>
      <c r="J20" s="43"/>
      <c r="K20" s="44"/>
    </row>
    <row r="21" spans="2:11" ht="21.95" customHeight="1" x14ac:dyDescent="0.25">
      <c r="B21" s="23" t="s">
        <v>11</v>
      </c>
      <c r="C21" s="24"/>
      <c r="D21" s="27" t="s">
        <v>12</v>
      </c>
      <c r="E21" s="28"/>
      <c r="F21" s="28"/>
      <c r="G21" s="28"/>
      <c r="H21" s="31" t="s">
        <v>13</v>
      </c>
      <c r="I21" s="31"/>
      <c r="J21" s="31"/>
      <c r="K21" s="31"/>
    </row>
    <row r="22" spans="2:11" ht="21.95" customHeight="1" x14ac:dyDescent="0.25">
      <c r="B22" s="46" t="s">
        <v>68</v>
      </c>
      <c r="C22" s="47"/>
      <c r="D22" s="29"/>
      <c r="E22" s="30"/>
      <c r="F22" s="30"/>
      <c r="G22" s="30"/>
      <c r="H22" s="32"/>
      <c r="I22" s="32"/>
      <c r="J22" s="32"/>
      <c r="K22" s="32"/>
    </row>
    <row r="23" spans="2:11" ht="21.95" customHeight="1" x14ac:dyDescent="0.25">
      <c r="B23" s="46" t="s">
        <v>69</v>
      </c>
      <c r="C23" s="47"/>
      <c r="D23" s="29"/>
      <c r="E23" s="30"/>
      <c r="F23" s="30"/>
      <c r="G23" s="30"/>
      <c r="H23" s="32"/>
      <c r="I23" s="32"/>
      <c r="J23" s="32"/>
      <c r="K23" s="32"/>
    </row>
    <row r="24" spans="2:11" ht="21.95" customHeight="1" x14ac:dyDescent="0.25">
      <c r="B24" s="46" t="s">
        <v>70</v>
      </c>
      <c r="C24" s="47"/>
      <c r="D24" s="29"/>
      <c r="E24" s="30"/>
      <c r="F24" s="30"/>
      <c r="G24" s="30"/>
      <c r="H24" s="32"/>
      <c r="I24" s="32"/>
      <c r="J24" s="32"/>
      <c r="K24" s="32"/>
    </row>
    <row r="25" spans="2:11" ht="21.95" customHeight="1" x14ac:dyDescent="0.25">
      <c r="B25" s="19" t="s">
        <v>14</v>
      </c>
      <c r="C25" s="20"/>
      <c r="D25" s="20"/>
      <c r="E25" s="20"/>
      <c r="F25" s="20"/>
      <c r="G25" s="20"/>
      <c r="H25" s="21"/>
      <c r="I25" s="21"/>
      <c r="J25" s="21"/>
      <c r="K25" s="22"/>
    </row>
    <row r="26" spans="2:11" ht="21.95" customHeight="1" x14ac:dyDescent="0.25"/>
    <row r="27" spans="2:11" ht="21.95" customHeight="1" x14ac:dyDescent="0.25"/>
    <row r="28" spans="2:11" ht="21.95" customHeight="1" x14ac:dyDescent="0.25"/>
    <row r="29" spans="2:11" ht="21.95" customHeight="1" x14ac:dyDescent="0.25"/>
    <row r="30" spans="2:11" ht="21.95" customHeight="1" x14ac:dyDescent="0.25"/>
    <row r="31" spans="2:11" ht="21.95" customHeight="1" x14ac:dyDescent="0.25"/>
    <row r="32" spans="2:11" ht="21.95" customHeight="1" x14ac:dyDescent="0.25"/>
  </sheetData>
  <mergeCells count="32">
    <mergeCell ref="B15:K19"/>
    <mergeCell ref="D8:E8"/>
    <mergeCell ref="B11:K11"/>
    <mergeCell ref="B1:K3"/>
    <mergeCell ref="D10:E10"/>
    <mergeCell ref="D6:E6"/>
    <mergeCell ref="F9:K9"/>
    <mergeCell ref="F8:K8"/>
    <mergeCell ref="F5:K5"/>
    <mergeCell ref="F7:K7"/>
    <mergeCell ref="D7:E7"/>
    <mergeCell ref="D4:K4"/>
    <mergeCell ref="B4:C7"/>
    <mergeCell ref="D9:E9"/>
    <mergeCell ref="D5:E5"/>
    <mergeCell ref="F6:K6"/>
    <mergeCell ref="B25:K25"/>
    <mergeCell ref="B21:C21"/>
    <mergeCell ref="F10:K10"/>
    <mergeCell ref="D21:G21"/>
    <mergeCell ref="D22:G22"/>
    <mergeCell ref="D23:G23"/>
    <mergeCell ref="D24:G24"/>
    <mergeCell ref="H21:K21"/>
    <mergeCell ref="H22:K22"/>
    <mergeCell ref="H24:K24"/>
    <mergeCell ref="H23:K23"/>
    <mergeCell ref="B20:K20"/>
    <mergeCell ref="B12:K14"/>
    <mergeCell ref="B24:C24"/>
    <mergeCell ref="B23:C23"/>
    <mergeCell ref="B22:C22"/>
  </mergeCells>
  <phoneticPr fontId="7" type="noConversion"/>
  <pageMargins left="0.5" right="0.5" top="0.6" bottom="0.6" header="0.5" footer="0.5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4" sqref="B4"/>
    </sheetView>
  </sheetViews>
  <sheetFormatPr defaultRowHeight="15.75" x14ac:dyDescent="0.25"/>
  <cols>
    <col min="1" max="1" width="55" bestFit="1" customWidth="1"/>
    <col min="2" max="2" width="18" customWidth="1"/>
  </cols>
  <sheetData>
    <row r="1" spans="1:2" ht="19.5" customHeight="1" x14ac:dyDescent="0.3">
      <c r="A1" s="2" t="s">
        <v>15</v>
      </c>
    </row>
    <row r="3" spans="1:2" x14ac:dyDescent="0.25">
      <c r="A3" s="3" t="s">
        <v>16</v>
      </c>
      <c r="B3" s="1">
        <v>525</v>
      </c>
    </row>
    <row r="4" spans="1:2" x14ac:dyDescent="0.25">
      <c r="A4" s="3" t="s">
        <v>17</v>
      </c>
      <c r="B4" s="1"/>
    </row>
    <row r="6" spans="1:2" x14ac:dyDescent="0.25">
      <c r="A6" t="s">
        <v>18</v>
      </c>
    </row>
    <row r="7" spans="1:2" x14ac:dyDescent="0.25">
      <c r="A7" s="4" t="s">
        <v>19</v>
      </c>
      <c r="B7" s="4" t="s">
        <v>20</v>
      </c>
    </row>
    <row r="8" spans="1:2" x14ac:dyDescent="0.25">
      <c r="A8" s="6" t="s">
        <v>21</v>
      </c>
      <c r="B8" s="6">
        <v>1</v>
      </c>
    </row>
    <row r="9" spans="1:2" x14ac:dyDescent="0.25">
      <c r="A9" s="6" t="s">
        <v>22</v>
      </c>
      <c r="B9" s="6">
        <v>2</v>
      </c>
    </row>
    <row r="10" spans="1:2" x14ac:dyDescent="0.25">
      <c r="A10" s="6" t="s">
        <v>23</v>
      </c>
      <c r="B10" s="6">
        <v>3</v>
      </c>
    </row>
    <row r="11" spans="1:2" x14ac:dyDescent="0.25">
      <c r="A11" s="6" t="s">
        <v>24</v>
      </c>
      <c r="B11" s="6">
        <v>4</v>
      </c>
    </row>
    <row r="12" spans="1:2" x14ac:dyDescent="0.25">
      <c r="A12" s="6" t="s">
        <v>25</v>
      </c>
      <c r="B12" s="6">
        <v>5</v>
      </c>
    </row>
    <row r="14" spans="1:2" x14ac:dyDescent="0.25">
      <c r="A14" s="5" t="s">
        <v>26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ySplit="4" topLeftCell="A5" activePane="bottomLeft" state="frozen"/>
      <selection activeCell="A5" sqref="A5"/>
      <selection pane="bottomLeft" activeCell="H2" sqref="H2"/>
    </sheetView>
  </sheetViews>
  <sheetFormatPr defaultRowHeight="15.75" x14ac:dyDescent="0.25"/>
  <cols>
    <col min="1" max="1" width="74.42578125" bestFit="1" customWidth="1"/>
    <col min="2" max="2" width="10" customWidth="1"/>
    <col min="3" max="3" width="12" customWidth="1"/>
    <col min="4" max="4" width="10" customWidth="1"/>
    <col min="5" max="5" width="12" customWidth="1"/>
    <col min="7" max="7" width="28" customWidth="1"/>
  </cols>
  <sheetData>
    <row r="1" spans="1:7" ht="19.5" customHeight="1" x14ac:dyDescent="0.3">
      <c r="A1" s="50" t="s">
        <v>27</v>
      </c>
      <c r="B1" s="51"/>
      <c r="C1" s="51"/>
      <c r="D1" s="51"/>
      <c r="E1" s="52"/>
    </row>
    <row r="2" spans="1:7" x14ac:dyDescent="0.25">
      <c r="A2" s="18" t="s">
        <v>65</v>
      </c>
      <c r="B2" s="53">
        <v>525</v>
      </c>
      <c r="C2" s="54"/>
      <c r="D2" s="54"/>
      <c r="E2" s="55"/>
    </row>
    <row r="3" spans="1:7" x14ac:dyDescent="0.25">
      <c r="A3" s="18" t="s">
        <v>66</v>
      </c>
      <c r="B3" s="53" t="s">
        <v>67</v>
      </c>
      <c r="C3" s="54"/>
      <c r="D3" s="54"/>
      <c r="E3" s="55"/>
    </row>
    <row r="4" spans="1:7" x14ac:dyDescent="0.25">
      <c r="A4" s="17" t="s">
        <v>19</v>
      </c>
      <c r="B4" s="17" t="s">
        <v>28</v>
      </c>
      <c r="C4" s="17" t="s">
        <v>29</v>
      </c>
      <c r="D4" s="17" t="s">
        <v>30</v>
      </c>
      <c r="E4" s="17" t="s">
        <v>31</v>
      </c>
      <c r="G4" s="10" t="s">
        <v>32</v>
      </c>
    </row>
    <row r="5" spans="1:7" x14ac:dyDescent="0.25">
      <c r="A5" s="6" t="str">
        <f>Config!$A$8</f>
        <v>chipping</v>
      </c>
      <c r="B5" s="7">
        <f>35+6+53</f>
        <v>94</v>
      </c>
      <c r="C5" s="7">
        <f>SUM($B$5:B5)</f>
        <v>94</v>
      </c>
      <c r="D5" s="15">
        <f t="shared" ref="D5:E7" si="0">IF($B$10=0,0,B5/$B$10)</f>
        <v>0.17904761904761904</v>
      </c>
      <c r="E5" s="15">
        <f t="shared" si="0"/>
        <v>0.17904761904761904</v>
      </c>
      <c r="G5" s="11" t="s">
        <v>23</v>
      </c>
    </row>
    <row r="6" spans="1:7" x14ac:dyDescent="0.25">
      <c r="A6" s="6" t="str">
        <f>Config!$A$9</f>
        <v>破片</v>
      </c>
      <c r="B6" s="7">
        <v>7</v>
      </c>
      <c r="C6" s="7">
        <f>SUM($B$5:B6)</f>
        <v>101</v>
      </c>
      <c r="D6" s="15">
        <f t="shared" si="0"/>
        <v>1.3333333333333334E-2</v>
      </c>
      <c r="E6" s="15">
        <f t="shared" si="0"/>
        <v>0.19238095238095237</v>
      </c>
    </row>
    <row r="7" spans="1:7" x14ac:dyDescent="0.25">
      <c r="A7" s="6" t="str">
        <f>Config!$A$10</f>
        <v>裂痕</v>
      </c>
      <c r="B7" s="7">
        <f>124+42+32</f>
        <v>198</v>
      </c>
      <c r="C7" s="7">
        <f>SUM($B$5:B7)</f>
        <v>299</v>
      </c>
      <c r="D7" s="15">
        <f t="shared" si="0"/>
        <v>0.37714285714285717</v>
      </c>
      <c r="E7" s="15">
        <f t="shared" si="0"/>
        <v>0.56952380952380954</v>
      </c>
    </row>
    <row r="8" spans="1:7" x14ac:dyDescent="0.25">
      <c r="A8" s="6" t="s">
        <v>63</v>
      </c>
      <c r="B8" s="7">
        <v>0</v>
      </c>
      <c r="C8" s="7">
        <f>SUM($B$5:B8)</f>
        <v>299</v>
      </c>
      <c r="D8" s="15">
        <f t="shared" ref="D8:E8" si="1">IF($B$10=0,0,B8/$B$10)</f>
        <v>0</v>
      </c>
      <c r="E8" s="15">
        <f t="shared" si="1"/>
        <v>0.56952380952380954</v>
      </c>
    </row>
    <row r="9" spans="1:7" x14ac:dyDescent="0.25">
      <c r="A9" s="6" t="s">
        <v>33</v>
      </c>
      <c r="B9" s="7">
        <v>226</v>
      </c>
      <c r="C9" s="7">
        <f>SUM($B$5:B9)</f>
        <v>525</v>
      </c>
      <c r="D9" s="15">
        <f>IF($B$10=0,0,B9/$B$10)</f>
        <v>0.43047619047619046</v>
      </c>
      <c r="E9" s="15">
        <f>IF($B$10=0,0,C9/$B$10)</f>
        <v>1</v>
      </c>
    </row>
    <row r="10" spans="1:7" x14ac:dyDescent="0.25">
      <c r="A10" s="8" t="s">
        <v>34</v>
      </c>
      <c r="B10" s="12">
        <f>SUM(B5:B9)</f>
        <v>525</v>
      </c>
      <c r="C10" s="6"/>
      <c r="D10" s="6"/>
      <c r="E10" s="6"/>
    </row>
  </sheetData>
  <mergeCells count="3">
    <mergeCell ref="A1:E1"/>
    <mergeCell ref="B2:E2"/>
    <mergeCell ref="B3:E3"/>
  </mergeCells>
  <phoneticPr fontId="7" type="noConversion"/>
  <pageMargins left="0.75" right="0.75" top="1" bottom="1" header="0.5" footer="0.5"/>
  <pageSetup paperSize="9" scale="8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2"/>
  <sheetViews>
    <sheetView tabSelected="1" zoomScale="93" zoomScaleNormal="93" workbookViewId="0">
      <pane ySplit="2" topLeftCell="A3" activePane="bottomLeft" state="frozen"/>
      <selection pane="bottomLeft" activeCell="C4" sqref="C4"/>
    </sheetView>
  </sheetViews>
  <sheetFormatPr defaultRowHeight="15.75" x14ac:dyDescent="0.25"/>
  <cols>
    <col min="1" max="1" width="12" customWidth="1"/>
    <col min="2" max="2" width="18" customWidth="1"/>
    <col min="3" max="3" width="30" customWidth="1"/>
    <col min="4" max="4" width="34" customWidth="1"/>
    <col min="5" max="7" width="28" customWidth="1"/>
    <col min="8" max="9" width="24" customWidth="1"/>
    <col min="10" max="10" width="12" customWidth="1"/>
    <col min="11" max="11" width="14" customWidth="1"/>
  </cols>
  <sheetData>
    <row r="1" spans="1:11" ht="19.5" customHeight="1" x14ac:dyDescent="0.3">
      <c r="A1" s="2" t="s">
        <v>35</v>
      </c>
    </row>
    <row r="2" spans="1:11" ht="69.400000000000006" customHeight="1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9" t="s">
        <v>44</v>
      </c>
      <c r="J2" s="9" t="s">
        <v>45</v>
      </c>
      <c r="K2" s="9" t="s">
        <v>46</v>
      </c>
    </row>
    <row r="3" spans="1:11" ht="113.25" customHeight="1" x14ac:dyDescent="0.25">
      <c r="A3" s="16" t="str">
        <f>Defect_Pareto!$G$5</f>
        <v>裂痕</v>
      </c>
      <c r="B3" s="16" t="s">
        <v>64</v>
      </c>
      <c r="C3" s="16" t="s">
        <v>47</v>
      </c>
      <c r="D3" s="16" t="s">
        <v>48</v>
      </c>
      <c r="E3" s="16" t="s">
        <v>49</v>
      </c>
      <c r="F3" s="16" t="s">
        <v>50</v>
      </c>
      <c r="G3" s="16" t="s">
        <v>51</v>
      </c>
      <c r="H3" s="16" t="s">
        <v>52</v>
      </c>
      <c r="I3" s="16" t="s">
        <v>53</v>
      </c>
      <c r="J3" s="16" t="s">
        <v>54</v>
      </c>
      <c r="K3" s="16" t="s">
        <v>55</v>
      </c>
    </row>
    <row r="4" spans="1:11" ht="80.099999999999994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80.099999999999994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ht="80.099999999999994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80.099999999999994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1" ht="80.099999999999994" customHeight="1" x14ac:dyDescent="0.25"/>
    <row r="9" spans="1:11" ht="80.099999999999994" customHeight="1" x14ac:dyDescent="0.25"/>
    <row r="10" spans="1:11" ht="80.099999999999994" customHeight="1" x14ac:dyDescent="0.25"/>
    <row r="11" spans="1:11" ht="80.099999999999994" customHeight="1" x14ac:dyDescent="0.25"/>
    <row r="12" spans="1:11" ht="80.099999999999994" customHeight="1" x14ac:dyDescent="0.25"/>
    <row r="13" spans="1:11" ht="80.099999999999994" customHeight="1" x14ac:dyDescent="0.25"/>
    <row r="14" spans="1:11" ht="80.099999999999994" customHeight="1" x14ac:dyDescent="0.25"/>
    <row r="15" spans="1:11" ht="80.099999999999994" customHeight="1" x14ac:dyDescent="0.25"/>
    <row r="16" spans="1:11" ht="80.099999999999994" customHeight="1" x14ac:dyDescent="0.25"/>
    <row r="17" ht="80.099999999999994" customHeight="1" x14ac:dyDescent="0.25"/>
    <row r="18" ht="80.099999999999994" customHeight="1" x14ac:dyDescent="0.25"/>
    <row r="19" ht="80.099999999999994" customHeight="1" x14ac:dyDescent="0.25"/>
    <row r="20" ht="80.099999999999994" customHeight="1" x14ac:dyDescent="0.25"/>
    <row r="21" ht="80.099999999999994" customHeight="1" x14ac:dyDescent="0.25"/>
    <row r="22" ht="80.099999999999994" customHeight="1" x14ac:dyDescent="0.25"/>
    <row r="23" ht="80.099999999999994" customHeight="1" x14ac:dyDescent="0.25"/>
    <row r="24" ht="80.099999999999994" customHeight="1" x14ac:dyDescent="0.25"/>
    <row r="25" ht="80.099999999999994" customHeight="1" x14ac:dyDescent="0.25"/>
    <row r="26" ht="80.099999999999994" customHeight="1" x14ac:dyDescent="0.25"/>
    <row r="27" ht="80.099999999999994" customHeight="1" x14ac:dyDescent="0.25"/>
    <row r="28" ht="80.099999999999994" customHeight="1" x14ac:dyDescent="0.25"/>
    <row r="29" ht="80.099999999999994" customHeight="1" x14ac:dyDescent="0.25"/>
    <row r="30" ht="80.099999999999994" customHeight="1" x14ac:dyDescent="0.25"/>
    <row r="31" ht="80.099999999999994" customHeight="1" x14ac:dyDescent="0.25"/>
    <row r="32" ht="80.099999999999994" customHeight="1" x14ac:dyDescent="0.25"/>
    <row r="33" ht="80.099999999999994" customHeight="1" x14ac:dyDescent="0.25"/>
    <row r="34" ht="80.099999999999994" customHeight="1" x14ac:dyDescent="0.25"/>
    <row r="35" ht="80.099999999999994" customHeight="1" x14ac:dyDescent="0.25"/>
    <row r="36" ht="80.099999999999994" customHeight="1" x14ac:dyDescent="0.25"/>
    <row r="37" ht="80.099999999999994" customHeight="1" x14ac:dyDescent="0.25"/>
    <row r="38" ht="80.099999999999994" customHeight="1" x14ac:dyDescent="0.25"/>
    <row r="39" ht="80.099999999999994" customHeight="1" x14ac:dyDescent="0.25"/>
    <row r="40" ht="80.099999999999994" customHeight="1" x14ac:dyDescent="0.25"/>
    <row r="41" ht="80.099999999999994" customHeight="1" x14ac:dyDescent="0.25"/>
    <row r="42" ht="80.099999999999994" customHeight="1" x14ac:dyDescent="0.25"/>
    <row r="43" ht="80.099999999999994" customHeight="1" x14ac:dyDescent="0.25"/>
    <row r="44" ht="80.099999999999994" customHeight="1" x14ac:dyDescent="0.25"/>
    <row r="45" ht="80.099999999999994" customHeight="1" x14ac:dyDescent="0.25"/>
    <row r="46" ht="80.099999999999994" customHeight="1" x14ac:dyDescent="0.25"/>
    <row r="47" ht="80.099999999999994" customHeight="1" x14ac:dyDescent="0.25"/>
    <row r="48" ht="80.099999999999994" customHeight="1" x14ac:dyDescent="0.25"/>
    <row r="49" ht="80.099999999999994" customHeight="1" x14ac:dyDescent="0.25"/>
    <row r="50" ht="80.099999999999994" customHeight="1" x14ac:dyDescent="0.25"/>
    <row r="51" ht="80.099999999999994" customHeight="1" x14ac:dyDescent="0.25"/>
    <row r="52" ht="80.099999999999994" customHeight="1" x14ac:dyDescent="0.25"/>
    <row r="53" ht="80.099999999999994" customHeight="1" x14ac:dyDescent="0.25"/>
    <row r="54" ht="80.099999999999994" customHeight="1" x14ac:dyDescent="0.25"/>
    <row r="55" ht="80.099999999999994" customHeight="1" x14ac:dyDescent="0.25"/>
    <row r="56" ht="80.099999999999994" customHeight="1" x14ac:dyDescent="0.25"/>
    <row r="57" ht="80.099999999999994" customHeight="1" x14ac:dyDescent="0.25"/>
    <row r="58" ht="80.099999999999994" customHeight="1" x14ac:dyDescent="0.25"/>
    <row r="59" ht="80.099999999999994" customHeight="1" x14ac:dyDescent="0.25"/>
    <row r="60" ht="80.099999999999994" customHeight="1" x14ac:dyDescent="0.25"/>
    <row r="61" ht="80.099999999999994" customHeight="1" x14ac:dyDescent="0.25"/>
    <row r="62" ht="80.099999999999994" customHeight="1" x14ac:dyDescent="0.25"/>
    <row r="63" ht="80.099999999999994" customHeight="1" x14ac:dyDescent="0.25"/>
    <row r="64" ht="80.099999999999994" customHeight="1" x14ac:dyDescent="0.25"/>
    <row r="65" ht="80.099999999999994" customHeight="1" x14ac:dyDescent="0.25"/>
    <row r="66" ht="80.099999999999994" customHeight="1" x14ac:dyDescent="0.25"/>
    <row r="67" ht="80.099999999999994" customHeight="1" x14ac:dyDescent="0.25"/>
    <row r="68" ht="80.099999999999994" customHeight="1" x14ac:dyDescent="0.25"/>
    <row r="69" ht="80.099999999999994" customHeight="1" x14ac:dyDescent="0.25"/>
    <row r="70" ht="80.099999999999994" customHeight="1" x14ac:dyDescent="0.25"/>
    <row r="71" ht="80.099999999999994" customHeight="1" x14ac:dyDescent="0.25"/>
    <row r="72" ht="80.099999999999994" customHeight="1" x14ac:dyDescent="0.25"/>
    <row r="73" ht="80.099999999999994" customHeight="1" x14ac:dyDescent="0.25"/>
    <row r="74" ht="80.099999999999994" customHeight="1" x14ac:dyDescent="0.25"/>
    <row r="75" ht="80.099999999999994" customHeight="1" x14ac:dyDescent="0.25"/>
    <row r="76" ht="80.099999999999994" customHeight="1" x14ac:dyDescent="0.25"/>
    <row r="77" ht="80.099999999999994" customHeight="1" x14ac:dyDescent="0.25"/>
    <row r="78" ht="80.099999999999994" customHeight="1" x14ac:dyDescent="0.25"/>
    <row r="79" ht="80.099999999999994" customHeight="1" x14ac:dyDescent="0.25"/>
    <row r="80" ht="80.099999999999994" customHeight="1" x14ac:dyDescent="0.25"/>
    <row r="81" ht="80.099999999999994" customHeight="1" x14ac:dyDescent="0.25"/>
    <row r="82" ht="80.099999999999994" customHeight="1" x14ac:dyDescent="0.25"/>
    <row r="83" ht="80.099999999999994" customHeight="1" x14ac:dyDescent="0.25"/>
    <row r="84" ht="80.099999999999994" customHeight="1" x14ac:dyDescent="0.25"/>
    <row r="85" ht="80.099999999999994" customHeight="1" x14ac:dyDescent="0.25"/>
    <row r="86" ht="80.099999999999994" customHeight="1" x14ac:dyDescent="0.25"/>
    <row r="87" ht="80.099999999999994" customHeight="1" x14ac:dyDescent="0.25"/>
    <row r="88" ht="80.099999999999994" customHeight="1" x14ac:dyDescent="0.25"/>
    <row r="89" ht="80.099999999999994" customHeight="1" x14ac:dyDescent="0.25"/>
    <row r="90" ht="80.099999999999994" customHeight="1" x14ac:dyDescent="0.25"/>
    <row r="91" ht="80.099999999999994" customHeight="1" x14ac:dyDescent="0.25"/>
    <row r="92" ht="80.099999999999994" customHeight="1" x14ac:dyDescent="0.25"/>
    <row r="93" ht="80.099999999999994" customHeight="1" x14ac:dyDescent="0.25"/>
    <row r="94" ht="80.099999999999994" customHeight="1" x14ac:dyDescent="0.25"/>
    <row r="95" ht="80.099999999999994" customHeight="1" x14ac:dyDescent="0.25"/>
    <row r="96" ht="80.099999999999994" customHeight="1" x14ac:dyDescent="0.25"/>
    <row r="97" ht="80.099999999999994" customHeight="1" x14ac:dyDescent="0.25"/>
    <row r="98" ht="80.099999999999994" customHeight="1" x14ac:dyDescent="0.25"/>
    <row r="99" ht="80.099999999999994" customHeight="1" x14ac:dyDescent="0.25"/>
    <row r="100" ht="80.099999999999994" customHeight="1" x14ac:dyDescent="0.25"/>
    <row r="101" ht="80.099999999999994" customHeight="1" x14ac:dyDescent="0.25"/>
    <row r="102" ht="80.099999999999994" customHeight="1" x14ac:dyDescent="0.25"/>
  </sheetData>
  <phoneticPr fontId="7" type="noConversion"/>
  <dataValidations count="1">
    <dataValidation type="list" allowBlank="1" sqref="K3:K7">
      <formula1>"Open,In progress,Verified,Closed"</formula1>
    </dataValidation>
  </dataValidations>
  <pageMargins left="0.74803149606299213" right="0.74803149606299213" top="0.98425196850393704" bottom="0.98425196850393704" header="0.51181102362204722" footer="0.51181102362204722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1</vt:i4>
      </vt:variant>
    </vt:vector>
  </HeadingPairs>
  <TitlesOfParts>
    <vt:vector size="5" baseType="lpstr">
      <vt:lpstr>封面</vt:lpstr>
      <vt:lpstr>Config</vt:lpstr>
      <vt:lpstr>Defect_Pareto</vt:lpstr>
      <vt:lpstr>CIP_Tracker</vt:lpstr>
      <vt:lpstr>CIP_Tracker!Print_Area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2025-12-22T01:34:42Z</cp:lastPrinted>
  <dcterms:created xsi:type="dcterms:W3CDTF">2025-12-18T06:52:00Z</dcterms:created>
  <dcterms:modified xsi:type="dcterms:W3CDTF">2025-12-22T02:15:41Z</dcterms:modified>
</cp:coreProperties>
</file>