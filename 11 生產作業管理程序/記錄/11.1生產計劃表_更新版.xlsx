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11" autoFilterDateGrouping="1"/>
  </bookViews>
  <sheets>
    <sheet xmlns:r="http://schemas.openxmlformats.org/officeDocument/2006/relationships" name="20251110" sheetId="1" state="visible" r:id="rId1"/>
    <sheet xmlns:r="http://schemas.openxmlformats.org/officeDocument/2006/relationships" name="20251127" sheetId="2" state="visible" r:id="rId2"/>
    <sheet xmlns:r="http://schemas.openxmlformats.org/officeDocument/2006/relationships" name="20251210" sheetId="3" state="visible" r:id="rId3"/>
    <sheet xmlns:r="http://schemas.openxmlformats.org/officeDocument/2006/relationships" name="20251217" sheetId="4" state="visible" r:id="rId4"/>
    <sheet xmlns:r="http://schemas.openxmlformats.org/officeDocument/2006/relationships" name="2026 WEEK2" sheetId="5" state="visible" r:id="rId5"/>
    <sheet xmlns:r="http://schemas.openxmlformats.org/officeDocument/2006/relationships" name="2026 WEEK3" sheetId="6" state="visible" r:id="rId6"/>
    <sheet xmlns:r="http://schemas.openxmlformats.org/officeDocument/2006/relationships" name="2026 WEEK4" sheetId="7" state="visible" r:id="rId7"/>
    <sheet xmlns:r="http://schemas.openxmlformats.org/officeDocument/2006/relationships" name="2026 WEEK5" sheetId="8" state="visible" r:id="rId8"/>
    <sheet xmlns:r="http://schemas.openxmlformats.org/officeDocument/2006/relationships" name="2026 WEEK6" sheetId="9" state="visible" r:id="rId9"/>
    <sheet xmlns:r="http://schemas.openxmlformats.org/officeDocument/2006/relationships" name="2026 WEEK7" sheetId="10" state="visible" r:id="rId10"/>
    <sheet xmlns:r="http://schemas.openxmlformats.org/officeDocument/2006/relationships" name="2026 WEEK8" sheetId="11" state="visible" r:id="rId11"/>
    <sheet xmlns:r="http://schemas.openxmlformats.org/officeDocument/2006/relationships" name="2026 WEEK9 " sheetId="12" state="visible" r:id="rId12"/>
    <sheet xmlns:r="http://schemas.openxmlformats.org/officeDocument/2006/relationships" name="說明" sheetId="13" state="visible" r:id="rId1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Microsoft YaHei"/>
      <charset val="134"/>
      <family val="2"/>
      <color theme="1"/>
      <sz val="12"/>
    </font>
    <font>
      <name val="Microsoft YaHei"/>
      <charset val="134"/>
      <family val="2"/>
      <color theme="1"/>
      <sz val="16"/>
    </font>
    <font>
      <name val="Microsoft YaHei"/>
      <family val="2"/>
      <color theme="1"/>
      <sz val="16"/>
    </font>
    <font>
      <name val="新細明體"/>
      <charset val="136"/>
      <family val="1"/>
      <b val="1"/>
      <color theme="1"/>
      <sz val="20"/>
      <scheme val="minor"/>
    </font>
    <font>
      <name val="Microsoft YaHei"/>
      <charset val="134"/>
      <family val="2"/>
      <color theme="1"/>
      <sz val="10"/>
    </font>
    <font>
      <name val="新細明體"/>
      <charset val="136"/>
      <family val="1"/>
      <color rgb="FF1F1F1F"/>
      <sz val="12"/>
      <scheme val="minor"/>
    </font>
    <font>
      <name val="新細明體"/>
      <charset val="136"/>
      <family val="2"/>
      <color rgb="FFFF0000"/>
      <sz val="12"/>
      <scheme val="minor"/>
    </font>
    <font>
      <name val="Microsoft YaHei"/>
      <charset val="134"/>
      <family val="2"/>
      <sz val="12"/>
    </font>
    <font>
      <name val="Microsoft JhengHei UI"/>
      <charset val="136"/>
      <family val="2"/>
      <color theme="1"/>
      <sz val="12"/>
    </font>
    <font>
      <name val="Microsoft JhengHei UI"/>
      <family val="2"/>
      <color theme="1"/>
      <sz val="12"/>
    </font>
    <font>
      <name val="細明體"/>
      <charset val="136"/>
      <family val="3"/>
      <color theme="1"/>
      <sz val="12"/>
    </font>
    <font>
      <name val="新細明體"/>
      <charset val="136"/>
      <family val="2"/>
      <color theme="1"/>
      <sz val="12"/>
    </font>
    <font>
      <name val="Calibri"/>
      <family val="2"/>
      <sz val="12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FFFACD"/>
      </patternFill>
    </fill>
    <fill>
      <patternFill patternType="solid">
        <fgColor rgb="00FF9999"/>
      </patternFill>
    </fill>
    <fill>
      <patternFill patternType="solid">
        <fgColor rgb="00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14" fillId="0" borderId="0"/>
  </cellStyleXfs>
  <cellXfs count="7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4" fillId="0" borderId="0" pivotButton="0" quotePrefix="0" xfId="1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4" fontId="2" fillId="2" borderId="2" applyAlignment="1" pivotButton="0" quotePrefix="0" xfId="0">
      <alignment horizontal="center" vertical="center"/>
    </xf>
    <xf numFmtId="14" fontId="2" fillId="2" borderId="3" applyAlignment="1" pivotButton="0" quotePrefix="0" xfId="0">
      <alignment horizontal="center" vertical="center"/>
    </xf>
    <xf numFmtId="14" fontId="2" fillId="2" borderId="4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horizontal="center" vertical="center"/>
    </xf>
  </cellXfs>
  <cellStyles count="2">
    <cellStyle name="一般" xfId="0" builtinId="0"/>
    <cellStyle name="一般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P9"/>
  <sheetViews>
    <sheetView workbookViewId="0">
      <selection activeCell="B3" sqref="B3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1.125" customWidth="1" style="56" min="10" max="10"/>
    <col width="14.875" customWidth="1" style="56" min="11" max="11"/>
    <col width="12.125" customWidth="1" style="56" min="12" max="12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8" t="n"/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表單編號：MR11-01(001)A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8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n">
        <v>45971</v>
      </c>
      <c r="K3" s="2" t="n">
        <v>45973</v>
      </c>
      <c r="L3" s="2" t="n">
        <v>45974</v>
      </c>
      <c r="M3" s="2" t="n"/>
      <c r="N3" s="2" t="n"/>
      <c r="O3" s="2" t="n"/>
      <c r="P3" s="2" t="n"/>
    </row>
    <row r="4" ht="17.25" customHeight="1" s="56">
      <c r="B4" s="25" t="n">
        <v>1</v>
      </c>
      <c r="C4" s="26" t="inlineStr">
        <is>
          <t>C001</t>
        </is>
      </c>
      <c r="D4" s="26" t="inlineStr">
        <is>
          <t>12基板委外代工清洗</t>
        </is>
      </c>
      <c r="E4" s="10" t="n"/>
      <c r="F4" s="59" t="inlineStr">
        <is>
          <t>200片</t>
        </is>
      </c>
      <c r="G4" s="3" t="n"/>
      <c r="H4" s="30" t="inlineStr">
        <is>
          <t>片/日</t>
        </is>
      </c>
      <c r="I4" s="9" t="inlineStr">
        <is>
          <t>計劃投入數量</t>
        </is>
      </c>
      <c r="J4" s="25" t="inlineStr">
        <is>
          <t>300片</t>
        </is>
      </c>
      <c r="K4" s="25" t="inlineStr">
        <is>
          <t>100片</t>
        </is>
      </c>
      <c r="L4" s="25" t="inlineStr">
        <is>
          <t>125片</t>
        </is>
      </c>
      <c r="M4" s="1" t="n"/>
      <c r="N4" s="1" t="n"/>
      <c r="O4" s="1" t="n"/>
      <c r="P4" s="1" t="n"/>
    </row>
    <row r="5" ht="17.25" customHeight="1" s="56">
      <c r="B5" s="60" t="n"/>
      <c r="C5" s="60" t="n"/>
      <c r="D5" s="60" t="n"/>
      <c r="E5" s="7" t="n">
        <v>4515994888</v>
      </c>
      <c r="F5" s="60" t="n"/>
      <c r="G5" s="6" t="n">
        <v>45975</v>
      </c>
      <c r="H5" s="60" t="n"/>
      <c r="I5" s="9" t="inlineStr">
        <is>
          <t>實際投入數量</t>
        </is>
      </c>
      <c r="J5" s="25" t="inlineStr">
        <is>
          <t>300片</t>
        </is>
      </c>
      <c r="K5" s="25" t="inlineStr">
        <is>
          <t>100片</t>
        </is>
      </c>
      <c r="L5" s="25" t="inlineStr">
        <is>
          <t>125片</t>
        </is>
      </c>
      <c r="M5" s="1" t="n"/>
      <c r="N5" s="1" t="n"/>
      <c r="O5" s="1" t="n"/>
      <c r="P5" s="1" t="n"/>
    </row>
    <row r="6" ht="17.25" customHeight="1" s="56">
      <c r="B6" s="61" t="n"/>
      <c r="C6" s="61" t="n"/>
      <c r="D6" s="61" t="n"/>
      <c r="E6" s="5" t="n"/>
      <c r="F6" s="61" t="n"/>
      <c r="G6" s="29" t="n"/>
      <c r="H6" s="61" t="n"/>
      <c r="I6" s="9" t="inlineStr">
        <is>
          <t>入庫數量</t>
        </is>
      </c>
      <c r="J6" s="25" t="inlineStr">
        <is>
          <t>265片</t>
        </is>
      </c>
      <c r="K6" s="25" t="inlineStr">
        <is>
          <t>94片</t>
        </is>
      </c>
      <c r="L6" s="25" t="inlineStr">
        <is>
          <t>72片</t>
        </is>
      </c>
      <c r="M6" s="1" t="n"/>
      <c r="N6" s="1" t="n"/>
      <c r="O6" s="1" t="n"/>
      <c r="P6" s="1" t="n"/>
    </row>
    <row r="7" ht="17.25" customHeight="1" s="56">
      <c r="B7" s="1" t="n"/>
      <c r="C7" s="1" t="n"/>
      <c r="D7" s="1" t="n"/>
      <c r="E7" s="1" t="n"/>
      <c r="F7" s="1" t="n"/>
      <c r="G7" s="1" t="n"/>
      <c r="H7" s="1" t="n"/>
      <c r="I7" s="9" t="inlineStr">
        <is>
          <t>產能利用率</t>
        </is>
      </c>
      <c r="J7" s="4" t="n">
        <v>1</v>
      </c>
      <c r="K7" s="4" t="n">
        <v>1</v>
      </c>
      <c r="L7" s="4" t="n">
        <v>1</v>
      </c>
      <c r="M7" s="1" t="n"/>
      <c r="N7" s="1" t="n"/>
      <c r="O7" s="1" t="n"/>
      <c r="P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7">
    <mergeCell ref="D4:D6"/>
    <mergeCell ref="H4:H6"/>
    <mergeCell ref="B2:P2"/>
    <mergeCell ref="B4:B6"/>
    <mergeCell ref="B1:P1"/>
    <mergeCell ref="C4:C6"/>
    <mergeCell ref="F4:F6"/>
  </mergeCells>
  <pageMargins left="0.7" right="0.7" top="0.75" bottom="0.75" header="0.3" footer="0.3"/>
  <pageSetup orientation="landscape" paperSize="9" scale="5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P9"/>
  <sheetViews>
    <sheetView workbookViewId="0">
      <selection activeCell="G6" sqref="G6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1.125" customWidth="1" style="56" min="10" max="10"/>
    <col width="14.875" customWidth="1" style="56" min="11" max="11"/>
    <col width="12.125" customWidth="1" style="56" min="12" max="12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8" t="n"/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表單編號：MR11-01(002)A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8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n">
        <v>45988</v>
      </c>
      <c r="K3" s="2" t="n"/>
      <c r="L3" s="2" t="n"/>
      <c r="M3" s="2" t="n"/>
      <c r="N3" s="2" t="n"/>
      <c r="O3" s="2" t="n"/>
      <c r="P3" s="2" t="n"/>
    </row>
    <row r="4" ht="17.25" customHeight="1" s="56">
      <c r="B4" s="25" t="n">
        <v>1</v>
      </c>
      <c r="C4" s="26" t="inlineStr">
        <is>
          <t>C001</t>
        </is>
      </c>
      <c r="D4" s="26" t="inlineStr">
        <is>
          <t>12基板委外代工清洗</t>
        </is>
      </c>
      <c r="E4" s="10" t="n"/>
      <c r="F4" s="59" t="n"/>
      <c r="G4" s="3" t="n"/>
      <c r="H4" s="30" t="inlineStr">
        <is>
          <t>片/日</t>
        </is>
      </c>
      <c r="I4" s="9" t="inlineStr">
        <is>
          <t>計劃投入數量</t>
        </is>
      </c>
      <c r="J4" s="25" t="inlineStr">
        <is>
          <t>25片</t>
        </is>
      </c>
      <c r="K4" s="25" t="n"/>
      <c r="L4" s="25" t="n"/>
      <c r="M4" s="1" t="n"/>
      <c r="N4" s="1" t="n"/>
      <c r="O4" s="1" t="n"/>
      <c r="P4" s="1" t="n"/>
    </row>
    <row r="5" ht="17.25" customHeight="1" s="56">
      <c r="B5" s="60" t="n"/>
      <c r="C5" s="60" t="n"/>
      <c r="D5" s="60" t="n"/>
      <c r="E5" s="7" t="n"/>
      <c r="F5" s="60" t="n"/>
      <c r="G5" s="6" t="n"/>
      <c r="H5" s="60" t="n"/>
      <c r="I5" s="9" t="inlineStr">
        <is>
          <t>實際投入數量</t>
        </is>
      </c>
      <c r="J5" s="25" t="inlineStr">
        <is>
          <t>20片</t>
        </is>
      </c>
      <c r="K5" s="25" t="n"/>
      <c r="L5" s="25" t="n"/>
      <c r="M5" s="1" t="n"/>
      <c r="N5" s="1" t="n"/>
      <c r="O5" s="1" t="n"/>
      <c r="P5" s="1" t="n"/>
    </row>
    <row r="6" ht="17.25" customHeight="1" s="56">
      <c r="B6" s="61" t="n"/>
      <c r="C6" s="61" t="n"/>
      <c r="D6" s="61" t="n"/>
      <c r="E6" s="5" t="n"/>
      <c r="F6" s="61" t="n"/>
      <c r="G6" s="29" t="n"/>
      <c r="H6" s="61" t="n"/>
      <c r="I6" s="9" t="inlineStr">
        <is>
          <t>入庫數量</t>
        </is>
      </c>
      <c r="J6" s="25" t="inlineStr">
        <is>
          <t>20片</t>
        </is>
      </c>
      <c r="K6" s="25" t="n"/>
      <c r="L6" s="25" t="n"/>
      <c r="M6" s="1" t="n"/>
      <c r="N6" s="1" t="n"/>
      <c r="O6" s="1" t="n"/>
      <c r="P6" s="1" t="n"/>
    </row>
    <row r="7" ht="17.25" customHeight="1" s="56">
      <c r="B7" s="1" t="n"/>
      <c r="C7" s="1" t="n"/>
      <c r="D7" s="1" t="n"/>
      <c r="E7" s="1" t="n"/>
      <c r="F7" s="1" t="n"/>
      <c r="G7" s="1" t="n"/>
      <c r="H7" s="1" t="n"/>
      <c r="I7" s="9" t="inlineStr">
        <is>
          <t>產能利用率</t>
        </is>
      </c>
      <c r="J7" s="4" t="n">
        <v>1</v>
      </c>
      <c r="K7" s="4" t="n"/>
      <c r="L7" s="4" t="n"/>
      <c r="M7" s="1" t="n"/>
      <c r="N7" s="1" t="n"/>
      <c r="O7" s="1" t="n"/>
      <c r="P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7">
    <mergeCell ref="D4:D6"/>
    <mergeCell ref="H4:H6"/>
    <mergeCell ref="B2:P2"/>
    <mergeCell ref="B4:B6"/>
    <mergeCell ref="B1:P1"/>
    <mergeCell ref="C4:C6"/>
    <mergeCell ref="F4:F6"/>
  </mergeCells>
  <pageMargins left="0.7" right="0.7" top="0.75" bottom="0.75" header="0.3" footer="0.3"/>
  <pageSetup orientation="landscape" paperSize="9" scale="5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P9"/>
  <sheetViews>
    <sheetView workbookViewId="0">
      <selection activeCell="B3" sqref="B3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1.125" customWidth="1" style="56" min="10" max="10"/>
    <col width="14.875" customWidth="1" style="56" min="11" max="11"/>
    <col width="12.125" customWidth="1" style="56" min="12" max="12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8" t="n"/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表單編號：MR11-01(003)A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8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n">
        <v>46001</v>
      </c>
      <c r="K3" s="2" t="n"/>
      <c r="L3" s="2" t="n"/>
      <c r="M3" s="2" t="n"/>
      <c r="N3" s="2" t="n"/>
      <c r="O3" s="2" t="n"/>
      <c r="P3" s="2" t="n"/>
    </row>
    <row r="4" ht="17.25" customHeight="1" s="56">
      <c r="B4" s="25" t="n">
        <v>1</v>
      </c>
      <c r="C4" s="26" t="inlineStr">
        <is>
          <t>C001</t>
        </is>
      </c>
      <c r="D4" s="26" t="inlineStr">
        <is>
          <t>12基板委外代工清洗</t>
        </is>
      </c>
      <c r="E4" s="10" t="n"/>
      <c r="F4" s="59" t="n"/>
      <c r="G4" s="3" t="n"/>
      <c r="H4" s="30" t="inlineStr">
        <is>
          <t>片/日</t>
        </is>
      </c>
      <c r="I4" s="9" t="inlineStr">
        <is>
          <t>計劃投入數量</t>
        </is>
      </c>
      <c r="J4" s="25" t="inlineStr">
        <is>
          <t>25片</t>
        </is>
      </c>
      <c r="K4" s="25" t="n"/>
      <c r="L4" s="25" t="n"/>
      <c r="M4" s="1" t="n"/>
      <c r="N4" s="1" t="n"/>
      <c r="O4" s="1" t="n"/>
      <c r="P4" s="1" t="n"/>
    </row>
    <row r="5" ht="17.25" customHeight="1" s="56">
      <c r="B5" s="60" t="n"/>
      <c r="C5" s="60" t="n"/>
      <c r="D5" s="60" t="n"/>
      <c r="E5" s="7" t="n"/>
      <c r="F5" s="60" t="n"/>
      <c r="G5" s="6" t="n"/>
      <c r="H5" s="60" t="n"/>
      <c r="I5" s="9" t="inlineStr">
        <is>
          <t>實際投入數量</t>
        </is>
      </c>
      <c r="J5" s="25" t="inlineStr">
        <is>
          <t>25片</t>
        </is>
      </c>
      <c r="K5" s="25" t="n"/>
      <c r="L5" s="25" t="n"/>
      <c r="M5" s="1" t="n"/>
      <c r="N5" s="1" t="n"/>
      <c r="O5" s="1" t="n"/>
      <c r="P5" s="1" t="n"/>
    </row>
    <row r="6" ht="17.25" customHeight="1" s="56">
      <c r="B6" s="61" t="n"/>
      <c r="C6" s="61" t="n"/>
      <c r="D6" s="61" t="n"/>
      <c r="E6" s="5" t="n"/>
      <c r="F6" s="61" t="n"/>
      <c r="G6" s="29" t="n"/>
      <c r="H6" s="61" t="n"/>
      <c r="I6" s="9" t="inlineStr">
        <is>
          <t>入庫數量</t>
        </is>
      </c>
      <c r="J6" s="25" t="n"/>
      <c r="K6" s="25" t="n"/>
      <c r="L6" s="25" t="n"/>
      <c r="M6" s="1" t="n"/>
      <c r="N6" s="1" t="n"/>
      <c r="O6" s="1" t="n"/>
      <c r="P6" s="1" t="n"/>
    </row>
    <row r="7" ht="17.25" customHeight="1" s="56">
      <c r="B7" s="1" t="n"/>
      <c r="C7" s="1" t="n"/>
      <c r="D7" s="1" t="n"/>
      <c r="E7" s="1" t="n"/>
      <c r="F7" s="1" t="n"/>
      <c r="G7" s="1" t="n"/>
      <c r="H7" s="1" t="n"/>
      <c r="I7" s="9" t="inlineStr">
        <is>
          <t>產能利用率</t>
        </is>
      </c>
      <c r="J7" s="4" t="n">
        <v>1</v>
      </c>
      <c r="K7" s="4" t="n"/>
      <c r="L7" s="4" t="n"/>
      <c r="M7" s="1" t="n"/>
      <c r="N7" s="1" t="n"/>
      <c r="O7" s="1" t="n"/>
      <c r="P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7">
    <mergeCell ref="D4:D6"/>
    <mergeCell ref="H4:H6"/>
    <mergeCell ref="B2:P2"/>
    <mergeCell ref="B4:B6"/>
    <mergeCell ref="B1:P1"/>
    <mergeCell ref="C4:C6"/>
    <mergeCell ref="F4:F6"/>
  </mergeCells>
  <pageMargins left="0.7" right="0.7" top="0.75" bottom="0.75" header="0.3" footer="0.3"/>
  <pageSetup orientation="landscape" paperSize="9" scale="5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P9"/>
  <sheetViews>
    <sheetView workbookViewId="0">
      <selection activeCell="E14" sqref="E14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1.125" customWidth="1" style="56" min="10" max="10"/>
    <col width="14.875" customWidth="1" style="56" min="11" max="11"/>
    <col width="12.125" customWidth="1" style="56" min="12" max="12"/>
    <col width="10.5" bestFit="1" customWidth="1" style="56" min="13" max="13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8" t="n"/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表單編號：MR11-01(004)A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8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n">
        <v>46008</v>
      </c>
      <c r="K3" s="2" t="n">
        <v>46010</v>
      </c>
      <c r="L3" s="2" t="n">
        <v>46013</v>
      </c>
      <c r="M3" s="2" t="n">
        <v>46014</v>
      </c>
      <c r="N3" s="2" t="n"/>
      <c r="O3" s="2" t="n"/>
      <c r="P3" s="2" t="n"/>
    </row>
    <row r="4" ht="17.25" customHeight="1" s="56">
      <c r="B4" s="25" t="n">
        <v>1</v>
      </c>
      <c r="C4" s="26" t="inlineStr">
        <is>
          <t>C001</t>
        </is>
      </c>
      <c r="D4" s="26" t="inlineStr">
        <is>
          <t>12基板委外代工清洗</t>
        </is>
      </c>
      <c r="E4" s="10" t="n"/>
      <c r="F4" s="59" t="n"/>
      <c r="G4" s="3" t="n"/>
      <c r="H4" s="30" t="inlineStr">
        <is>
          <t>25片/日</t>
        </is>
      </c>
      <c r="I4" s="9" t="inlineStr">
        <is>
          <t>計劃投入數量</t>
        </is>
      </c>
      <c r="J4" s="25" t="inlineStr">
        <is>
          <t>25片</t>
        </is>
      </c>
      <c r="K4" s="25" t="inlineStr">
        <is>
          <t>20片</t>
        </is>
      </c>
      <c r="L4" s="25" t="inlineStr">
        <is>
          <t>25片</t>
        </is>
      </c>
      <c r="M4" s="25" t="inlineStr">
        <is>
          <t>20片</t>
        </is>
      </c>
      <c r="N4" s="1" t="n"/>
      <c r="O4" s="1" t="n"/>
      <c r="P4" s="1" t="n"/>
    </row>
    <row r="5" ht="17.25" customHeight="1" s="56">
      <c r="B5" s="60" t="n"/>
      <c r="C5" s="60" t="n"/>
      <c r="D5" s="60" t="n"/>
      <c r="E5" s="7" t="n"/>
      <c r="F5" s="60" t="n"/>
      <c r="G5" s="6" t="n"/>
      <c r="H5" s="60" t="n"/>
      <c r="I5" s="9" t="inlineStr">
        <is>
          <t>實際投入數量</t>
        </is>
      </c>
      <c r="J5" s="25" t="inlineStr">
        <is>
          <t>25片</t>
        </is>
      </c>
      <c r="K5" s="25" t="inlineStr">
        <is>
          <t>20片</t>
        </is>
      </c>
      <c r="L5" s="25" t="inlineStr">
        <is>
          <t>25片</t>
        </is>
      </c>
      <c r="M5" s="25" t="inlineStr">
        <is>
          <t>20片</t>
        </is>
      </c>
      <c r="N5" s="1" t="n"/>
      <c r="O5" s="1" t="n"/>
      <c r="P5" s="1" t="n"/>
    </row>
    <row r="6" ht="17.25" customHeight="1" s="56">
      <c r="B6" s="61" t="n"/>
      <c r="C6" s="61" t="n"/>
      <c r="D6" s="61" t="n"/>
      <c r="E6" s="5" t="n"/>
      <c r="F6" s="61" t="n"/>
      <c r="G6" s="29" t="n"/>
      <c r="H6" s="61" t="n"/>
      <c r="I6" s="9" t="inlineStr">
        <is>
          <t>入庫數量</t>
        </is>
      </c>
      <c r="J6" s="25" t="inlineStr">
        <is>
          <t>25片</t>
        </is>
      </c>
      <c r="K6" s="25" t="inlineStr">
        <is>
          <t>20片</t>
        </is>
      </c>
      <c r="L6" s="25" t="inlineStr">
        <is>
          <t>25片</t>
        </is>
      </c>
      <c r="M6" s="25" t="inlineStr">
        <is>
          <t>20片</t>
        </is>
      </c>
      <c r="N6" s="1" t="n"/>
      <c r="O6" s="1" t="n"/>
      <c r="P6" s="1" t="n"/>
    </row>
    <row r="7" ht="17.25" customHeight="1" s="56">
      <c r="B7" s="1" t="n"/>
      <c r="C7" s="1" t="n"/>
      <c r="D7" s="1" t="n"/>
      <c r="E7" s="1" t="n"/>
      <c r="F7" s="1" t="n"/>
      <c r="G7" s="1" t="n"/>
      <c r="H7" s="1" t="n"/>
      <c r="I7" s="9" t="inlineStr">
        <is>
          <t>產能利用率</t>
        </is>
      </c>
      <c r="J7" s="4" t="n">
        <v>1</v>
      </c>
      <c r="K7" s="4" t="n">
        <v>1</v>
      </c>
      <c r="L7" s="4" t="n">
        <v>1</v>
      </c>
      <c r="M7" s="4" t="n">
        <v>1</v>
      </c>
      <c r="N7" s="1" t="n"/>
      <c r="O7" s="1" t="n"/>
      <c r="P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7">
    <mergeCell ref="D4:D6"/>
    <mergeCell ref="H4:H6"/>
    <mergeCell ref="B2:P2"/>
    <mergeCell ref="B4:B6"/>
    <mergeCell ref="B1:P1"/>
    <mergeCell ref="C4:C6"/>
    <mergeCell ref="F4:F6"/>
  </mergeCells>
  <pageMargins left="0.7" right="0.7" top="0.75" bottom="0.75" header="0.3" footer="0.3"/>
  <pageSetup orientation="landscape" paperSize="9" scale="58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N9"/>
  <sheetViews>
    <sheetView workbookViewId="0">
      <selection activeCell="E4" sqref="E4:E7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1.125" customWidth="1" style="56" min="10" max="10"/>
    <col width="14.875" customWidth="1" style="56" min="11" max="11"/>
    <col width="12.125" customWidth="1" style="56" min="12" max="12"/>
    <col width="10.5" bestFit="1" customWidth="1" style="56" min="13" max="13"/>
    <col width="11" customWidth="1" style="56" min="14" max="14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8" t="n"/>
      <c r="N1" s="25" t="inlineStr">
        <is>
          <t>備註</t>
        </is>
      </c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表單編號：MR11-01(005)A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8" t="n"/>
      <c r="N2" s="62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n">
        <v>46027</v>
      </c>
      <c r="K3" s="2" t="n">
        <v>46028</v>
      </c>
      <c r="L3" s="2" t="n">
        <v>46029</v>
      </c>
      <c r="M3" s="2" t="n">
        <v>46030</v>
      </c>
      <c r="N3" s="61" t="n"/>
    </row>
    <row r="4" ht="17.25" customHeight="1" s="56">
      <c r="B4" s="63" t="n">
        <v>1</v>
      </c>
      <c r="C4" s="64" t="inlineStr">
        <is>
          <t>C001</t>
        </is>
      </c>
      <c r="D4" s="64" t="inlineStr">
        <is>
          <t>12基板委外代工清洗</t>
        </is>
      </c>
      <c r="E4" s="65" t="n">
        <v>4516243668</v>
      </c>
      <c r="F4" s="66" t="inlineStr">
        <is>
          <t>600片</t>
        </is>
      </c>
      <c r="G4" s="67" t="n">
        <v>46034</v>
      </c>
      <c r="H4" s="30" t="inlineStr">
        <is>
          <t>300片/日</t>
        </is>
      </c>
      <c r="I4" s="9" t="inlineStr">
        <is>
          <t>計劃投入數量(片)</t>
        </is>
      </c>
      <c r="J4" s="25" t="n">
        <v>150</v>
      </c>
      <c r="K4" s="25" t="n">
        <v>250</v>
      </c>
      <c r="L4" s="25" t="n">
        <v>275</v>
      </c>
      <c r="M4" s="25" t="n">
        <v>300</v>
      </c>
      <c r="N4" s="25">
        <f>SUM(J4:M4)</f>
        <v/>
      </c>
    </row>
    <row r="5" ht="17.25" customHeight="1" s="56">
      <c r="B5" s="60" t="n"/>
      <c r="C5" s="60" t="n"/>
      <c r="D5" s="60" t="n"/>
      <c r="E5" s="60" t="n"/>
      <c r="F5" s="60" t="n"/>
      <c r="G5" s="60" t="n"/>
      <c r="H5" s="60" t="n"/>
      <c r="I5" s="9" t="inlineStr">
        <is>
          <t>實際投入數量</t>
        </is>
      </c>
      <c r="J5" s="25" t="n">
        <v>150</v>
      </c>
      <c r="K5" s="25" t="n">
        <v>250</v>
      </c>
      <c r="L5" s="25" t="n">
        <v>275</v>
      </c>
      <c r="M5" s="25" t="n">
        <v>300</v>
      </c>
      <c r="N5" s="1" t="n"/>
    </row>
    <row r="6" ht="17.25" customHeight="1" s="56">
      <c r="B6" s="60" t="n"/>
      <c r="C6" s="60" t="n"/>
      <c r="D6" s="60" t="n"/>
      <c r="E6" s="60" t="n"/>
      <c r="F6" s="60" t="n"/>
      <c r="G6" s="60" t="n"/>
      <c r="H6" s="60" t="n"/>
      <c r="I6" s="9" t="inlineStr">
        <is>
          <t>入庫數量</t>
        </is>
      </c>
      <c r="J6" s="25" t="n">
        <v>139</v>
      </c>
      <c r="K6" s="25" t="n">
        <v>199</v>
      </c>
      <c r="L6" s="25" t="n">
        <v>150</v>
      </c>
      <c r="M6" s="25" t="n">
        <v>168</v>
      </c>
      <c r="N6" s="1" t="n"/>
    </row>
    <row r="7" ht="17.25" customHeight="1" s="56">
      <c r="B7" s="61" t="n"/>
      <c r="C7" s="61" t="n"/>
      <c r="D7" s="61" t="n"/>
      <c r="E7" s="61" t="n"/>
      <c r="F7" s="61" t="n"/>
      <c r="G7" s="61" t="n"/>
      <c r="H7" s="61" t="n"/>
      <c r="I7" s="9" t="inlineStr">
        <is>
          <t>產能利用率</t>
        </is>
      </c>
      <c r="J7" s="68" t="n">
        <v>0.9266666666666666</v>
      </c>
      <c r="K7" s="69" t="n">
        <v>0.796</v>
      </c>
      <c r="L7" s="69" t="n">
        <v>0.5454545454545454</v>
      </c>
      <c r="M7" s="69" t="n">
        <v>0.5600000000000001</v>
      </c>
      <c r="N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10">
    <mergeCell ref="C4:C7"/>
    <mergeCell ref="F4:F7"/>
    <mergeCell ref="B2:M2"/>
    <mergeCell ref="E4:E7"/>
    <mergeCell ref="D4:D7"/>
    <mergeCell ref="H4:H7"/>
    <mergeCell ref="B4:B7"/>
    <mergeCell ref="G4:G7"/>
    <mergeCell ref="B1:M1"/>
    <mergeCell ref="N2:N3"/>
  </mergeCells>
  <pageMargins left="0.7" right="0.7" top="0.75" bottom="0.75" header="0.3" footer="0.3"/>
  <pageSetup orientation="landscape" paperSize="9" scale="6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O9"/>
  <sheetViews>
    <sheetView workbookViewId="0">
      <selection activeCell="G10" sqref="G10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1.125" customWidth="1" style="56" min="10" max="10"/>
    <col width="14.875" customWidth="1" style="56" min="11" max="11"/>
    <col width="12.125" customWidth="1" style="56" min="12" max="12"/>
    <col width="10.5" bestFit="1" customWidth="1" style="56" min="13" max="13"/>
    <col width="9.5" bestFit="1" customWidth="1" style="56" min="14" max="14"/>
    <col width="10.625" customWidth="1" style="56" min="15" max="15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8" t="n"/>
      <c r="O1" s="25" t="inlineStr">
        <is>
          <t>備註</t>
        </is>
      </c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表單編號：MR11-01(006)A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8" t="n"/>
      <c r="O2" s="62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n">
        <v>46031</v>
      </c>
      <c r="K3" s="2" t="n">
        <v>46034</v>
      </c>
      <c r="L3" s="2" t="n">
        <v>46035</v>
      </c>
      <c r="M3" s="2" t="n">
        <v>46036</v>
      </c>
      <c r="N3" s="2" t="n">
        <v>46037</v>
      </c>
      <c r="O3" s="61" t="n"/>
    </row>
    <row r="4" ht="17.25" customHeight="1" s="56">
      <c r="B4" s="63" t="n">
        <v>1</v>
      </c>
      <c r="C4" s="64" t="inlineStr">
        <is>
          <t>C001</t>
        </is>
      </c>
      <c r="D4" s="64" t="inlineStr">
        <is>
          <t>12基板委外代工清洗</t>
        </is>
      </c>
      <c r="E4" s="65" t="n">
        <v>4516243668</v>
      </c>
      <c r="F4" s="66" t="inlineStr">
        <is>
          <t>片</t>
        </is>
      </c>
      <c r="G4" s="67" t="n"/>
      <c r="H4" s="70" t="inlineStr">
        <is>
          <t>200片/日</t>
        </is>
      </c>
      <c r="I4" s="14" t="inlineStr">
        <is>
          <t>計劃投入數量</t>
        </is>
      </c>
      <c r="J4" s="25" t="inlineStr">
        <is>
          <t>175片</t>
        </is>
      </c>
      <c r="K4" s="25" t="inlineStr">
        <is>
          <t>200片</t>
        </is>
      </c>
      <c r="L4" s="25" t="n"/>
      <c r="M4" s="25" t="n"/>
      <c r="N4" s="25" t="n"/>
      <c r="O4" s="25">
        <f>200+175</f>
        <v/>
      </c>
    </row>
    <row r="5" ht="17.25" customHeight="1" s="56">
      <c r="B5" s="60" t="n"/>
      <c r="C5" s="60" t="n"/>
      <c r="D5" s="60" t="n"/>
      <c r="E5" s="60" t="n"/>
      <c r="F5" s="60" t="n"/>
      <c r="G5" s="60" t="n"/>
      <c r="H5" s="60" t="n"/>
      <c r="I5" s="14" t="inlineStr">
        <is>
          <t>實際投入數量</t>
        </is>
      </c>
      <c r="J5" s="25" t="n">
        <v>175</v>
      </c>
      <c r="K5" s="25" t="n">
        <v>200</v>
      </c>
      <c r="L5" s="25" t="n">
        <v>109</v>
      </c>
      <c r="M5" s="25" t="n">
        <v>110</v>
      </c>
      <c r="N5" s="1" t="n">
        <v>75</v>
      </c>
      <c r="O5" s="1" t="n"/>
    </row>
    <row r="6" ht="17.25" customHeight="1" s="56">
      <c r="B6" s="60" t="n"/>
      <c r="C6" s="60" t="n"/>
      <c r="D6" s="60" t="n"/>
      <c r="E6" s="60" t="n"/>
      <c r="F6" s="60" t="n"/>
      <c r="G6" s="60" t="n"/>
      <c r="H6" s="60" t="n"/>
      <c r="I6" s="14" t="inlineStr">
        <is>
          <t>入庫數量</t>
        </is>
      </c>
      <c r="J6" s="25" t="n">
        <v>123</v>
      </c>
      <c r="K6" s="25" t="n">
        <v>101</v>
      </c>
      <c r="L6" s="25" t="n">
        <v>101</v>
      </c>
      <c r="M6" s="1" t="n">
        <v>96</v>
      </c>
      <c r="N6" s="1" t="n">
        <v>44</v>
      </c>
      <c r="O6" s="1" t="n"/>
    </row>
    <row r="7" ht="17.25" customHeight="1" s="56">
      <c r="B7" s="61" t="n"/>
      <c r="C7" s="61" t="n"/>
      <c r="D7" s="61" t="n"/>
      <c r="E7" s="61" t="n"/>
      <c r="F7" s="61" t="n"/>
      <c r="G7" s="61" t="n"/>
      <c r="H7" s="61" t="n"/>
      <c r="I7" s="14" t="inlineStr">
        <is>
          <t>產能利用率</t>
        </is>
      </c>
      <c r="J7" s="69" t="n">
        <v>0.7028571428571428</v>
      </c>
      <c r="K7" s="69" t="n">
        <v>0.505</v>
      </c>
      <c r="L7" s="68" t="n">
        <v>0.926605504587156</v>
      </c>
      <c r="M7" s="71" t="n">
        <v>0.8727272727272727</v>
      </c>
      <c r="N7" s="71" t="n">
        <v>0.5866666666666667</v>
      </c>
      <c r="O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10">
    <mergeCell ref="C4:C7"/>
    <mergeCell ref="F4:F7"/>
    <mergeCell ref="D4:D7"/>
    <mergeCell ref="E4:E7"/>
    <mergeCell ref="H4:H7"/>
    <mergeCell ref="B1:N1"/>
    <mergeCell ref="B4:B7"/>
    <mergeCell ref="G4:G7"/>
    <mergeCell ref="O2:O3"/>
    <mergeCell ref="B2:N2"/>
  </mergeCells>
  <pageMargins left="0.7" right="0.7" top="0.75" bottom="0.75" header="0.3" footer="0.3"/>
  <pageSetup orientation="landscape" paperSize="9" scale="6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L9"/>
  <sheetViews>
    <sheetView workbookViewId="0">
      <selection activeCell="L7" sqref="L7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1.125" customWidth="1" style="56" min="10" max="10"/>
    <col width="14.875" customWidth="1" style="56" min="11" max="11"/>
    <col width="10.625" customWidth="1" style="56" min="12" max="12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25" t="inlineStr">
        <is>
          <t>備註</t>
        </is>
      </c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表單編號：MR11-01(006)A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8" t="n"/>
      <c r="L2" s="62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n">
        <v>46043</v>
      </c>
      <c r="K3" s="2" t="n">
        <v>46044</v>
      </c>
      <c r="L3" s="61" t="n"/>
    </row>
    <row r="4" ht="17.25" customHeight="1" s="56">
      <c r="B4" s="63" t="n">
        <v>1</v>
      </c>
      <c r="C4" s="64" t="inlineStr">
        <is>
          <t>C001</t>
        </is>
      </c>
      <c r="D4" s="64" t="inlineStr">
        <is>
          <t>12基板委外代工清洗</t>
        </is>
      </c>
      <c r="E4" s="65" t="n">
        <v>4516243668</v>
      </c>
      <c r="F4" s="66" t="inlineStr">
        <is>
          <t>1200片</t>
        </is>
      </c>
      <c r="G4" s="67" t="n">
        <v>46052</v>
      </c>
      <c r="H4" s="70" t="inlineStr">
        <is>
          <t>675片/日</t>
        </is>
      </c>
      <c r="I4" s="14" t="inlineStr">
        <is>
          <t>計劃投入數量</t>
        </is>
      </c>
      <c r="J4" s="25" t="inlineStr">
        <is>
          <t>225片</t>
        </is>
      </c>
      <c r="K4" s="25" t="inlineStr">
        <is>
          <t>675片</t>
        </is>
      </c>
      <c r="L4" s="25" t="inlineStr">
        <is>
          <t>總共900片</t>
        </is>
      </c>
    </row>
    <row r="5" ht="17.25" customHeight="1" s="56">
      <c r="B5" s="60" t="n"/>
      <c r="C5" s="60" t="n"/>
      <c r="D5" s="60" t="n"/>
      <c r="E5" s="60" t="n"/>
      <c r="F5" s="60" t="n"/>
      <c r="G5" s="60" t="n"/>
      <c r="H5" s="60" t="n"/>
      <c r="I5" s="14" t="inlineStr">
        <is>
          <t>實際投入數量</t>
        </is>
      </c>
      <c r="J5" s="25" t="n">
        <v>225</v>
      </c>
      <c r="K5" s="25" t="n">
        <v>675</v>
      </c>
      <c r="L5" s="25" t="inlineStr">
        <is>
          <t>總共900片</t>
        </is>
      </c>
    </row>
    <row r="6" ht="17.25" customHeight="1" s="56">
      <c r="B6" s="60" t="n"/>
      <c r="C6" s="60" t="n"/>
      <c r="D6" s="60" t="n"/>
      <c r="E6" s="60" t="n"/>
      <c r="F6" s="60" t="n"/>
      <c r="G6" s="60" t="n"/>
      <c r="H6" s="60" t="n"/>
      <c r="I6" s="14" t="inlineStr">
        <is>
          <t>入庫數量</t>
        </is>
      </c>
      <c r="J6" s="25" t="n">
        <v>13</v>
      </c>
      <c r="K6" s="25" t="n">
        <v>244</v>
      </c>
      <c r="L6" s="25" t="inlineStr">
        <is>
          <t>總共900片</t>
        </is>
      </c>
    </row>
    <row r="7" ht="17.25" customHeight="1" s="56">
      <c r="B7" s="61" t="n"/>
      <c r="C7" s="61" t="n"/>
      <c r="D7" s="61" t="n"/>
      <c r="E7" s="61" t="n"/>
      <c r="F7" s="61" t="n"/>
      <c r="G7" s="61" t="n"/>
      <c r="H7" s="61" t="n"/>
      <c r="I7" s="14" t="inlineStr">
        <is>
          <t>產能利用率</t>
        </is>
      </c>
      <c r="J7" s="69" t="n">
        <v>0.05777777777777778</v>
      </c>
      <c r="K7" s="69" t="n">
        <v>0.3614814814814815</v>
      </c>
      <c r="L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10">
    <mergeCell ref="C4:C7"/>
    <mergeCell ref="F4:F7"/>
    <mergeCell ref="E4:E7"/>
    <mergeCell ref="D4:D7"/>
    <mergeCell ref="H4:H7"/>
    <mergeCell ref="B1:K1"/>
    <mergeCell ref="B4:B7"/>
    <mergeCell ref="G4:G7"/>
    <mergeCell ref="B2:K2"/>
    <mergeCell ref="L2:L3"/>
  </mergeCells>
  <pageMargins left="0.7" right="0.7" top="0.75" bottom="0.75" header="0.3" footer="0.3"/>
  <pageSetup orientation="landscape" paperSize="9" scale="6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O9"/>
  <sheetViews>
    <sheetView workbookViewId="0">
      <selection activeCell="L4" sqref="L4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3" bestFit="1" customWidth="1" style="56" min="10" max="10"/>
    <col width="14.875" customWidth="1" style="56" min="11" max="14"/>
    <col width="10.625" customWidth="1" style="56" min="15" max="15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22" t="n"/>
      <c r="M1" s="22" t="n"/>
      <c r="N1" s="22" t="n"/>
      <c r="O1" s="25" t="inlineStr">
        <is>
          <t>備註</t>
        </is>
      </c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表單編號：MR11-01(006)A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8" t="n"/>
      <c r="L2" s="19" t="n"/>
      <c r="M2" s="19" t="n"/>
      <c r="N2" s="19" t="n"/>
      <c r="O2" s="62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inlineStr">
        <is>
          <t>2026/1/23(五)</t>
        </is>
      </c>
      <c r="K3" s="2" t="inlineStr">
        <is>
          <t>2026/1/26(一)</t>
        </is>
      </c>
      <c r="L3" s="2" t="inlineStr">
        <is>
          <t>2026/1/27(二)</t>
        </is>
      </c>
      <c r="M3" s="2" t="inlineStr">
        <is>
          <t>2026/1/28( 三)</t>
        </is>
      </c>
      <c r="N3" s="2" t="inlineStr">
        <is>
          <t>2026/1/29(四)</t>
        </is>
      </c>
      <c r="O3" s="61" t="n"/>
    </row>
    <row r="4" ht="17.25" customHeight="1" s="56">
      <c r="B4" s="63" t="n">
        <v>1</v>
      </c>
      <c r="C4" s="64" t="inlineStr">
        <is>
          <t>C001</t>
        </is>
      </c>
      <c r="D4" s="64" t="inlineStr">
        <is>
          <t>12基板委外代工清洗</t>
        </is>
      </c>
      <c r="E4" s="65" t="n">
        <v>4516243668</v>
      </c>
      <c r="F4" s="66" t="inlineStr">
        <is>
          <t>1200片</t>
        </is>
      </c>
      <c r="G4" s="67" t="n">
        <v>46052</v>
      </c>
      <c r="H4" s="70" t="inlineStr">
        <is>
          <t>450片/日</t>
        </is>
      </c>
      <c r="I4" s="14" t="inlineStr">
        <is>
          <t>計劃投入數量</t>
        </is>
      </c>
      <c r="J4" s="25" t="inlineStr">
        <is>
          <t>425片</t>
        </is>
      </c>
      <c r="K4" s="25" t="inlineStr">
        <is>
          <t>450片</t>
        </is>
      </c>
      <c r="L4" s="25" t="n"/>
      <c r="M4" s="25" t="n"/>
      <c r="N4" s="25" t="n"/>
      <c r="O4" s="25" t="n"/>
    </row>
    <row r="5" ht="17.25" customHeight="1" s="56">
      <c r="B5" s="60" t="n"/>
      <c r="C5" s="60" t="n"/>
      <c r="D5" s="60" t="n"/>
      <c r="E5" s="60" t="n"/>
      <c r="F5" s="60" t="n"/>
      <c r="G5" s="60" t="n"/>
      <c r="H5" s="60" t="n"/>
      <c r="I5" s="14" t="inlineStr">
        <is>
          <t>實際投入數量</t>
        </is>
      </c>
      <c r="J5" s="25" t="n">
        <v>450</v>
      </c>
      <c r="K5" s="25" t="n">
        <v>450</v>
      </c>
      <c r="L5" s="25" t="n">
        <v>125</v>
      </c>
      <c r="M5" s="25" t="n">
        <v>100</v>
      </c>
      <c r="N5" s="25" t="n">
        <v>450</v>
      </c>
      <c r="O5" s="1" t="n"/>
    </row>
    <row r="6" ht="17.25" customHeight="1" s="56">
      <c r="B6" s="60" t="n"/>
      <c r="C6" s="60" t="n"/>
      <c r="D6" s="60" t="n"/>
      <c r="E6" s="60" t="n"/>
      <c r="F6" s="60" t="n"/>
      <c r="G6" s="60" t="n"/>
      <c r="H6" s="60" t="n"/>
      <c r="I6" s="14" t="inlineStr">
        <is>
          <t>入庫數量</t>
        </is>
      </c>
      <c r="J6" s="25" t="n">
        <v>110</v>
      </c>
      <c r="K6" s="25" t="n">
        <v>249</v>
      </c>
      <c r="L6" s="25" t="n">
        <v>316</v>
      </c>
      <c r="M6" s="25" t="n">
        <v>333</v>
      </c>
      <c r="N6" s="25" t="n">
        <v>296</v>
      </c>
      <c r="O6" s="1" t="n"/>
    </row>
    <row r="7" ht="17.25" customHeight="1" s="56">
      <c r="B7" s="61" t="n"/>
      <c r="C7" s="61" t="n"/>
      <c r="D7" s="61" t="n"/>
      <c r="E7" s="61" t="n"/>
      <c r="F7" s="61" t="n"/>
      <c r="G7" s="61" t="n"/>
      <c r="H7" s="61" t="n"/>
      <c r="I7" s="14" t="inlineStr">
        <is>
          <t>產能利用率</t>
        </is>
      </c>
      <c r="J7" s="69" t="n">
        <v>0.2588235294117647</v>
      </c>
      <c r="K7" s="69" t="n">
        <v>0.5533333333333333</v>
      </c>
      <c r="L7" s="72" t="n">
        <v>2.528</v>
      </c>
      <c r="M7" s="72" t="n">
        <v>3.33</v>
      </c>
      <c r="N7" s="69" t="n">
        <v>0.6577777777777778</v>
      </c>
      <c r="O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10">
    <mergeCell ref="C4:C7"/>
    <mergeCell ref="F4:F7"/>
    <mergeCell ref="D4:D7"/>
    <mergeCell ref="E4:E7"/>
    <mergeCell ref="B1:K1"/>
    <mergeCell ref="H4:H7"/>
    <mergeCell ref="B4:B7"/>
    <mergeCell ref="G4:G7"/>
    <mergeCell ref="O2:O3"/>
    <mergeCell ref="B2:K2"/>
  </mergeCells>
  <pageMargins left="0.7" right="0.7" top="0.75" bottom="0.75" header="0.3" footer="0.3"/>
  <pageSetup orientation="landscape" paperSize="9" scale="6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O9"/>
  <sheetViews>
    <sheetView workbookViewId="0">
      <selection activeCell="J3" sqref="J3:N3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3" bestFit="1" customWidth="1" style="56" min="10" max="10"/>
    <col width="14.875" customWidth="1" style="56" min="11" max="14"/>
    <col width="10.625" customWidth="1" style="56" min="15" max="15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22" t="n"/>
      <c r="M1" s="22" t="n"/>
      <c r="N1" s="22" t="n"/>
      <c r="O1" s="25" t="inlineStr">
        <is>
          <t>備註</t>
        </is>
      </c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表單編號：MR11-01(006)A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8" t="n"/>
      <c r="L2" s="19" t="n"/>
      <c r="M2" s="19" t="n"/>
      <c r="N2" s="19" t="n"/>
      <c r="O2" s="62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inlineStr">
        <is>
          <t>2026/1/30(五)</t>
        </is>
      </c>
      <c r="K3" s="2" t="inlineStr">
        <is>
          <t>2026/2/02(一)</t>
        </is>
      </c>
      <c r="L3" s="2" t="inlineStr">
        <is>
          <t>2026/2/03(二)</t>
        </is>
      </c>
      <c r="M3" s="2" t="inlineStr">
        <is>
          <t>2026/2/04(三)</t>
        </is>
      </c>
      <c r="N3" s="2" t="inlineStr">
        <is>
          <t>2026/2/05(四)</t>
        </is>
      </c>
      <c r="O3" s="61" t="n"/>
    </row>
    <row r="4" ht="17.25" customHeight="1" s="56">
      <c r="B4" s="63" t="n">
        <v>1</v>
      </c>
      <c r="C4" s="64" t="inlineStr">
        <is>
          <t>C001</t>
        </is>
      </c>
      <c r="D4" s="64" t="inlineStr">
        <is>
          <t>12基板委外代工清洗</t>
        </is>
      </c>
      <c r="E4" s="65" t="n">
        <v>4516243668</v>
      </c>
      <c r="F4" s="66" t="inlineStr">
        <is>
          <t>1200片</t>
        </is>
      </c>
      <c r="G4" s="67" t="n">
        <v>46052</v>
      </c>
      <c r="H4" s="70" t="inlineStr">
        <is>
          <t>450片/日</t>
        </is>
      </c>
      <c r="I4" s="14" t="inlineStr">
        <is>
          <t>計劃投入數量</t>
        </is>
      </c>
      <c r="J4" s="25" t="n"/>
      <c r="K4" s="25" t="n"/>
      <c r="L4" s="25" t="n"/>
      <c r="M4" s="25" t="n"/>
      <c r="N4" s="25" t="n"/>
      <c r="O4" s="25" t="n"/>
    </row>
    <row r="5" ht="17.25" customHeight="1" s="56">
      <c r="B5" s="60" t="n"/>
      <c r="C5" s="60" t="n"/>
      <c r="D5" s="60" t="n"/>
      <c r="E5" s="60" t="n"/>
      <c r="F5" s="60" t="n"/>
      <c r="G5" s="60" t="n"/>
      <c r="H5" s="60" t="n"/>
      <c r="I5" s="14" t="inlineStr">
        <is>
          <t>實際投入數量</t>
        </is>
      </c>
      <c r="J5" s="25" t="n">
        <v>450</v>
      </c>
      <c r="K5" s="25" t="n">
        <v>2696</v>
      </c>
      <c r="L5" s="25" t="n">
        <v>2244</v>
      </c>
      <c r="M5" s="25" t="n">
        <v>2240</v>
      </c>
      <c r="N5" s="25" t="n">
        <v>2050</v>
      </c>
      <c r="O5" s="1" t="n"/>
    </row>
    <row r="6" ht="17.25" customHeight="1" s="56">
      <c r="B6" s="60" t="n"/>
      <c r="C6" s="60" t="n"/>
      <c r="D6" s="60" t="n"/>
      <c r="E6" s="60" t="n"/>
      <c r="F6" s="60" t="n"/>
      <c r="G6" s="60" t="n"/>
      <c r="H6" s="60" t="n"/>
      <c r="I6" s="14" t="inlineStr">
        <is>
          <t>入庫數量</t>
        </is>
      </c>
      <c r="J6" s="25" t="n">
        <v>115</v>
      </c>
      <c r="K6" s="25" t="n">
        <v>273</v>
      </c>
      <c r="L6" s="25" t="n">
        <v>273</v>
      </c>
      <c r="M6" s="25" t="n">
        <v>305</v>
      </c>
      <c r="N6" s="25" t="n">
        <v>45</v>
      </c>
      <c r="O6" s="1" t="n"/>
    </row>
    <row r="7" ht="17.25" customHeight="1" s="56">
      <c r="B7" s="61" t="n"/>
      <c r="C7" s="61" t="n"/>
      <c r="D7" s="61" t="n"/>
      <c r="E7" s="61" t="n"/>
      <c r="F7" s="61" t="n"/>
      <c r="G7" s="61" t="n"/>
      <c r="H7" s="61" t="n"/>
      <c r="I7" s="14" t="inlineStr">
        <is>
          <t>產能利用率</t>
        </is>
      </c>
      <c r="J7" s="69" t="n">
        <v>0.2555555555555555</v>
      </c>
      <c r="K7" s="69" t="n">
        <v>0.1012611275964392</v>
      </c>
      <c r="L7" s="69" t="n">
        <v>0.1216577540106952</v>
      </c>
      <c r="M7" s="69" t="n">
        <v>0.1361607142857143</v>
      </c>
      <c r="N7" s="69" t="n">
        <v>0.02195121951219512</v>
      </c>
      <c r="O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10">
    <mergeCell ref="C4:C7"/>
    <mergeCell ref="F4:F7"/>
    <mergeCell ref="D4:D7"/>
    <mergeCell ref="E4:E7"/>
    <mergeCell ref="B1:K1"/>
    <mergeCell ref="H4:H7"/>
    <mergeCell ref="B4:B7"/>
    <mergeCell ref="G4:G7"/>
    <mergeCell ref="O2:O3"/>
    <mergeCell ref="B2:K2"/>
  </mergeCells>
  <pageMargins left="0.7" right="0.7" top="0.75" bottom="0.75" header="0.3" footer="0.3"/>
  <pageSetup orientation="landscape" paperSize="9" scale="6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O9"/>
  <sheetViews>
    <sheetView workbookViewId="0">
      <selection activeCell="N4" sqref="N4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3" bestFit="1" customWidth="1" style="56" min="10" max="10"/>
    <col width="14.875" customWidth="1" style="56" min="11" max="14"/>
    <col width="10.625" customWidth="1" style="56" min="15" max="15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22" t="n"/>
      <c r="M1" s="22" t="n"/>
      <c r="N1" s="22" t="n"/>
      <c r="O1" s="25" t="inlineStr">
        <is>
          <t>備註</t>
        </is>
      </c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表單編號：MR11-01(006)A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8" t="n"/>
      <c r="L2" s="19" t="n"/>
      <c r="M2" s="19" t="n"/>
      <c r="N2" s="19" t="n"/>
      <c r="O2" s="62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inlineStr">
        <is>
          <t>2026/02/06(五)</t>
        </is>
      </c>
      <c r="K3" s="2" t="inlineStr">
        <is>
          <t>2026/2/09(一)</t>
        </is>
      </c>
      <c r="L3" s="2" t="inlineStr">
        <is>
          <t>2026/2/10(二)</t>
        </is>
      </c>
      <c r="M3" s="2" t="inlineStr">
        <is>
          <t>2026/2/11(三)</t>
        </is>
      </c>
      <c r="N3" s="2" t="inlineStr">
        <is>
          <t>2026/2/12(四)</t>
        </is>
      </c>
      <c r="O3" s="61" t="n"/>
    </row>
    <row r="4" ht="17.25" customHeight="1" s="56">
      <c r="B4" s="63" t="n">
        <v>1</v>
      </c>
      <c r="C4" s="64" t="inlineStr">
        <is>
          <t>C001</t>
        </is>
      </c>
      <c r="D4" s="64" t="inlineStr">
        <is>
          <t>12基板委外代工清洗</t>
        </is>
      </c>
      <c r="E4" s="65" t="n">
        <v>4516243668</v>
      </c>
      <c r="F4" s="66" t="inlineStr">
        <is>
          <t>1200片</t>
        </is>
      </c>
      <c r="G4" s="67" t="n">
        <v>46052</v>
      </c>
      <c r="H4" s="70" t="inlineStr">
        <is>
          <t>450片/日</t>
        </is>
      </c>
      <c r="I4" s="14" t="inlineStr">
        <is>
          <t>計劃投入數量</t>
        </is>
      </c>
      <c r="J4" s="25" t="n"/>
      <c r="K4" s="25" t="n"/>
      <c r="L4" s="25" t="n"/>
      <c r="M4" s="25" t="n"/>
      <c r="N4" s="25" t="n"/>
      <c r="O4" s="25" t="n"/>
    </row>
    <row r="5" ht="17.25" customHeight="1" s="56">
      <c r="B5" s="60" t="n"/>
      <c r="C5" s="60" t="n"/>
      <c r="D5" s="60" t="n"/>
      <c r="E5" s="60" t="n"/>
      <c r="F5" s="60" t="n"/>
      <c r="G5" s="60" t="n"/>
      <c r="H5" s="60" t="n"/>
      <c r="I5" s="14" t="inlineStr">
        <is>
          <t>實際投入數量</t>
        </is>
      </c>
      <c r="J5" s="25" t="n">
        <v>1100</v>
      </c>
      <c r="K5" s="25" t="n">
        <v>1350</v>
      </c>
      <c r="L5" s="25" t="n">
        <v>325</v>
      </c>
      <c r="M5" s="25" t="n">
        <v>600</v>
      </c>
      <c r="N5" s="25" t="n"/>
      <c r="O5" s="1" t="n"/>
    </row>
    <row r="6" ht="17.25" customHeight="1" s="56">
      <c r="B6" s="60" t="n"/>
      <c r="C6" s="60" t="n"/>
      <c r="D6" s="60" t="n"/>
      <c r="E6" s="60" t="n"/>
      <c r="F6" s="60" t="n"/>
      <c r="G6" s="60" t="n"/>
      <c r="H6" s="60" t="n"/>
      <c r="I6" s="14" t="inlineStr">
        <is>
          <t>入庫數量</t>
        </is>
      </c>
      <c r="J6" s="25" t="n">
        <v>3</v>
      </c>
      <c r="K6" s="25" t="n">
        <v>140</v>
      </c>
      <c r="L6" s="25" t="n">
        <v>113</v>
      </c>
      <c r="M6" s="25" t="n">
        <v>316</v>
      </c>
      <c r="N6" s="25" t="n"/>
      <c r="O6" s="1" t="n"/>
    </row>
    <row r="7" ht="17.25" customHeight="1" s="56">
      <c r="B7" s="61" t="n"/>
      <c r="C7" s="61" t="n"/>
      <c r="D7" s="61" t="n"/>
      <c r="E7" s="61" t="n"/>
      <c r="F7" s="61" t="n"/>
      <c r="G7" s="61" t="n"/>
      <c r="H7" s="61" t="n"/>
      <c r="I7" s="14" t="inlineStr">
        <is>
          <t>產能利用率</t>
        </is>
      </c>
      <c r="J7" s="69" t="n">
        <v>0.002727272727272727</v>
      </c>
      <c r="K7" s="69" t="n">
        <v>0.1037037037037037</v>
      </c>
      <c r="L7" s="69" t="n">
        <v>0.3476923076923077</v>
      </c>
      <c r="M7" s="69" t="n">
        <v>0.5266666666666666</v>
      </c>
      <c r="N7" s="4" t="n"/>
      <c r="O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10">
    <mergeCell ref="C4:C7"/>
    <mergeCell ref="F4:F7"/>
    <mergeCell ref="D4:D7"/>
    <mergeCell ref="E4:E7"/>
    <mergeCell ref="B1:K1"/>
    <mergeCell ref="H4:H7"/>
    <mergeCell ref="B4:B7"/>
    <mergeCell ref="G4:G7"/>
    <mergeCell ref="O2:O3"/>
    <mergeCell ref="B2:K2"/>
  </mergeCells>
  <pageMargins left="0.7" right="0.7" top="0.75" bottom="0.75" header="0.3" footer="0.3"/>
  <pageSetup orientation="landscape" paperSize="9" scale="6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K9"/>
  <sheetViews>
    <sheetView workbookViewId="0">
      <selection activeCell="K12" sqref="K12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3" bestFit="1" customWidth="1" style="56" min="10" max="10"/>
    <col width="10.625" customWidth="1" style="56" min="11" max="11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8" t="n"/>
      <c r="K1" s="25" t="inlineStr">
        <is>
          <t>備註</t>
        </is>
      </c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表單編號：MR11-01(006)A</t>
        </is>
      </c>
      <c r="C2" s="57" t="n"/>
      <c r="D2" s="57" t="n"/>
      <c r="E2" s="57" t="n"/>
      <c r="F2" s="57" t="n"/>
      <c r="G2" s="57" t="n"/>
      <c r="H2" s="57" t="n"/>
      <c r="I2" s="57" t="n"/>
      <c r="J2" s="58" t="n"/>
      <c r="K2" s="62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inlineStr">
        <is>
          <t>2026/02/13(五)</t>
        </is>
      </c>
      <c r="K3" s="61" t="n"/>
    </row>
    <row r="4" ht="17.25" customHeight="1" s="56">
      <c r="B4" s="63" t="n">
        <v>1</v>
      </c>
      <c r="C4" s="64" t="inlineStr">
        <is>
          <t>C001</t>
        </is>
      </c>
      <c r="D4" s="64" t="inlineStr">
        <is>
          <t>12基板委外代工清洗</t>
        </is>
      </c>
      <c r="E4" s="65" t="n">
        <v>4516243668</v>
      </c>
      <c r="F4" s="66" t="inlineStr">
        <is>
          <t>1200片</t>
        </is>
      </c>
      <c r="G4" s="67" t="n">
        <v>46052</v>
      </c>
      <c r="H4" s="70" t="inlineStr">
        <is>
          <t>450片/日</t>
        </is>
      </c>
      <c r="I4" s="14" t="inlineStr">
        <is>
          <t>計劃投入數量</t>
        </is>
      </c>
      <c r="J4" s="25" t="n"/>
      <c r="K4" s="25" t="n"/>
    </row>
    <row r="5" ht="17.25" customHeight="1" s="56">
      <c r="B5" s="60" t="n"/>
      <c r="C5" s="60" t="n"/>
      <c r="D5" s="60" t="n"/>
      <c r="E5" s="60" t="n"/>
      <c r="F5" s="60" t="n"/>
      <c r="G5" s="60" t="n"/>
      <c r="H5" s="60" t="n"/>
      <c r="I5" s="14" t="inlineStr">
        <is>
          <t>實際投入數量</t>
        </is>
      </c>
      <c r="J5" s="25" t="n"/>
      <c r="K5" s="1" t="n"/>
    </row>
    <row r="6" ht="17.25" customHeight="1" s="56">
      <c r="B6" s="60" t="n"/>
      <c r="C6" s="60" t="n"/>
      <c r="D6" s="60" t="n"/>
      <c r="E6" s="60" t="n"/>
      <c r="F6" s="60" t="n"/>
      <c r="G6" s="60" t="n"/>
      <c r="H6" s="60" t="n"/>
      <c r="I6" s="14" t="inlineStr">
        <is>
          <t>入庫數量</t>
        </is>
      </c>
      <c r="J6" s="25" t="n"/>
      <c r="K6" s="1" t="n"/>
    </row>
    <row r="7" ht="17.25" customHeight="1" s="56">
      <c r="B7" s="61" t="n"/>
      <c r="C7" s="61" t="n"/>
      <c r="D7" s="61" t="n"/>
      <c r="E7" s="61" t="n"/>
      <c r="F7" s="61" t="n"/>
      <c r="G7" s="61" t="n"/>
      <c r="H7" s="61" t="n"/>
      <c r="I7" s="14" t="inlineStr">
        <is>
          <t>產能利用率</t>
        </is>
      </c>
      <c r="J7" s="4" t="n">
        <v>1</v>
      </c>
      <c r="K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10">
    <mergeCell ref="C4:C7"/>
    <mergeCell ref="F4:F7"/>
    <mergeCell ref="D4:D7"/>
    <mergeCell ref="E4:E7"/>
    <mergeCell ref="H4:H7"/>
    <mergeCell ref="B4:B7"/>
    <mergeCell ref="G4:G7"/>
    <mergeCell ref="B1:J1"/>
    <mergeCell ref="K2:K3"/>
    <mergeCell ref="B2:J2"/>
  </mergeCells>
  <pageMargins left="0.7" right="0.7" top="0.75" bottom="0.75" header="0.3" footer="0.3"/>
  <pageSetup orientation="landscape" paperSize="9" scale="6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L9"/>
  <sheetViews>
    <sheetView tabSelected="1" workbookViewId="0">
      <selection activeCell="K5" sqref="K5"/>
    </sheetView>
  </sheetViews>
  <sheetFormatPr baseColWidth="8" defaultRowHeight="16.5"/>
  <cols>
    <col width="3.375" customWidth="1" style="56" min="1" max="1"/>
    <col width="14.875" customWidth="1" style="56" min="3" max="3"/>
    <col width="22.75" bestFit="1" customWidth="1" style="56" min="4" max="4"/>
    <col width="22.75" customWidth="1" style="56" min="5" max="7"/>
    <col width="9.5" customWidth="1" style="56" min="8" max="8"/>
    <col width="19.625" customWidth="1" style="56" min="9" max="9"/>
    <col width="13" bestFit="1" customWidth="1" style="56" min="10" max="10"/>
    <col width="13" customWidth="1" style="56" min="11" max="11"/>
    <col width="10.625" customWidth="1" style="56" min="12" max="12"/>
  </cols>
  <sheetData>
    <row r="1" ht="25.5" customHeight="1" s="56">
      <c r="B1" s="22" t="inlineStr">
        <is>
          <t>潔沛企業有限公司</t>
        </is>
      </c>
      <c r="C1" s="57" t="n"/>
      <c r="D1" s="57" t="n"/>
      <c r="E1" s="57" t="n"/>
      <c r="F1" s="57" t="n"/>
      <c r="G1" s="57" t="n"/>
      <c r="H1" s="57" t="n"/>
      <c r="I1" s="57" t="n"/>
      <c r="J1" s="58" t="n"/>
      <c r="K1" s="22" t="n"/>
      <c r="L1" s="25" t="inlineStr">
        <is>
          <t>備註</t>
        </is>
      </c>
    </row>
    <row r="2" ht="22.5" customHeight="1" s="56">
      <c r="B2" s="23" t="inlineStr">
        <is>
          <t xml:space="preserve">                                                                     生產計劃表                                                    表單編號：MR11-01(006)A</t>
        </is>
      </c>
      <c r="C2" s="57" t="n"/>
      <c r="D2" s="57" t="n"/>
      <c r="E2" s="57" t="n"/>
      <c r="F2" s="57" t="n"/>
      <c r="G2" s="57" t="n"/>
      <c r="H2" s="57" t="n"/>
      <c r="I2" s="57" t="n"/>
      <c r="J2" s="58" t="n"/>
      <c r="K2" s="19" t="n"/>
      <c r="L2" s="62" t="n"/>
    </row>
    <row r="3" ht="17.25" customHeight="1" s="56">
      <c r="B3" s="9" t="inlineStr">
        <is>
          <t>項次</t>
        </is>
      </c>
      <c r="C3" s="9" t="inlineStr">
        <is>
          <t>客戶代碼</t>
        </is>
      </c>
      <c r="D3" s="9" t="inlineStr">
        <is>
          <t>產品名稱</t>
        </is>
      </c>
      <c r="E3" s="12" t="inlineStr">
        <is>
          <t>訂單編號</t>
        </is>
      </c>
      <c r="F3" s="9" t="inlineStr">
        <is>
          <t>訂單數量</t>
        </is>
      </c>
      <c r="G3" s="9" t="inlineStr">
        <is>
          <t>預計交期</t>
        </is>
      </c>
      <c r="H3" s="9" t="inlineStr">
        <is>
          <t>產能</t>
        </is>
      </c>
      <c r="I3" s="9" t="inlineStr">
        <is>
          <t>日    期</t>
        </is>
      </c>
      <c r="J3" s="2" t="inlineStr">
        <is>
          <t>2026/02/13(五)</t>
        </is>
      </c>
      <c r="K3" s="55" t="n"/>
      <c r="L3" s="61" t="n"/>
    </row>
    <row r="4" ht="17.25" customHeight="1" s="56">
      <c r="B4" s="63" t="n">
        <v>1</v>
      </c>
      <c r="C4" s="64" t="inlineStr">
        <is>
          <t>C001</t>
        </is>
      </c>
      <c r="D4" s="64" t="inlineStr">
        <is>
          <t>12基板委外代工清洗</t>
        </is>
      </c>
      <c r="E4" s="65" t="n">
        <v>4516243668</v>
      </c>
      <c r="F4" s="66" t="inlineStr">
        <is>
          <t>1200片</t>
        </is>
      </c>
      <c r="G4" s="67" t="n">
        <v>46052</v>
      </c>
      <c r="H4" s="70" t="inlineStr">
        <is>
          <t>450片/日</t>
        </is>
      </c>
      <c r="I4" s="14" t="inlineStr">
        <is>
          <t>計劃投入數量</t>
        </is>
      </c>
      <c r="J4" s="25" t="n"/>
      <c r="K4" s="25" t="n"/>
      <c r="L4" s="25" t="n"/>
    </row>
    <row r="5" ht="17.25" customHeight="1" s="56">
      <c r="B5" s="60" t="n"/>
      <c r="C5" s="60" t="n"/>
      <c r="D5" s="60" t="n"/>
      <c r="E5" s="60" t="n"/>
      <c r="F5" s="60" t="n"/>
      <c r="G5" s="60" t="n"/>
      <c r="H5" s="60" t="n"/>
      <c r="I5" s="14" t="inlineStr">
        <is>
          <t>實際投入數量</t>
        </is>
      </c>
      <c r="J5" s="25" t="n"/>
      <c r="K5" s="25" t="n"/>
      <c r="L5" s="1" t="n"/>
    </row>
    <row r="6" ht="17.25" customHeight="1" s="56">
      <c r="B6" s="60" t="n"/>
      <c r="C6" s="60" t="n"/>
      <c r="D6" s="60" t="n"/>
      <c r="E6" s="60" t="n"/>
      <c r="F6" s="60" t="n"/>
      <c r="G6" s="60" t="n"/>
      <c r="H6" s="60" t="n"/>
      <c r="I6" s="14" t="inlineStr">
        <is>
          <t>入庫數量</t>
        </is>
      </c>
      <c r="J6" s="25" t="n"/>
      <c r="K6" s="25" t="n"/>
      <c r="L6" s="1" t="n"/>
    </row>
    <row r="7" ht="17.25" customHeight="1" s="56">
      <c r="B7" s="61" t="n"/>
      <c r="C7" s="61" t="n"/>
      <c r="D7" s="61" t="n"/>
      <c r="E7" s="61" t="n"/>
      <c r="F7" s="61" t="n"/>
      <c r="G7" s="61" t="n"/>
      <c r="H7" s="61" t="n"/>
      <c r="I7" s="14" t="inlineStr">
        <is>
          <t>產能利用率</t>
        </is>
      </c>
      <c r="J7" s="4" t="n">
        <v>1</v>
      </c>
      <c r="K7" s="4" t="n"/>
      <c r="L7" s="1" t="n"/>
    </row>
    <row r="9">
      <c r="C9" s="0" t="inlineStr">
        <is>
          <t>核准：</t>
        </is>
      </c>
      <c r="F9" s="0" t="inlineStr">
        <is>
          <t>管理部：</t>
        </is>
      </c>
      <c r="I9" s="0" t="inlineStr">
        <is>
          <t>生產課：</t>
        </is>
      </c>
    </row>
  </sheetData>
  <mergeCells count="10">
    <mergeCell ref="C4:C7"/>
    <mergeCell ref="F4:F7"/>
    <mergeCell ref="D4:D7"/>
    <mergeCell ref="E4:E7"/>
    <mergeCell ref="H4:H7"/>
    <mergeCell ref="B4:B7"/>
    <mergeCell ref="G4:G7"/>
    <mergeCell ref="B1:J1"/>
    <mergeCell ref="B2:J2"/>
    <mergeCell ref="L2:L3"/>
  </mergeCells>
  <pageMargins left="0.7" right="0.7" top="0.75" bottom="0.75" header="0.3" footer="0.3"/>
  <pageSetup orientation="landscape" paperSize="9" scale="6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0" zoomScaleNormal="80" workbookViewId="0">
      <selection activeCell="W26" sqref="W26"/>
    </sheetView>
  </sheetViews>
  <sheetFormatPr baseColWidth="8" defaultRowHeight="15.75"/>
  <cols>
    <col width="9" customWidth="1" style="13" min="1" max="16384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千富 許</dc:creator>
  <dcterms:created xmlns:dcterms="http://purl.org/dc/terms/" xmlns:xsi="http://www.w3.org/2001/XMLSchema-instance" xsi:type="dcterms:W3CDTF">2025-09-08T06:37:06Z</dcterms:created>
  <dcterms:modified xmlns:dcterms="http://purl.org/dc/terms/" xmlns:xsi="http://www.w3.org/2001/XMLSchema-instance" xsi:type="dcterms:W3CDTF">2026-03-05T08:40:02Z</dcterms:modified>
  <cp:lastModifiedBy>USER</cp:lastModifiedBy>
  <cp:lastPrinted>2026-01-12T06:21:35Z</cp:lastPrinted>
</cp:coreProperties>
</file>