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記錄\"/>
    </mc:Choice>
  </mc:AlternateContent>
  <bookViews>
    <workbookView xWindow="-120" yWindow="-120" windowWidth="29040" windowHeight="15720" firstSheet="3" activeTab="11"/>
  </bookViews>
  <sheets>
    <sheet name="20251110" sheetId="5" r:id="rId1"/>
    <sheet name="20251127" sheetId="6" r:id="rId2"/>
    <sheet name="20251210" sheetId="7" r:id="rId3"/>
    <sheet name="20251217" sheetId="8" r:id="rId4"/>
    <sheet name="2026 WEEK2" sheetId="10" r:id="rId5"/>
    <sheet name="2026 WEEK3" sheetId="11" r:id="rId6"/>
    <sheet name="2026 WEEK4" sheetId="13" r:id="rId7"/>
    <sheet name="2026 WEEK5" sheetId="14" r:id="rId8"/>
    <sheet name="2026 WEEK6" sheetId="15" r:id="rId9"/>
    <sheet name="2026 WEEK7" sheetId="16" r:id="rId10"/>
    <sheet name="2026 WEEK8" sheetId="17" r:id="rId11"/>
    <sheet name="2026 WEEK9 " sheetId="18" r:id="rId12"/>
    <sheet name="說明" sheetId="12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1" l="1"/>
  <c r="N4" i="10" l="1"/>
</calcChain>
</file>

<file path=xl/sharedStrings.xml><?xml version="1.0" encoding="utf-8"?>
<sst xmlns="http://schemas.openxmlformats.org/spreadsheetml/2006/main" count="321" uniqueCount="68">
  <si>
    <t>產能利用率</t>
    <phoneticPr fontId="1" type="noConversion"/>
  </si>
  <si>
    <t>潔沛企業有限公司</t>
    <phoneticPr fontId="1" type="noConversion"/>
  </si>
  <si>
    <t>項次</t>
  </si>
  <si>
    <t>產品名稱</t>
  </si>
  <si>
    <t>產能</t>
  </si>
  <si>
    <t>日    期</t>
  </si>
  <si>
    <t>入庫數量</t>
  </si>
  <si>
    <t>實際投入數量</t>
    <phoneticPr fontId="1" type="noConversion"/>
  </si>
  <si>
    <t>計劃投入數量</t>
    <phoneticPr fontId="1" type="noConversion"/>
  </si>
  <si>
    <t>訂單數量</t>
    <phoneticPr fontId="1" type="noConversion"/>
  </si>
  <si>
    <t>預計交期</t>
    <phoneticPr fontId="1" type="noConversion"/>
  </si>
  <si>
    <t>核准：</t>
    <phoneticPr fontId="1" type="noConversion"/>
  </si>
  <si>
    <t>管理部：</t>
    <phoneticPr fontId="1" type="noConversion"/>
  </si>
  <si>
    <t>生產課：</t>
    <phoneticPr fontId="1" type="noConversion"/>
  </si>
  <si>
    <t>訂單編號</t>
    <phoneticPr fontId="1" type="noConversion"/>
  </si>
  <si>
    <t>客戶代碼</t>
    <phoneticPr fontId="1" type="noConversion"/>
  </si>
  <si>
    <t>C001</t>
    <phoneticPr fontId="1" type="noConversion"/>
  </si>
  <si>
    <r>
      <t>12</t>
    </r>
    <r>
      <rPr>
        <sz val="12"/>
        <color theme="1"/>
        <rFont val="Microsoft JhengHei UI"/>
        <family val="2"/>
      </rPr>
      <t>基板委外代工清洗</t>
    </r>
    <phoneticPr fontId="1" type="noConversion"/>
  </si>
  <si>
    <t>200片</t>
    <phoneticPr fontId="1" type="noConversion"/>
  </si>
  <si>
    <t>片/日</t>
    <phoneticPr fontId="1" type="noConversion"/>
  </si>
  <si>
    <t>300片</t>
    <phoneticPr fontId="1" type="noConversion"/>
  </si>
  <si>
    <t>265片</t>
    <phoneticPr fontId="1" type="noConversion"/>
  </si>
  <si>
    <t>100片</t>
    <phoneticPr fontId="1" type="noConversion"/>
  </si>
  <si>
    <t>94片</t>
    <phoneticPr fontId="1" type="noConversion"/>
  </si>
  <si>
    <t>125片</t>
    <phoneticPr fontId="1" type="noConversion"/>
  </si>
  <si>
    <t>72片</t>
    <phoneticPr fontId="1" type="noConversion"/>
  </si>
  <si>
    <t>25片</t>
    <phoneticPr fontId="1" type="noConversion"/>
  </si>
  <si>
    <t>20片</t>
    <phoneticPr fontId="1" type="noConversion"/>
  </si>
  <si>
    <t>片</t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</si>
  <si>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表單編號：MR11-01(002)A</t>
    </r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</si>
  <si>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表單編號：MR11-01(001)A</t>
    </r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</si>
  <si>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表單編號：MR11-01(003)A</t>
    </r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</si>
  <si>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表單編號：MR11-01(004)A</t>
    </r>
    <phoneticPr fontId="1" type="noConversion"/>
  </si>
  <si>
    <t>25片</t>
    <phoneticPr fontId="1" type="noConversion"/>
  </si>
  <si>
    <t>20片</t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</si>
  <si>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表單編號：MR11-01(005)A</t>
    </r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</si>
  <si>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表單編號：MR11-01(006)A</t>
    </r>
    <phoneticPr fontId="1" type="noConversion"/>
  </si>
  <si>
    <t>備註</t>
    <phoneticPr fontId="1" type="noConversion"/>
  </si>
  <si>
    <t>計劃投入數量(片)</t>
    <phoneticPr fontId="1" type="noConversion"/>
  </si>
  <si>
    <t>300片/日</t>
    <phoneticPr fontId="1" type="noConversion"/>
  </si>
  <si>
    <t>600片</t>
    <phoneticPr fontId="1" type="noConversion"/>
  </si>
  <si>
    <t>175片</t>
    <phoneticPr fontId="1" type="noConversion"/>
  </si>
  <si>
    <t>200片/日</t>
    <phoneticPr fontId="1" type="noConversion"/>
  </si>
  <si>
    <t>25片/日</t>
    <phoneticPr fontId="1" type="noConversion"/>
  </si>
  <si>
    <t>225片</t>
    <phoneticPr fontId="1" type="noConversion"/>
  </si>
  <si>
    <t>1200片</t>
    <phoneticPr fontId="1" type="noConversion"/>
  </si>
  <si>
    <t>2026/1/23(五)</t>
    <phoneticPr fontId="1" type="noConversion"/>
  </si>
  <si>
    <t>2026/1/26(一)</t>
    <phoneticPr fontId="1" type="noConversion"/>
  </si>
  <si>
    <t>2026/1/27(二)</t>
    <phoneticPr fontId="1" type="noConversion"/>
  </si>
  <si>
    <t>2026/1/28( 三)</t>
    <phoneticPr fontId="1" type="noConversion"/>
  </si>
  <si>
    <t>2026/1/29(四)</t>
    <phoneticPr fontId="1" type="noConversion"/>
  </si>
  <si>
    <t>425片</t>
    <phoneticPr fontId="1" type="noConversion"/>
  </si>
  <si>
    <t>450片</t>
    <phoneticPr fontId="1" type="noConversion"/>
  </si>
  <si>
    <t>450片/日</t>
    <phoneticPr fontId="1" type="noConversion"/>
  </si>
  <si>
    <t>675片</t>
    <phoneticPr fontId="1" type="noConversion"/>
  </si>
  <si>
    <t>675片/日</t>
    <phoneticPr fontId="1" type="noConversion"/>
  </si>
  <si>
    <t>總共900片</t>
    <phoneticPr fontId="1" type="noConversion"/>
  </si>
  <si>
    <t>2026/1/30(五)</t>
    <phoneticPr fontId="1" type="noConversion"/>
  </si>
  <si>
    <t>2026/2/02(一)</t>
    <phoneticPr fontId="1" type="noConversion"/>
  </si>
  <si>
    <t>2026/2/03(二)</t>
    <phoneticPr fontId="1" type="noConversion"/>
  </si>
  <si>
    <t>2026/2/04(三)</t>
    <phoneticPr fontId="1" type="noConversion"/>
  </si>
  <si>
    <t>2026/2/05(四)</t>
    <phoneticPr fontId="1" type="noConversion"/>
  </si>
  <si>
    <t>2026/02/06(五)</t>
    <phoneticPr fontId="1" type="noConversion"/>
  </si>
  <si>
    <t>2026/2/09(一)</t>
    <phoneticPr fontId="1" type="noConversion"/>
  </si>
  <si>
    <t>2026/2/10(二)</t>
    <phoneticPr fontId="1" type="noConversion"/>
  </si>
  <si>
    <t>2026/2/11(三)</t>
    <phoneticPr fontId="1" type="noConversion"/>
  </si>
  <si>
    <t>2026/2/12(四)</t>
    <phoneticPr fontId="1" type="noConversion"/>
  </si>
  <si>
    <t>2026/02/13(五)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</si>
</sst>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6"/>
      <color theme="1"/>
      <name val="Microsoft YaHei"/>
      <family val="2"/>
      <charset val="134"/>
    </font>
    <font>
      <sz val="16"/>
      <color theme="1"/>
      <name val="Microsoft YaHei"/>
      <family val="2"/>
    </font>
    <font>
      <b/>
      <sz val="20"/>
      <color theme="1"/>
      <name val="新細明體"/>
      <family val="1"/>
      <charset val="136"/>
      <scheme val="minor"/>
    </font>
    <font>
      <sz val="10"/>
      <color theme="1"/>
      <name val="Microsoft YaHei"/>
      <family val="2"/>
      <charset val="134"/>
    </font>
    <font>
      <sz val="12"/>
      <color rgb="FF1F1F1F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Microsoft JhengHei UI"/>
      <family val="2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0" xfId="1"/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18</xdr:col>
      <xdr:colOff>63500</xdr:colOff>
      <xdr:row>31</xdr:row>
      <xdr:rowOff>156908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952A485-D999-44D5-AF97-AF32E57A0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0"/>
          <a:ext cx="12407900" cy="6332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9"/>
  <sheetViews>
    <sheetView workbookViewId="0">
      <selection activeCell="B3" sqref="B3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</cols>
  <sheetData>
    <row r="1" spans="2:16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22.5" x14ac:dyDescent="0.25">
      <c r="B2" s="23" t="s">
        <v>30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45971</v>
      </c>
      <c r="K3" s="2">
        <v>45973</v>
      </c>
      <c r="L3" s="2">
        <v>45974</v>
      </c>
      <c r="M3" s="2"/>
      <c r="N3" s="2"/>
      <c r="O3" s="2"/>
      <c r="P3" s="2"/>
    </row>
    <row r="4" spans="2:16" ht="17.25" x14ac:dyDescent="0.25">
      <c r="B4" s="25">
        <v>1</v>
      </c>
      <c r="C4" s="26" t="s">
        <v>16</v>
      </c>
      <c r="D4" s="26" t="s">
        <v>17</v>
      </c>
      <c r="E4" s="10"/>
      <c r="F4" s="27" t="s">
        <v>18</v>
      </c>
      <c r="G4" s="3"/>
      <c r="H4" s="30" t="s">
        <v>19</v>
      </c>
      <c r="I4" s="9" t="s">
        <v>8</v>
      </c>
      <c r="J4" s="8" t="s">
        <v>20</v>
      </c>
      <c r="K4" s="8" t="s">
        <v>22</v>
      </c>
      <c r="L4" s="8" t="s">
        <v>24</v>
      </c>
      <c r="M4" s="1"/>
      <c r="N4" s="1"/>
      <c r="O4" s="1"/>
      <c r="P4" s="1"/>
    </row>
    <row r="5" spans="2:16" ht="17.25" x14ac:dyDescent="0.25">
      <c r="B5" s="25"/>
      <c r="C5" s="25"/>
      <c r="D5" s="25"/>
      <c r="E5" s="7">
        <v>4515994888</v>
      </c>
      <c r="F5" s="28"/>
      <c r="G5" s="6">
        <v>45975</v>
      </c>
      <c r="H5" s="31"/>
      <c r="I5" s="9" t="s">
        <v>7</v>
      </c>
      <c r="J5" s="8" t="s">
        <v>20</v>
      </c>
      <c r="K5" s="8" t="s">
        <v>22</v>
      </c>
      <c r="L5" s="8" t="s">
        <v>24</v>
      </c>
      <c r="M5" s="1"/>
      <c r="N5" s="1"/>
      <c r="O5" s="1"/>
      <c r="P5" s="1"/>
    </row>
    <row r="6" spans="2:16" ht="17.25" x14ac:dyDescent="0.25">
      <c r="B6" s="25"/>
      <c r="C6" s="25"/>
      <c r="D6" s="25"/>
      <c r="E6" s="5"/>
      <c r="F6" s="29"/>
      <c r="G6" s="11"/>
      <c r="H6" s="31"/>
      <c r="I6" s="9" t="s">
        <v>6</v>
      </c>
      <c r="J6" s="8" t="s">
        <v>21</v>
      </c>
      <c r="K6" s="8" t="s">
        <v>23</v>
      </c>
      <c r="L6" s="8" t="s">
        <v>25</v>
      </c>
      <c r="M6" s="1"/>
      <c r="N6" s="1"/>
      <c r="O6" s="1"/>
      <c r="P6" s="1"/>
    </row>
    <row r="7" spans="2:16" ht="17.25" x14ac:dyDescent="0.25">
      <c r="B7" s="1"/>
      <c r="C7" s="1"/>
      <c r="D7" s="1"/>
      <c r="E7" s="1"/>
      <c r="F7" s="1"/>
      <c r="G7" s="1"/>
      <c r="H7" s="1"/>
      <c r="I7" s="9" t="s">
        <v>0</v>
      </c>
      <c r="J7" s="4">
        <v>1</v>
      </c>
      <c r="K7" s="4">
        <v>1</v>
      </c>
      <c r="L7" s="4">
        <v>1</v>
      </c>
      <c r="M7" s="1"/>
      <c r="N7" s="1"/>
      <c r="O7" s="1"/>
      <c r="P7" s="1"/>
    </row>
    <row r="9" spans="2:16" x14ac:dyDescent="0.25">
      <c r="C9" t="s">
        <v>11</v>
      </c>
      <c r="F9" t="s">
        <v>12</v>
      </c>
      <c r="I9" t="s">
        <v>13</v>
      </c>
    </row>
  </sheetData>
  <mergeCells count="7">
    <mergeCell ref="B1:P1"/>
    <mergeCell ref="B2:P2"/>
    <mergeCell ref="B4:B6"/>
    <mergeCell ref="C4:C6"/>
    <mergeCell ref="D4:D6"/>
    <mergeCell ref="F4:F6"/>
    <mergeCell ref="H4:H6"/>
  </mergeCells>
  <phoneticPr fontId="1" type="noConversion"/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9"/>
  <sheetViews>
    <sheetView workbookViewId="0">
      <selection activeCell="G6" sqref="G6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</cols>
  <sheetData>
    <row r="1" spans="2:16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22.5" x14ac:dyDescent="0.25">
      <c r="B2" s="23" t="s">
        <v>29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45988</v>
      </c>
      <c r="K3" s="2"/>
      <c r="L3" s="2"/>
      <c r="M3" s="2"/>
      <c r="N3" s="2"/>
      <c r="O3" s="2"/>
      <c r="P3" s="2"/>
    </row>
    <row r="4" spans="2:16" ht="17.25" x14ac:dyDescent="0.25">
      <c r="B4" s="25">
        <v>1</v>
      </c>
      <c r="C4" s="26" t="s">
        <v>16</v>
      </c>
      <c r="D4" s="26" t="s">
        <v>17</v>
      </c>
      <c r="E4" s="10"/>
      <c r="F4" s="27"/>
      <c r="G4" s="3"/>
      <c r="H4" s="30" t="s">
        <v>19</v>
      </c>
      <c r="I4" s="9" t="s">
        <v>8</v>
      </c>
      <c r="J4" s="8" t="s">
        <v>26</v>
      </c>
      <c r="K4" s="8"/>
      <c r="L4" s="8"/>
      <c r="M4" s="1"/>
      <c r="N4" s="1"/>
      <c r="O4" s="1"/>
      <c r="P4" s="1"/>
    </row>
    <row r="5" spans="2:16" ht="17.25" x14ac:dyDescent="0.25">
      <c r="B5" s="25"/>
      <c r="C5" s="25"/>
      <c r="D5" s="25"/>
      <c r="E5" s="7"/>
      <c r="F5" s="28"/>
      <c r="G5" s="6"/>
      <c r="H5" s="31"/>
      <c r="I5" s="9" t="s">
        <v>7</v>
      </c>
      <c r="J5" s="8" t="s">
        <v>27</v>
      </c>
      <c r="K5" s="8"/>
      <c r="L5" s="8"/>
      <c r="M5" s="1"/>
      <c r="N5" s="1"/>
      <c r="O5" s="1"/>
      <c r="P5" s="1"/>
    </row>
    <row r="6" spans="2:16" ht="17.25" x14ac:dyDescent="0.25">
      <c r="B6" s="25"/>
      <c r="C6" s="25"/>
      <c r="D6" s="25"/>
      <c r="E6" s="5"/>
      <c r="F6" s="29"/>
      <c r="G6" s="11"/>
      <c r="H6" s="31"/>
      <c r="I6" s="9" t="s">
        <v>6</v>
      </c>
      <c r="J6" s="8" t="s">
        <v>27</v>
      </c>
      <c r="K6" s="8"/>
      <c r="L6" s="8"/>
      <c r="M6" s="1"/>
      <c r="N6" s="1"/>
      <c r="O6" s="1"/>
      <c r="P6" s="1"/>
    </row>
    <row r="7" spans="2:16" ht="17.25" x14ac:dyDescent="0.25">
      <c r="B7" s="1"/>
      <c r="C7" s="1"/>
      <c r="D7" s="1"/>
      <c r="E7" s="1"/>
      <c r="F7" s="1"/>
      <c r="G7" s="1"/>
      <c r="H7" s="1"/>
      <c r="I7" s="9" t="s">
        <v>0</v>
      </c>
      <c r="J7" s="4">
        <v>1</v>
      </c>
      <c r="K7" s="4"/>
      <c r="L7" s="4"/>
      <c r="M7" s="1"/>
      <c r="N7" s="1"/>
      <c r="O7" s="1"/>
      <c r="P7" s="1"/>
    </row>
    <row r="9" spans="2:16" x14ac:dyDescent="0.25">
      <c r="C9" t="s">
        <v>11</v>
      </c>
      <c r="F9" t="s">
        <v>12</v>
      </c>
      <c r="I9" t="s">
        <v>13</v>
      </c>
    </row>
  </sheetData>
  <mergeCells count="7">
    <mergeCell ref="B1:P1"/>
    <mergeCell ref="B2:P2"/>
    <mergeCell ref="B4:B6"/>
    <mergeCell ref="C4:C6"/>
    <mergeCell ref="D4:D6"/>
    <mergeCell ref="F4:F6"/>
    <mergeCell ref="H4:H6"/>
  </mergeCells>
  <phoneticPr fontId="1" type="noConversion"/>
  <pageMargins left="0.7" right="0.7" top="0.75" bottom="0.75" header="0.3" footer="0.3"/>
  <pageSetup paperSize="9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9"/>
  <sheetViews>
    <sheetView workbookViewId="0">
      <selection activeCell="B3" sqref="B3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</cols>
  <sheetData>
    <row r="1" spans="2:16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22.5" x14ac:dyDescent="0.25">
      <c r="B2" s="23" t="s">
        <v>31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46001</v>
      </c>
      <c r="K3" s="2"/>
      <c r="L3" s="2"/>
      <c r="M3" s="2"/>
      <c r="N3" s="2"/>
      <c r="O3" s="2"/>
      <c r="P3" s="2"/>
    </row>
    <row r="4" spans="2:16" ht="17.25" x14ac:dyDescent="0.25">
      <c r="B4" s="25">
        <v>1</v>
      </c>
      <c r="C4" s="26" t="s">
        <v>16</v>
      </c>
      <c r="D4" s="26" t="s">
        <v>17</v>
      </c>
      <c r="E4" s="10"/>
      <c r="F4" s="27"/>
      <c r="G4" s="3"/>
      <c r="H4" s="30" t="s">
        <v>19</v>
      </c>
      <c r="I4" s="9" t="s">
        <v>8</v>
      </c>
      <c r="J4" s="8" t="s">
        <v>26</v>
      </c>
      <c r="K4" s="8"/>
      <c r="L4" s="8"/>
      <c r="M4" s="1"/>
      <c r="N4" s="1"/>
      <c r="O4" s="1"/>
      <c r="P4" s="1"/>
    </row>
    <row r="5" spans="2:16" ht="17.25" x14ac:dyDescent="0.25">
      <c r="B5" s="25"/>
      <c r="C5" s="25"/>
      <c r="D5" s="25"/>
      <c r="E5" s="7"/>
      <c r="F5" s="28"/>
      <c r="G5" s="6"/>
      <c r="H5" s="31"/>
      <c r="I5" s="9" t="s">
        <v>7</v>
      </c>
      <c r="J5" s="8" t="s">
        <v>26</v>
      </c>
      <c r="K5" s="8"/>
      <c r="L5" s="8"/>
      <c r="M5" s="1"/>
      <c r="N5" s="1"/>
      <c r="O5" s="1"/>
      <c r="P5" s="1"/>
    </row>
    <row r="6" spans="2:16" ht="17.25" x14ac:dyDescent="0.25">
      <c r="B6" s="25"/>
      <c r="C6" s="25"/>
      <c r="D6" s="25"/>
      <c r="E6" s="5"/>
      <c r="F6" s="29"/>
      <c r="G6" s="11"/>
      <c r="H6" s="31"/>
      <c r="I6" s="9" t="s">
        <v>6</v>
      </c>
      <c r="J6" s="8"/>
      <c r="K6" s="8"/>
      <c r="L6" s="8"/>
      <c r="M6" s="1"/>
      <c r="N6" s="1"/>
      <c r="O6" s="1"/>
      <c r="P6" s="1"/>
    </row>
    <row r="7" spans="2:16" ht="17.25" x14ac:dyDescent="0.25">
      <c r="B7" s="1"/>
      <c r="C7" s="1"/>
      <c r="D7" s="1"/>
      <c r="E7" s="1"/>
      <c r="F7" s="1"/>
      <c r="G7" s="1"/>
      <c r="H7" s="1"/>
      <c r="I7" s="9" t="s">
        <v>0</v>
      </c>
      <c r="J7" s="4">
        <v>1</v>
      </c>
      <c r="K7" s="4"/>
      <c r="L7" s="4"/>
      <c r="M7" s="1"/>
      <c r="N7" s="1"/>
      <c r="O7" s="1"/>
      <c r="P7" s="1"/>
    </row>
    <row r="9" spans="2:16" x14ac:dyDescent="0.25">
      <c r="C9" t="s">
        <v>11</v>
      </c>
      <c r="F9" t="s">
        <v>12</v>
      </c>
      <c r="I9" t="s">
        <v>13</v>
      </c>
    </row>
  </sheetData>
  <mergeCells count="7">
    <mergeCell ref="B1:P1"/>
    <mergeCell ref="B2:P2"/>
    <mergeCell ref="B4:B6"/>
    <mergeCell ref="C4:C6"/>
    <mergeCell ref="D4:D6"/>
    <mergeCell ref="F4:F6"/>
    <mergeCell ref="H4:H6"/>
  </mergeCells>
  <phoneticPr fontId="1" type="noConversion"/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9"/>
  <sheetViews>
    <sheetView workbookViewId="0">
      <selection activeCell="E14" sqref="E14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  <col min="13" max="13" width="10.5" bestFit="1" customWidth="1"/>
  </cols>
  <sheetData>
    <row r="1" spans="2:16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22.5" x14ac:dyDescent="0.25">
      <c r="B2" s="23" t="s">
        <v>32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46008</v>
      </c>
      <c r="K3" s="2">
        <v>46010</v>
      </c>
      <c r="L3" s="2">
        <v>46013</v>
      </c>
      <c r="M3" s="2">
        <v>46014</v>
      </c>
      <c r="N3" s="2"/>
      <c r="O3" s="2"/>
      <c r="P3" s="2"/>
    </row>
    <row r="4" spans="2:16" ht="17.25" x14ac:dyDescent="0.25">
      <c r="B4" s="25">
        <v>1</v>
      </c>
      <c r="C4" s="26" t="s">
        <v>16</v>
      </c>
      <c r="D4" s="26" t="s">
        <v>17</v>
      </c>
      <c r="E4" s="10"/>
      <c r="F4" s="27"/>
      <c r="G4" s="3"/>
      <c r="H4" s="30" t="s">
        <v>43</v>
      </c>
      <c r="I4" s="9" t="s">
        <v>8</v>
      </c>
      <c r="J4" s="8" t="s">
        <v>26</v>
      </c>
      <c r="K4" s="8" t="s">
        <v>27</v>
      </c>
      <c r="L4" s="8" t="s">
        <v>33</v>
      </c>
      <c r="M4" s="8" t="s">
        <v>34</v>
      </c>
      <c r="N4" s="1"/>
      <c r="O4" s="1"/>
      <c r="P4" s="1"/>
    </row>
    <row r="5" spans="2:16" ht="17.25" x14ac:dyDescent="0.25">
      <c r="B5" s="25"/>
      <c r="C5" s="25"/>
      <c r="D5" s="25"/>
      <c r="E5" s="7"/>
      <c r="F5" s="28"/>
      <c r="G5" s="6"/>
      <c r="H5" s="31"/>
      <c r="I5" s="9" t="s">
        <v>7</v>
      </c>
      <c r="J5" s="8" t="s">
        <v>26</v>
      </c>
      <c r="K5" s="8" t="s">
        <v>27</v>
      </c>
      <c r="L5" s="8" t="s">
        <v>33</v>
      </c>
      <c r="M5" s="8" t="s">
        <v>34</v>
      </c>
      <c r="N5" s="1"/>
      <c r="O5" s="1"/>
      <c r="P5" s="1"/>
    </row>
    <row r="6" spans="2:16" ht="17.25" x14ac:dyDescent="0.25">
      <c r="B6" s="25"/>
      <c r="C6" s="25"/>
      <c r="D6" s="25"/>
      <c r="E6" s="5"/>
      <c r="F6" s="29"/>
      <c r="G6" s="11"/>
      <c r="H6" s="31"/>
      <c r="I6" s="9" t="s">
        <v>6</v>
      </c>
      <c r="J6" s="8" t="s">
        <v>26</v>
      </c>
      <c r="K6" s="8" t="s">
        <v>27</v>
      </c>
      <c r="L6" s="8" t="s">
        <v>26</v>
      </c>
      <c r="M6" s="8" t="s">
        <v>27</v>
      </c>
      <c r="N6" s="1"/>
      <c r="O6" s="1"/>
      <c r="P6" s="1"/>
    </row>
    <row r="7" spans="2:16" ht="17.25" x14ac:dyDescent="0.25">
      <c r="B7" s="1"/>
      <c r="C7" s="1"/>
      <c r="D7" s="1"/>
      <c r="E7" s="1"/>
      <c r="F7" s="1"/>
      <c r="G7" s="1"/>
      <c r="H7" s="1"/>
      <c r="I7" s="9" t="s">
        <v>0</v>
      </c>
      <c r="J7" s="4">
        <v>1</v>
      </c>
      <c r="K7" s="4">
        <v>1</v>
      </c>
      <c r="L7" s="4">
        <v>1</v>
      </c>
      <c r="M7" s="4">
        <v>1</v>
      </c>
      <c r="N7" s="1"/>
      <c r="O7" s="1"/>
      <c r="P7" s="1"/>
    </row>
    <row r="9" spans="2:16" x14ac:dyDescent="0.25">
      <c r="C9" t="s">
        <v>11</v>
      </c>
      <c r="F9" t="s">
        <v>12</v>
      </c>
      <c r="I9" t="s">
        <v>13</v>
      </c>
    </row>
  </sheetData>
  <mergeCells count="7">
    <mergeCell ref="B1:P1"/>
    <mergeCell ref="B2:P2"/>
    <mergeCell ref="B4:B6"/>
    <mergeCell ref="C4:C6"/>
    <mergeCell ref="D4:D6"/>
    <mergeCell ref="F4:F6"/>
    <mergeCell ref="H4:H6"/>
  </mergeCells>
  <phoneticPr fontId="1" type="noConversion"/>
  <pageMargins left="0.7" right="0.7" top="0.75" bottom="0.75" header="0.3" footer="0.3"/>
  <pageSetup paperSize="9"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9"/>
  <sheetViews>
    <sheetView workbookViewId="0">
      <selection activeCell="E4" sqref="E4:E7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  <col min="13" max="13" width="10.5" bestFit="1" customWidth="1"/>
    <col min="14" max="14" width="11" customWidth="1"/>
  </cols>
  <sheetData>
    <row r="1" spans="2:14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8" t="s">
        <v>37</v>
      </c>
    </row>
    <row r="2" spans="2:14" ht="22.5" x14ac:dyDescent="0.25">
      <c r="B2" s="23" t="s">
        <v>35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32"/>
    </row>
    <row r="3" spans="2:14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46027</v>
      </c>
      <c r="K3" s="2">
        <v>46028</v>
      </c>
      <c r="L3" s="2">
        <v>46029</v>
      </c>
      <c r="M3" s="2">
        <v>46030</v>
      </c>
      <c r="N3" s="33"/>
    </row>
    <row r="4" spans="2:14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40</v>
      </c>
      <c r="G4" s="34">
        <v>46034</v>
      </c>
      <c r="H4" s="49" t="s">
        <v>39</v>
      </c>
      <c r="I4" s="9" t="s">
        <v>38</v>
      </c>
      <c r="J4" s="8">
        <v>150</v>
      </c>
      <c r="K4" s="8">
        <v>250</v>
      </c>
      <c r="L4" s="8">
        <v>275</v>
      </c>
      <c r="M4" s="8">
        <v>300</v>
      </c>
      <c r="N4" s="8">
        <f>SUM(J4:M4)</f>
        <v>975</v>
      </c>
    </row>
    <row r="5" spans="2:14" ht="17.25" x14ac:dyDescent="0.25">
      <c r="B5" s="47"/>
      <c r="C5" s="44"/>
      <c r="D5" s="44"/>
      <c r="E5" s="41"/>
      <c r="F5" s="38"/>
      <c r="G5" s="35"/>
      <c r="H5" s="50"/>
      <c r="I5" s="9" t="s">
        <v>7</v>
      </c>
      <c r="J5" s="8">
        <v>150</v>
      </c>
      <c r="K5" s="8">
        <v>250</v>
      </c>
      <c r="L5" s="8">
        <v>275</v>
      </c>
      <c r="M5" s="8">
        <v>300</v>
      </c>
      <c r="N5" s="1"/>
    </row>
    <row r="6" spans="2:14" ht="17.25" x14ac:dyDescent="0.25">
      <c r="B6" s="47"/>
      <c r="C6" s="44"/>
      <c r="D6" s="44"/>
      <c r="E6" s="41"/>
      <c r="F6" s="38"/>
      <c r="G6" s="35"/>
      <c r="H6" s="50"/>
      <c r="I6" s="9" t="s">
        <v>6</v>
      </c>
      <c r="J6" s="8">
        <v>150</v>
      </c>
      <c r="K6" s="8">
        <v>250</v>
      </c>
      <c r="L6" s="8">
        <v>275</v>
      </c>
      <c r="M6" s="8">
        <v>300</v>
      </c>
      <c r="N6" s="1"/>
    </row>
    <row r="7" spans="2:14" ht="17.25" x14ac:dyDescent="0.25">
      <c r="B7" s="48"/>
      <c r="C7" s="45"/>
      <c r="D7" s="45"/>
      <c r="E7" s="42"/>
      <c r="F7" s="39"/>
      <c r="G7" s="36"/>
      <c r="H7" s="51"/>
      <c r="I7" s="9" t="s">
        <v>0</v>
      </c>
      <c r="J7" s="4">
        <v>1</v>
      </c>
      <c r="K7" s="4">
        <v>1</v>
      </c>
      <c r="L7" s="4">
        <v>1</v>
      </c>
      <c r="M7" s="4">
        <v>1</v>
      </c>
      <c r="N7" s="1"/>
    </row>
    <row r="9" spans="2:14" x14ac:dyDescent="0.25">
      <c r="C9" t="s">
        <v>11</v>
      </c>
      <c r="F9" t="s">
        <v>12</v>
      </c>
      <c r="I9" t="s">
        <v>13</v>
      </c>
    </row>
  </sheetData>
  <mergeCells count="10">
    <mergeCell ref="N2:N3"/>
    <mergeCell ref="B1:M1"/>
    <mergeCell ref="B2:M2"/>
    <mergeCell ref="G4:G7"/>
    <mergeCell ref="F4:F7"/>
    <mergeCell ref="E4:E7"/>
    <mergeCell ref="D4:D7"/>
    <mergeCell ref="C4:C7"/>
    <mergeCell ref="B4:B7"/>
    <mergeCell ref="H4:H7"/>
  </mergeCells>
  <phoneticPr fontId="1" type="noConversion"/>
  <pageMargins left="0.7" right="0.7" top="0.75" bottom="0.75" header="0.3" footer="0.3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workbookViewId="0">
      <selection activeCell="G10" sqref="G10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  <col min="13" max="13" width="10.5" bestFit="1" customWidth="1"/>
    <col min="14" max="14" width="9.5" bestFit="1" customWidth="1"/>
    <col min="15" max="15" width="10.625" customWidth="1"/>
  </cols>
  <sheetData>
    <row r="1" spans="2:15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8" t="s">
        <v>37</v>
      </c>
    </row>
    <row r="2" spans="2:15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32"/>
    </row>
    <row r="3" spans="2:15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46031</v>
      </c>
      <c r="K3" s="2">
        <v>46034</v>
      </c>
      <c r="L3" s="2">
        <v>46035</v>
      </c>
      <c r="M3" s="2">
        <v>46036</v>
      </c>
      <c r="N3" s="2">
        <v>46037</v>
      </c>
      <c r="O3" s="33"/>
    </row>
    <row r="4" spans="2:15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28</v>
      </c>
      <c r="G4" s="34"/>
      <c r="H4" s="52" t="s">
        <v>42</v>
      </c>
      <c r="I4" s="14" t="s">
        <v>8</v>
      </c>
      <c r="J4" s="8" t="s">
        <v>41</v>
      </c>
      <c r="K4" s="8" t="s">
        <v>18</v>
      </c>
      <c r="L4" s="8"/>
      <c r="M4" s="8"/>
      <c r="N4" s="8"/>
      <c r="O4" s="8">
        <f>200+175</f>
        <v>375</v>
      </c>
    </row>
    <row r="5" spans="2:15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8" t="s">
        <v>41</v>
      </c>
      <c r="K5" s="8" t="s">
        <v>18</v>
      </c>
      <c r="L5" s="8"/>
      <c r="M5" s="8"/>
      <c r="N5" s="1"/>
      <c r="O5" s="1"/>
    </row>
    <row r="6" spans="2:15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8" t="s">
        <v>41</v>
      </c>
      <c r="K6" s="8" t="s">
        <v>18</v>
      </c>
      <c r="L6" s="8"/>
      <c r="M6" s="1"/>
      <c r="N6" s="1"/>
      <c r="O6" s="1"/>
    </row>
    <row r="7" spans="2:15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4">
        <v>1</v>
      </c>
      <c r="L7" s="4"/>
      <c r="M7" s="1"/>
      <c r="N7" s="1"/>
      <c r="O7" s="1"/>
    </row>
    <row r="9" spans="2:15" x14ac:dyDescent="0.25">
      <c r="C9" t="s">
        <v>11</v>
      </c>
      <c r="F9" t="s">
        <v>12</v>
      </c>
      <c r="I9" t="s">
        <v>13</v>
      </c>
    </row>
  </sheetData>
  <mergeCells count="10">
    <mergeCell ref="O2:O3"/>
    <mergeCell ref="H4:H7"/>
    <mergeCell ref="B1:N1"/>
    <mergeCell ref="B2:N2"/>
    <mergeCell ref="B4:B7"/>
    <mergeCell ref="C4:C7"/>
    <mergeCell ref="D4:D7"/>
    <mergeCell ref="E4:E7"/>
    <mergeCell ref="F4:F7"/>
    <mergeCell ref="G4:G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9"/>
  <sheetViews>
    <sheetView workbookViewId="0">
      <selection activeCell="L7" sqref="L7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0.625" customWidth="1"/>
  </cols>
  <sheetData>
    <row r="1" spans="2:12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8" t="s">
        <v>37</v>
      </c>
    </row>
    <row r="2" spans="2:12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32"/>
    </row>
    <row r="3" spans="2:12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>
        <v>46043</v>
      </c>
      <c r="K3" s="2">
        <v>46044</v>
      </c>
      <c r="L3" s="33"/>
    </row>
    <row r="4" spans="2:12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55</v>
      </c>
      <c r="I4" s="14" t="s">
        <v>8</v>
      </c>
      <c r="J4" s="8" t="s">
        <v>44</v>
      </c>
      <c r="K4" s="8" t="s">
        <v>54</v>
      </c>
      <c r="L4" s="8" t="s">
        <v>56</v>
      </c>
    </row>
    <row r="5" spans="2:12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8" t="s">
        <v>44</v>
      </c>
      <c r="K5" s="16" t="s">
        <v>54</v>
      </c>
      <c r="L5" s="16" t="s">
        <v>56</v>
      </c>
    </row>
    <row r="6" spans="2:12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16" t="s">
        <v>44</v>
      </c>
      <c r="K6" s="16" t="s">
        <v>54</v>
      </c>
      <c r="L6" s="16" t="s">
        <v>56</v>
      </c>
    </row>
    <row r="7" spans="2:12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0.33</v>
      </c>
      <c r="K7" s="4">
        <v>1</v>
      </c>
      <c r="L7" s="1"/>
    </row>
    <row r="9" spans="2:12" x14ac:dyDescent="0.25">
      <c r="C9" t="s">
        <v>11</v>
      </c>
      <c r="F9" t="s">
        <v>12</v>
      </c>
      <c r="I9" t="s">
        <v>13</v>
      </c>
    </row>
  </sheetData>
  <mergeCells count="10">
    <mergeCell ref="B1:K1"/>
    <mergeCell ref="B2:K2"/>
    <mergeCell ref="B4:B7"/>
    <mergeCell ref="L2:L3"/>
    <mergeCell ref="H4:H7"/>
    <mergeCell ref="G4:G7"/>
    <mergeCell ref="F4:F7"/>
    <mergeCell ref="E4:E7"/>
    <mergeCell ref="D4:D7"/>
    <mergeCell ref="C4:C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workbookViewId="0">
      <selection activeCell="L4" sqref="L4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3" bestFit="1" customWidth="1"/>
    <col min="11" max="14" width="14.875" customWidth="1"/>
    <col min="15" max="15" width="10.625" customWidth="1"/>
  </cols>
  <sheetData>
    <row r="1" spans="2:15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15"/>
      <c r="M1" s="15"/>
      <c r="N1" s="15"/>
      <c r="O1" s="16" t="s">
        <v>37</v>
      </c>
    </row>
    <row r="2" spans="2:15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19"/>
      <c r="M2" s="19"/>
      <c r="N2" s="19"/>
      <c r="O2" s="32"/>
    </row>
    <row r="3" spans="2:15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33"/>
    </row>
    <row r="4" spans="2:15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53</v>
      </c>
      <c r="I4" s="14" t="s">
        <v>8</v>
      </c>
      <c r="J4" s="16" t="s">
        <v>51</v>
      </c>
      <c r="K4" s="16" t="s">
        <v>52</v>
      </c>
      <c r="L4" s="16"/>
      <c r="M4" s="16"/>
      <c r="N4" s="16"/>
      <c r="O4" s="16"/>
    </row>
    <row r="5" spans="2:15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16" t="s">
        <v>51</v>
      </c>
      <c r="K5" s="16" t="s">
        <v>52</v>
      </c>
      <c r="L5" s="16"/>
      <c r="M5" s="16"/>
      <c r="N5" s="16"/>
      <c r="O5" s="1"/>
    </row>
    <row r="6" spans="2:15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16" t="s">
        <v>51</v>
      </c>
      <c r="K6" s="16" t="s">
        <v>52</v>
      </c>
      <c r="L6" s="16"/>
      <c r="M6" s="16"/>
      <c r="N6" s="16"/>
      <c r="O6" s="1"/>
    </row>
    <row r="7" spans="2:15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4">
        <v>1</v>
      </c>
      <c r="L7" s="4"/>
      <c r="M7" s="4"/>
      <c r="N7" s="4"/>
      <c r="O7" s="1"/>
    </row>
    <row r="9" spans="2:15" x14ac:dyDescent="0.25">
      <c r="C9" t="s">
        <v>11</v>
      </c>
      <c r="F9" t="s">
        <v>12</v>
      </c>
      <c r="I9" t="s">
        <v>13</v>
      </c>
    </row>
  </sheetData>
  <mergeCells count="10">
    <mergeCell ref="B1:K1"/>
    <mergeCell ref="B2:K2"/>
    <mergeCell ref="O2:O3"/>
    <mergeCell ref="B4:B7"/>
    <mergeCell ref="C4:C7"/>
    <mergeCell ref="D4:D7"/>
    <mergeCell ref="E4:E7"/>
    <mergeCell ref="F4:F7"/>
    <mergeCell ref="G4:G7"/>
    <mergeCell ref="H4:H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workbookViewId="0">
      <selection activeCell="J3" sqref="J3:N3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3" bestFit="1" customWidth="1"/>
    <col min="11" max="14" width="14.875" customWidth="1"/>
    <col min="15" max="15" width="10.625" customWidth="1"/>
  </cols>
  <sheetData>
    <row r="1" spans="2:15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17"/>
      <c r="M1" s="17"/>
      <c r="N1" s="17"/>
      <c r="O1" s="18" t="s">
        <v>37</v>
      </c>
    </row>
    <row r="2" spans="2:15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19"/>
      <c r="M2" s="19"/>
      <c r="N2" s="19"/>
      <c r="O2" s="32"/>
    </row>
    <row r="3" spans="2:15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33"/>
    </row>
    <row r="4" spans="2:15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53</v>
      </c>
      <c r="I4" s="14" t="s">
        <v>8</v>
      </c>
      <c r="J4" s="18"/>
      <c r="K4" s="18"/>
      <c r="L4" s="18"/>
      <c r="M4" s="18"/>
      <c r="N4" s="18"/>
      <c r="O4" s="18"/>
    </row>
    <row r="5" spans="2:15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18"/>
      <c r="K5" s="18"/>
      <c r="L5" s="18"/>
      <c r="M5" s="18"/>
      <c r="N5" s="18"/>
      <c r="O5" s="1"/>
    </row>
    <row r="6" spans="2:15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18"/>
      <c r="K6" s="18"/>
      <c r="L6" s="18"/>
      <c r="M6" s="18"/>
      <c r="N6" s="18"/>
      <c r="O6" s="1"/>
    </row>
    <row r="7" spans="2:15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4">
        <v>1</v>
      </c>
      <c r="L7" s="4"/>
      <c r="M7" s="4"/>
      <c r="N7" s="4"/>
      <c r="O7" s="1"/>
    </row>
    <row r="9" spans="2:15" x14ac:dyDescent="0.25">
      <c r="C9" t="s">
        <v>11</v>
      </c>
      <c r="F9" t="s">
        <v>12</v>
      </c>
      <c r="I9" t="s">
        <v>13</v>
      </c>
    </row>
  </sheetData>
  <mergeCells count="10">
    <mergeCell ref="B1:K1"/>
    <mergeCell ref="B2:K2"/>
    <mergeCell ref="O2:O3"/>
    <mergeCell ref="B4:B7"/>
    <mergeCell ref="C4:C7"/>
    <mergeCell ref="D4:D7"/>
    <mergeCell ref="E4:E7"/>
    <mergeCell ref="F4:F7"/>
    <mergeCell ref="G4:G7"/>
    <mergeCell ref="H4:H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workbookViewId="0">
      <selection activeCell="N4" sqref="N4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3" bestFit="1" customWidth="1"/>
    <col min="11" max="14" width="14.875" customWidth="1"/>
    <col min="15" max="15" width="10.625" customWidth="1"/>
  </cols>
  <sheetData>
    <row r="1" spans="2:15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17"/>
      <c r="M1" s="17"/>
      <c r="N1" s="17"/>
      <c r="O1" s="18" t="s">
        <v>37</v>
      </c>
    </row>
    <row r="2" spans="2:15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19"/>
      <c r="M2" s="19"/>
      <c r="N2" s="19"/>
      <c r="O2" s="32"/>
    </row>
    <row r="3" spans="2:15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33"/>
    </row>
    <row r="4" spans="2:15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53</v>
      </c>
      <c r="I4" s="14" t="s">
        <v>8</v>
      </c>
      <c r="J4" s="18"/>
      <c r="K4" s="18"/>
      <c r="L4" s="18"/>
      <c r="M4" s="18"/>
      <c r="N4" s="18"/>
      <c r="O4" s="18"/>
    </row>
    <row r="5" spans="2:15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18"/>
      <c r="K5" s="18"/>
      <c r="L5" s="18"/>
      <c r="M5" s="18"/>
      <c r="N5" s="18"/>
      <c r="O5" s="1"/>
    </row>
    <row r="6" spans="2:15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18"/>
      <c r="K6" s="18"/>
      <c r="L6" s="18"/>
      <c r="M6" s="18"/>
      <c r="N6" s="18"/>
      <c r="O6" s="1"/>
    </row>
    <row r="7" spans="2:15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4">
        <v>1</v>
      </c>
      <c r="L7" s="4"/>
      <c r="M7" s="4"/>
      <c r="N7" s="4"/>
      <c r="O7" s="1"/>
    </row>
    <row r="9" spans="2:15" x14ac:dyDescent="0.25">
      <c r="C9" t="s">
        <v>11</v>
      </c>
      <c r="F9" t="s">
        <v>12</v>
      </c>
      <c r="I9" t="s">
        <v>13</v>
      </c>
    </row>
  </sheetData>
  <mergeCells count="10">
    <mergeCell ref="B1:K1"/>
    <mergeCell ref="B2:K2"/>
    <mergeCell ref="O2:O3"/>
    <mergeCell ref="B4:B7"/>
    <mergeCell ref="C4:C7"/>
    <mergeCell ref="D4:D7"/>
    <mergeCell ref="E4:E7"/>
    <mergeCell ref="F4:F7"/>
    <mergeCell ref="G4:G7"/>
    <mergeCell ref="H4:H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9"/>
  <sheetViews>
    <sheetView workbookViewId="0">
      <selection activeCell="K12" sqref="K12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3" bestFit="1" customWidth="1"/>
    <col min="11" max="11" width="10.625" customWidth="1"/>
  </cols>
  <sheetData>
    <row r="1" spans="2:11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18" t="s">
        <v>37</v>
      </c>
    </row>
    <row r="2" spans="2:11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32"/>
    </row>
    <row r="3" spans="2:11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 t="s">
        <v>67</v>
      </c>
      <c r="K3" s="33"/>
    </row>
    <row r="4" spans="2:11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53</v>
      </c>
      <c r="I4" s="14" t="s">
        <v>8</v>
      </c>
      <c r="J4" s="18"/>
      <c r="K4" s="18"/>
    </row>
    <row r="5" spans="2:11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18"/>
      <c r="K5" s="1"/>
    </row>
    <row r="6" spans="2:11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18"/>
      <c r="K6" s="1"/>
    </row>
    <row r="7" spans="2:11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1"/>
    </row>
    <row r="9" spans="2:11" x14ac:dyDescent="0.25">
      <c r="C9" t="s">
        <v>11</v>
      </c>
      <c r="F9" t="s">
        <v>12</v>
      </c>
      <c r="I9" t="s">
        <v>13</v>
      </c>
    </row>
  </sheetData>
  <mergeCells count="10">
    <mergeCell ref="B1:J1"/>
    <mergeCell ref="B2:J2"/>
    <mergeCell ref="K2:K3"/>
    <mergeCell ref="B4:B7"/>
    <mergeCell ref="C4:C7"/>
    <mergeCell ref="D4:D7"/>
    <mergeCell ref="E4:E7"/>
    <mergeCell ref="F4:F7"/>
    <mergeCell ref="G4:G7"/>
    <mergeCell ref="H4:H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9"/>
  <sheetViews>
    <sheetView tabSelected="1" workbookViewId="0">
      <selection activeCell="K5" sqref="K5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3" bestFit="1" customWidth="1"/>
    <col min="11" max="11" width="13" customWidth="1"/>
    <col min="12" max="12" width="10.625" customWidth="1"/>
  </cols>
  <sheetData>
    <row r="1" spans="2:12" ht="25.5" customHeight="1" x14ac:dyDescent="0.25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0"/>
      <c r="L1" s="21" t="s">
        <v>37</v>
      </c>
    </row>
    <row r="2" spans="2:12" ht="22.5" x14ac:dyDescent="0.25"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19"/>
      <c r="L2" s="32"/>
    </row>
    <row r="3" spans="2:12" ht="17.25" x14ac:dyDescent="0.25">
      <c r="B3" s="9" t="s">
        <v>2</v>
      </c>
      <c r="C3" s="9" t="s">
        <v>15</v>
      </c>
      <c r="D3" s="9" t="s">
        <v>3</v>
      </c>
      <c r="E3" s="12" t="s">
        <v>14</v>
      </c>
      <c r="F3" s="9" t="s">
        <v>9</v>
      </c>
      <c r="G3" s="9" t="s">
        <v>10</v>
      </c>
      <c r="H3" s="9" t="s">
        <v>4</v>
      </c>
      <c r="I3" s="9" t="s">
        <v>5</v>
      </c>
      <c r="J3" s="2" t="s">
        <v>67</v>
      </c>
      <c r="K3" s="55"/>
      <c r="L3" s="33"/>
    </row>
    <row r="4" spans="2:12" ht="17.25" x14ac:dyDescent="0.25">
      <c r="B4" s="46">
        <v>1</v>
      </c>
      <c r="C4" s="43" t="s">
        <v>16</v>
      </c>
      <c r="D4" s="43" t="s">
        <v>17</v>
      </c>
      <c r="E4" s="40">
        <v>4516243668</v>
      </c>
      <c r="F4" s="37" t="s">
        <v>45</v>
      </c>
      <c r="G4" s="34">
        <v>46052</v>
      </c>
      <c r="H4" s="52" t="s">
        <v>53</v>
      </c>
      <c r="I4" s="14" t="s">
        <v>8</v>
      </c>
      <c r="J4" s="21"/>
      <c r="K4" s="21"/>
      <c r="L4" s="21"/>
    </row>
    <row r="5" spans="2:12" ht="17.25" x14ac:dyDescent="0.25">
      <c r="B5" s="47"/>
      <c r="C5" s="44"/>
      <c r="D5" s="44"/>
      <c r="E5" s="41"/>
      <c r="F5" s="38"/>
      <c r="G5" s="35"/>
      <c r="H5" s="53"/>
      <c r="I5" s="14" t="s">
        <v>7</v>
      </c>
      <c r="J5" s="21"/>
      <c r="K5" s="21"/>
      <c r="L5" s="1"/>
    </row>
    <row r="6" spans="2:12" ht="17.25" x14ac:dyDescent="0.25">
      <c r="B6" s="47"/>
      <c r="C6" s="44"/>
      <c r="D6" s="44"/>
      <c r="E6" s="41"/>
      <c r="F6" s="38"/>
      <c r="G6" s="35"/>
      <c r="H6" s="53"/>
      <c r="I6" s="14" t="s">
        <v>6</v>
      </c>
      <c r="J6" s="21"/>
      <c r="K6" s="21"/>
      <c r="L6" s="1"/>
    </row>
    <row r="7" spans="2:12" ht="17.25" x14ac:dyDescent="0.25">
      <c r="B7" s="48"/>
      <c r="C7" s="45"/>
      <c r="D7" s="45"/>
      <c r="E7" s="42"/>
      <c r="F7" s="39"/>
      <c r="G7" s="36"/>
      <c r="H7" s="54"/>
      <c r="I7" s="14" t="s">
        <v>0</v>
      </c>
      <c r="J7" s="4">
        <v>1</v>
      </c>
      <c r="K7" s="4"/>
      <c r="L7" s="1"/>
    </row>
    <row r="9" spans="2:12" x14ac:dyDescent="0.25">
      <c r="C9" t="s">
        <v>11</v>
      </c>
      <c r="F9" t="s">
        <v>12</v>
      </c>
      <c r="I9" t="s">
        <v>13</v>
      </c>
    </row>
  </sheetData>
  <mergeCells count="10">
    <mergeCell ref="B1:J1"/>
    <mergeCell ref="B2:J2"/>
    <mergeCell ref="L2:L3"/>
    <mergeCell ref="B4:B7"/>
    <mergeCell ref="C4:C7"/>
    <mergeCell ref="D4:D7"/>
    <mergeCell ref="E4:E7"/>
    <mergeCell ref="F4:F7"/>
    <mergeCell ref="G4:G7"/>
    <mergeCell ref="H4:H7"/>
  </mergeCells>
  <phoneticPr fontId="1" type="noConversion"/>
  <pageMargins left="0.7" right="0.7" top="0.75" bottom="0.75" header="0.3" footer="0.3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W26" sqref="W26"/>
    </sheetView>
  </sheetViews>
  <sheetFormatPr defaultRowHeight="15.75" x14ac:dyDescent="0.25"/>
  <cols>
    <col min="1" max="16384" width="9" style="13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20251110</vt:lpstr>
      <vt:lpstr>20251127</vt:lpstr>
      <vt:lpstr>20251210</vt:lpstr>
      <vt:lpstr>20251217</vt:lpstr>
      <vt:lpstr>2026 WEEK2</vt:lpstr>
      <vt:lpstr>2026 WEEK3</vt:lpstr>
      <vt:lpstr>2026 WEEK4</vt:lpstr>
      <vt:lpstr>2026 WEEK5</vt:lpstr>
      <vt:lpstr>2026 WEEK6</vt:lpstr>
      <vt:lpstr>2026 WEEK7</vt:lpstr>
      <vt:lpstr>2026 WEEK8</vt:lpstr>
      <vt:lpstr>2026 WEEK9 </vt:lpstr>
      <vt:lpstr>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2026-01-12T06:21:35Z</cp:lastPrinted>
  <dcterms:created xsi:type="dcterms:W3CDTF">2025-09-08T06:37:06Z</dcterms:created>
  <dcterms:modified xsi:type="dcterms:W3CDTF">2026-03-03T09:03:43Z</dcterms:modified>
</cp:coreProperties>
</file>