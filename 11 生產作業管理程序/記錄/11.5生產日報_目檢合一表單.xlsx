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9\Desktop\NAS\公用\ISO文件建立\潔沛修訂版\11 生產作業管理程序\記錄\"/>
    </mc:Choice>
  </mc:AlternateContent>
  <xr:revisionPtr revIDLastSave="0" documentId="13_ncr:1_{23C9EC5A-EDDC-47C1-AC63-91EC6B78F811}" xr6:coauthVersionLast="47" xr6:coauthVersionMax="47" xr10:uidLastSave="{00000000-0000-0000-0000-000000000000}"/>
  <bookViews>
    <workbookView xWindow="-120" yWindow="-120" windowWidth="29040" windowHeight="15720" firstSheet="24" activeTab="29" xr2:uid="{00000000-000D-0000-FFFF-FFFF00000000}"/>
  </bookViews>
  <sheets>
    <sheet name="生產日報空白" sheetId="19" r:id="rId1"/>
    <sheet name="生產日報2026.01.05" sheetId="1" r:id="rId2"/>
    <sheet name="生產日報2026.01.06" sheetId="8" r:id="rId3"/>
    <sheet name="生產日2026.01.07" sheetId="9" r:id="rId4"/>
    <sheet name="生產日報2026.01.08" sheetId="10" r:id="rId5"/>
    <sheet name="生產日報2026.01.09" sheetId="12" r:id="rId6"/>
    <sheet name="生產日報2026.01.10" sheetId="11" r:id="rId7"/>
    <sheet name="生產日報2026.01.12" sheetId="17" r:id="rId8"/>
    <sheet name="生產日報2026.01.21" sheetId="13" r:id="rId9"/>
    <sheet name="生產日報2026.01.22" sheetId="14" r:id="rId10"/>
    <sheet name="生產日報2026.01.23" sheetId="15" r:id="rId11"/>
    <sheet name="生產日報2026.01.26 " sheetId="16" r:id="rId12"/>
    <sheet name="生產日報2026.01.27" sheetId="18" r:id="rId13"/>
    <sheet name="生產日報2026.01.28" sheetId="20" r:id="rId14"/>
    <sheet name="生產日報2026.01.29" sheetId="21" r:id="rId15"/>
    <sheet name="生產日報2026.01.30" sheetId="22" r:id="rId16"/>
    <sheet name="生產日報2026.02.201" sheetId="23" r:id="rId17"/>
    <sheet name="生產日報2026.02.202" sheetId="25" r:id="rId18"/>
    <sheet name="生產日報2026.02.203" sheetId="26" r:id="rId19"/>
    <sheet name="生產日報2026.02.301" sheetId="24" r:id="rId20"/>
    <sheet name="生產日報2026.02.302" sheetId="27" r:id="rId21"/>
    <sheet name="生產日報2026.02.401" sheetId="28" r:id="rId22"/>
    <sheet name="生產日報2026.02.402" sheetId="29" r:id="rId23"/>
    <sheet name="生產日報2026.02.501" sheetId="31" r:id="rId24"/>
    <sheet name="生產日報2026.02.502" sheetId="30" r:id="rId25"/>
    <sheet name="生產日報2026.02.06" sheetId="32" r:id="rId26"/>
    <sheet name="生產日報2026.02.09" sheetId="33" r:id="rId27"/>
    <sheet name="生產日報2026.02.10" sheetId="34" r:id="rId28"/>
    <sheet name="生產日報2026.02.11" sheetId="35" r:id="rId29"/>
    <sheet name="生產日報2026.02.23" sheetId="36" r:id="rId30"/>
  </sheets>
  <definedNames>
    <definedName name="_xlnm.Print_Area" localSheetId="3">'生產日2026.01.07'!$A$1:$L$33</definedName>
    <definedName name="_xlnm.Print_Area" localSheetId="1">'生產日報2026.01.05'!$A$1:$L$33</definedName>
    <definedName name="_xlnm.Print_Area" localSheetId="2">'生產日報2026.01.06'!$A$1:$L$33</definedName>
    <definedName name="_xlnm.Print_Area" localSheetId="4">'生產日報2026.01.08'!$A$1:$L$33</definedName>
    <definedName name="_xlnm.Print_Area" localSheetId="5">'生產日報2026.01.09'!$A$1:$L$28</definedName>
    <definedName name="_xlnm.Print_Area" localSheetId="6">'生產日報2026.01.10'!$A$1:$L$33</definedName>
    <definedName name="_xlnm.Print_Area" localSheetId="7">'生產日報2026.01.12'!$A$1:$L$33</definedName>
    <definedName name="_xlnm.Print_Area" localSheetId="8">'生產日報2026.01.21'!$A$1:$L$20</definedName>
    <definedName name="_xlnm.Print_Area" localSheetId="9">'生產日報2026.01.22'!$A$1:$L$39</definedName>
    <definedName name="_xlnm.Print_Area" localSheetId="10">'生產日報2026.01.23'!$A$1:$L$33</definedName>
    <definedName name="_xlnm.Print_Area" localSheetId="11">'生產日報2026.01.26 '!$A$1:$L$33</definedName>
    <definedName name="_xlnm.Print_Area" localSheetId="12">'生產日報2026.01.27'!$A$1:$L$33</definedName>
    <definedName name="_xlnm.Print_Area" localSheetId="13">'生產日報2026.01.28'!$A$1:$L$32</definedName>
    <definedName name="_xlnm.Print_Area" localSheetId="14">'生產日報2026.01.29'!$A$1:$L$32</definedName>
    <definedName name="_xlnm.Print_Area" localSheetId="15">'生產日報2026.01.30'!$A$1:$L$33</definedName>
    <definedName name="_xlnm.Print_Area" localSheetId="25">'生產日報2026.02.06'!$A$1:$L$34</definedName>
    <definedName name="_xlnm.Print_Area" localSheetId="26">'生產日報2026.02.09'!$A$1:$L$39</definedName>
    <definedName name="_xlnm.Print_Area" localSheetId="27">'生產日報2026.02.10'!$A$1:$L$11</definedName>
    <definedName name="_xlnm.Print_Area" localSheetId="28">'生產日報2026.02.11'!$A$1:$L$24</definedName>
    <definedName name="_xlnm.Print_Area" localSheetId="16">'生產日報2026.02.201'!$A$1:$L$24</definedName>
    <definedName name="_xlnm.Print_Area" localSheetId="17">'生產日報2026.02.202'!$A$1:$L$33</definedName>
    <definedName name="_xlnm.Print_Area" localSheetId="18">'生產日報2026.02.203'!$A$1:$L$22</definedName>
    <definedName name="_xlnm.Print_Area" localSheetId="29">'生產日報2026.02.23'!$A$1:$L$24</definedName>
    <definedName name="_xlnm.Print_Area" localSheetId="19">'生產日報2026.02.301'!$A$1:$L$24</definedName>
    <definedName name="_xlnm.Print_Area" localSheetId="20">'生產日報2026.02.302'!$A$1:$L$40</definedName>
    <definedName name="_xlnm.Print_Area" localSheetId="21">'生產日報2026.02.401'!$A$1:$L$33</definedName>
    <definedName name="_xlnm.Print_Area" localSheetId="22">'生產日報2026.02.402'!$A$1:$L$31</definedName>
    <definedName name="_xlnm.Print_Area" localSheetId="23">'生產日報2026.02.501'!$A$1:$L$33</definedName>
    <definedName name="_xlnm.Print_Area" localSheetId="24">'生產日報2026.02.502'!$A$1:$L$31</definedName>
    <definedName name="_xlnm.Print_Area" localSheetId="0">生產日報空白!$A$1:$L$33</definedName>
    <definedName name="_xlnm.Print_Titles" localSheetId="3">'生產日2026.01.07'!$1:$4</definedName>
    <definedName name="_xlnm.Print_Titles" localSheetId="1">'生產日報2026.01.05'!$1:$4</definedName>
    <definedName name="_xlnm.Print_Titles" localSheetId="2">'生產日報2026.01.06'!$1:$4</definedName>
    <definedName name="_xlnm.Print_Titles" localSheetId="4">'生產日報2026.01.08'!$1:$4</definedName>
    <definedName name="_xlnm.Print_Titles" localSheetId="5">'生產日報2026.01.09'!$1:$4</definedName>
    <definedName name="_xlnm.Print_Titles" localSheetId="6">'生產日報2026.01.10'!$1:$4</definedName>
    <definedName name="_xlnm.Print_Titles" localSheetId="7">'生產日報2026.01.12'!$1:$4</definedName>
    <definedName name="_xlnm.Print_Titles" localSheetId="8">'生產日報2026.01.21'!$1:$4</definedName>
    <definedName name="_xlnm.Print_Titles" localSheetId="9">'生產日報2026.01.22'!$1:$4</definedName>
    <definedName name="_xlnm.Print_Titles" localSheetId="10">'生產日報2026.01.23'!$1:$4</definedName>
    <definedName name="_xlnm.Print_Titles" localSheetId="11">'生產日報2026.01.26 '!$1:$4</definedName>
    <definedName name="_xlnm.Print_Titles" localSheetId="12">'生產日報2026.01.27'!$1:$4</definedName>
    <definedName name="_xlnm.Print_Titles" localSheetId="13">'生產日報2026.01.28'!$1:$4</definedName>
    <definedName name="_xlnm.Print_Titles" localSheetId="14">'生產日報2026.01.29'!$1:$4</definedName>
    <definedName name="_xlnm.Print_Titles" localSheetId="15">'生產日報2026.01.30'!$1:$4</definedName>
    <definedName name="_xlnm.Print_Titles" localSheetId="25">'生產日報2026.02.06'!$1:$4</definedName>
    <definedName name="_xlnm.Print_Titles" localSheetId="26">'生產日報2026.02.09'!$1:$4</definedName>
    <definedName name="_xlnm.Print_Titles" localSheetId="27">'生產日報2026.02.10'!$1:$4</definedName>
    <definedName name="_xlnm.Print_Titles" localSheetId="28">'生產日報2026.02.11'!$1:$4</definedName>
    <definedName name="_xlnm.Print_Titles" localSheetId="16">'生產日報2026.02.201'!$1:$4</definedName>
    <definedName name="_xlnm.Print_Titles" localSheetId="17">'生產日報2026.02.202'!$1:$4</definedName>
    <definedName name="_xlnm.Print_Titles" localSheetId="18">'生產日報2026.02.203'!$1:$4</definedName>
    <definedName name="_xlnm.Print_Titles" localSheetId="29">'生產日報2026.02.23'!$1:$4</definedName>
    <definedName name="_xlnm.Print_Titles" localSheetId="19">'生產日報2026.02.301'!$1:$4</definedName>
    <definedName name="_xlnm.Print_Titles" localSheetId="20">'生產日報2026.02.302'!$1:$4</definedName>
    <definedName name="_xlnm.Print_Titles" localSheetId="21">'生產日報2026.02.401'!$1:$4</definedName>
    <definedName name="_xlnm.Print_Titles" localSheetId="22">'生產日報2026.02.402'!$1:$4</definedName>
    <definedName name="_xlnm.Print_Titles" localSheetId="23">'生產日報2026.02.501'!$1:$4</definedName>
    <definedName name="_xlnm.Print_Titles" localSheetId="24">'生產日報2026.02.502'!$1:$4</definedName>
    <definedName name="_xlnm.Print_Titles" localSheetId="0">生產日報空白!$1:$4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4" l="1"/>
  <c r="I37" i="33" l="1"/>
  <c r="I32" i="32" l="1"/>
  <c r="I25" i="30"/>
  <c r="H30" i="30"/>
  <c r="I29" i="29" l="1"/>
  <c r="I28" i="29"/>
  <c r="H30" i="29"/>
  <c r="I38" i="27"/>
  <c r="I37" i="27"/>
  <c r="H39" i="27" l="1"/>
  <c r="I20" i="26" l="1"/>
  <c r="I19" i="26"/>
  <c r="I19" i="22"/>
  <c r="H31" i="21" l="1"/>
  <c r="I28" i="21"/>
  <c r="I27" i="21"/>
  <c r="H32" i="22"/>
  <c r="I14" i="20" l="1"/>
  <c r="I13" i="20"/>
  <c r="I15" i="18" l="1"/>
  <c r="I14" i="18"/>
  <c r="H31" i="20" l="1"/>
  <c r="H32" i="19"/>
  <c r="I28" i="16" l="1"/>
  <c r="I27" i="16"/>
  <c r="H32" i="18" l="1"/>
  <c r="I27" i="15"/>
  <c r="I37" i="14"/>
  <c r="I36" i="14"/>
  <c r="I20" i="17"/>
  <c r="I19" i="17"/>
  <c r="I18" i="17"/>
  <c r="I17" i="17"/>
  <c r="E13" i="17"/>
  <c r="E16" i="17" s="1"/>
  <c r="H32" i="17"/>
  <c r="I24" i="17"/>
  <c r="H32" i="16"/>
  <c r="E14" i="17" l="1"/>
  <c r="E15" i="17"/>
  <c r="H32" i="15"/>
  <c r="H38" i="14" l="1"/>
  <c r="H19" i="13" l="1"/>
  <c r="I17" i="11"/>
  <c r="G16" i="12"/>
  <c r="I16" i="12" s="1"/>
  <c r="G21" i="10"/>
  <c r="I21" i="10" s="1"/>
  <c r="E12" i="12" l="1"/>
  <c r="G12" i="12" s="1"/>
  <c r="G15" i="12" l="1"/>
  <c r="E15" i="12"/>
  <c r="G14" i="12"/>
  <c r="E14" i="12"/>
  <c r="G13" i="12"/>
  <c r="E13" i="12"/>
  <c r="E16" i="9"/>
  <c r="E15" i="8"/>
  <c r="E16" i="8" s="1"/>
  <c r="E17" i="8" s="1"/>
  <c r="E18" i="8" s="1"/>
  <c r="E11" i="1"/>
  <c r="E12" i="1" s="1"/>
  <c r="E13" i="1" s="1"/>
  <c r="E14" i="1" s="1"/>
  <c r="E13" i="11"/>
  <c r="E16" i="11" s="1"/>
  <c r="H27" i="12"/>
  <c r="I19" i="12"/>
  <c r="I18" i="12"/>
  <c r="E14" i="11" l="1"/>
  <c r="E15" i="11"/>
  <c r="I12" i="12"/>
  <c r="I14" i="12" l="1"/>
  <c r="I15" i="12"/>
  <c r="I13" i="12"/>
  <c r="H32" i="11" l="1"/>
  <c r="I24" i="11"/>
  <c r="G20" i="9" l="1"/>
  <c r="G19" i="8"/>
  <c r="G15" i="1"/>
  <c r="I15" i="1" s="1"/>
  <c r="E17" i="10" l="1"/>
  <c r="G20" i="10" s="1"/>
  <c r="G17" i="9"/>
  <c r="H32" i="10"/>
  <c r="I24" i="10"/>
  <c r="I23" i="10"/>
  <c r="I22" i="10"/>
  <c r="F15" i="8"/>
  <c r="F16" i="8" s="1"/>
  <c r="F17" i="8" s="1"/>
  <c r="F18" i="8" s="1"/>
  <c r="H32" i="9"/>
  <c r="I24" i="9"/>
  <c r="I23" i="9"/>
  <c r="I22" i="9"/>
  <c r="I21" i="9"/>
  <c r="I20" i="9"/>
  <c r="I19" i="9"/>
  <c r="I18" i="9"/>
  <c r="H32" i="8"/>
  <c r="I24" i="8"/>
  <c r="I23" i="8"/>
  <c r="I22" i="8"/>
  <c r="I21" i="8"/>
  <c r="I20" i="8"/>
  <c r="I19" i="8"/>
  <c r="I17" i="10" l="1"/>
  <c r="E18" i="10"/>
  <c r="G17" i="10"/>
  <c r="G18" i="10"/>
  <c r="E19" i="10"/>
  <c r="I19" i="10" s="1"/>
  <c r="G19" i="10"/>
  <c r="E20" i="10"/>
  <c r="I20" i="10" s="1"/>
  <c r="G18" i="8"/>
  <c r="I18" i="8" s="1"/>
  <c r="E17" i="9"/>
  <c r="I17" i="9" s="1"/>
  <c r="G16" i="9"/>
  <c r="G15" i="8"/>
  <c r="I15" i="8" l="1"/>
  <c r="G16" i="8"/>
  <c r="G17" i="8" l="1"/>
  <c r="I17" i="8" s="1"/>
  <c r="I16" i="8"/>
  <c r="H32" i="1" l="1"/>
  <c r="I24" i="1" l="1"/>
  <c r="I23" i="1"/>
  <c r="I22" i="1"/>
  <c r="I21" i="1"/>
  <c r="I20" i="1"/>
  <c r="I19" i="1"/>
  <c r="I18" i="1"/>
  <c r="I17" i="1"/>
  <c r="I16" i="1"/>
  <c r="I16" i="9" l="1"/>
  <c r="I18" i="10"/>
</calcChain>
</file>

<file path=xl/sharedStrings.xml><?xml version="1.0" encoding="utf-8"?>
<sst xmlns="http://schemas.openxmlformats.org/spreadsheetml/2006/main" count="4022" uniqueCount="589">
  <si>
    <t>潔沛企業有限公司</t>
  </si>
  <si>
    <t>OK</t>
  </si>
  <si>
    <t>目檢區</t>
  </si>
  <si>
    <t>Chipping</t>
  </si>
  <si>
    <t>外觀目檢</t>
  </si>
  <si>
    <t>NG</t>
  </si>
  <si>
    <t>Broken/Crack</t>
  </si>
  <si>
    <t>尺寸/外徑</t>
  </si>
  <si>
    <t>年度</t>
  </si>
  <si>
    <t>表單編號</t>
  </si>
  <si>
    <t>文件版次</t>
  </si>
  <si>
    <t>建立日期</t>
  </si>
  <si>
    <t>NA</t>
  </si>
  <si>
    <t>Scratch</t>
  </si>
  <si>
    <t>厚度</t>
  </si>
  <si>
    <t>設施站點</t>
  </si>
  <si>
    <t>投入數</t>
  </si>
  <si>
    <t>良品數</t>
  </si>
  <si>
    <t>不良品數</t>
  </si>
  <si>
    <t>良率</t>
  </si>
  <si>
    <t>Stain</t>
  </si>
  <si>
    <t>清潔度</t>
  </si>
  <si>
    <t>Other</t>
  </si>
  <si>
    <t>其他</t>
  </si>
  <si>
    <t>小計</t>
  </si>
  <si>
    <t>核准：</t>
  </si>
  <si>
    <t>審核：</t>
  </si>
  <si>
    <t>製表：</t>
  </si>
  <si>
    <t>生產日報表 / 目檢確認表</t>
    <phoneticPr fontId="5" type="noConversion"/>
  </si>
  <si>
    <t>不良原因/數量</t>
    <phoneticPr fontId="5" type="noConversion"/>
  </si>
  <si>
    <t>備註</t>
    <phoneticPr fontId="5" type="noConversion"/>
  </si>
  <si>
    <t>生產人員</t>
    <phoneticPr fontId="5" type="noConversion"/>
  </si>
  <si>
    <t>B</t>
    <phoneticPr fontId="5" type="noConversion"/>
  </si>
  <si>
    <t>Wafer Boat Lot</t>
    <phoneticPr fontId="5" type="noConversion"/>
  </si>
  <si>
    <t>客戶代號/產品名稱</t>
    <phoneticPr fontId="5" type="noConversion"/>
  </si>
  <si>
    <t>訂單編號</t>
    <phoneticPr fontId="5" type="noConversion"/>
  </si>
  <si>
    <t>115.01.05</t>
    <phoneticPr fontId="5" type="noConversion"/>
  </si>
  <si>
    <t>OCR</t>
    <phoneticPr fontId="5" type="noConversion"/>
  </si>
  <si>
    <t>AOI</t>
    <phoneticPr fontId="5" type="noConversion"/>
  </si>
  <si>
    <t>OCR</t>
  </si>
  <si>
    <t>C001/待洗玻璃</t>
    <phoneticPr fontId="5" type="noConversion"/>
  </si>
  <si>
    <t>HQ1Q22111</t>
    <phoneticPr fontId="6" type="noConversion"/>
  </si>
  <si>
    <t>HQBP22111</t>
    <phoneticPr fontId="6" type="noConversion"/>
  </si>
  <si>
    <t>HQCP22111</t>
    <phoneticPr fontId="6" type="noConversion"/>
  </si>
  <si>
    <t>HQHP22111</t>
    <phoneticPr fontId="6" type="noConversion"/>
  </si>
  <si>
    <t>HQKP22111</t>
    <phoneticPr fontId="6" type="noConversion"/>
  </si>
  <si>
    <t>HQLP22111</t>
    <phoneticPr fontId="6" type="noConversion"/>
  </si>
  <si>
    <t>25片</t>
    <phoneticPr fontId="5" type="noConversion"/>
  </si>
  <si>
    <t>超音波</t>
  </si>
  <si>
    <t>超音波</t>
    <phoneticPr fontId="5" type="noConversion"/>
  </si>
  <si>
    <t>清洗機</t>
  </si>
  <si>
    <t>清洗機</t>
    <phoneticPr fontId="5" type="noConversion"/>
  </si>
  <si>
    <t>TTV</t>
  </si>
  <si>
    <t>全部</t>
    <phoneticPr fontId="5" type="noConversion"/>
  </si>
  <si>
    <t>AOI</t>
  </si>
  <si>
    <t>115.01.06</t>
    <phoneticPr fontId="5" type="noConversion"/>
  </si>
  <si>
    <t>115.01.07</t>
    <phoneticPr fontId="5" type="noConversion"/>
  </si>
  <si>
    <t>HQXP22111</t>
    <phoneticPr fontId="6" type="noConversion"/>
  </si>
  <si>
    <t>HQ2P22111</t>
    <phoneticPr fontId="6" type="noConversion"/>
  </si>
  <si>
    <t>HQJP22111</t>
    <phoneticPr fontId="6" type="noConversion"/>
  </si>
  <si>
    <t>HQBN22111</t>
    <phoneticPr fontId="6" type="noConversion"/>
  </si>
  <si>
    <t>HQZM22111</t>
    <phoneticPr fontId="6" type="noConversion"/>
  </si>
  <si>
    <t>HQ3Q22111</t>
    <phoneticPr fontId="6" type="noConversion"/>
  </si>
  <si>
    <t>HQKN22111</t>
    <phoneticPr fontId="6" type="noConversion"/>
  </si>
  <si>
    <t>HQ8P22111</t>
  </si>
  <si>
    <t>HQ9N22111</t>
  </si>
  <si>
    <t>HQ1N22111</t>
    <phoneticPr fontId="6" type="noConversion"/>
  </si>
  <si>
    <t>全部</t>
    <phoneticPr fontId="5" type="noConversion"/>
  </si>
  <si>
    <t>115.01.08</t>
    <phoneticPr fontId="5" type="noConversion"/>
  </si>
  <si>
    <t>MR11-05(009)B</t>
    <phoneticPr fontId="5" type="noConversion"/>
  </si>
  <si>
    <t>HQMN2211</t>
    <phoneticPr fontId="6" type="noConversion"/>
  </si>
  <si>
    <t>HQ8N22111</t>
  </si>
  <si>
    <t>HQSM22111</t>
    <phoneticPr fontId="6" type="noConversion"/>
  </si>
  <si>
    <t>HQ6N22111</t>
    <phoneticPr fontId="6" type="noConversion"/>
  </si>
  <si>
    <t>HQ6P22111</t>
    <phoneticPr fontId="6" type="noConversion"/>
  </si>
  <si>
    <t>HQ7N22111</t>
    <phoneticPr fontId="6" type="noConversion"/>
  </si>
  <si>
    <t>HQ3P22111</t>
    <phoneticPr fontId="6" type="noConversion"/>
  </si>
  <si>
    <t>HQRN22111</t>
    <phoneticPr fontId="6" type="noConversion"/>
  </si>
  <si>
    <t>HQTN22111</t>
    <phoneticPr fontId="6" type="noConversion"/>
  </si>
  <si>
    <t>HQQM22111</t>
    <phoneticPr fontId="6" type="noConversion"/>
  </si>
  <si>
    <t>HQ4N22111</t>
    <phoneticPr fontId="6" type="noConversion"/>
  </si>
  <si>
    <t>不用清洗/14片</t>
    <phoneticPr fontId="5" type="noConversion"/>
  </si>
  <si>
    <t>不用清洗/25片</t>
    <phoneticPr fontId="5" type="noConversion"/>
  </si>
  <si>
    <t>不用清洗/15片</t>
    <phoneticPr fontId="5" type="noConversion"/>
  </si>
  <si>
    <t>不用清洗/8片</t>
    <phoneticPr fontId="5" type="noConversion"/>
  </si>
  <si>
    <t>不用清洗/19片</t>
    <phoneticPr fontId="5" type="noConversion"/>
  </si>
  <si>
    <t>不用清洗/2片</t>
    <phoneticPr fontId="5" type="noConversion"/>
  </si>
  <si>
    <t>不用清洗/11片</t>
    <phoneticPr fontId="5" type="noConversion"/>
  </si>
  <si>
    <t>楊</t>
    <phoneticPr fontId="5" type="noConversion"/>
  </si>
  <si>
    <t>朱</t>
    <phoneticPr fontId="5" type="noConversion"/>
  </si>
  <si>
    <t>陞</t>
    <phoneticPr fontId="5" type="noConversion"/>
  </si>
  <si>
    <t>HQ1M22111</t>
  </si>
  <si>
    <t>HQ4M22111</t>
  </si>
  <si>
    <t>HQKM22111</t>
    <phoneticPr fontId="5" type="noConversion"/>
  </si>
  <si>
    <t>HQPM22111</t>
  </si>
  <si>
    <t>HQVM22111</t>
  </si>
  <si>
    <t>HQXM22111</t>
  </si>
  <si>
    <t>HQ5M22111</t>
  </si>
  <si>
    <t>HQGM22111</t>
  </si>
  <si>
    <t>HQLM22111</t>
  </si>
  <si>
    <t>HQTM22111</t>
  </si>
  <si>
    <t>HQYL22111</t>
  </si>
  <si>
    <t>HQZL22111</t>
  </si>
  <si>
    <t>不用清洗/17片</t>
    <phoneticPr fontId="5" type="noConversion"/>
  </si>
  <si>
    <t>不用清洗/10片</t>
    <phoneticPr fontId="5" type="noConversion"/>
  </si>
  <si>
    <t>不用清洗/9片</t>
    <phoneticPr fontId="5" type="noConversion"/>
  </si>
  <si>
    <t>MR11-05(010)B</t>
    <phoneticPr fontId="5" type="noConversion"/>
  </si>
  <si>
    <t>115.01.09</t>
    <phoneticPr fontId="5" type="noConversion"/>
  </si>
  <si>
    <t>HQHM22111</t>
  </si>
  <si>
    <t>HQ9M22111</t>
  </si>
  <si>
    <t>HQHL22111</t>
  </si>
  <si>
    <t>HQFM22111</t>
  </si>
  <si>
    <t>HQBM22111</t>
  </si>
  <si>
    <t>HQJM22111</t>
  </si>
  <si>
    <t>HQXK22111</t>
  </si>
  <si>
    <t>不用清洗/1片</t>
    <phoneticPr fontId="5" type="noConversion"/>
  </si>
  <si>
    <t>不用清洗/20片</t>
    <phoneticPr fontId="5" type="noConversion"/>
  </si>
  <si>
    <t>不用清洗/13片</t>
    <phoneticPr fontId="5" type="noConversion"/>
  </si>
  <si>
    <t>HQDL22111</t>
  </si>
  <si>
    <t>HQTK22111</t>
  </si>
  <si>
    <t>HQ1L22111</t>
  </si>
  <si>
    <t>HQCL22111</t>
  </si>
  <si>
    <t>HQLL22111</t>
  </si>
  <si>
    <t>HQQL22111</t>
  </si>
  <si>
    <t>HQVK22111</t>
  </si>
  <si>
    <t>HQYK22111</t>
  </si>
  <si>
    <t>不用清洗/16片</t>
    <phoneticPr fontId="5" type="noConversion"/>
  </si>
  <si>
    <t>不用清洗/24片</t>
    <phoneticPr fontId="5" type="noConversion"/>
  </si>
  <si>
    <t>不用清洗/12片</t>
    <phoneticPr fontId="5" type="noConversion"/>
  </si>
  <si>
    <t>詹</t>
    <phoneticPr fontId="5" type="noConversion"/>
  </si>
  <si>
    <t>篩選不用洗</t>
    <phoneticPr fontId="5" type="noConversion"/>
  </si>
  <si>
    <t>總共115片不用清洗</t>
    <phoneticPr fontId="5" type="noConversion"/>
  </si>
  <si>
    <t>共38片不用清洗</t>
    <phoneticPr fontId="5" type="noConversion"/>
  </si>
  <si>
    <t>詹</t>
    <phoneticPr fontId="5" type="noConversion"/>
  </si>
  <si>
    <t>楊</t>
    <phoneticPr fontId="5" type="noConversion"/>
  </si>
  <si>
    <t>霖</t>
    <phoneticPr fontId="5" type="noConversion"/>
  </si>
  <si>
    <t>陞</t>
    <phoneticPr fontId="5" type="noConversion"/>
  </si>
  <si>
    <t>朱</t>
    <phoneticPr fontId="5" type="noConversion"/>
  </si>
  <si>
    <t>日期</t>
    <phoneticPr fontId="5" type="noConversion"/>
  </si>
  <si>
    <t>穎</t>
    <phoneticPr fontId="5" type="noConversion"/>
  </si>
  <si>
    <t>陞</t>
    <phoneticPr fontId="5" type="noConversion"/>
  </si>
  <si>
    <t>115.01.06</t>
    <phoneticPr fontId="5" type="noConversion"/>
  </si>
  <si>
    <t>115.01.07</t>
    <phoneticPr fontId="5" type="noConversion"/>
  </si>
  <si>
    <t>115.01.05</t>
    <phoneticPr fontId="5" type="noConversion"/>
  </si>
  <si>
    <t>楊/陞</t>
    <phoneticPr fontId="5" type="noConversion"/>
  </si>
  <si>
    <t>早班/夜班</t>
    <phoneticPr fontId="5" type="noConversion"/>
  </si>
  <si>
    <t>115.01.10</t>
    <phoneticPr fontId="5" type="noConversion"/>
  </si>
  <si>
    <t>MR11-05(011)B</t>
    <phoneticPr fontId="5" type="noConversion"/>
  </si>
  <si>
    <t>MR11-05(012)B</t>
    <phoneticPr fontId="5" type="noConversion"/>
  </si>
  <si>
    <t>MR11-05(015)B</t>
    <phoneticPr fontId="5" type="noConversion"/>
  </si>
  <si>
    <t>MR11-05(013)B</t>
    <phoneticPr fontId="5" type="noConversion"/>
  </si>
  <si>
    <t>MR11-05(014)B</t>
    <phoneticPr fontId="5" type="noConversion"/>
  </si>
  <si>
    <t>MR11-05(016)B</t>
    <phoneticPr fontId="5" type="noConversion"/>
  </si>
  <si>
    <t>2026.01.21</t>
    <phoneticPr fontId="5" type="noConversion"/>
  </si>
  <si>
    <t>目檢區</t>
    <phoneticPr fontId="5" type="noConversion"/>
  </si>
  <si>
    <t>TTV</t>
    <phoneticPr fontId="5" type="noConversion"/>
  </si>
  <si>
    <t>AOI</t>
    <phoneticPr fontId="5" type="noConversion"/>
  </si>
  <si>
    <t>C001/待洗玻璃</t>
    <phoneticPr fontId="5" type="noConversion"/>
  </si>
  <si>
    <t>楊</t>
    <phoneticPr fontId="5" type="noConversion"/>
  </si>
  <si>
    <t>HQSP32111</t>
  </si>
  <si>
    <t>HQTP32111</t>
  </si>
  <si>
    <t>HQVP32111</t>
  </si>
  <si>
    <t>HQWP32111</t>
  </si>
  <si>
    <t>HQYP32111</t>
  </si>
  <si>
    <t>HQ1Q32111</t>
  </si>
  <si>
    <t>HQ2Q32111</t>
  </si>
  <si>
    <t>HQ3Q32111</t>
  </si>
  <si>
    <t>HQ5Q32111</t>
  </si>
  <si>
    <t>HQ7Q32111</t>
  </si>
  <si>
    <t>HQ8Q32111</t>
  </si>
  <si>
    <t>HQBQ32111</t>
  </si>
  <si>
    <t>HQCQ32111</t>
  </si>
  <si>
    <t>HQFQ32111</t>
  </si>
  <si>
    <t>HQGQ32111</t>
  </si>
  <si>
    <t>HQHQ32111</t>
  </si>
  <si>
    <t>HQKQ32111</t>
  </si>
  <si>
    <t>HQWQ32111</t>
  </si>
  <si>
    <t>MR11-05(017)B</t>
    <phoneticPr fontId="5" type="noConversion"/>
  </si>
  <si>
    <t>HQ6S32111</t>
    <phoneticPr fontId="5" type="noConversion"/>
  </si>
  <si>
    <t>HQ7S32111</t>
    <phoneticPr fontId="5" type="noConversion"/>
  </si>
  <si>
    <t>HQDS32111</t>
    <phoneticPr fontId="5" type="noConversion"/>
  </si>
  <si>
    <t>HQFS32111</t>
  </si>
  <si>
    <t>HQHS32111</t>
  </si>
  <si>
    <t>HQJS32111</t>
  </si>
  <si>
    <t>HQKS32111</t>
    <phoneticPr fontId="5" type="noConversion"/>
  </si>
  <si>
    <t>HQLS32111</t>
    <phoneticPr fontId="5" type="noConversion"/>
  </si>
  <si>
    <t>HQNS32111</t>
    <phoneticPr fontId="5" type="noConversion"/>
  </si>
  <si>
    <t>2026.01.22</t>
    <phoneticPr fontId="5" type="noConversion"/>
  </si>
  <si>
    <t>HQ1S32111</t>
  </si>
  <si>
    <t>HQ8R32111</t>
  </si>
  <si>
    <t>HQBR32111</t>
  </si>
  <si>
    <t>HQDR32111</t>
  </si>
  <si>
    <t>HQHR32111</t>
  </si>
  <si>
    <t>HQJR32111</t>
  </si>
  <si>
    <t>HQKR32111</t>
  </si>
  <si>
    <t>HQNR32111</t>
  </si>
  <si>
    <t>HQQR32111</t>
  </si>
  <si>
    <t>HQRR32111</t>
  </si>
  <si>
    <t>HQTR32111</t>
  </si>
  <si>
    <t>HQVR32111</t>
  </si>
  <si>
    <t>HQWR32111</t>
  </si>
  <si>
    <t>HQXR32111</t>
  </si>
  <si>
    <t>HQ2S32111</t>
  </si>
  <si>
    <t>HQ3S32111</t>
  </si>
  <si>
    <t>HQ4S32111</t>
  </si>
  <si>
    <t>HQ8S32111</t>
  </si>
  <si>
    <t>MR11-05(018)B</t>
    <phoneticPr fontId="5" type="noConversion"/>
  </si>
  <si>
    <t>AOI</t>
    <phoneticPr fontId="5" type="noConversion"/>
  </si>
  <si>
    <t>全部</t>
    <phoneticPr fontId="5" type="noConversion"/>
  </si>
  <si>
    <t>115.01.12</t>
  </si>
  <si>
    <t>115.01.12</t>
    <phoneticPr fontId="5" type="noConversion"/>
  </si>
  <si>
    <t>HQDL22111</t>
    <phoneticPr fontId="5" type="noConversion"/>
  </si>
  <si>
    <t>HQTK22111</t>
    <phoneticPr fontId="5" type="noConversion"/>
  </si>
  <si>
    <t>HQ1L22111</t>
    <phoneticPr fontId="5" type="noConversion"/>
  </si>
  <si>
    <t>HQCL22111</t>
    <phoneticPr fontId="5" type="noConversion"/>
  </si>
  <si>
    <t>HQLL22111</t>
    <phoneticPr fontId="5" type="noConversion"/>
  </si>
  <si>
    <t>HQQL22111</t>
    <phoneticPr fontId="5" type="noConversion"/>
  </si>
  <si>
    <t>HQVK22111</t>
    <phoneticPr fontId="5" type="noConversion"/>
  </si>
  <si>
    <t>HQYK22111</t>
    <phoneticPr fontId="5" type="noConversion"/>
  </si>
  <si>
    <t>115.01.13</t>
  </si>
  <si>
    <t>115.01.14</t>
  </si>
  <si>
    <t>115.01.15</t>
  </si>
  <si>
    <t>C002/待洗玻璃</t>
  </si>
  <si>
    <t>C001/待洗玻璃</t>
  </si>
  <si>
    <t>HQZQ32111</t>
    <phoneticPr fontId="6" type="noConversion"/>
  </si>
  <si>
    <t>HQ6R32111</t>
    <phoneticPr fontId="6" type="noConversion"/>
  </si>
  <si>
    <t>HQ4R32111</t>
    <phoneticPr fontId="6" type="noConversion"/>
  </si>
  <si>
    <t>HQ9R32111</t>
    <phoneticPr fontId="6" type="noConversion"/>
  </si>
  <si>
    <t>HQ5R32111</t>
    <phoneticPr fontId="6" type="noConversion"/>
  </si>
  <si>
    <t>HQRQ32111</t>
    <phoneticPr fontId="6" type="noConversion"/>
  </si>
  <si>
    <t>HQXQ32111</t>
    <phoneticPr fontId="6" type="noConversion"/>
  </si>
  <si>
    <t>HQ2R32111</t>
    <phoneticPr fontId="6" type="noConversion"/>
  </si>
  <si>
    <t>HQYQ32111</t>
    <phoneticPr fontId="6" type="noConversion"/>
  </si>
  <si>
    <t>2026.01.21</t>
  </si>
  <si>
    <t>全部</t>
    <phoneticPr fontId="6" type="noConversion"/>
  </si>
  <si>
    <t>詹</t>
    <phoneticPr fontId="6" type="noConversion"/>
  </si>
  <si>
    <t>陳</t>
    <phoneticPr fontId="6" type="noConversion"/>
  </si>
  <si>
    <t>楊</t>
    <phoneticPr fontId="6" type="noConversion"/>
  </si>
  <si>
    <t>2026.01.22</t>
  </si>
  <si>
    <t>陳</t>
    <phoneticPr fontId="5" type="noConversion"/>
  </si>
  <si>
    <t>2026.01.23</t>
  </si>
  <si>
    <t>2026.01.23</t>
    <phoneticPr fontId="5" type="noConversion"/>
  </si>
  <si>
    <t>HQHV32111</t>
  </si>
  <si>
    <t>HQ8T32111</t>
    <phoneticPr fontId="5" type="noConversion"/>
  </si>
  <si>
    <t>HQGT32111</t>
    <phoneticPr fontId="5" type="noConversion"/>
  </si>
  <si>
    <t>HQBV32111</t>
    <phoneticPr fontId="5" type="noConversion"/>
  </si>
  <si>
    <t>HQKV32111</t>
    <phoneticPr fontId="5" type="noConversion"/>
  </si>
  <si>
    <t>HQQT32111</t>
    <phoneticPr fontId="5" type="noConversion"/>
  </si>
  <si>
    <t>HQKT32111</t>
    <phoneticPr fontId="5" type="noConversion"/>
  </si>
  <si>
    <t>HQCT32111</t>
    <phoneticPr fontId="5" type="noConversion"/>
  </si>
  <si>
    <t>HQ1V32111</t>
    <phoneticPr fontId="6" type="noConversion"/>
  </si>
  <si>
    <t>2026.01.26</t>
  </si>
  <si>
    <t>2026.01.26</t>
    <phoneticPr fontId="5" type="noConversion"/>
  </si>
  <si>
    <t>HQ4V32111</t>
    <phoneticPr fontId="6" type="noConversion"/>
  </si>
  <si>
    <t>HQ61V32111</t>
    <phoneticPr fontId="6" type="noConversion"/>
  </si>
  <si>
    <t>HQDT32111</t>
    <phoneticPr fontId="6" type="noConversion"/>
  </si>
  <si>
    <t>HQLT32111</t>
    <phoneticPr fontId="6" type="noConversion"/>
  </si>
  <si>
    <t>HQNT32111</t>
    <phoneticPr fontId="6" type="noConversion"/>
  </si>
  <si>
    <t>HQYS32111</t>
    <phoneticPr fontId="6" type="noConversion"/>
  </si>
  <si>
    <t>HQMT32111</t>
    <phoneticPr fontId="6" type="noConversion"/>
  </si>
  <si>
    <t>HQ9V32111</t>
    <phoneticPr fontId="6" type="noConversion"/>
  </si>
  <si>
    <t>HQYT32111</t>
    <phoneticPr fontId="6" type="noConversion"/>
  </si>
  <si>
    <t>2026.01.27</t>
  </si>
  <si>
    <t>2026.01.27</t>
    <phoneticPr fontId="5" type="noConversion"/>
  </si>
  <si>
    <t>朱</t>
    <phoneticPr fontId="6" type="noConversion"/>
  </si>
  <si>
    <t>王</t>
    <phoneticPr fontId="5" type="noConversion"/>
  </si>
  <si>
    <t>HQQS32111</t>
    <phoneticPr fontId="5" type="noConversion"/>
  </si>
  <si>
    <t>HQPS32111</t>
    <phoneticPr fontId="5" type="noConversion"/>
  </si>
  <si>
    <t>HQWS32111</t>
    <phoneticPr fontId="5" type="noConversion"/>
  </si>
  <si>
    <t>HQ6T32111</t>
    <phoneticPr fontId="5" type="noConversion"/>
  </si>
  <si>
    <t>HQHT32111</t>
    <phoneticPr fontId="5" type="noConversion"/>
  </si>
  <si>
    <t>2026.01.28</t>
  </si>
  <si>
    <t>2026.01.28</t>
    <phoneticPr fontId="5" type="noConversion"/>
  </si>
  <si>
    <t>HQSS32111</t>
    <phoneticPr fontId="5" type="noConversion"/>
  </si>
  <si>
    <t>HQRS32111</t>
    <phoneticPr fontId="5" type="noConversion"/>
  </si>
  <si>
    <t>HQFT32111</t>
    <phoneticPr fontId="5" type="noConversion"/>
  </si>
  <si>
    <t>HQTS32111</t>
    <phoneticPr fontId="5" type="noConversion"/>
  </si>
  <si>
    <t>MR11-05(019)B</t>
    <phoneticPr fontId="5" type="noConversion"/>
  </si>
  <si>
    <t>MR11-05(020)B</t>
    <phoneticPr fontId="5" type="noConversion"/>
  </si>
  <si>
    <t>MR11-05(021)B</t>
    <phoneticPr fontId="5" type="noConversion"/>
  </si>
  <si>
    <t>2026.01.29</t>
    <phoneticPr fontId="5" type="noConversion"/>
  </si>
  <si>
    <t>2026.01.30</t>
    <phoneticPr fontId="5" type="noConversion"/>
  </si>
  <si>
    <t>MR11-05(022)B</t>
    <phoneticPr fontId="5" type="noConversion"/>
  </si>
  <si>
    <t>HQX632111</t>
    <phoneticPr fontId="6" type="noConversion"/>
  </si>
  <si>
    <t>HQD732111</t>
    <phoneticPr fontId="6" type="noConversion"/>
  </si>
  <si>
    <t>2026.01.29</t>
  </si>
  <si>
    <t>HQL732111</t>
    <phoneticPr fontId="6" type="noConversion"/>
  </si>
  <si>
    <t>HQ9732111</t>
    <phoneticPr fontId="6" type="noConversion"/>
  </si>
  <si>
    <t>HQ5732111</t>
    <phoneticPr fontId="6" type="noConversion"/>
  </si>
  <si>
    <t>HQ7732111</t>
    <phoneticPr fontId="6" type="noConversion"/>
  </si>
  <si>
    <t>HQ6732111</t>
    <phoneticPr fontId="6" type="noConversion"/>
  </si>
  <si>
    <t>HQB832111</t>
    <phoneticPr fontId="6" type="noConversion"/>
  </si>
  <si>
    <t>HQH732111</t>
    <phoneticPr fontId="6" type="noConversion"/>
  </si>
  <si>
    <t>HQ9832111</t>
    <phoneticPr fontId="6" type="noConversion"/>
  </si>
  <si>
    <t>HQP732111</t>
    <phoneticPr fontId="6" type="noConversion"/>
  </si>
  <si>
    <t>HQQ632111</t>
    <phoneticPr fontId="6" type="noConversion"/>
  </si>
  <si>
    <t>HQ8832111</t>
    <phoneticPr fontId="6" type="noConversion"/>
  </si>
  <si>
    <t>HQ2732111</t>
    <phoneticPr fontId="6" type="noConversion"/>
  </si>
  <si>
    <t>HQ8732111</t>
    <phoneticPr fontId="6" type="noConversion"/>
  </si>
  <si>
    <t>HQS632111</t>
    <phoneticPr fontId="6" type="noConversion"/>
  </si>
  <si>
    <t>HQP632111</t>
    <phoneticPr fontId="6" type="noConversion"/>
  </si>
  <si>
    <t>HQ7832111</t>
    <phoneticPr fontId="6" type="noConversion"/>
  </si>
  <si>
    <t>2026.01.30</t>
  </si>
  <si>
    <t>HQ4742111</t>
  </si>
  <si>
    <t>HQ9342111</t>
  </si>
  <si>
    <t>HQV642111</t>
  </si>
  <si>
    <t>HQL342111</t>
  </si>
  <si>
    <t>HQM342111</t>
  </si>
  <si>
    <t>HQT742111</t>
  </si>
  <si>
    <t>HQV742111</t>
  </si>
  <si>
    <t>HQB342111</t>
  </si>
  <si>
    <t>HQ6842111</t>
  </si>
  <si>
    <t>2026.02.02</t>
    <phoneticPr fontId="5" type="noConversion"/>
  </si>
  <si>
    <t>1051-01-09</t>
    <phoneticPr fontId="5" type="noConversion"/>
  </si>
  <si>
    <t>2026.02.03</t>
  </si>
  <si>
    <t>2026.02.03</t>
    <phoneticPr fontId="5" type="noConversion"/>
  </si>
  <si>
    <t>MR11-05(023)B</t>
    <phoneticPr fontId="5" type="noConversion"/>
  </si>
  <si>
    <t>MR11-05(024)B</t>
    <phoneticPr fontId="5" type="noConversion"/>
  </si>
  <si>
    <t>2026.02.02</t>
  </si>
  <si>
    <t>1051-10</t>
    <phoneticPr fontId="5" type="noConversion"/>
  </si>
  <si>
    <t>1051-11</t>
    <phoneticPr fontId="5" type="noConversion"/>
  </si>
  <si>
    <t>1051-12</t>
  </si>
  <si>
    <t>1051-13</t>
  </si>
  <si>
    <t>1051-14</t>
  </si>
  <si>
    <t>1051-15</t>
  </si>
  <si>
    <t>1051-16</t>
  </si>
  <si>
    <t>1051-17</t>
  </si>
  <si>
    <t>1051-18</t>
  </si>
  <si>
    <t>1051-19</t>
  </si>
  <si>
    <t>1051-20</t>
  </si>
  <si>
    <t>1051-21</t>
  </si>
  <si>
    <t>1051-22</t>
  </si>
  <si>
    <t>1051-23</t>
  </si>
  <si>
    <t>1051-24</t>
  </si>
  <si>
    <t>1051-25</t>
  </si>
  <si>
    <t>1051-26</t>
  </si>
  <si>
    <t>1051-27</t>
  </si>
  <si>
    <t>總共</t>
    <phoneticPr fontId="5" type="noConversion"/>
  </si>
  <si>
    <t>1052-1</t>
    <phoneticPr fontId="5" type="noConversion"/>
  </si>
  <si>
    <t>1052-2</t>
  </si>
  <si>
    <t>1052-3</t>
  </si>
  <si>
    <t>1052-4</t>
  </si>
  <si>
    <t>1052-5</t>
  </si>
  <si>
    <t>1052-6</t>
  </si>
  <si>
    <t>1052-7</t>
  </si>
  <si>
    <t>1052-8</t>
  </si>
  <si>
    <t>1052-9</t>
  </si>
  <si>
    <t>1052-10</t>
  </si>
  <si>
    <t>1052-11</t>
  </si>
  <si>
    <t>1052-12</t>
  </si>
  <si>
    <t>1052-13</t>
  </si>
  <si>
    <t>1052-14</t>
  </si>
  <si>
    <t>1052-15</t>
  </si>
  <si>
    <t>1052-16</t>
  </si>
  <si>
    <t>1052-17</t>
  </si>
  <si>
    <t>1052-18</t>
  </si>
  <si>
    <t>1052-19</t>
  </si>
  <si>
    <t>1052-20</t>
  </si>
  <si>
    <t>1052-21</t>
  </si>
  <si>
    <t>1052-22</t>
  </si>
  <si>
    <t>1052-23</t>
  </si>
  <si>
    <t>1052-24</t>
  </si>
  <si>
    <t>1052-25</t>
  </si>
  <si>
    <t>1052-26</t>
  </si>
  <si>
    <t>1052-27</t>
  </si>
  <si>
    <t>1054-1</t>
    <phoneticPr fontId="5" type="noConversion"/>
  </si>
  <si>
    <t>1054-2</t>
  </si>
  <si>
    <t>1054-3</t>
  </si>
  <si>
    <t>1054-4</t>
  </si>
  <si>
    <t>1054-5</t>
  </si>
  <si>
    <t>1054-6</t>
  </si>
  <si>
    <t>1054-7</t>
  </si>
  <si>
    <t>1054-8</t>
  </si>
  <si>
    <t>1054-9</t>
  </si>
  <si>
    <t>1054-10</t>
    <phoneticPr fontId="5" type="noConversion"/>
  </si>
  <si>
    <t>1054-11</t>
  </si>
  <si>
    <t>1054-12</t>
  </si>
  <si>
    <t>1054-13</t>
  </si>
  <si>
    <t>1054-14</t>
  </si>
  <si>
    <t>1054-15</t>
  </si>
  <si>
    <t>1054-16</t>
  </si>
  <si>
    <t>1054-17</t>
  </si>
  <si>
    <t>1054-18</t>
  </si>
  <si>
    <t>1054-19</t>
  </si>
  <si>
    <t>1054-20</t>
  </si>
  <si>
    <t>1054-21</t>
  </si>
  <si>
    <t>1054-22</t>
  </si>
  <si>
    <t>1054-23</t>
  </si>
  <si>
    <t>1054-24</t>
  </si>
  <si>
    <t>1054-25</t>
  </si>
  <si>
    <t>1054-26</t>
  </si>
  <si>
    <t>1054-27</t>
  </si>
  <si>
    <t>1056-1</t>
    <phoneticPr fontId="5" type="noConversion"/>
  </si>
  <si>
    <t>1056-2</t>
  </si>
  <si>
    <t>1056-3</t>
  </si>
  <si>
    <t>1056-4</t>
  </si>
  <si>
    <t>1056-5</t>
  </si>
  <si>
    <t>1056-6</t>
  </si>
  <si>
    <t>1056-7</t>
  </si>
  <si>
    <t>1056-8</t>
  </si>
  <si>
    <t>1056-9</t>
  </si>
  <si>
    <t>1056-10</t>
  </si>
  <si>
    <t>1056-11</t>
  </si>
  <si>
    <t>1056-12</t>
  </si>
  <si>
    <t>1056-13</t>
  </si>
  <si>
    <t>1056-14</t>
  </si>
  <si>
    <t>1056-15</t>
  </si>
  <si>
    <t>1056-16</t>
  </si>
  <si>
    <t>1056-17</t>
  </si>
  <si>
    <t>1056-18</t>
  </si>
  <si>
    <t>1056-19</t>
  </si>
  <si>
    <t>1056-20</t>
  </si>
  <si>
    <t>1056-21</t>
  </si>
  <si>
    <t>1056-22</t>
  </si>
  <si>
    <t>1056-23</t>
  </si>
  <si>
    <t>1056-24</t>
  </si>
  <si>
    <t>1056-25</t>
  </si>
  <si>
    <t>1056-26</t>
  </si>
  <si>
    <t>1056-27</t>
  </si>
  <si>
    <t>2026.02.04</t>
  </si>
  <si>
    <t>2026.02.04</t>
    <phoneticPr fontId="5" type="noConversion"/>
  </si>
  <si>
    <t>2026.02.05</t>
  </si>
  <si>
    <t>1044-1</t>
    <phoneticPr fontId="5" type="noConversion"/>
  </si>
  <si>
    <t>1044-2</t>
  </si>
  <si>
    <t>1044-3</t>
  </si>
  <si>
    <t>1044-4</t>
  </si>
  <si>
    <t>1044-5</t>
  </si>
  <si>
    <t>1044-6</t>
  </si>
  <si>
    <t>1044-7</t>
  </si>
  <si>
    <t>1044-8</t>
  </si>
  <si>
    <t>1044-9</t>
  </si>
  <si>
    <t>1044-10</t>
  </si>
  <si>
    <t>1044-11</t>
  </si>
  <si>
    <t>1044-12</t>
  </si>
  <si>
    <t>1044-13</t>
  </si>
  <si>
    <t>1044-14</t>
  </si>
  <si>
    <t>1044-15</t>
  </si>
  <si>
    <t>1044-16</t>
  </si>
  <si>
    <t>1044-17</t>
  </si>
  <si>
    <t>1044-18</t>
  </si>
  <si>
    <t>1044-19</t>
  </si>
  <si>
    <t>1044-20</t>
  </si>
  <si>
    <t>1044-21</t>
  </si>
  <si>
    <t>1044-22</t>
  </si>
  <si>
    <t>1044-23</t>
  </si>
  <si>
    <t>1044-24</t>
  </si>
  <si>
    <t>1044-25</t>
  </si>
  <si>
    <t>1044-26</t>
  </si>
  <si>
    <t>1044-27</t>
  </si>
  <si>
    <t>MR11-05(025)B</t>
    <phoneticPr fontId="5" type="noConversion"/>
  </si>
  <si>
    <t>1043-1</t>
    <phoneticPr fontId="5" type="noConversion"/>
  </si>
  <si>
    <t>1043-2</t>
  </si>
  <si>
    <t>1043-3</t>
  </si>
  <si>
    <t>1043-4</t>
  </si>
  <si>
    <t>1043-5</t>
  </si>
  <si>
    <t>1043-6</t>
  </si>
  <si>
    <t>1043-7</t>
  </si>
  <si>
    <t>1043-8</t>
  </si>
  <si>
    <t>1043-9</t>
  </si>
  <si>
    <t>1043-10</t>
  </si>
  <si>
    <t>1043-11</t>
  </si>
  <si>
    <t>1043-12</t>
  </si>
  <si>
    <t>1043-13</t>
  </si>
  <si>
    <t>1043-14</t>
  </si>
  <si>
    <t>1043-15</t>
  </si>
  <si>
    <t>1043-16</t>
  </si>
  <si>
    <t>1043-17</t>
  </si>
  <si>
    <t>1043-18</t>
  </si>
  <si>
    <t>2026.02.05</t>
    <phoneticPr fontId="5" type="noConversion"/>
  </si>
  <si>
    <t>MR11-05(026)B</t>
    <phoneticPr fontId="5" type="noConversion"/>
  </si>
  <si>
    <t>1043-19</t>
    <phoneticPr fontId="5" type="noConversion"/>
  </si>
  <si>
    <t>1043-20</t>
  </si>
  <si>
    <t>1043-21</t>
  </si>
  <si>
    <t>1043-22</t>
  </si>
  <si>
    <t>1043-23</t>
  </si>
  <si>
    <t>1043-24</t>
  </si>
  <si>
    <t>1043-25</t>
  </si>
  <si>
    <t>1043-26</t>
  </si>
  <si>
    <t>1043-27</t>
  </si>
  <si>
    <t>1046-1</t>
    <phoneticPr fontId="5" type="noConversion"/>
  </si>
  <si>
    <t>1046-2</t>
  </si>
  <si>
    <t>1046-3</t>
  </si>
  <si>
    <t>1046-4</t>
  </si>
  <si>
    <t>1046-5</t>
  </si>
  <si>
    <t>1050-1</t>
    <phoneticPr fontId="5" type="noConversion"/>
  </si>
  <si>
    <t>1050-2</t>
  </si>
  <si>
    <t>1050-3</t>
  </si>
  <si>
    <t>1050-4</t>
  </si>
  <si>
    <t>1050-5</t>
  </si>
  <si>
    <t>1050-6</t>
  </si>
  <si>
    <t>1050-7</t>
  </si>
  <si>
    <t>1050-8</t>
  </si>
  <si>
    <t>1050-9</t>
  </si>
  <si>
    <t>1050-10</t>
  </si>
  <si>
    <t>1050-11</t>
  </si>
  <si>
    <t>1050-12</t>
  </si>
  <si>
    <t>1050-13</t>
  </si>
  <si>
    <t>1050-14</t>
  </si>
  <si>
    <t>1050-15</t>
  </si>
  <si>
    <t>1050-16</t>
  </si>
  <si>
    <t>1050-17</t>
  </si>
  <si>
    <t>1050-18</t>
  </si>
  <si>
    <t>1050-19</t>
  </si>
  <si>
    <t>1050-20</t>
  </si>
  <si>
    <t>1050-21</t>
  </si>
  <si>
    <t>1050-22</t>
  </si>
  <si>
    <t>1050-23</t>
  </si>
  <si>
    <t>1050-24</t>
  </si>
  <si>
    <t>1050-25</t>
  </si>
  <si>
    <t>1050-26</t>
  </si>
  <si>
    <t>1050-27</t>
  </si>
  <si>
    <t>2026.02.06</t>
  </si>
  <si>
    <t>2026.02.06</t>
    <phoneticPr fontId="5" type="noConversion"/>
  </si>
  <si>
    <t>MR11-05(027)B</t>
    <phoneticPr fontId="5" type="noConversion"/>
  </si>
  <si>
    <t>1046-6</t>
    <phoneticPr fontId="5" type="noConversion"/>
  </si>
  <si>
    <t>1046-7</t>
  </si>
  <si>
    <t>1046-8</t>
  </si>
  <si>
    <t>1046-9</t>
  </si>
  <si>
    <t>1046-10</t>
  </si>
  <si>
    <t>1046-11</t>
  </si>
  <si>
    <t>1046-12</t>
  </si>
  <si>
    <t>1046-13</t>
  </si>
  <si>
    <t>1046-14</t>
  </si>
  <si>
    <t>1046-15</t>
  </si>
  <si>
    <t>1046-16</t>
  </si>
  <si>
    <t>1046-17</t>
  </si>
  <si>
    <t>1046-18</t>
  </si>
  <si>
    <t>1046-19</t>
  </si>
  <si>
    <t>1046-20</t>
  </si>
  <si>
    <t>1046-21</t>
  </si>
  <si>
    <t>1046-22</t>
  </si>
  <si>
    <t>1046-23</t>
  </si>
  <si>
    <t>1046-24</t>
  </si>
  <si>
    <t>1046-25</t>
  </si>
  <si>
    <t>1046-26</t>
  </si>
  <si>
    <t>1046-27</t>
  </si>
  <si>
    <t>詹/王</t>
    <phoneticPr fontId="5" type="noConversion"/>
  </si>
  <si>
    <t>暗裂*3</t>
    <phoneticPr fontId="5" type="noConversion"/>
  </si>
  <si>
    <t>暗裂*1</t>
    <phoneticPr fontId="5" type="noConversion"/>
  </si>
  <si>
    <t>MR11-05(028)B</t>
    <phoneticPr fontId="5" type="noConversion"/>
  </si>
  <si>
    <t>2026.02.09</t>
  </si>
  <si>
    <t>2026.02.09</t>
    <phoneticPr fontId="5" type="noConversion"/>
  </si>
  <si>
    <t>0209-1</t>
    <phoneticPr fontId="5" type="noConversion"/>
  </si>
  <si>
    <t>0209-2</t>
  </si>
  <si>
    <t>0209-3</t>
  </si>
  <si>
    <t>0209-4</t>
  </si>
  <si>
    <t>0209-5</t>
  </si>
  <si>
    <t>0209-6</t>
  </si>
  <si>
    <t>0209-7</t>
  </si>
  <si>
    <t>0209-8</t>
  </si>
  <si>
    <t>0209-9</t>
  </si>
  <si>
    <t>0209-10</t>
  </si>
  <si>
    <t>0209-11</t>
  </si>
  <si>
    <t>0209-12</t>
  </si>
  <si>
    <t>0209-13</t>
  </si>
  <si>
    <t>0209-14</t>
  </si>
  <si>
    <t>0209-15</t>
  </si>
  <si>
    <t>0209-16</t>
  </si>
  <si>
    <t>0209-17</t>
  </si>
  <si>
    <t>0209-18</t>
  </si>
  <si>
    <t>0209-19</t>
  </si>
  <si>
    <t>0209-20</t>
  </si>
  <si>
    <t>0209-21</t>
  </si>
  <si>
    <t>0209-22</t>
  </si>
  <si>
    <t>0209-23</t>
  </si>
  <si>
    <t>0209-24</t>
  </si>
  <si>
    <t>0209-25</t>
  </si>
  <si>
    <t>0209-26</t>
  </si>
  <si>
    <t>0209-27</t>
  </si>
  <si>
    <t>MR11-05(029)B</t>
    <phoneticPr fontId="5" type="noConversion"/>
  </si>
  <si>
    <t>2026.02.10</t>
  </si>
  <si>
    <t>2026.02.10</t>
    <phoneticPr fontId="5" type="noConversion"/>
  </si>
  <si>
    <t>MR11-05(030)B</t>
    <phoneticPr fontId="5" type="noConversion"/>
  </si>
  <si>
    <t>2026.02.11</t>
  </si>
  <si>
    <t>2026.02.11</t>
    <phoneticPr fontId="5" type="noConversion"/>
  </si>
  <si>
    <t>0211-1</t>
    <phoneticPr fontId="5" type="noConversion"/>
  </si>
  <si>
    <t>0211-2</t>
  </si>
  <si>
    <t>0211-3</t>
  </si>
  <si>
    <t>0211-4</t>
  </si>
  <si>
    <t>0211-5</t>
  </si>
  <si>
    <t>0211-6</t>
  </si>
  <si>
    <t>0211-7</t>
  </si>
  <si>
    <t>0211-8</t>
  </si>
  <si>
    <t>0211-9</t>
  </si>
  <si>
    <t>0211-10</t>
  </si>
  <si>
    <t>0211-11</t>
  </si>
  <si>
    <t>0211-12</t>
  </si>
  <si>
    <t>2026.02.23</t>
    <phoneticPr fontId="5" type="noConversion"/>
  </si>
  <si>
    <t>MR11-05(031)B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</si>
</sst>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b/>
      <sz val="16"/>
      <name val="Microsoft JhengHei"/>
      <family val="2"/>
      <charset val="136"/>
    </font>
    <font>
      <b/>
      <sz val="12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0"/>
      <color rgb="FFFF0000"/>
      <name val="Microsoft JhengHei"/>
      <family val="2"/>
      <charset val="136"/>
    </font>
    <font>
      <sz val="10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3" fillId="4" borderId="7" xfId="0" applyNumberFormat="1" applyFont="1" applyFill="1" applyBorder="1" applyAlignment="1">
      <alignment horizontal="center" vertical="center" wrapText="1"/>
    </xf>
    <xf numFmtId="10" fontId="3" fillId="4" borderId="7" xfId="0" applyNumberFormat="1" applyFont="1" applyFill="1" applyBorder="1" applyAlignment="1">
      <alignment horizontal="center" vertical="center" wrapText="1"/>
    </xf>
    <xf numFmtId="0" fontId="0" fillId="4" borderId="7" xfId="0" applyFill="1" applyBorder="1"/>
    <xf numFmtId="0" fontId="0" fillId="0" borderId="2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4" fillId="3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10" fontId="4" fillId="4" borderId="13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15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" fontId="4" fillId="3" borderId="23" xfId="0" applyNumberFormat="1" applyFont="1" applyFill="1" applyBorder="1" applyAlignment="1">
      <alignment horizontal="center" vertical="center" wrapText="1"/>
    </xf>
    <xf numFmtId="1" fontId="4" fillId="3" borderId="16" xfId="0" applyNumberFormat="1" applyFont="1" applyFill="1" applyBorder="1" applyAlignment="1">
      <alignment horizontal="center" vertical="center" wrapText="1"/>
    </xf>
    <xf numFmtId="1" fontId="4" fillId="3" borderId="24" xfId="0" applyNumberFormat="1" applyFont="1" applyFill="1" applyBorder="1" applyAlignment="1">
      <alignment horizontal="center" vertical="center" wrapText="1"/>
    </xf>
    <xf numFmtId="0" fontId="0" fillId="4" borderId="20" xfId="0" applyFill="1" applyBorder="1"/>
    <xf numFmtId="0" fontId="0" fillId="4" borderId="2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showGridLines="0" zoomScaleNormal="100" workbookViewId="0">
      <pane ySplit="4" topLeftCell="A5" activePane="bottomLeft" state="frozen"/>
      <selection pane="bottomLeft" activeCell="C26" sqref="C26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206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/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/>
      <c r="B5" s="2" t="s">
        <v>39</v>
      </c>
      <c r="C5" s="15"/>
      <c r="D5" s="11"/>
      <c r="E5" s="31"/>
      <c r="F5" s="19"/>
      <c r="G5" s="16"/>
      <c r="H5" s="3"/>
      <c r="I5" s="4"/>
      <c r="J5" s="2"/>
      <c r="K5" s="13"/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/>
      <c r="B6" s="2" t="s">
        <v>48</v>
      </c>
      <c r="C6" s="15"/>
      <c r="D6" s="11"/>
      <c r="E6" s="31"/>
      <c r="F6" s="19"/>
      <c r="G6" s="16"/>
      <c r="H6" s="3"/>
      <c r="I6" s="4"/>
      <c r="J6" s="2"/>
      <c r="K6" s="13"/>
      <c r="L6" s="11"/>
      <c r="Z6" t="s">
        <v>38</v>
      </c>
    </row>
    <row r="7" spans="1:28" ht="20.100000000000001" customHeight="1">
      <c r="A7" s="11"/>
      <c r="B7" s="2" t="s">
        <v>50</v>
      </c>
      <c r="C7" s="15"/>
      <c r="D7" s="11"/>
      <c r="E7" s="31"/>
      <c r="F7" s="19"/>
      <c r="G7" s="16"/>
      <c r="H7" s="3"/>
      <c r="I7" s="4"/>
      <c r="J7" s="2"/>
      <c r="K7" s="13"/>
      <c r="L7" s="11"/>
    </row>
    <row r="8" spans="1:28" ht="20.100000000000001" customHeight="1">
      <c r="A8" s="11"/>
      <c r="B8" s="2" t="s">
        <v>2</v>
      </c>
      <c r="C8" s="15"/>
      <c r="D8" s="11"/>
      <c r="E8" s="31"/>
      <c r="F8" s="19"/>
      <c r="G8" s="16"/>
      <c r="H8" s="3"/>
      <c r="I8" s="4"/>
      <c r="J8" s="2"/>
      <c r="K8" s="13"/>
      <c r="L8" s="11"/>
    </row>
    <row r="9" spans="1:28" ht="20.100000000000001" customHeight="1">
      <c r="A9" s="11"/>
      <c r="B9" s="2" t="s">
        <v>52</v>
      </c>
      <c r="C9" s="15"/>
      <c r="D9" s="11"/>
      <c r="E9" s="31"/>
      <c r="F9" s="19"/>
      <c r="G9" s="16"/>
      <c r="H9" s="3"/>
      <c r="I9" s="4"/>
      <c r="J9" s="2"/>
      <c r="K9" s="13"/>
      <c r="L9" s="11"/>
    </row>
    <row r="10" spans="1:28" ht="20.100000000000001" customHeight="1">
      <c r="A10" s="11"/>
      <c r="B10" s="2" t="s">
        <v>38</v>
      </c>
      <c r="C10" s="15"/>
      <c r="D10" s="11"/>
      <c r="E10" s="31"/>
      <c r="F10" s="19"/>
      <c r="G10" s="16"/>
      <c r="H10" s="3"/>
      <c r="I10" s="4"/>
      <c r="J10" s="2"/>
      <c r="K10" s="13"/>
      <c r="L10" s="11"/>
    </row>
    <row r="11" spans="1:28" ht="20.100000000000001" customHeight="1">
      <c r="A11" s="11"/>
      <c r="B11" s="2"/>
      <c r="C11" s="15"/>
      <c r="D11" s="11"/>
      <c r="E11" s="31"/>
      <c r="F11" s="19"/>
      <c r="G11" s="16"/>
      <c r="H11" s="3"/>
      <c r="I11" s="4"/>
      <c r="J11" s="2"/>
      <c r="K11" s="13"/>
      <c r="L11" s="11"/>
    </row>
    <row r="12" spans="1:28" ht="20.100000000000001" customHeight="1">
      <c r="A12" s="11"/>
      <c r="B12" s="2"/>
      <c r="C12" s="15"/>
      <c r="D12" s="11"/>
      <c r="E12" s="31"/>
      <c r="F12" s="19"/>
      <c r="G12" s="16"/>
      <c r="H12" s="3"/>
      <c r="I12" s="4"/>
      <c r="J12" s="2"/>
      <c r="K12" s="13"/>
      <c r="L12" s="11"/>
    </row>
    <row r="13" spans="1:28" ht="20.100000000000001" customHeight="1">
      <c r="A13" s="11"/>
      <c r="B13" s="2"/>
      <c r="C13" s="15"/>
      <c r="D13" s="11"/>
      <c r="E13" s="31"/>
      <c r="F13" s="19"/>
      <c r="G13" s="16"/>
      <c r="H13" s="3"/>
      <c r="I13" s="4"/>
      <c r="J13" s="2"/>
      <c r="K13" s="2"/>
      <c r="L13" s="18"/>
    </row>
    <row r="14" spans="1:28" ht="20.100000000000001" customHeight="1">
      <c r="A14" s="11"/>
      <c r="B14" s="2"/>
      <c r="C14" s="15"/>
      <c r="D14" s="11"/>
      <c r="E14" s="31"/>
      <c r="F14" s="19"/>
      <c r="G14" s="16"/>
      <c r="H14" s="3"/>
      <c r="I14" s="4"/>
      <c r="J14" s="2"/>
      <c r="K14" s="2"/>
      <c r="L14" s="2"/>
    </row>
    <row r="15" spans="1:28" ht="20.100000000000001" customHeight="1">
      <c r="A15" s="11"/>
      <c r="B15" s="2"/>
      <c r="C15" s="15"/>
      <c r="D15" s="11"/>
      <c r="E15" s="31"/>
      <c r="F15" s="19"/>
      <c r="G15" s="16"/>
      <c r="H15" s="3"/>
      <c r="I15" s="4"/>
      <c r="J15" s="2"/>
      <c r="K15" s="2"/>
      <c r="L15" s="2"/>
    </row>
    <row r="16" spans="1:28" ht="20.100000000000001" customHeight="1">
      <c r="A16" s="11"/>
      <c r="B16" s="2"/>
      <c r="C16" s="15"/>
      <c r="D16" s="11"/>
      <c r="E16" s="31"/>
      <c r="F16" s="19"/>
      <c r="G16" s="16"/>
      <c r="H16" s="3"/>
      <c r="I16" s="4"/>
      <c r="J16" s="2"/>
      <c r="K16" s="2"/>
      <c r="L16" s="2"/>
    </row>
    <row r="17" spans="1:12" ht="20.100000000000001" customHeight="1">
      <c r="A17" s="11"/>
      <c r="B17" s="2"/>
      <c r="C17" s="15"/>
      <c r="D17" s="11"/>
      <c r="E17" s="31"/>
      <c r="F17" s="19"/>
      <c r="G17" s="16"/>
      <c r="H17" s="3"/>
      <c r="I17" s="4"/>
      <c r="J17" s="1"/>
      <c r="K17" s="2"/>
      <c r="L17" s="2"/>
    </row>
    <row r="18" spans="1:12" ht="20.100000000000001" customHeight="1">
      <c r="A18" s="11"/>
      <c r="B18" s="2"/>
      <c r="C18" s="15"/>
      <c r="D18" s="11"/>
      <c r="E18" s="31"/>
      <c r="F18" s="19"/>
      <c r="G18" s="16"/>
      <c r="H18" s="3"/>
      <c r="I18" s="4"/>
      <c r="J18" s="1"/>
      <c r="K18" s="2"/>
      <c r="L18" s="2"/>
    </row>
    <row r="19" spans="1:12" ht="20.100000000000001" customHeight="1">
      <c r="A19" s="11"/>
      <c r="B19" s="2"/>
      <c r="C19" s="15"/>
      <c r="D19" s="11"/>
      <c r="E19" s="31"/>
      <c r="F19" s="19"/>
      <c r="G19" s="16"/>
      <c r="H19" s="3"/>
      <c r="I19" s="4"/>
      <c r="J19" s="1"/>
      <c r="K19" s="2"/>
      <c r="L19" s="2"/>
    </row>
    <row r="20" spans="1:12" ht="20.100000000000001" customHeight="1">
      <c r="A20" s="11"/>
      <c r="B20" s="2"/>
      <c r="C20" s="15"/>
      <c r="D20" s="11"/>
      <c r="E20" s="31"/>
      <c r="F20" s="19"/>
      <c r="G20" s="16"/>
      <c r="H20" s="3"/>
      <c r="I20" s="4"/>
      <c r="J20" s="1"/>
      <c r="K20" s="2"/>
      <c r="L20" s="2"/>
    </row>
    <row r="21" spans="1:12" ht="20.100000000000001" customHeight="1">
      <c r="A21" s="11"/>
      <c r="B21" s="2"/>
      <c r="C21" s="15"/>
      <c r="D21" s="11"/>
      <c r="E21" s="31"/>
      <c r="F21" s="19"/>
      <c r="G21" s="16"/>
      <c r="H21" s="3"/>
      <c r="I21" s="4"/>
      <c r="J21" s="1"/>
      <c r="K21" s="2"/>
      <c r="L21" s="2"/>
    </row>
    <row r="22" spans="1:12" ht="20.100000000000001" customHeight="1">
      <c r="A22" s="11"/>
      <c r="B22" s="2"/>
      <c r="C22" s="15"/>
      <c r="D22" s="11"/>
      <c r="E22" s="31"/>
      <c r="F22" s="19"/>
      <c r="G22" s="16"/>
      <c r="H22" s="3"/>
      <c r="I22" s="4"/>
      <c r="J22" s="1"/>
      <c r="K22" s="2"/>
      <c r="L22" s="2"/>
    </row>
    <row r="23" spans="1:12" ht="20.100000000000001" customHeight="1">
      <c r="A23" s="11"/>
      <c r="B23" s="2"/>
      <c r="C23" s="15"/>
      <c r="D23" s="11"/>
      <c r="E23" s="31"/>
      <c r="F23" s="19"/>
      <c r="G23" s="3"/>
      <c r="H23" s="3"/>
      <c r="I23" s="4"/>
      <c r="J23" s="1"/>
      <c r="K23" s="2"/>
      <c r="L23" s="2"/>
    </row>
    <row r="24" spans="1:12" ht="20.100000000000001" customHeight="1">
      <c r="A24" s="11"/>
      <c r="B24" s="2"/>
      <c r="C24" s="15"/>
      <c r="D24" s="11"/>
      <c r="E24" s="31"/>
      <c r="F24" s="19"/>
      <c r="G24" s="3"/>
      <c r="H24" s="3"/>
      <c r="I24" s="4"/>
      <c r="J24" s="1"/>
      <c r="K24" s="2"/>
      <c r="L24" s="2"/>
    </row>
    <row r="25" spans="1:12" ht="20.100000000000001" customHeight="1">
      <c r="A25" s="11"/>
      <c r="B25" s="2"/>
      <c r="C25" s="15"/>
      <c r="D25" s="11"/>
      <c r="E25" s="31"/>
      <c r="F25" s="19"/>
      <c r="G25" s="3"/>
      <c r="H25" s="3"/>
      <c r="I25" s="4"/>
      <c r="J25" s="1"/>
      <c r="K25" s="2"/>
      <c r="L25" s="2"/>
    </row>
    <row r="26" spans="1:12" ht="20.100000000000001" customHeight="1">
      <c r="A26" s="11"/>
      <c r="B26" s="2"/>
      <c r="C26" s="15"/>
      <c r="D26" s="11"/>
      <c r="E26" s="31"/>
      <c r="F26" s="19"/>
      <c r="G26" s="3"/>
      <c r="H26" s="3"/>
      <c r="I26" s="4"/>
      <c r="J26" s="1"/>
      <c r="K26" s="2"/>
      <c r="L26" s="2"/>
    </row>
    <row r="27" spans="1:12" ht="20.100000000000001" customHeight="1">
      <c r="A27" s="11"/>
      <c r="B27" s="2"/>
      <c r="C27" s="15"/>
      <c r="D27" s="1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3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C28:C31 D19:D21 B5:B27" xr:uid="{00000000-0002-0000-00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pageSetUpPr fitToPage="1"/>
  </sheetPr>
  <dimension ref="A1:AB52"/>
  <sheetViews>
    <sheetView zoomScaleNormal="100" workbookViewId="0">
      <pane ySplit="4" topLeftCell="A5" activePane="bottomLeft" state="frozen"/>
      <selection pane="bottomLeft" activeCell="D3" sqref="D3:F3"/>
    </sheetView>
  </sheetViews>
  <sheetFormatPr defaultRowHeight="15.75"/>
  <cols>
    <col min="1" max="1" width="11" customWidth="1"/>
    <col min="2" max="2" width="10.7109375" customWidth="1"/>
    <col min="3" max="3" width="15.7109375" customWidth="1"/>
    <col min="4" max="4" width="14" customWidth="1"/>
    <col min="5" max="7" width="10" customWidth="1"/>
    <col min="8" max="8" width="9" customWidth="1"/>
    <col min="9" max="9" width="15.85546875" customWidth="1"/>
    <col min="10" max="10" width="13.5703125" bestFit="1" customWidth="1"/>
    <col min="11" max="11" width="12" customWidth="1"/>
    <col min="12" max="12" width="12.14062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54" t="s">
        <v>28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27" t="s">
        <v>8</v>
      </c>
      <c r="B3" s="28">
        <v>115</v>
      </c>
      <c r="C3" s="27" t="s">
        <v>9</v>
      </c>
      <c r="D3" s="55" t="s">
        <v>69</v>
      </c>
      <c r="E3" s="56"/>
      <c r="F3" s="57"/>
      <c r="G3" s="27" t="s">
        <v>10</v>
      </c>
      <c r="H3" s="28" t="s">
        <v>32</v>
      </c>
      <c r="I3" s="27" t="s">
        <v>35</v>
      </c>
      <c r="J3" s="28">
        <v>4516243668</v>
      </c>
      <c r="K3" s="27" t="s">
        <v>11</v>
      </c>
      <c r="L3" s="29" t="s">
        <v>36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5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2" t="s">
        <v>143</v>
      </c>
      <c r="B5" s="2" t="s">
        <v>39</v>
      </c>
      <c r="C5" s="2" t="s">
        <v>40</v>
      </c>
      <c r="D5" s="2" t="s">
        <v>41</v>
      </c>
      <c r="E5" s="3" t="s">
        <v>47</v>
      </c>
      <c r="F5" s="3">
        <v>0</v>
      </c>
      <c r="G5" s="3">
        <v>25</v>
      </c>
      <c r="H5" s="3">
        <v>0</v>
      </c>
      <c r="I5" s="4">
        <v>1</v>
      </c>
      <c r="J5" s="1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2"/>
      <c r="B6" s="2"/>
      <c r="C6" s="2" t="s">
        <v>40</v>
      </c>
      <c r="D6" s="2" t="s">
        <v>42</v>
      </c>
      <c r="E6" s="3" t="s">
        <v>47</v>
      </c>
      <c r="F6" s="3">
        <v>0</v>
      </c>
      <c r="G6" s="3">
        <v>25</v>
      </c>
      <c r="H6" s="3">
        <v>0</v>
      </c>
      <c r="I6" s="4">
        <v>1</v>
      </c>
      <c r="J6" s="1"/>
      <c r="K6" s="13" t="s">
        <v>88</v>
      </c>
      <c r="L6" s="11"/>
      <c r="Z6" t="s">
        <v>38</v>
      </c>
    </row>
    <row r="7" spans="1:28" ht="20.100000000000001" customHeight="1">
      <c r="A7" s="2"/>
      <c r="B7" s="2"/>
      <c r="C7" s="2" t="s">
        <v>40</v>
      </c>
      <c r="D7" s="2" t="s">
        <v>43</v>
      </c>
      <c r="E7" s="3" t="s">
        <v>47</v>
      </c>
      <c r="F7" s="3">
        <v>0</v>
      </c>
      <c r="G7" s="3">
        <v>25</v>
      </c>
      <c r="H7" s="3">
        <v>0</v>
      </c>
      <c r="I7" s="4">
        <v>1</v>
      </c>
      <c r="J7" s="1"/>
      <c r="K7" s="13" t="s">
        <v>88</v>
      </c>
      <c r="L7" s="11"/>
    </row>
    <row r="8" spans="1:28" ht="20.100000000000001" customHeight="1">
      <c r="A8" s="2"/>
      <c r="B8" s="2"/>
      <c r="C8" s="2" t="s">
        <v>40</v>
      </c>
      <c r="D8" s="2" t="s">
        <v>44</v>
      </c>
      <c r="E8" s="3" t="s">
        <v>47</v>
      </c>
      <c r="F8" s="3">
        <v>0</v>
      </c>
      <c r="G8" s="3">
        <v>25</v>
      </c>
      <c r="H8" s="3">
        <v>0</v>
      </c>
      <c r="I8" s="4">
        <v>1</v>
      </c>
      <c r="J8" s="1"/>
      <c r="K8" s="13" t="s">
        <v>88</v>
      </c>
      <c r="L8" s="11"/>
    </row>
    <row r="9" spans="1:28" ht="20.100000000000001" customHeight="1">
      <c r="A9" s="2"/>
      <c r="B9" s="2"/>
      <c r="C9" s="2" t="s">
        <v>40</v>
      </c>
      <c r="D9" s="2" t="s">
        <v>45</v>
      </c>
      <c r="E9" s="3" t="s">
        <v>47</v>
      </c>
      <c r="F9" s="3">
        <v>0</v>
      </c>
      <c r="G9" s="3">
        <v>25</v>
      </c>
      <c r="H9" s="3">
        <v>0</v>
      </c>
      <c r="I9" s="4">
        <v>1</v>
      </c>
      <c r="J9" s="1"/>
      <c r="K9" s="13" t="s">
        <v>88</v>
      </c>
      <c r="L9" s="11"/>
    </row>
    <row r="10" spans="1:28" ht="20.100000000000001" customHeight="1">
      <c r="A10" s="2"/>
      <c r="B10" s="2"/>
      <c r="C10" s="2" t="s">
        <v>40</v>
      </c>
      <c r="D10" s="2" t="s">
        <v>46</v>
      </c>
      <c r="E10" s="3" t="s">
        <v>47</v>
      </c>
      <c r="F10" s="3">
        <v>0</v>
      </c>
      <c r="G10" s="3">
        <v>25</v>
      </c>
      <c r="H10" s="3">
        <v>0</v>
      </c>
      <c r="I10" s="4">
        <v>1</v>
      </c>
      <c r="J10" s="1"/>
      <c r="K10" s="13" t="s">
        <v>88</v>
      </c>
      <c r="L10" s="11"/>
    </row>
    <row r="11" spans="1:28" ht="20.100000000000001" customHeight="1">
      <c r="A11" s="2" t="s">
        <v>143</v>
      </c>
      <c r="B11" s="2" t="s">
        <v>48</v>
      </c>
      <c r="C11" s="2" t="s">
        <v>40</v>
      </c>
      <c r="D11" s="2" t="s">
        <v>53</v>
      </c>
      <c r="E11" s="3">
        <f>SUM(G5:G10)</f>
        <v>150</v>
      </c>
      <c r="F11" s="3">
        <v>0</v>
      </c>
      <c r="G11" s="3">
        <v>150</v>
      </c>
      <c r="H11" s="3">
        <v>0</v>
      </c>
      <c r="I11" s="4">
        <v>1</v>
      </c>
      <c r="J11" s="1"/>
      <c r="K11" s="13" t="s">
        <v>133</v>
      </c>
      <c r="L11" s="11"/>
    </row>
    <row r="12" spans="1:28" ht="20.100000000000001" customHeight="1">
      <c r="A12" s="2" t="s">
        <v>143</v>
      </c>
      <c r="B12" s="2" t="s">
        <v>50</v>
      </c>
      <c r="C12" s="2" t="s">
        <v>40</v>
      </c>
      <c r="D12" s="2" t="s">
        <v>53</v>
      </c>
      <c r="E12" s="3">
        <f>E11</f>
        <v>150</v>
      </c>
      <c r="F12" s="3">
        <v>0</v>
      </c>
      <c r="G12" s="3">
        <v>150</v>
      </c>
      <c r="H12" s="3">
        <v>0</v>
      </c>
      <c r="I12" s="4">
        <v>1</v>
      </c>
      <c r="J12" s="1"/>
      <c r="K12" s="13" t="s">
        <v>133</v>
      </c>
      <c r="L12" s="11"/>
    </row>
    <row r="13" spans="1:28" ht="20.100000000000001" customHeight="1">
      <c r="A13" s="2" t="s">
        <v>143</v>
      </c>
      <c r="B13" s="2" t="s">
        <v>2</v>
      </c>
      <c r="C13" s="2" t="s">
        <v>40</v>
      </c>
      <c r="D13" s="2" t="s">
        <v>53</v>
      </c>
      <c r="E13" s="3">
        <f>E12</f>
        <v>150</v>
      </c>
      <c r="F13" s="3">
        <v>0</v>
      </c>
      <c r="G13" s="3">
        <v>150</v>
      </c>
      <c r="H13" s="3">
        <v>0</v>
      </c>
      <c r="I13" s="4">
        <v>1</v>
      </c>
      <c r="J13" s="1"/>
      <c r="K13" s="13" t="s">
        <v>135</v>
      </c>
      <c r="L13" s="11"/>
    </row>
    <row r="14" spans="1:28" ht="20.100000000000001" customHeight="1">
      <c r="A14" s="2" t="s">
        <v>143</v>
      </c>
      <c r="B14" s="2" t="s">
        <v>52</v>
      </c>
      <c r="C14" s="2" t="s">
        <v>40</v>
      </c>
      <c r="D14" s="2" t="s">
        <v>53</v>
      </c>
      <c r="E14" s="3">
        <f>E13</f>
        <v>150</v>
      </c>
      <c r="F14" s="3">
        <v>0</v>
      </c>
      <c r="G14" s="3">
        <v>150</v>
      </c>
      <c r="H14" s="3">
        <v>0</v>
      </c>
      <c r="I14" s="4">
        <v>1</v>
      </c>
      <c r="J14" s="1"/>
      <c r="K14" s="13" t="s">
        <v>134</v>
      </c>
      <c r="L14" s="11"/>
    </row>
    <row r="15" spans="1:28" ht="20.100000000000001" customHeight="1">
      <c r="A15" s="2" t="s">
        <v>143</v>
      </c>
      <c r="B15" s="2" t="s">
        <v>54</v>
      </c>
      <c r="C15" s="2" t="s">
        <v>40</v>
      </c>
      <c r="D15" s="2" t="s">
        <v>53</v>
      </c>
      <c r="E15" s="3">
        <v>150</v>
      </c>
      <c r="F15" s="3">
        <v>0</v>
      </c>
      <c r="G15" s="3">
        <f>150-11</f>
        <v>139</v>
      </c>
      <c r="H15" s="3">
        <v>11</v>
      </c>
      <c r="I15" s="4">
        <f xml:space="preserve"> IF($D15="","",IF($D15=0,0,$G15/$E15))</f>
        <v>0.92666666666666664</v>
      </c>
      <c r="J15" s="1"/>
      <c r="K15" s="13"/>
      <c r="L15" s="11"/>
    </row>
    <row r="16" spans="1:28" ht="20.100000000000001" customHeight="1">
      <c r="A16" s="2"/>
      <c r="B16" s="2"/>
      <c r="C16" s="2"/>
      <c r="D16" s="1"/>
      <c r="E16" s="2"/>
      <c r="F16" s="3"/>
      <c r="G16" s="3"/>
      <c r="H16" s="3"/>
      <c r="I16" s="4" t="str">
        <f t="shared" ref="I16:I24" si="0">IFERROR(G16/F16,"")</f>
        <v/>
      </c>
      <c r="J16" s="1"/>
      <c r="K16" s="13"/>
      <c r="L16" s="11"/>
    </row>
    <row r="17" spans="1:12" ht="20.100000000000001" customHeight="1">
      <c r="A17" s="2"/>
      <c r="B17" s="2"/>
      <c r="C17" s="2"/>
      <c r="D17" s="1"/>
      <c r="E17" s="2"/>
      <c r="F17" s="3"/>
      <c r="G17" s="3"/>
      <c r="H17" s="3"/>
      <c r="I17" s="4" t="str">
        <f t="shared" si="0"/>
        <v/>
      </c>
      <c r="J17" s="1"/>
      <c r="K17" s="13"/>
      <c r="L17" s="11"/>
    </row>
    <row r="18" spans="1:12" ht="20.100000000000001" customHeight="1">
      <c r="A18" s="2"/>
      <c r="B18" s="2"/>
      <c r="C18" s="2"/>
      <c r="D18" s="1"/>
      <c r="E18" s="2"/>
      <c r="F18" s="3"/>
      <c r="G18" s="3"/>
      <c r="H18" s="3"/>
      <c r="I18" s="4" t="str">
        <f t="shared" si="0"/>
        <v/>
      </c>
      <c r="J18" s="1"/>
      <c r="K18" s="13"/>
      <c r="L18" s="11"/>
    </row>
    <row r="19" spans="1:12" ht="20.100000000000001" customHeight="1">
      <c r="A19" s="2"/>
      <c r="B19" s="2"/>
      <c r="C19" s="2"/>
      <c r="D19" s="1"/>
      <c r="E19" s="2"/>
      <c r="F19" s="3"/>
      <c r="G19" s="3"/>
      <c r="H19" s="3"/>
      <c r="I19" s="4" t="str">
        <f t="shared" si="0"/>
        <v/>
      </c>
      <c r="J19" s="1"/>
      <c r="K19" s="13"/>
      <c r="L19" s="11"/>
    </row>
    <row r="20" spans="1:12" ht="20.100000000000001" customHeight="1">
      <c r="A20" s="2"/>
      <c r="B20" s="2"/>
      <c r="C20" s="2"/>
      <c r="D20" s="1"/>
      <c r="E20" s="2"/>
      <c r="F20" s="3"/>
      <c r="G20" s="3"/>
      <c r="H20" s="3"/>
      <c r="I20" s="4" t="str">
        <f t="shared" si="0"/>
        <v/>
      </c>
      <c r="J20" s="1"/>
      <c r="K20" s="13"/>
      <c r="L20" s="11"/>
    </row>
    <row r="21" spans="1:12" ht="20.100000000000001" customHeight="1">
      <c r="A21" s="2"/>
      <c r="B21" s="2"/>
      <c r="C21" s="2"/>
      <c r="D21" s="1"/>
      <c r="E21" s="2"/>
      <c r="F21" s="3"/>
      <c r="G21" s="3"/>
      <c r="H21" s="3"/>
      <c r="I21" s="4" t="str">
        <f t="shared" si="0"/>
        <v/>
      </c>
      <c r="J21" s="1"/>
      <c r="K21" s="13"/>
      <c r="L21" s="11"/>
    </row>
    <row r="22" spans="1:12" ht="20.100000000000001" customHeight="1">
      <c r="A22" s="2"/>
      <c r="B22" s="2"/>
      <c r="C22" s="2"/>
      <c r="D22" s="1"/>
      <c r="E22" s="2"/>
      <c r="F22" s="3"/>
      <c r="G22" s="3"/>
      <c r="H22" s="3"/>
      <c r="I22" s="4" t="str">
        <f t="shared" si="0"/>
        <v/>
      </c>
      <c r="J22" s="1"/>
      <c r="K22" s="13"/>
      <c r="L22" s="11"/>
    </row>
    <row r="23" spans="1:12" ht="20.100000000000001" customHeight="1">
      <c r="A23" s="2"/>
      <c r="B23" s="2"/>
      <c r="C23" s="2"/>
      <c r="D23" s="1"/>
      <c r="E23" s="2"/>
      <c r="F23" s="3"/>
      <c r="G23" s="3"/>
      <c r="H23" s="3"/>
      <c r="I23" s="4" t="str">
        <f t="shared" si="0"/>
        <v/>
      </c>
      <c r="J23" s="1"/>
      <c r="K23" s="13"/>
      <c r="L23" s="11"/>
    </row>
    <row r="24" spans="1:12" ht="20.100000000000001" customHeight="1">
      <c r="A24" s="2"/>
      <c r="B24" s="2"/>
      <c r="C24" s="2"/>
      <c r="D24" s="1"/>
      <c r="E24" s="2"/>
      <c r="F24" s="3"/>
      <c r="G24" s="3"/>
      <c r="H24" s="3"/>
      <c r="I24" s="4" t="str">
        <f t="shared" si="0"/>
        <v/>
      </c>
      <c r="J24" s="1"/>
      <c r="K24" s="13"/>
      <c r="L24" s="11"/>
    </row>
    <row r="25" spans="1:12" ht="20.100000000000001" customHeight="1">
      <c r="A25" s="2"/>
      <c r="B25" s="2"/>
      <c r="C25" s="2"/>
      <c r="D25" s="1"/>
      <c r="E25" s="2"/>
      <c r="F25" s="3"/>
      <c r="G25" s="3"/>
      <c r="H25" s="3"/>
      <c r="I25" s="4"/>
      <c r="J25" s="1"/>
      <c r="K25" s="13"/>
      <c r="L25" s="11"/>
    </row>
    <row r="26" spans="1:12" ht="20.100000000000001" customHeight="1">
      <c r="A26" s="2"/>
      <c r="B26" s="2"/>
      <c r="C26" s="2"/>
      <c r="D26" s="1"/>
      <c r="E26" s="2"/>
      <c r="F26" s="3"/>
      <c r="G26" s="3"/>
      <c r="H26" s="3"/>
      <c r="I26" s="4"/>
      <c r="J26" s="1"/>
      <c r="K26" s="13"/>
      <c r="L26" s="11"/>
    </row>
    <row r="27" spans="1:12" ht="20.100000000000001" customHeight="1">
      <c r="A27" s="2"/>
      <c r="B27" s="2"/>
      <c r="C27" s="2"/>
      <c r="D27" s="1"/>
      <c r="E27" s="2"/>
      <c r="F27" s="3"/>
      <c r="G27" s="3"/>
      <c r="H27" s="3"/>
      <c r="I27" s="4"/>
      <c r="J27" s="1"/>
      <c r="K27" s="13"/>
      <c r="L27" s="11"/>
    </row>
    <row r="28" spans="1:12" ht="20.100000000000001" customHeight="1">
      <c r="A28" s="2"/>
      <c r="B28" s="2"/>
      <c r="C28" s="2"/>
      <c r="D28" s="1"/>
      <c r="E28" s="2"/>
      <c r="F28" s="3"/>
      <c r="G28" s="3"/>
      <c r="H28" s="3"/>
      <c r="I28" s="4"/>
      <c r="J28" s="1"/>
      <c r="K28" s="13"/>
      <c r="L28" s="11"/>
    </row>
    <row r="29" spans="1:12" ht="20.100000000000001" customHeight="1">
      <c r="A29" s="2"/>
      <c r="B29" s="2"/>
      <c r="C29" s="2"/>
      <c r="D29" s="1"/>
      <c r="E29" s="2"/>
      <c r="F29" s="3"/>
      <c r="G29" s="3"/>
      <c r="H29" s="3"/>
      <c r="I29" s="4"/>
      <c r="J29" s="1"/>
      <c r="K29" s="13"/>
      <c r="L29" s="11"/>
    </row>
    <row r="30" spans="1:12" ht="20.100000000000001" customHeight="1">
      <c r="A30" s="2"/>
      <c r="B30" s="2"/>
      <c r="C30" s="2"/>
      <c r="D30" s="1"/>
      <c r="E30" s="2"/>
      <c r="F30" s="3"/>
      <c r="G30" s="3"/>
      <c r="H30" s="3"/>
      <c r="I30" s="4"/>
      <c r="J30" s="1"/>
      <c r="K30" s="13"/>
      <c r="L30" s="11"/>
    </row>
    <row r="31" spans="1:12" ht="20.100000000000001" customHeight="1">
      <c r="A31" s="2"/>
      <c r="B31" s="2"/>
      <c r="C31" s="2"/>
      <c r="D31" s="1"/>
      <c r="E31" s="2"/>
      <c r="F31" s="3"/>
      <c r="G31" s="3"/>
      <c r="H31" s="3"/>
      <c r="I31" s="4"/>
      <c r="J31" s="1"/>
      <c r="K31" s="13"/>
      <c r="L31" s="11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L1"/>
    <mergeCell ref="A2:L2"/>
    <mergeCell ref="D3:F3"/>
    <mergeCell ref="D33:G33"/>
    <mergeCell ref="A33:C33"/>
    <mergeCell ref="H33:K33"/>
    <mergeCell ref="A32:D32"/>
  </mergeCells>
  <phoneticPr fontId="5" type="noConversion"/>
  <dataValidations count="1">
    <dataValidation type="list" allowBlank="1" sqref="C16:C31 B5:B15" xr:uid="{00000000-0002-0000-01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AB52"/>
  <sheetViews>
    <sheetView showGridLines="0" zoomScaleNormal="100" workbookViewId="0">
      <pane ySplit="4" topLeftCell="A5" activePane="bottomLeft" state="frozen"/>
      <selection pane="bottomLeft" activeCell="D4" sqref="D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106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4516243668</v>
      </c>
      <c r="K3" s="6" t="s">
        <v>11</v>
      </c>
      <c r="L3" s="11" t="s">
        <v>55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5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2" t="s">
        <v>141</v>
      </c>
      <c r="B5" s="2" t="s">
        <v>39</v>
      </c>
      <c r="C5" s="2" t="s">
        <v>40</v>
      </c>
      <c r="D5" s="2" t="s">
        <v>57</v>
      </c>
      <c r="E5" s="3" t="s">
        <v>47</v>
      </c>
      <c r="F5" s="3">
        <v>0</v>
      </c>
      <c r="G5" s="3">
        <v>25</v>
      </c>
      <c r="H5" s="3">
        <v>0</v>
      </c>
      <c r="I5" s="4">
        <v>1</v>
      </c>
      <c r="J5" s="1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2"/>
      <c r="B6" s="2"/>
      <c r="C6" s="2" t="s">
        <v>40</v>
      </c>
      <c r="D6" s="2" t="s">
        <v>58</v>
      </c>
      <c r="E6" s="3" t="s">
        <v>47</v>
      </c>
      <c r="F6" s="3">
        <v>4</v>
      </c>
      <c r="G6" s="3">
        <v>21</v>
      </c>
      <c r="H6" s="3">
        <v>0</v>
      </c>
      <c r="I6" s="4">
        <v>1</v>
      </c>
      <c r="J6" s="1"/>
      <c r="K6" s="13" t="s">
        <v>88</v>
      </c>
      <c r="L6" s="11"/>
      <c r="Z6" t="s">
        <v>38</v>
      </c>
    </row>
    <row r="7" spans="1:28" ht="20.100000000000001" customHeight="1">
      <c r="A7" s="2"/>
      <c r="B7" s="2"/>
      <c r="C7" s="2" t="s">
        <v>40</v>
      </c>
      <c r="D7" s="2" t="s">
        <v>59</v>
      </c>
      <c r="E7" s="3" t="s">
        <v>47</v>
      </c>
      <c r="F7" s="3">
        <v>0</v>
      </c>
      <c r="G7" s="3">
        <v>25</v>
      </c>
      <c r="H7" s="3">
        <v>0</v>
      </c>
      <c r="I7" s="4">
        <v>1</v>
      </c>
      <c r="J7" s="1"/>
      <c r="K7" s="13" t="s">
        <v>88</v>
      </c>
      <c r="L7" s="11"/>
    </row>
    <row r="8" spans="1:28" ht="20.100000000000001" customHeight="1">
      <c r="A8" s="2"/>
      <c r="B8" s="2"/>
      <c r="C8" s="2" t="s">
        <v>40</v>
      </c>
      <c r="D8" s="2" t="s">
        <v>60</v>
      </c>
      <c r="E8" s="3" t="s">
        <v>47</v>
      </c>
      <c r="F8" s="3">
        <v>8</v>
      </c>
      <c r="G8" s="3">
        <v>17</v>
      </c>
      <c r="H8" s="3">
        <v>0</v>
      </c>
      <c r="I8" s="4">
        <v>1</v>
      </c>
      <c r="J8" s="1"/>
      <c r="K8" s="13" t="s">
        <v>88</v>
      </c>
      <c r="L8" s="11"/>
    </row>
    <row r="9" spans="1:28" ht="20.100000000000001" customHeight="1">
      <c r="A9" s="2"/>
      <c r="B9" s="2"/>
      <c r="C9" s="2" t="s">
        <v>40</v>
      </c>
      <c r="D9" s="2" t="s">
        <v>61</v>
      </c>
      <c r="E9" s="3" t="s">
        <v>47</v>
      </c>
      <c r="F9" s="3">
        <v>0</v>
      </c>
      <c r="G9" s="3">
        <v>25</v>
      </c>
      <c r="H9" s="3">
        <v>0</v>
      </c>
      <c r="I9" s="4">
        <v>1</v>
      </c>
      <c r="J9" s="1"/>
      <c r="K9" s="13" t="s">
        <v>88</v>
      </c>
      <c r="L9" s="11"/>
    </row>
    <row r="10" spans="1:28" ht="20.100000000000001" customHeight="1">
      <c r="A10" s="2"/>
      <c r="B10" s="2"/>
      <c r="C10" s="2" t="s">
        <v>40</v>
      </c>
      <c r="D10" s="2" t="s">
        <v>62</v>
      </c>
      <c r="E10" s="3" t="s">
        <v>47</v>
      </c>
      <c r="F10" s="3">
        <v>0</v>
      </c>
      <c r="G10" s="3">
        <v>25</v>
      </c>
      <c r="H10" s="3">
        <v>0</v>
      </c>
      <c r="I10" s="4">
        <v>1</v>
      </c>
      <c r="J10" s="1"/>
      <c r="K10" s="13" t="s">
        <v>88</v>
      </c>
      <c r="L10" s="11"/>
    </row>
    <row r="11" spans="1:28" ht="20.100000000000001" customHeight="1">
      <c r="A11" s="2"/>
      <c r="B11" s="2"/>
      <c r="C11" s="2" t="s">
        <v>40</v>
      </c>
      <c r="D11" s="2" t="s">
        <v>63</v>
      </c>
      <c r="E11" s="3" t="s">
        <v>47</v>
      </c>
      <c r="F11" s="3">
        <v>14</v>
      </c>
      <c r="G11" s="3">
        <v>11</v>
      </c>
      <c r="H11" s="3">
        <v>0</v>
      </c>
      <c r="I11" s="4">
        <v>1</v>
      </c>
      <c r="J11" s="1"/>
      <c r="K11" s="13" t="s">
        <v>88</v>
      </c>
      <c r="L11" s="11"/>
    </row>
    <row r="12" spans="1:28" ht="20.100000000000001" customHeight="1">
      <c r="A12" s="2"/>
      <c r="B12" s="2"/>
      <c r="C12" s="2" t="s">
        <v>40</v>
      </c>
      <c r="D12" s="2" t="s">
        <v>64</v>
      </c>
      <c r="E12" s="3" t="s">
        <v>47</v>
      </c>
      <c r="F12" s="3">
        <v>0</v>
      </c>
      <c r="G12" s="3">
        <v>25</v>
      </c>
      <c r="H12" s="3">
        <v>0</v>
      </c>
      <c r="I12" s="4">
        <v>1</v>
      </c>
      <c r="J12" s="1"/>
      <c r="K12" s="13" t="s">
        <v>88</v>
      </c>
      <c r="L12" s="11"/>
    </row>
    <row r="13" spans="1:28" ht="20.100000000000001" customHeight="1">
      <c r="A13" s="2"/>
      <c r="B13" s="2"/>
      <c r="C13" s="2" t="s">
        <v>40</v>
      </c>
      <c r="D13" s="2" t="s">
        <v>65</v>
      </c>
      <c r="E13" s="3" t="s">
        <v>47</v>
      </c>
      <c r="F13" s="3">
        <v>12</v>
      </c>
      <c r="G13" s="3">
        <v>13</v>
      </c>
      <c r="H13" s="3">
        <v>0</v>
      </c>
      <c r="I13" s="4">
        <v>1</v>
      </c>
      <c r="J13" s="1"/>
      <c r="K13" s="2" t="s">
        <v>88</v>
      </c>
      <c r="L13" s="18"/>
    </row>
    <row r="14" spans="1:28">
      <c r="A14" s="2"/>
      <c r="B14" s="2"/>
      <c r="C14" s="2" t="s">
        <v>40</v>
      </c>
      <c r="D14" s="2" t="s">
        <v>66</v>
      </c>
      <c r="E14" s="3" t="s">
        <v>47</v>
      </c>
      <c r="F14" s="3">
        <v>0</v>
      </c>
      <c r="G14" s="3">
        <v>25</v>
      </c>
      <c r="H14" s="3">
        <v>0</v>
      </c>
      <c r="I14" s="4">
        <v>1</v>
      </c>
      <c r="J14" s="1"/>
      <c r="K14" s="2" t="s">
        <v>88</v>
      </c>
      <c r="L14" s="2" t="s">
        <v>132</v>
      </c>
    </row>
    <row r="15" spans="1:28" ht="20.100000000000001" customHeight="1">
      <c r="A15" s="2" t="s">
        <v>141</v>
      </c>
      <c r="B15" s="2" t="s">
        <v>48</v>
      </c>
      <c r="C15" s="2" t="s">
        <v>40</v>
      </c>
      <c r="D15" s="2" t="s">
        <v>53</v>
      </c>
      <c r="E15" s="3">
        <f>SUM(G5:G14)</f>
        <v>212</v>
      </c>
      <c r="F15" s="3">
        <f>SUM(G5:G14)</f>
        <v>212</v>
      </c>
      <c r="G15" s="3">
        <f>F15</f>
        <v>212</v>
      </c>
      <c r="H15" s="3">
        <v>0</v>
      </c>
      <c r="I15" s="4">
        <f t="shared" ref="I15:I24" si="0">IFERROR(G15/F15,"")</f>
        <v>1</v>
      </c>
      <c r="J15" s="1"/>
      <c r="K15" s="2" t="s">
        <v>133</v>
      </c>
      <c r="L15" s="2"/>
    </row>
    <row r="16" spans="1:28" ht="20.100000000000001" customHeight="1">
      <c r="A16" s="2" t="s">
        <v>141</v>
      </c>
      <c r="B16" s="2" t="s">
        <v>50</v>
      </c>
      <c r="C16" s="2" t="s">
        <v>40</v>
      </c>
      <c r="D16" s="2" t="s">
        <v>53</v>
      </c>
      <c r="E16" s="3">
        <f t="shared" ref="E16:G17" si="1">E15</f>
        <v>212</v>
      </c>
      <c r="F16" s="3">
        <f t="shared" si="1"/>
        <v>212</v>
      </c>
      <c r="G16" s="3">
        <f t="shared" si="1"/>
        <v>212</v>
      </c>
      <c r="H16" s="3">
        <v>0</v>
      </c>
      <c r="I16" s="4">
        <f t="shared" si="0"/>
        <v>1</v>
      </c>
      <c r="J16" s="1"/>
      <c r="K16" s="2" t="s">
        <v>133</v>
      </c>
      <c r="L16" s="2"/>
    </row>
    <row r="17" spans="1:12" ht="20.100000000000001" customHeight="1">
      <c r="A17" s="2" t="s">
        <v>141</v>
      </c>
      <c r="B17" s="2" t="s">
        <v>2</v>
      </c>
      <c r="C17" s="2" t="s">
        <v>40</v>
      </c>
      <c r="D17" s="2" t="s">
        <v>53</v>
      </c>
      <c r="E17" s="3">
        <f t="shared" si="1"/>
        <v>212</v>
      </c>
      <c r="F17" s="3">
        <f t="shared" si="1"/>
        <v>212</v>
      </c>
      <c r="G17" s="3">
        <f t="shared" si="1"/>
        <v>212</v>
      </c>
      <c r="H17" s="3">
        <v>0</v>
      </c>
      <c r="I17" s="4">
        <f t="shared" si="0"/>
        <v>1</v>
      </c>
      <c r="J17" s="1"/>
      <c r="K17" s="2" t="s">
        <v>135</v>
      </c>
      <c r="L17" s="2"/>
    </row>
    <row r="18" spans="1:12" ht="20.100000000000001" customHeight="1">
      <c r="A18" s="2" t="s">
        <v>141</v>
      </c>
      <c r="B18" s="2" t="s">
        <v>52</v>
      </c>
      <c r="C18" s="2" t="s">
        <v>40</v>
      </c>
      <c r="D18" s="2" t="s">
        <v>53</v>
      </c>
      <c r="E18" s="3">
        <f>E17</f>
        <v>212</v>
      </c>
      <c r="F18" s="3">
        <f>F17</f>
        <v>212</v>
      </c>
      <c r="G18" s="3">
        <f>F17</f>
        <v>212</v>
      </c>
      <c r="H18" s="3">
        <v>0</v>
      </c>
      <c r="I18" s="4">
        <f t="shared" si="0"/>
        <v>1</v>
      </c>
      <c r="J18" s="1"/>
      <c r="K18" s="2" t="s">
        <v>88</v>
      </c>
      <c r="L18" s="2"/>
    </row>
    <row r="19" spans="1:12" ht="20.100000000000001" customHeight="1">
      <c r="A19" s="2" t="s">
        <v>141</v>
      </c>
      <c r="B19" s="2" t="s">
        <v>54</v>
      </c>
      <c r="C19" s="2" t="s">
        <v>40</v>
      </c>
      <c r="D19" s="2" t="s">
        <v>53</v>
      </c>
      <c r="E19" s="3">
        <v>212</v>
      </c>
      <c r="F19" s="3">
        <v>212</v>
      </c>
      <c r="G19" s="3">
        <f>F19-H19</f>
        <v>199</v>
      </c>
      <c r="H19" s="3">
        <v>13</v>
      </c>
      <c r="I19" s="4">
        <f t="shared" si="0"/>
        <v>0.93867924528301883</v>
      </c>
      <c r="J19" s="1"/>
      <c r="K19" s="2" t="s">
        <v>136</v>
      </c>
      <c r="L19" s="2"/>
    </row>
    <row r="20" spans="1:12" ht="20.100000000000001" customHeight="1">
      <c r="A20" s="2"/>
      <c r="B20" s="2"/>
      <c r="C20" s="2"/>
      <c r="D20" s="1"/>
      <c r="E20" s="2"/>
      <c r="F20" s="3"/>
      <c r="G20" s="3"/>
      <c r="H20" s="3"/>
      <c r="I20" s="4" t="str">
        <f t="shared" si="0"/>
        <v/>
      </c>
      <c r="J20" s="1"/>
      <c r="K20" s="2"/>
      <c r="L20" s="2"/>
    </row>
    <row r="21" spans="1:12" ht="20.100000000000001" customHeight="1">
      <c r="A21" s="2"/>
      <c r="B21" s="2"/>
      <c r="C21" s="2"/>
      <c r="D21" s="1"/>
      <c r="E21" s="2"/>
      <c r="F21" s="3"/>
      <c r="G21" s="3"/>
      <c r="H21" s="3"/>
      <c r="I21" s="4" t="str">
        <f t="shared" si="0"/>
        <v/>
      </c>
      <c r="J21" s="1"/>
      <c r="K21" s="2"/>
      <c r="L21" s="2"/>
    </row>
    <row r="22" spans="1:12" ht="20.100000000000001" customHeight="1">
      <c r="A22" s="2"/>
      <c r="B22" s="2"/>
      <c r="C22" s="2"/>
      <c r="D22" s="1"/>
      <c r="E22" s="2"/>
      <c r="F22" s="3"/>
      <c r="G22" s="3"/>
      <c r="H22" s="3"/>
      <c r="I22" s="4" t="str">
        <f t="shared" si="0"/>
        <v/>
      </c>
      <c r="J22" s="1"/>
      <c r="K22" s="2"/>
      <c r="L22" s="2"/>
    </row>
    <row r="23" spans="1:12" ht="20.100000000000001" customHeight="1">
      <c r="A23" s="2"/>
      <c r="B23" s="2"/>
      <c r="C23" s="2"/>
      <c r="D23" s="1"/>
      <c r="E23" s="2"/>
      <c r="F23" s="3"/>
      <c r="G23" s="3"/>
      <c r="H23" s="3"/>
      <c r="I23" s="4" t="str">
        <f t="shared" si="0"/>
        <v/>
      </c>
      <c r="J23" s="1"/>
      <c r="K23" s="2"/>
      <c r="L23" s="2"/>
    </row>
    <row r="24" spans="1:12" ht="20.100000000000001" customHeight="1">
      <c r="A24" s="2"/>
      <c r="B24" s="2"/>
      <c r="C24" s="2"/>
      <c r="D24" s="1"/>
      <c r="E24" s="2"/>
      <c r="F24" s="3"/>
      <c r="G24" s="3"/>
      <c r="H24" s="3"/>
      <c r="I24" s="4" t="str">
        <f t="shared" si="0"/>
        <v/>
      </c>
      <c r="J24" s="1"/>
      <c r="K24" s="2"/>
      <c r="L24" s="2"/>
    </row>
    <row r="25" spans="1:12" ht="20.100000000000001" customHeight="1">
      <c r="A25" s="2"/>
      <c r="B25" s="2"/>
      <c r="C25" s="2"/>
      <c r="D25" s="1"/>
      <c r="E25" s="2"/>
      <c r="F25" s="3"/>
      <c r="G25" s="3"/>
      <c r="H25" s="3"/>
      <c r="I25" s="4"/>
      <c r="J25" s="1"/>
      <c r="K25" s="2"/>
      <c r="L25" s="2"/>
    </row>
    <row r="26" spans="1:12" ht="20.100000000000001" customHeight="1">
      <c r="A26" s="2"/>
      <c r="B26" s="2"/>
      <c r="C26" s="2"/>
      <c r="D26" s="1"/>
      <c r="E26" s="2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2"/>
      <c r="B27" s="2"/>
      <c r="C27" s="2"/>
      <c r="D27" s="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2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2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2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2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C20:C31 B5:B10 B15:B19" xr:uid="{00000000-0002-0000-02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AB52"/>
  <sheetViews>
    <sheetView showGridLines="0" zoomScaleNormal="100" workbookViewId="0">
      <pane ySplit="4" topLeftCell="A5" activePane="bottomLeft" state="frozen"/>
      <selection pane="bottomLeft" activeCell="D4" sqref="D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147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4516243668</v>
      </c>
      <c r="K3" s="6" t="s">
        <v>11</v>
      </c>
      <c r="L3" s="11" t="s">
        <v>56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5" t="s">
        <v>33</v>
      </c>
      <c r="E4" s="5" t="s">
        <v>16</v>
      </c>
      <c r="F4" s="17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2" t="s">
        <v>142</v>
      </c>
      <c r="B5" s="2" t="s">
        <v>39</v>
      </c>
      <c r="C5" s="2" t="s">
        <v>40</v>
      </c>
      <c r="D5" s="2" t="s">
        <v>70</v>
      </c>
      <c r="E5" s="21">
        <v>25</v>
      </c>
      <c r="F5" s="3">
        <v>14</v>
      </c>
      <c r="G5" s="16">
        <v>11</v>
      </c>
      <c r="H5" s="3">
        <v>0</v>
      </c>
      <c r="I5" s="4">
        <v>1</v>
      </c>
      <c r="J5" s="1" t="s">
        <v>81</v>
      </c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2"/>
      <c r="B6" s="2"/>
      <c r="C6" s="2" t="s">
        <v>40</v>
      </c>
      <c r="D6" s="2" t="s">
        <v>71</v>
      </c>
      <c r="E6" s="21">
        <v>25</v>
      </c>
      <c r="F6" s="3">
        <v>2</v>
      </c>
      <c r="G6" s="16">
        <v>23</v>
      </c>
      <c r="H6" s="3">
        <v>0</v>
      </c>
      <c r="I6" s="4">
        <v>1</v>
      </c>
      <c r="J6" s="1" t="s">
        <v>86</v>
      </c>
      <c r="K6" s="13" t="s">
        <v>88</v>
      </c>
      <c r="L6" s="11"/>
      <c r="Z6" t="s">
        <v>38</v>
      </c>
    </row>
    <row r="7" spans="1:28" ht="20.100000000000001" customHeight="1">
      <c r="A7" s="2"/>
      <c r="B7" s="2"/>
      <c r="C7" s="2" t="s">
        <v>40</v>
      </c>
      <c r="D7" s="2" t="s">
        <v>72</v>
      </c>
      <c r="E7" s="21">
        <v>25</v>
      </c>
      <c r="F7" s="3">
        <v>0</v>
      </c>
      <c r="G7" s="16">
        <v>25</v>
      </c>
      <c r="H7" s="3">
        <v>0</v>
      </c>
      <c r="I7" s="4">
        <v>1</v>
      </c>
      <c r="J7" s="1"/>
      <c r="K7" s="13" t="s">
        <v>88</v>
      </c>
      <c r="L7" s="11"/>
    </row>
    <row r="8" spans="1:28" ht="20.100000000000001" customHeight="1">
      <c r="A8" s="2"/>
      <c r="B8" s="2"/>
      <c r="C8" s="2" t="s">
        <v>40</v>
      </c>
      <c r="D8" s="2" t="s">
        <v>73</v>
      </c>
      <c r="E8" s="21">
        <v>25</v>
      </c>
      <c r="F8" s="3">
        <v>0</v>
      </c>
      <c r="G8" s="16">
        <v>25</v>
      </c>
      <c r="H8" s="3">
        <v>0</v>
      </c>
      <c r="I8" s="4">
        <v>1</v>
      </c>
      <c r="J8" s="1"/>
      <c r="K8" s="13" t="s">
        <v>88</v>
      </c>
      <c r="L8" s="11"/>
    </row>
    <row r="9" spans="1:28" ht="20.100000000000001" customHeight="1">
      <c r="A9" s="2"/>
      <c r="B9" s="2"/>
      <c r="C9" s="2" t="s">
        <v>40</v>
      </c>
      <c r="D9" s="2" t="s">
        <v>74</v>
      </c>
      <c r="E9" s="21">
        <v>25</v>
      </c>
      <c r="F9" s="3">
        <v>11</v>
      </c>
      <c r="G9" s="16">
        <v>14</v>
      </c>
      <c r="H9" s="3">
        <v>0</v>
      </c>
      <c r="I9" s="4">
        <v>1</v>
      </c>
      <c r="J9" s="1" t="s">
        <v>87</v>
      </c>
      <c r="K9" s="13" t="s">
        <v>88</v>
      </c>
      <c r="L9" s="11"/>
    </row>
    <row r="10" spans="1:28" ht="20.100000000000001" customHeight="1">
      <c r="A10" s="2"/>
      <c r="B10" s="2"/>
      <c r="C10" s="2" t="s">
        <v>40</v>
      </c>
      <c r="D10" s="2" t="s">
        <v>75</v>
      </c>
      <c r="E10" s="21">
        <v>25</v>
      </c>
      <c r="F10" s="3">
        <v>2</v>
      </c>
      <c r="G10" s="16">
        <v>23</v>
      </c>
      <c r="H10" s="3">
        <v>0</v>
      </c>
      <c r="I10" s="4">
        <v>1</v>
      </c>
      <c r="J10" s="1" t="s">
        <v>86</v>
      </c>
      <c r="K10" s="13" t="s">
        <v>88</v>
      </c>
      <c r="L10" s="11"/>
    </row>
    <row r="11" spans="1:28" ht="20.100000000000001" customHeight="1">
      <c r="A11" s="2"/>
      <c r="B11" s="2"/>
      <c r="C11" s="2" t="s">
        <v>40</v>
      </c>
      <c r="D11" s="2" t="s">
        <v>76</v>
      </c>
      <c r="E11" s="21">
        <v>25</v>
      </c>
      <c r="F11" s="3">
        <v>19</v>
      </c>
      <c r="G11" s="16">
        <v>6</v>
      </c>
      <c r="H11" s="3">
        <v>0</v>
      </c>
      <c r="I11" s="4">
        <v>1</v>
      </c>
      <c r="J11" s="1" t="s">
        <v>85</v>
      </c>
      <c r="K11" s="13" t="s">
        <v>88</v>
      </c>
      <c r="L11" s="11"/>
    </row>
    <row r="12" spans="1:28" ht="20.100000000000001" customHeight="1">
      <c r="A12" s="2"/>
      <c r="B12" s="2"/>
      <c r="C12" s="2" t="s">
        <v>40</v>
      </c>
      <c r="D12" s="2" t="s">
        <v>77</v>
      </c>
      <c r="E12" s="21">
        <v>25</v>
      </c>
      <c r="F12" s="3">
        <v>25</v>
      </c>
      <c r="G12" s="16">
        <v>0</v>
      </c>
      <c r="H12" s="3">
        <v>0</v>
      </c>
      <c r="I12" s="4">
        <v>1</v>
      </c>
      <c r="J12" s="1" t="s">
        <v>82</v>
      </c>
      <c r="K12" s="13" t="s">
        <v>88</v>
      </c>
      <c r="L12" s="11"/>
    </row>
    <row r="13" spans="1:28" ht="20.100000000000001" customHeight="1">
      <c r="A13" s="2"/>
      <c r="B13" s="2"/>
      <c r="C13" s="2" t="s">
        <v>40</v>
      </c>
      <c r="D13" s="2" t="s">
        <v>78</v>
      </c>
      <c r="E13" s="21">
        <v>25</v>
      </c>
      <c r="F13" s="3">
        <v>19</v>
      </c>
      <c r="G13" s="16">
        <v>6</v>
      </c>
      <c r="H13" s="3">
        <v>0</v>
      </c>
      <c r="I13" s="4">
        <v>1</v>
      </c>
      <c r="J13" s="1" t="s">
        <v>85</v>
      </c>
      <c r="K13" s="13" t="s">
        <v>88</v>
      </c>
      <c r="L13" s="11"/>
    </row>
    <row r="14" spans="1:28" ht="20.100000000000001" customHeight="1">
      <c r="A14" s="2"/>
      <c r="B14" s="2"/>
      <c r="C14" s="2" t="s">
        <v>40</v>
      </c>
      <c r="D14" s="2" t="s">
        <v>79</v>
      </c>
      <c r="E14" s="21">
        <v>25</v>
      </c>
      <c r="F14" s="3">
        <v>8</v>
      </c>
      <c r="G14" s="16">
        <v>17</v>
      </c>
      <c r="H14" s="3">
        <v>0</v>
      </c>
      <c r="I14" s="4">
        <v>1</v>
      </c>
      <c r="J14" s="1" t="s">
        <v>84</v>
      </c>
      <c r="K14" s="2" t="s">
        <v>88</v>
      </c>
      <c r="L14" s="18"/>
    </row>
    <row r="15" spans="1:28">
      <c r="A15" s="2"/>
      <c r="B15" s="2"/>
      <c r="C15" s="2" t="s">
        <v>40</v>
      </c>
      <c r="D15" s="2" t="s">
        <v>80</v>
      </c>
      <c r="E15" s="21">
        <v>25</v>
      </c>
      <c r="F15" s="3">
        <v>15</v>
      </c>
      <c r="G15" s="16">
        <v>10</v>
      </c>
      <c r="H15" s="3">
        <v>0</v>
      </c>
      <c r="I15" s="4">
        <v>1</v>
      </c>
      <c r="J15" s="1" t="s">
        <v>83</v>
      </c>
      <c r="K15" s="2" t="s">
        <v>88</v>
      </c>
      <c r="L15" s="2" t="s">
        <v>131</v>
      </c>
    </row>
    <row r="16" spans="1:28" ht="20.100000000000001" customHeight="1">
      <c r="A16" s="2" t="s">
        <v>142</v>
      </c>
      <c r="B16" s="2" t="s">
        <v>48</v>
      </c>
      <c r="C16" s="2" t="s">
        <v>40</v>
      </c>
      <c r="D16" s="2" t="s">
        <v>67</v>
      </c>
      <c r="E16" s="21">
        <f>SUM(G5:G15)</f>
        <v>160</v>
      </c>
      <c r="F16" s="2">
        <v>0</v>
      </c>
      <c r="G16" s="16">
        <f>E16</f>
        <v>160</v>
      </c>
      <c r="H16" s="3">
        <v>0</v>
      </c>
      <c r="I16" s="4">
        <f>IFERROR(G16/E16,"")</f>
        <v>1</v>
      </c>
      <c r="J16" s="1"/>
      <c r="K16" s="2"/>
      <c r="L16" s="2"/>
    </row>
    <row r="17" spans="1:12" ht="20.100000000000001" customHeight="1">
      <c r="A17" s="2" t="s">
        <v>142</v>
      </c>
      <c r="B17" s="2" t="s">
        <v>50</v>
      </c>
      <c r="C17" s="2" t="s">
        <v>40</v>
      </c>
      <c r="D17" s="2" t="s">
        <v>67</v>
      </c>
      <c r="E17" s="21">
        <f>E16</f>
        <v>160</v>
      </c>
      <c r="F17" s="2">
        <v>0</v>
      </c>
      <c r="G17" s="16">
        <f>E16</f>
        <v>160</v>
      </c>
      <c r="H17" s="3">
        <v>0</v>
      </c>
      <c r="I17" s="4">
        <f>IFERROR(G17/E17,"")</f>
        <v>1</v>
      </c>
      <c r="J17" s="1"/>
      <c r="K17" s="2"/>
      <c r="L17" s="2"/>
    </row>
    <row r="18" spans="1:12" ht="20.100000000000001" customHeight="1">
      <c r="A18" s="2" t="s">
        <v>142</v>
      </c>
      <c r="B18" s="2" t="s">
        <v>2</v>
      </c>
      <c r="C18" s="2" t="s">
        <v>40</v>
      </c>
      <c r="D18" s="2" t="s">
        <v>67</v>
      </c>
      <c r="E18" s="21">
        <v>160</v>
      </c>
      <c r="F18" s="2">
        <v>0</v>
      </c>
      <c r="G18" s="16">
        <v>160</v>
      </c>
      <c r="H18" s="3">
        <v>0</v>
      </c>
      <c r="I18" s="4">
        <f>IFERROR(G18/E18,"")</f>
        <v>1</v>
      </c>
      <c r="J18" s="1"/>
      <c r="K18" s="2" t="s">
        <v>89</v>
      </c>
      <c r="L18" s="2"/>
    </row>
    <row r="19" spans="1:12" ht="20.100000000000001" customHeight="1">
      <c r="A19" s="2" t="s">
        <v>142</v>
      </c>
      <c r="B19" s="2" t="s">
        <v>52</v>
      </c>
      <c r="C19" s="2" t="s">
        <v>40</v>
      </c>
      <c r="D19" s="2" t="s">
        <v>67</v>
      </c>
      <c r="E19" s="21">
        <v>160</v>
      </c>
      <c r="F19" s="2">
        <v>0</v>
      </c>
      <c r="G19" s="16">
        <v>160</v>
      </c>
      <c r="H19" s="3">
        <v>0</v>
      </c>
      <c r="I19" s="4">
        <f>IFERROR(G19/E19,"")</f>
        <v>1</v>
      </c>
      <c r="J19" s="1"/>
      <c r="K19" s="2" t="s">
        <v>88</v>
      </c>
      <c r="L19" s="2"/>
    </row>
    <row r="20" spans="1:12" ht="20.100000000000001" customHeight="1">
      <c r="A20" s="2" t="s">
        <v>142</v>
      </c>
      <c r="B20" s="2" t="s">
        <v>54</v>
      </c>
      <c r="C20" s="2" t="s">
        <v>40</v>
      </c>
      <c r="D20" s="2" t="s">
        <v>53</v>
      </c>
      <c r="E20" s="21">
        <v>160</v>
      </c>
      <c r="F20" s="2">
        <v>0</v>
      </c>
      <c r="G20" s="16">
        <f>E20-H20</f>
        <v>150</v>
      </c>
      <c r="H20" s="3">
        <v>10</v>
      </c>
      <c r="I20" s="4">
        <f>IFERROR(G20/E20,"")</f>
        <v>0.9375</v>
      </c>
      <c r="J20" s="1"/>
      <c r="K20" s="2" t="s">
        <v>90</v>
      </c>
      <c r="L20" s="2"/>
    </row>
    <row r="21" spans="1:12" ht="20.100000000000001" customHeight="1">
      <c r="A21" s="2"/>
      <c r="B21" s="2"/>
      <c r="C21" s="2"/>
      <c r="D21" s="1"/>
      <c r="E21" s="2"/>
      <c r="F21" s="22"/>
      <c r="G21" s="3"/>
      <c r="H21" s="3"/>
      <c r="I21" s="4" t="str">
        <f t="shared" ref="I21:I24" si="0">IFERROR(G21/F21,"")</f>
        <v/>
      </c>
      <c r="J21" s="1"/>
      <c r="K21" s="2"/>
      <c r="L21" s="2"/>
    </row>
    <row r="22" spans="1:12" ht="20.100000000000001" customHeight="1">
      <c r="A22" s="2"/>
      <c r="B22" s="2"/>
      <c r="C22" s="2"/>
      <c r="D22" s="1"/>
      <c r="E22" s="2"/>
      <c r="F22" s="3"/>
      <c r="G22" s="3"/>
      <c r="H22" s="3"/>
      <c r="I22" s="4" t="str">
        <f t="shared" si="0"/>
        <v/>
      </c>
      <c r="J22" s="1"/>
      <c r="K22" s="2"/>
      <c r="L22" s="2"/>
    </row>
    <row r="23" spans="1:12" ht="20.100000000000001" customHeight="1">
      <c r="A23" s="2"/>
      <c r="B23" s="2"/>
      <c r="C23" s="2"/>
      <c r="D23" s="1"/>
      <c r="E23" s="2"/>
      <c r="F23" s="3"/>
      <c r="G23" s="3"/>
      <c r="H23" s="3"/>
      <c r="I23" s="4" t="str">
        <f t="shared" si="0"/>
        <v/>
      </c>
      <c r="J23" s="1"/>
      <c r="K23" s="2"/>
      <c r="L23" s="2"/>
    </row>
    <row r="24" spans="1:12" ht="20.100000000000001" customHeight="1">
      <c r="A24" s="2"/>
      <c r="B24" s="2"/>
      <c r="C24" s="2"/>
      <c r="D24" s="1"/>
      <c r="E24" s="2"/>
      <c r="F24" s="3"/>
      <c r="G24" s="3"/>
      <c r="H24" s="3"/>
      <c r="I24" s="4" t="str">
        <f t="shared" si="0"/>
        <v/>
      </c>
      <c r="J24" s="1"/>
      <c r="K24" s="2"/>
      <c r="L24" s="2"/>
    </row>
    <row r="25" spans="1:12" ht="20.100000000000001" customHeight="1">
      <c r="A25" s="2"/>
      <c r="B25" s="2"/>
      <c r="C25" s="2"/>
      <c r="D25" s="1"/>
      <c r="E25" s="2"/>
      <c r="F25" s="3"/>
      <c r="G25" s="3"/>
      <c r="H25" s="3"/>
      <c r="I25" s="4"/>
      <c r="J25" s="1"/>
      <c r="K25" s="2"/>
      <c r="L25" s="2"/>
    </row>
    <row r="26" spans="1:12" ht="20.100000000000001" customHeight="1">
      <c r="A26" s="2"/>
      <c r="B26" s="2"/>
      <c r="C26" s="2"/>
      <c r="D26" s="1"/>
      <c r="E26" s="2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2"/>
      <c r="B27" s="2"/>
      <c r="C27" s="2"/>
      <c r="D27" s="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2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2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2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2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B5:B10 C21:C31 B16:B20" xr:uid="{00000000-0002-0000-03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4"/>
  <dimension ref="A1:AB52"/>
  <sheetViews>
    <sheetView showGridLines="0" zoomScaleNormal="100" workbookViewId="0">
      <pane ySplit="4" topLeftCell="A5" activePane="bottomLeft" state="frozen"/>
      <selection pane="bottomLeft" activeCell="D4" sqref="D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148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4516243668</v>
      </c>
      <c r="K3" s="6" t="s">
        <v>11</v>
      </c>
      <c r="L3" s="11" t="s">
        <v>68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17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68</v>
      </c>
      <c r="B5" s="2" t="s">
        <v>39</v>
      </c>
      <c r="C5" s="13" t="s">
        <v>40</v>
      </c>
      <c r="D5" s="18" t="s">
        <v>91</v>
      </c>
      <c r="E5" s="25">
        <v>25</v>
      </c>
      <c r="F5" s="3">
        <v>0</v>
      </c>
      <c r="G5" s="16">
        <v>25</v>
      </c>
      <c r="H5" s="3">
        <v>0</v>
      </c>
      <c r="I5" s="4">
        <v>1</v>
      </c>
      <c r="J5" s="1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2"/>
      <c r="B6" s="2"/>
      <c r="C6" s="13" t="s">
        <v>40</v>
      </c>
      <c r="D6" s="18" t="s">
        <v>92</v>
      </c>
      <c r="E6" s="25">
        <v>25</v>
      </c>
      <c r="F6" s="3">
        <v>8</v>
      </c>
      <c r="G6" s="16">
        <v>17</v>
      </c>
      <c r="H6" s="3">
        <v>0</v>
      </c>
      <c r="I6" s="4">
        <v>1</v>
      </c>
      <c r="J6" s="2" t="s">
        <v>84</v>
      </c>
      <c r="K6" s="13" t="s">
        <v>88</v>
      </c>
      <c r="L6" s="11"/>
      <c r="Z6" t="s">
        <v>38</v>
      </c>
    </row>
    <row r="7" spans="1:28" ht="20.100000000000001" customHeight="1">
      <c r="A7" s="2"/>
      <c r="B7" s="2"/>
      <c r="C7" s="13" t="s">
        <v>40</v>
      </c>
      <c r="D7" s="18" t="s">
        <v>93</v>
      </c>
      <c r="E7" s="25">
        <v>25</v>
      </c>
      <c r="F7" s="3">
        <v>0</v>
      </c>
      <c r="G7" s="16">
        <v>25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/>
      <c r="B8" s="2"/>
      <c r="C8" s="13" t="s">
        <v>40</v>
      </c>
      <c r="D8" s="18" t="s">
        <v>94</v>
      </c>
      <c r="E8" s="25">
        <v>25</v>
      </c>
      <c r="F8" s="3">
        <v>0</v>
      </c>
      <c r="G8" s="16">
        <v>25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2"/>
      <c r="B9" s="2"/>
      <c r="C9" s="13" t="s">
        <v>40</v>
      </c>
      <c r="D9" s="18" t="s">
        <v>95</v>
      </c>
      <c r="E9" s="25">
        <v>25</v>
      </c>
      <c r="F9" s="3">
        <v>0</v>
      </c>
      <c r="G9" s="16">
        <v>25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2"/>
      <c r="B10" s="2"/>
      <c r="C10" s="13" t="s">
        <v>40</v>
      </c>
      <c r="D10" s="18" t="s">
        <v>96</v>
      </c>
      <c r="E10" s="25">
        <v>25</v>
      </c>
      <c r="F10" s="3">
        <v>25</v>
      </c>
      <c r="G10" s="16">
        <v>0</v>
      </c>
      <c r="H10" s="3">
        <v>0</v>
      </c>
      <c r="I10" s="4">
        <v>1</v>
      </c>
      <c r="J10" s="2" t="s">
        <v>82</v>
      </c>
      <c r="K10" s="13" t="s">
        <v>88</v>
      </c>
      <c r="L10" s="11"/>
    </row>
    <row r="11" spans="1:28" ht="20.100000000000001" customHeight="1">
      <c r="A11" s="2"/>
      <c r="B11" s="2"/>
      <c r="C11" s="13" t="s">
        <v>40</v>
      </c>
      <c r="D11" s="18" t="s">
        <v>97</v>
      </c>
      <c r="E11" s="25">
        <v>25</v>
      </c>
      <c r="F11" s="3">
        <v>25</v>
      </c>
      <c r="G11" s="16">
        <v>0</v>
      </c>
      <c r="H11" s="3">
        <v>0</v>
      </c>
      <c r="I11" s="4">
        <v>1</v>
      </c>
      <c r="J11" s="2" t="s">
        <v>82</v>
      </c>
      <c r="K11" s="13" t="s">
        <v>88</v>
      </c>
      <c r="L11" s="11"/>
    </row>
    <row r="12" spans="1:28" ht="20.100000000000001" customHeight="1">
      <c r="A12" s="2"/>
      <c r="B12" s="2"/>
      <c r="C12" s="13" t="s">
        <v>40</v>
      </c>
      <c r="D12" s="18" t="s">
        <v>98</v>
      </c>
      <c r="E12" s="25">
        <v>25</v>
      </c>
      <c r="F12" s="3">
        <v>9</v>
      </c>
      <c r="G12" s="16">
        <v>16</v>
      </c>
      <c r="H12" s="3">
        <v>0</v>
      </c>
      <c r="I12" s="4">
        <v>1</v>
      </c>
      <c r="J12" s="2" t="s">
        <v>105</v>
      </c>
      <c r="K12" s="13" t="s">
        <v>88</v>
      </c>
      <c r="L12" s="11"/>
    </row>
    <row r="13" spans="1:28" ht="20.100000000000001" customHeight="1">
      <c r="A13" s="2"/>
      <c r="B13" s="2"/>
      <c r="C13" s="13" t="s">
        <v>40</v>
      </c>
      <c r="D13" s="18" t="s">
        <v>99</v>
      </c>
      <c r="E13" s="25">
        <v>25</v>
      </c>
      <c r="F13" s="3">
        <v>0</v>
      </c>
      <c r="G13" s="16">
        <v>25</v>
      </c>
      <c r="H13" s="3">
        <v>0</v>
      </c>
      <c r="I13" s="4">
        <v>1</v>
      </c>
      <c r="J13" s="2"/>
      <c r="K13" s="13" t="s">
        <v>88</v>
      </c>
      <c r="L13" s="11"/>
    </row>
    <row r="14" spans="1:28" ht="20.100000000000001" customHeight="1">
      <c r="A14" s="2"/>
      <c r="B14" s="2"/>
      <c r="C14" s="13" t="s">
        <v>40</v>
      </c>
      <c r="D14" s="18" t="s">
        <v>100</v>
      </c>
      <c r="E14" s="25">
        <v>25</v>
      </c>
      <c r="F14" s="3">
        <v>25</v>
      </c>
      <c r="G14" s="16">
        <v>0</v>
      </c>
      <c r="H14" s="3">
        <v>0</v>
      </c>
      <c r="I14" s="4">
        <v>1</v>
      </c>
      <c r="J14" s="2" t="s">
        <v>82</v>
      </c>
      <c r="K14" s="13" t="s">
        <v>88</v>
      </c>
      <c r="L14" s="11"/>
    </row>
    <row r="15" spans="1:28" ht="20.100000000000001" customHeight="1">
      <c r="A15" s="2"/>
      <c r="B15" s="2"/>
      <c r="C15" s="13" t="s">
        <v>40</v>
      </c>
      <c r="D15" s="18" t="s">
        <v>101</v>
      </c>
      <c r="E15" s="25">
        <v>25</v>
      </c>
      <c r="F15" s="24">
        <v>10</v>
      </c>
      <c r="G15" s="16">
        <v>15</v>
      </c>
      <c r="H15" s="3">
        <v>0</v>
      </c>
      <c r="I15" s="4">
        <v>1</v>
      </c>
      <c r="J15" s="2" t="s">
        <v>104</v>
      </c>
      <c r="K15" s="13" t="s">
        <v>88</v>
      </c>
      <c r="L15" s="11"/>
    </row>
    <row r="16" spans="1:28" ht="20.100000000000001" customHeight="1">
      <c r="A16" s="2"/>
      <c r="B16" s="2"/>
      <c r="C16" s="13" t="s">
        <v>40</v>
      </c>
      <c r="D16" s="18" t="s">
        <v>102</v>
      </c>
      <c r="E16" s="25">
        <v>25</v>
      </c>
      <c r="F16" s="19">
        <v>17</v>
      </c>
      <c r="G16" s="16">
        <v>8</v>
      </c>
      <c r="H16" s="24">
        <v>0</v>
      </c>
      <c r="I16" s="4">
        <v>1</v>
      </c>
      <c r="J16" s="2" t="s">
        <v>103</v>
      </c>
      <c r="K16" s="13" t="s">
        <v>88</v>
      </c>
      <c r="L16" s="11"/>
    </row>
    <row r="17" spans="1:12" ht="20.100000000000001" customHeight="1">
      <c r="A17" s="11" t="s">
        <v>68</v>
      </c>
      <c r="B17" s="2" t="s">
        <v>48</v>
      </c>
      <c r="C17" s="2" t="s">
        <v>40</v>
      </c>
      <c r="D17" s="18" t="s">
        <v>67</v>
      </c>
      <c r="E17" s="3">
        <f>SUM(G5:G16)</f>
        <v>181</v>
      </c>
      <c r="F17" s="22">
        <v>0</v>
      </c>
      <c r="G17" s="21">
        <f>E17</f>
        <v>181</v>
      </c>
      <c r="H17" s="19">
        <v>0</v>
      </c>
      <c r="I17" s="23">
        <f t="shared" ref="I17:I22" si="0">IFERROR(F17/E17,"")</f>
        <v>0</v>
      </c>
      <c r="J17" s="1"/>
      <c r="K17" s="13" t="s">
        <v>133</v>
      </c>
      <c r="L17" s="11"/>
    </row>
    <row r="18" spans="1:12" ht="20.100000000000001" customHeight="1">
      <c r="A18" s="11" t="s">
        <v>68</v>
      </c>
      <c r="B18" s="2" t="s">
        <v>50</v>
      </c>
      <c r="C18" s="2" t="s">
        <v>40</v>
      </c>
      <c r="D18" s="2" t="s">
        <v>67</v>
      </c>
      <c r="E18" s="3">
        <f>E17</f>
        <v>181</v>
      </c>
      <c r="F18" s="3">
        <v>0</v>
      </c>
      <c r="G18" s="21">
        <f>E17</f>
        <v>181</v>
      </c>
      <c r="H18" s="19">
        <v>0</v>
      </c>
      <c r="I18" s="23">
        <f t="shared" si="0"/>
        <v>0</v>
      </c>
      <c r="J18" s="1"/>
      <c r="K18" s="13" t="s">
        <v>133</v>
      </c>
      <c r="L18" s="11"/>
    </row>
    <row r="19" spans="1:12" ht="20.100000000000001" customHeight="1">
      <c r="A19" s="11" t="s">
        <v>68</v>
      </c>
      <c r="B19" s="2" t="s">
        <v>2</v>
      </c>
      <c r="C19" s="2" t="s">
        <v>40</v>
      </c>
      <c r="D19" s="2" t="s">
        <v>67</v>
      </c>
      <c r="E19" s="3">
        <f>E17</f>
        <v>181</v>
      </c>
      <c r="F19" s="3">
        <v>0</v>
      </c>
      <c r="G19" s="21">
        <f>E17</f>
        <v>181</v>
      </c>
      <c r="H19" s="19">
        <v>0</v>
      </c>
      <c r="I19" s="23">
        <f t="shared" si="0"/>
        <v>0</v>
      </c>
      <c r="J19" s="1"/>
      <c r="K19" s="13" t="s">
        <v>137</v>
      </c>
      <c r="L19" s="11"/>
    </row>
    <row r="20" spans="1:12" ht="20.100000000000001" customHeight="1">
      <c r="A20" s="11" t="s">
        <v>68</v>
      </c>
      <c r="B20" s="2" t="s">
        <v>52</v>
      </c>
      <c r="C20" s="2" t="s">
        <v>40</v>
      </c>
      <c r="D20" s="2" t="s">
        <v>67</v>
      </c>
      <c r="E20" s="3">
        <f>E17</f>
        <v>181</v>
      </c>
      <c r="F20" s="3">
        <v>0</v>
      </c>
      <c r="G20" s="21">
        <f>E17</f>
        <v>181</v>
      </c>
      <c r="H20" s="19">
        <v>0</v>
      </c>
      <c r="I20" s="23">
        <f t="shared" si="0"/>
        <v>0</v>
      </c>
      <c r="J20" s="1"/>
      <c r="K20" s="13" t="s">
        <v>134</v>
      </c>
      <c r="L20" s="11"/>
    </row>
    <row r="21" spans="1:12" ht="20.100000000000001" customHeight="1">
      <c r="A21" s="11" t="s">
        <v>68</v>
      </c>
      <c r="B21" s="2" t="s">
        <v>54</v>
      </c>
      <c r="C21" s="2" t="s">
        <v>40</v>
      </c>
      <c r="D21" s="2" t="s">
        <v>53</v>
      </c>
      <c r="E21" s="20">
        <v>181</v>
      </c>
      <c r="F21" s="20">
        <v>0</v>
      </c>
      <c r="G21" s="20">
        <f>E21-H21</f>
        <v>168</v>
      </c>
      <c r="H21" s="20">
        <v>13</v>
      </c>
      <c r="I21" s="4">
        <f>IFERROR(G21/E21,"")</f>
        <v>0.92817679558011046</v>
      </c>
      <c r="J21" s="1"/>
      <c r="K21" s="13" t="s">
        <v>144</v>
      </c>
      <c r="L21" s="11" t="s">
        <v>145</v>
      </c>
    </row>
    <row r="22" spans="1:12" ht="20.100000000000001" customHeight="1">
      <c r="A22" s="2"/>
      <c r="B22" s="2"/>
      <c r="C22" s="2"/>
      <c r="D22" s="2"/>
      <c r="E22" s="20"/>
      <c r="F22" s="20"/>
      <c r="G22" s="20"/>
      <c r="H22" s="20"/>
      <c r="I22" s="4" t="str">
        <f t="shared" si="0"/>
        <v/>
      </c>
      <c r="J22" s="1"/>
      <c r="K22" s="13"/>
      <c r="L22" s="11"/>
    </row>
    <row r="23" spans="1:12" ht="20.100000000000001" customHeight="1">
      <c r="A23" s="2"/>
      <c r="B23" s="2"/>
      <c r="C23" s="2"/>
      <c r="D23" s="1"/>
      <c r="E23" s="2"/>
      <c r="F23" s="3"/>
      <c r="G23" s="3"/>
      <c r="H23" s="3"/>
      <c r="I23" s="4" t="str">
        <f t="shared" ref="I23:I24" si="1">IFERROR(G23/F23,"")</f>
        <v/>
      </c>
      <c r="J23" s="1"/>
      <c r="K23" s="13"/>
      <c r="L23" s="11"/>
    </row>
    <row r="24" spans="1:12" ht="20.100000000000001" customHeight="1">
      <c r="A24" s="2"/>
      <c r="B24" s="2"/>
      <c r="C24" s="2"/>
      <c r="D24" s="1"/>
      <c r="E24" s="2"/>
      <c r="F24" s="3"/>
      <c r="G24" s="3"/>
      <c r="H24" s="3"/>
      <c r="I24" s="4" t="str">
        <f t="shared" si="1"/>
        <v/>
      </c>
      <c r="J24" s="1"/>
      <c r="K24" s="13"/>
      <c r="L24" s="11"/>
    </row>
    <row r="25" spans="1:12" ht="20.100000000000001" customHeight="1">
      <c r="A25" s="2"/>
      <c r="B25" s="2"/>
      <c r="C25" s="2"/>
      <c r="D25" s="1"/>
      <c r="E25" s="2"/>
      <c r="F25" s="3"/>
      <c r="G25" s="3"/>
      <c r="H25" s="3"/>
      <c r="I25" s="4"/>
      <c r="J25" s="1"/>
      <c r="K25" s="13"/>
      <c r="L25" s="11"/>
    </row>
    <row r="26" spans="1:12" ht="20.100000000000001" customHeight="1">
      <c r="A26" s="2"/>
      <c r="B26" s="2"/>
      <c r="C26" s="2"/>
      <c r="D26" s="1"/>
      <c r="E26" s="2"/>
      <c r="F26" s="3"/>
      <c r="G26" s="3"/>
      <c r="H26" s="3"/>
      <c r="I26" s="4"/>
      <c r="J26" s="1"/>
      <c r="K26" s="13"/>
      <c r="L26" s="11"/>
    </row>
    <row r="27" spans="1:12" ht="20.100000000000001" customHeight="1">
      <c r="A27" s="2"/>
      <c r="B27" s="2"/>
      <c r="C27" s="2"/>
      <c r="D27" s="1"/>
      <c r="E27" s="2"/>
      <c r="F27" s="3"/>
      <c r="G27" s="3"/>
      <c r="H27" s="3"/>
      <c r="I27" s="4"/>
      <c r="J27" s="1"/>
      <c r="K27" s="13"/>
      <c r="L27" s="11"/>
    </row>
    <row r="28" spans="1:12" ht="20.100000000000001" customHeight="1">
      <c r="A28" s="2"/>
      <c r="B28" s="2"/>
      <c r="C28" s="2"/>
      <c r="D28" s="1"/>
      <c r="E28" s="2"/>
      <c r="F28" s="3"/>
      <c r="G28" s="3"/>
      <c r="H28" s="3"/>
      <c r="I28" s="4"/>
      <c r="J28" s="1"/>
      <c r="K28" s="13"/>
      <c r="L28" s="11"/>
    </row>
    <row r="29" spans="1:12" ht="20.100000000000001" customHeight="1">
      <c r="A29" s="2"/>
      <c r="B29" s="2"/>
      <c r="C29" s="2"/>
      <c r="D29" s="1"/>
      <c r="E29" s="2"/>
      <c r="F29" s="3"/>
      <c r="G29" s="3"/>
      <c r="H29" s="3"/>
      <c r="I29" s="4"/>
      <c r="J29" s="1"/>
      <c r="K29" s="13"/>
      <c r="L29" s="11"/>
    </row>
    <row r="30" spans="1:12" ht="20.100000000000001" customHeight="1">
      <c r="A30" s="2"/>
      <c r="B30" s="2"/>
      <c r="C30" s="2"/>
      <c r="D30" s="1"/>
      <c r="E30" s="2"/>
      <c r="F30" s="3"/>
      <c r="G30" s="3"/>
      <c r="H30" s="3"/>
      <c r="I30" s="4"/>
      <c r="J30" s="1"/>
      <c r="K30" s="13"/>
      <c r="L30" s="11"/>
    </row>
    <row r="31" spans="1:12" ht="20.100000000000001" customHeight="1">
      <c r="A31" s="2"/>
      <c r="B31" s="2"/>
      <c r="C31" s="2"/>
      <c r="D31" s="1"/>
      <c r="E31" s="2"/>
      <c r="F31" s="3"/>
      <c r="G31" s="3"/>
      <c r="H31" s="3"/>
      <c r="I31" s="4"/>
      <c r="J31" s="1"/>
      <c r="K31" s="13"/>
      <c r="L31" s="11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2">
    <dataValidation type="list" allowBlank="1" sqref="C23:C31 B8" xr:uid="{00000000-0002-0000-0400-000000000000}">
      <formula1>$Y$1:$Y$6</formula1>
    </dataValidation>
    <dataValidation type="list" allowBlank="1" sqref="B16:B21 B5:B7 B9:B10" xr:uid="{00000000-0002-0000-0400-000001000000}">
      <formula1>$X$1:$X$6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5"/>
  <dimension ref="A1:AB47"/>
  <sheetViews>
    <sheetView showGridLines="0" zoomScaleNormal="100" workbookViewId="0">
      <pane ySplit="4" topLeftCell="A5" activePane="bottomLeft" state="frozen"/>
      <selection pane="bottomLeft" activeCell="D4" sqref="D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150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4516243668</v>
      </c>
      <c r="K3" s="6" t="s">
        <v>11</v>
      </c>
      <c r="L3" s="11" t="s">
        <v>107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17" t="s">
        <v>34</v>
      </c>
      <c r="D4" s="17" t="s">
        <v>33</v>
      </c>
      <c r="E4" s="5" t="s">
        <v>16</v>
      </c>
      <c r="F4" s="17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107</v>
      </c>
      <c r="B5" s="13" t="s">
        <v>39</v>
      </c>
      <c r="C5" s="11" t="s">
        <v>40</v>
      </c>
      <c r="D5" s="19" t="s">
        <v>108</v>
      </c>
      <c r="E5" s="16">
        <v>25</v>
      </c>
      <c r="F5" s="3">
        <v>0</v>
      </c>
      <c r="G5" s="3">
        <v>25</v>
      </c>
      <c r="H5" s="3">
        <v>0</v>
      </c>
      <c r="I5" s="4">
        <v>1</v>
      </c>
      <c r="J5" s="1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3"/>
      <c r="B6" s="13"/>
      <c r="C6" s="11" t="s">
        <v>40</v>
      </c>
      <c r="D6" s="19" t="s">
        <v>109</v>
      </c>
      <c r="E6" s="16">
        <v>25</v>
      </c>
      <c r="F6" s="3">
        <v>0</v>
      </c>
      <c r="G6" s="3">
        <v>25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3"/>
      <c r="B7" s="13"/>
      <c r="C7" s="11" t="s">
        <v>40</v>
      </c>
      <c r="D7" s="19" t="s">
        <v>110</v>
      </c>
      <c r="E7" s="16">
        <v>25</v>
      </c>
      <c r="F7" s="3">
        <v>1</v>
      </c>
      <c r="G7" s="3">
        <v>24</v>
      </c>
      <c r="H7" s="3">
        <v>0</v>
      </c>
      <c r="I7" s="4">
        <v>1</v>
      </c>
      <c r="J7" s="2" t="s">
        <v>115</v>
      </c>
      <c r="K7" s="13" t="s">
        <v>88</v>
      </c>
      <c r="L7" s="11"/>
    </row>
    <row r="8" spans="1:28" ht="20.100000000000001" customHeight="1">
      <c r="A8" s="13"/>
      <c r="B8" s="13"/>
      <c r="C8" s="11" t="s">
        <v>40</v>
      </c>
      <c r="D8" s="19" t="s">
        <v>111</v>
      </c>
      <c r="E8" s="16">
        <v>25</v>
      </c>
      <c r="F8" s="3">
        <v>0</v>
      </c>
      <c r="G8" s="3">
        <v>25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3"/>
      <c r="B9" s="13"/>
      <c r="C9" s="11" t="s">
        <v>40</v>
      </c>
      <c r="D9" s="19" t="s">
        <v>112</v>
      </c>
      <c r="E9" s="16">
        <v>25</v>
      </c>
      <c r="F9" s="3">
        <v>8</v>
      </c>
      <c r="G9" s="3">
        <v>17</v>
      </c>
      <c r="H9" s="3">
        <v>0</v>
      </c>
      <c r="I9" s="4">
        <v>1</v>
      </c>
      <c r="J9" s="2" t="s">
        <v>84</v>
      </c>
      <c r="K9" s="13" t="s">
        <v>88</v>
      </c>
      <c r="L9" s="11"/>
    </row>
    <row r="10" spans="1:28" ht="20.100000000000001" customHeight="1">
      <c r="A10" s="13"/>
      <c r="B10" s="13"/>
      <c r="C10" s="11" t="s">
        <v>40</v>
      </c>
      <c r="D10" s="19" t="s">
        <v>113</v>
      </c>
      <c r="E10" s="16">
        <v>25</v>
      </c>
      <c r="F10" s="3">
        <v>20</v>
      </c>
      <c r="G10" s="3">
        <v>5</v>
      </c>
      <c r="H10" s="3">
        <v>0</v>
      </c>
      <c r="I10" s="4">
        <v>1</v>
      </c>
      <c r="J10" s="2" t="s">
        <v>116</v>
      </c>
      <c r="K10" s="13" t="s">
        <v>88</v>
      </c>
      <c r="L10" s="11"/>
    </row>
    <row r="11" spans="1:28" ht="20.100000000000001" customHeight="1">
      <c r="A11" s="13"/>
      <c r="B11" s="13"/>
      <c r="C11" s="11" t="s">
        <v>40</v>
      </c>
      <c r="D11" s="19" t="s">
        <v>114</v>
      </c>
      <c r="E11" s="16">
        <v>25</v>
      </c>
      <c r="F11" s="24">
        <v>13</v>
      </c>
      <c r="G11" s="3">
        <v>12</v>
      </c>
      <c r="H11" s="3">
        <v>0</v>
      </c>
      <c r="I11" s="4">
        <v>1</v>
      </c>
      <c r="J11" s="2" t="s">
        <v>117</v>
      </c>
      <c r="K11" s="13" t="s">
        <v>88</v>
      </c>
      <c r="L11" s="11"/>
    </row>
    <row r="12" spans="1:28" ht="20.100000000000001" customHeight="1">
      <c r="A12" s="11" t="s">
        <v>107</v>
      </c>
      <c r="B12" s="2" t="s">
        <v>48</v>
      </c>
      <c r="C12" s="18" t="s">
        <v>40</v>
      </c>
      <c r="D12" s="18" t="s">
        <v>53</v>
      </c>
      <c r="E12" s="21">
        <f>SUM(G5:G11)</f>
        <v>133</v>
      </c>
      <c r="F12" s="19">
        <v>0</v>
      </c>
      <c r="G12" s="16">
        <f>E12</f>
        <v>133</v>
      </c>
      <c r="H12" s="3">
        <v>0</v>
      </c>
      <c r="I12" s="4">
        <f>IFERROR(G12/E12,"")</f>
        <v>1</v>
      </c>
      <c r="J12" s="1"/>
      <c r="K12" s="2" t="s">
        <v>129</v>
      </c>
      <c r="L12" s="18"/>
    </row>
    <row r="13" spans="1:28" ht="20.100000000000001" customHeight="1">
      <c r="A13" s="11" t="s">
        <v>107</v>
      </c>
      <c r="B13" s="2" t="s">
        <v>50</v>
      </c>
      <c r="C13" s="2" t="s">
        <v>40</v>
      </c>
      <c r="D13" s="2" t="s">
        <v>53</v>
      </c>
      <c r="E13" s="21">
        <f>E12</f>
        <v>133</v>
      </c>
      <c r="F13" s="19">
        <v>0</v>
      </c>
      <c r="G13" s="16">
        <f>E12</f>
        <v>133</v>
      </c>
      <c r="H13" s="3">
        <v>0</v>
      </c>
      <c r="I13" s="4">
        <f>IFERROR(G13/E13,"")</f>
        <v>1</v>
      </c>
      <c r="J13" s="1"/>
      <c r="K13" s="2" t="s">
        <v>129</v>
      </c>
      <c r="L13" s="2"/>
    </row>
    <row r="14" spans="1:28" ht="20.100000000000001" customHeight="1">
      <c r="A14" s="11" t="s">
        <v>107</v>
      </c>
      <c r="B14" s="2" t="s">
        <v>2</v>
      </c>
      <c r="C14" s="2" t="s">
        <v>40</v>
      </c>
      <c r="D14" s="2" t="s">
        <v>53</v>
      </c>
      <c r="E14" s="21">
        <f>E12</f>
        <v>133</v>
      </c>
      <c r="F14" s="19">
        <v>0</v>
      </c>
      <c r="G14" s="16">
        <f>E12</f>
        <v>133</v>
      </c>
      <c r="H14" s="3">
        <v>0</v>
      </c>
      <c r="I14" s="4">
        <f>IFERROR(G14/E14,"")</f>
        <v>1</v>
      </c>
      <c r="J14" s="1"/>
      <c r="K14" s="2"/>
      <c r="L14" s="2"/>
    </row>
    <row r="15" spans="1:28" ht="20.100000000000001" customHeight="1">
      <c r="A15" s="11" t="s">
        <v>107</v>
      </c>
      <c r="B15" s="2" t="s">
        <v>52</v>
      </c>
      <c r="C15" s="2" t="s">
        <v>40</v>
      </c>
      <c r="D15" s="2" t="s">
        <v>53</v>
      </c>
      <c r="E15" s="21">
        <f>E12</f>
        <v>133</v>
      </c>
      <c r="F15" s="19">
        <v>0</v>
      </c>
      <c r="G15" s="16">
        <f>E12</f>
        <v>133</v>
      </c>
      <c r="H15" s="3">
        <v>0</v>
      </c>
      <c r="I15" s="4">
        <f>IFERROR(G15/E15,"")</f>
        <v>1</v>
      </c>
      <c r="J15" s="1"/>
      <c r="K15" s="2" t="s">
        <v>88</v>
      </c>
      <c r="L15" s="2"/>
    </row>
    <row r="16" spans="1:28" ht="20.100000000000001" customHeight="1">
      <c r="A16" s="11" t="s">
        <v>107</v>
      </c>
      <c r="B16" s="2" t="s">
        <v>54</v>
      </c>
      <c r="C16" s="2" t="s">
        <v>40</v>
      </c>
      <c r="D16" s="2" t="s">
        <v>53</v>
      </c>
      <c r="E16" s="3">
        <v>133</v>
      </c>
      <c r="F16" s="26">
        <v>0</v>
      </c>
      <c r="G16" s="3">
        <f>E16-H16</f>
        <v>123</v>
      </c>
      <c r="H16" s="3">
        <v>10</v>
      </c>
      <c r="I16" s="4">
        <f>IFERROR(G16/E16,"")</f>
        <v>0.92481203007518797</v>
      </c>
      <c r="J16" s="1"/>
      <c r="K16" s="2"/>
      <c r="L16" s="2"/>
    </row>
    <row r="17" spans="1:12" ht="20.100000000000001" customHeight="1">
      <c r="A17" s="13"/>
      <c r="B17" s="2"/>
      <c r="C17" s="2"/>
      <c r="D17" s="2"/>
      <c r="E17" s="2"/>
      <c r="F17" s="3"/>
      <c r="G17" s="3"/>
      <c r="H17" s="3"/>
      <c r="I17" s="4"/>
      <c r="J17" s="1"/>
      <c r="K17" s="2"/>
      <c r="L17" s="2"/>
    </row>
    <row r="18" spans="1:12" ht="20.100000000000001" customHeight="1">
      <c r="A18" s="13"/>
      <c r="B18" s="2"/>
      <c r="C18" s="2"/>
      <c r="D18" s="1"/>
      <c r="E18" s="2"/>
      <c r="F18" s="3"/>
      <c r="G18" s="3"/>
      <c r="H18" s="3"/>
      <c r="I18" s="4" t="str">
        <f t="shared" ref="I18:I19" si="0">IFERROR(G18/F18,"")</f>
        <v/>
      </c>
      <c r="J18" s="1"/>
      <c r="K18" s="2"/>
      <c r="L18" s="2"/>
    </row>
    <row r="19" spans="1:12" ht="20.100000000000001" customHeight="1">
      <c r="A19" s="13"/>
      <c r="B19" s="2"/>
      <c r="C19" s="2"/>
      <c r="D19" s="1"/>
      <c r="E19" s="2"/>
      <c r="F19" s="3"/>
      <c r="G19" s="3"/>
      <c r="H19" s="3"/>
      <c r="I19" s="4" t="str">
        <f t="shared" si="0"/>
        <v/>
      </c>
      <c r="J19" s="1"/>
      <c r="K19" s="2"/>
      <c r="L19" s="2"/>
    </row>
    <row r="20" spans="1:12" ht="20.100000000000001" customHeight="1">
      <c r="A20" s="13"/>
      <c r="B20" s="2"/>
      <c r="C20" s="2"/>
      <c r="D20" s="1"/>
      <c r="E20" s="2"/>
      <c r="F20" s="3"/>
      <c r="G20" s="3"/>
      <c r="H20" s="3"/>
      <c r="I20" s="4"/>
      <c r="J20" s="1"/>
      <c r="K20" s="2"/>
      <c r="L20" s="2"/>
    </row>
    <row r="21" spans="1:12" ht="20.100000000000001" customHeight="1">
      <c r="A21" s="13"/>
      <c r="B21" s="2"/>
      <c r="C21" s="2"/>
      <c r="D21" s="1"/>
      <c r="E21" s="2"/>
      <c r="F21" s="3"/>
      <c r="G21" s="3"/>
      <c r="H21" s="3"/>
      <c r="I21" s="4"/>
      <c r="J21" s="1"/>
      <c r="K21" s="2"/>
      <c r="L21" s="2"/>
    </row>
    <row r="22" spans="1:12" ht="20.100000000000001" customHeight="1">
      <c r="A22" s="13"/>
      <c r="B22" s="2"/>
      <c r="C22" s="2"/>
      <c r="D22" s="1"/>
      <c r="E22" s="2"/>
      <c r="F22" s="3"/>
      <c r="G22" s="3"/>
      <c r="H22" s="3"/>
      <c r="I22" s="4"/>
      <c r="J22" s="1"/>
      <c r="K22" s="2"/>
      <c r="L22" s="2"/>
    </row>
    <row r="23" spans="1:12" ht="20.100000000000001" customHeight="1">
      <c r="A23" s="13"/>
      <c r="B23" s="2"/>
      <c r="C23" s="2"/>
      <c r="D23" s="1"/>
      <c r="E23" s="2"/>
      <c r="F23" s="3"/>
      <c r="G23" s="3"/>
      <c r="H23" s="3"/>
      <c r="I23" s="4"/>
      <c r="J23" s="1"/>
      <c r="K23" s="2"/>
      <c r="L23" s="2"/>
    </row>
    <row r="24" spans="1:12" ht="20.100000000000001" customHeight="1">
      <c r="A24" s="13"/>
      <c r="B24" s="2"/>
      <c r="C24" s="2"/>
      <c r="D24" s="1"/>
      <c r="E24" s="2"/>
      <c r="F24" s="3"/>
      <c r="G24" s="3"/>
      <c r="H24" s="3"/>
      <c r="I24" s="4"/>
      <c r="J24" s="1"/>
      <c r="K24" s="2"/>
      <c r="L24" s="2"/>
    </row>
    <row r="25" spans="1:12" ht="20.100000000000001" customHeight="1">
      <c r="A25" s="13"/>
      <c r="B25" s="2"/>
      <c r="C25" s="2"/>
      <c r="D25" s="1"/>
      <c r="E25" s="2"/>
      <c r="F25" s="3"/>
      <c r="G25" s="3"/>
      <c r="H25" s="3"/>
      <c r="I25" s="4"/>
      <c r="J25" s="1"/>
      <c r="K25" s="2"/>
      <c r="L25" s="2"/>
    </row>
    <row r="26" spans="1:12" ht="20.100000000000001" customHeight="1">
      <c r="A26" s="13"/>
      <c r="B26" s="2"/>
      <c r="C26" s="2"/>
      <c r="D26" s="1"/>
      <c r="E26" s="2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48" t="s">
        <v>24</v>
      </c>
      <c r="B27" s="49"/>
      <c r="C27" s="49"/>
      <c r="D27" s="50"/>
      <c r="E27" s="7"/>
      <c r="F27" s="7"/>
      <c r="G27" s="7"/>
      <c r="H27" s="8" t="str">
        <f>IFERROR(F27/E27,"")</f>
        <v/>
      </c>
      <c r="I27" s="9"/>
      <c r="J27" s="9"/>
      <c r="K27" s="12"/>
      <c r="L27" s="10"/>
    </row>
    <row r="28" spans="1:12" ht="20.100000000000001" customHeight="1">
      <c r="A28" s="51" t="s">
        <v>25</v>
      </c>
      <c r="B28" s="52"/>
      <c r="C28" s="53"/>
      <c r="D28" s="51" t="s">
        <v>26</v>
      </c>
      <c r="E28" s="52"/>
      <c r="F28" s="52"/>
      <c r="G28" s="53"/>
      <c r="H28" s="51" t="s">
        <v>27</v>
      </c>
      <c r="I28" s="52"/>
      <c r="J28" s="52"/>
      <c r="K28" s="53"/>
      <c r="L28" s="10"/>
    </row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7" ht="21.95" customHeight="1"/>
  </sheetData>
  <mergeCells count="7">
    <mergeCell ref="A1:K1"/>
    <mergeCell ref="A2:K2"/>
    <mergeCell ref="D3:F3"/>
    <mergeCell ref="A27:D27"/>
    <mergeCell ref="A28:C28"/>
    <mergeCell ref="D28:G28"/>
    <mergeCell ref="H28:K28"/>
  </mergeCells>
  <phoneticPr fontId="5" type="noConversion"/>
  <dataValidations count="1">
    <dataValidation type="list" allowBlank="1" sqref="B5:B10 B12:B16 C17:C26 A6:A11 A17:A26" xr:uid="{00000000-0002-0000-05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6"/>
  <dimension ref="A1:AB52"/>
  <sheetViews>
    <sheetView showGridLines="0" zoomScaleNormal="100" workbookViewId="0">
      <pane ySplit="4" topLeftCell="A5" activePane="bottomLeft" state="frozen"/>
      <selection pane="bottomLeft" activeCell="E5" sqref="E5:E12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151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4516243668</v>
      </c>
      <c r="K3" s="6" t="s">
        <v>11</v>
      </c>
      <c r="L3" s="11" t="s">
        <v>146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146</v>
      </c>
      <c r="B5" s="2" t="s">
        <v>39</v>
      </c>
      <c r="C5" s="15" t="s">
        <v>40</v>
      </c>
      <c r="D5" s="11" t="s">
        <v>118</v>
      </c>
      <c r="E5" s="16">
        <v>25</v>
      </c>
      <c r="F5" s="3">
        <v>11</v>
      </c>
      <c r="G5" s="3">
        <v>14</v>
      </c>
      <c r="H5" s="3">
        <v>0</v>
      </c>
      <c r="I5" s="4">
        <v>1</v>
      </c>
      <c r="J5" s="2" t="s">
        <v>87</v>
      </c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3"/>
      <c r="B6" s="2"/>
      <c r="C6" s="15" t="s">
        <v>40</v>
      </c>
      <c r="D6" s="11" t="s">
        <v>119</v>
      </c>
      <c r="E6" s="16">
        <v>25</v>
      </c>
      <c r="F6" s="3">
        <v>0</v>
      </c>
      <c r="G6" s="3">
        <v>25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3"/>
      <c r="B7" s="2"/>
      <c r="C7" s="15" t="s">
        <v>223</v>
      </c>
      <c r="D7" s="11" t="s">
        <v>120</v>
      </c>
      <c r="E7" s="16">
        <v>25</v>
      </c>
      <c r="F7" s="3">
        <v>12</v>
      </c>
      <c r="G7" s="3">
        <v>13</v>
      </c>
      <c r="H7" s="3">
        <v>0</v>
      </c>
      <c r="I7" s="4">
        <v>1</v>
      </c>
      <c r="J7" s="2" t="s">
        <v>128</v>
      </c>
      <c r="K7" s="13" t="s">
        <v>88</v>
      </c>
      <c r="L7" s="11"/>
    </row>
    <row r="8" spans="1:28" ht="20.100000000000001" customHeight="1">
      <c r="A8" s="13"/>
      <c r="B8" s="2"/>
      <c r="C8" s="15" t="s">
        <v>223</v>
      </c>
      <c r="D8" s="11" t="s">
        <v>121</v>
      </c>
      <c r="E8" s="16">
        <v>25</v>
      </c>
      <c r="F8" s="3">
        <v>24</v>
      </c>
      <c r="G8" s="3">
        <v>1</v>
      </c>
      <c r="H8" s="3">
        <v>0</v>
      </c>
      <c r="I8" s="4">
        <v>1</v>
      </c>
      <c r="J8" s="2" t="s">
        <v>127</v>
      </c>
      <c r="K8" s="13" t="s">
        <v>88</v>
      </c>
      <c r="L8" s="11"/>
    </row>
    <row r="9" spans="1:28" ht="20.100000000000001" customHeight="1">
      <c r="A9" s="13"/>
      <c r="B9" s="2"/>
      <c r="C9" s="15" t="s">
        <v>223</v>
      </c>
      <c r="D9" s="11" t="s">
        <v>122</v>
      </c>
      <c r="E9" s="16">
        <v>25</v>
      </c>
      <c r="F9" s="3">
        <v>19</v>
      </c>
      <c r="G9" s="3">
        <v>6</v>
      </c>
      <c r="H9" s="3">
        <v>0</v>
      </c>
      <c r="I9" s="4">
        <v>1</v>
      </c>
      <c r="J9" s="2" t="s">
        <v>85</v>
      </c>
      <c r="K9" s="13" t="s">
        <v>88</v>
      </c>
      <c r="L9" s="11"/>
    </row>
    <row r="10" spans="1:28" ht="20.100000000000001" customHeight="1">
      <c r="A10" s="13"/>
      <c r="B10" s="2"/>
      <c r="C10" s="15" t="s">
        <v>223</v>
      </c>
      <c r="D10" s="11" t="s">
        <v>123</v>
      </c>
      <c r="E10" s="16">
        <v>25</v>
      </c>
      <c r="F10" s="3">
        <v>0</v>
      </c>
      <c r="G10" s="3">
        <v>25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3"/>
      <c r="B11" s="2"/>
      <c r="C11" s="15" t="s">
        <v>223</v>
      </c>
      <c r="D11" s="11" t="s">
        <v>124</v>
      </c>
      <c r="E11" s="16">
        <v>25</v>
      </c>
      <c r="F11" s="3">
        <v>16</v>
      </c>
      <c r="G11" s="3">
        <v>9</v>
      </c>
      <c r="H11" s="3">
        <v>0</v>
      </c>
      <c r="I11" s="4">
        <v>1</v>
      </c>
      <c r="J11" s="2" t="s">
        <v>126</v>
      </c>
      <c r="K11" s="13" t="s">
        <v>88</v>
      </c>
      <c r="L11" s="11"/>
    </row>
    <row r="12" spans="1:28" ht="20.100000000000001" customHeight="1">
      <c r="A12" s="13"/>
      <c r="B12" s="2"/>
      <c r="C12" s="15" t="s">
        <v>223</v>
      </c>
      <c r="D12" s="11" t="s">
        <v>125</v>
      </c>
      <c r="E12" s="16">
        <v>25</v>
      </c>
      <c r="F12" s="3">
        <v>0</v>
      </c>
      <c r="G12" s="3">
        <v>25</v>
      </c>
      <c r="H12" s="3">
        <v>0</v>
      </c>
      <c r="I12" s="4">
        <v>1</v>
      </c>
      <c r="J12" s="2"/>
      <c r="K12" s="13" t="s">
        <v>88</v>
      </c>
      <c r="L12" s="11"/>
    </row>
    <row r="13" spans="1:28" ht="20.100000000000001" customHeight="1">
      <c r="A13" s="11" t="s">
        <v>146</v>
      </c>
      <c r="B13" s="2" t="s">
        <v>48</v>
      </c>
      <c r="C13" s="15" t="s">
        <v>40</v>
      </c>
      <c r="D13" s="18" t="s">
        <v>53</v>
      </c>
      <c r="E13" s="3">
        <f>SUM(G5:G12)</f>
        <v>118</v>
      </c>
      <c r="F13" s="3">
        <v>0</v>
      </c>
      <c r="G13" s="3">
        <v>118</v>
      </c>
      <c r="H13" s="3">
        <v>0</v>
      </c>
      <c r="I13" s="4">
        <v>1</v>
      </c>
      <c r="J13" s="2"/>
      <c r="K13" s="2" t="s">
        <v>129</v>
      </c>
      <c r="L13" s="18"/>
    </row>
    <row r="14" spans="1:28" ht="20.100000000000001" customHeight="1">
      <c r="A14" s="11" t="s">
        <v>146</v>
      </c>
      <c r="B14" s="2" t="s">
        <v>50</v>
      </c>
      <c r="C14" s="15" t="s">
        <v>40</v>
      </c>
      <c r="D14" s="18" t="s">
        <v>53</v>
      </c>
      <c r="E14" s="16">
        <f>E13</f>
        <v>118</v>
      </c>
      <c r="F14" s="3">
        <v>0</v>
      </c>
      <c r="G14" s="3">
        <v>118</v>
      </c>
      <c r="H14" s="3">
        <v>0</v>
      </c>
      <c r="I14" s="4">
        <v>1</v>
      </c>
      <c r="J14" s="2"/>
      <c r="K14" s="2" t="s">
        <v>129</v>
      </c>
      <c r="L14" s="2"/>
    </row>
    <row r="15" spans="1:28" ht="20.100000000000001" customHeight="1">
      <c r="A15" s="11" t="s">
        <v>146</v>
      </c>
      <c r="B15" s="2" t="s">
        <v>2</v>
      </c>
      <c r="C15" s="15" t="s">
        <v>40</v>
      </c>
      <c r="D15" s="18" t="s">
        <v>53</v>
      </c>
      <c r="E15" s="16">
        <f>E13</f>
        <v>118</v>
      </c>
      <c r="F15" s="3">
        <v>0</v>
      </c>
      <c r="G15" s="3">
        <v>118</v>
      </c>
      <c r="H15" s="3">
        <v>0</v>
      </c>
      <c r="I15" s="4">
        <v>1</v>
      </c>
      <c r="J15" s="2"/>
      <c r="K15" s="2" t="s">
        <v>140</v>
      </c>
      <c r="L15" s="2"/>
    </row>
    <row r="16" spans="1:28" ht="20.100000000000001" customHeight="1">
      <c r="A16" s="11" t="s">
        <v>146</v>
      </c>
      <c r="B16" s="2" t="s">
        <v>52</v>
      </c>
      <c r="C16" s="15" t="s">
        <v>40</v>
      </c>
      <c r="D16" s="18" t="s">
        <v>53</v>
      </c>
      <c r="E16" s="16">
        <f>E13</f>
        <v>118</v>
      </c>
      <c r="F16" s="3">
        <v>0</v>
      </c>
      <c r="G16" s="3">
        <v>118</v>
      </c>
      <c r="H16" s="3">
        <v>0</v>
      </c>
      <c r="I16" s="4">
        <v>1</v>
      </c>
      <c r="J16" s="2"/>
      <c r="K16" s="2" t="s">
        <v>88</v>
      </c>
      <c r="L16" s="2"/>
    </row>
    <row r="17" spans="1:12" ht="20.100000000000001" customHeight="1">
      <c r="A17" s="11" t="s">
        <v>146</v>
      </c>
      <c r="B17" s="2" t="s">
        <v>54</v>
      </c>
      <c r="C17" s="15" t="s">
        <v>40</v>
      </c>
      <c r="D17" s="18" t="s">
        <v>53</v>
      </c>
      <c r="E17" s="18">
        <v>118</v>
      </c>
      <c r="F17" s="3">
        <v>0</v>
      </c>
      <c r="G17" s="3">
        <v>110</v>
      </c>
      <c r="H17" s="3">
        <v>8</v>
      </c>
      <c r="I17" s="4">
        <f>G17/E17</f>
        <v>0.93220338983050843</v>
      </c>
      <c r="J17" s="1"/>
      <c r="K17" s="2" t="s">
        <v>139</v>
      </c>
      <c r="L17" s="2"/>
    </row>
    <row r="18" spans="1:12" ht="20.100000000000001" customHeight="1">
      <c r="A18" s="13"/>
      <c r="B18" s="2"/>
      <c r="C18" s="2"/>
      <c r="D18" s="2"/>
      <c r="E18" s="2"/>
      <c r="F18" s="3"/>
      <c r="G18" s="3"/>
      <c r="H18" s="3"/>
      <c r="I18" s="4"/>
      <c r="J18" s="1"/>
      <c r="K18" s="2"/>
      <c r="L18" s="2"/>
    </row>
    <row r="19" spans="1:12" ht="20.100000000000001" customHeight="1">
      <c r="A19" s="13"/>
      <c r="B19" s="2"/>
      <c r="C19" s="2"/>
      <c r="D19" s="2"/>
      <c r="E19" s="2"/>
      <c r="F19" s="3"/>
      <c r="G19" s="3"/>
      <c r="H19" s="3"/>
      <c r="I19" s="4"/>
      <c r="J19" s="1"/>
      <c r="K19" s="2"/>
      <c r="L19" s="2"/>
    </row>
    <row r="20" spans="1:12" ht="20.100000000000001" customHeight="1">
      <c r="A20" s="13"/>
      <c r="B20" s="2"/>
      <c r="C20" s="2"/>
      <c r="D20" s="2"/>
      <c r="E20" s="2"/>
      <c r="F20" s="3"/>
      <c r="G20" s="3"/>
      <c r="H20" s="3"/>
      <c r="I20" s="4"/>
      <c r="J20" s="1"/>
      <c r="K20" s="2"/>
      <c r="L20" s="2"/>
    </row>
    <row r="21" spans="1:12" ht="20.100000000000001" customHeight="1">
      <c r="A21" s="13"/>
      <c r="B21" s="2"/>
      <c r="C21" s="2"/>
      <c r="D21" s="2"/>
      <c r="E21" s="2"/>
      <c r="F21" s="3"/>
      <c r="G21" s="3"/>
      <c r="H21" s="3"/>
      <c r="I21" s="4"/>
      <c r="J21" s="1"/>
      <c r="K21" s="2"/>
      <c r="L21" s="2"/>
    </row>
    <row r="22" spans="1:12" ht="20.100000000000001" customHeight="1">
      <c r="A22" s="13"/>
      <c r="B22" s="2"/>
      <c r="C22" s="2"/>
      <c r="D22" s="2"/>
      <c r="E22" s="2"/>
      <c r="F22" s="3"/>
      <c r="G22" s="3"/>
      <c r="H22" s="3"/>
      <c r="I22" s="4"/>
      <c r="J22" s="1"/>
      <c r="K22" s="2"/>
      <c r="L22" s="2"/>
    </row>
    <row r="23" spans="1:12" ht="20.100000000000001" customHeight="1">
      <c r="A23" s="13"/>
      <c r="B23" s="2"/>
      <c r="C23" s="2"/>
      <c r="D23" s="1"/>
      <c r="E23" s="2"/>
      <c r="F23" s="3"/>
      <c r="G23" s="3"/>
      <c r="H23" s="3"/>
      <c r="I23" s="4"/>
      <c r="J23" s="1"/>
      <c r="K23" s="2"/>
      <c r="L23" s="2"/>
    </row>
    <row r="24" spans="1:12" ht="20.100000000000001" customHeight="1">
      <c r="A24" s="13"/>
      <c r="B24" s="2"/>
      <c r="C24" s="2"/>
      <c r="D24" s="1"/>
      <c r="E24" s="2"/>
      <c r="F24" s="3"/>
      <c r="G24" s="3"/>
      <c r="H24" s="3"/>
      <c r="I24" s="4" t="str">
        <f t="shared" ref="I24" si="0">IFERROR(G24/F24,"")</f>
        <v/>
      </c>
      <c r="J24" s="1"/>
      <c r="K24" s="2"/>
      <c r="L24" s="2"/>
    </row>
    <row r="25" spans="1:12" ht="20.100000000000001" customHeight="1">
      <c r="A25" s="13"/>
      <c r="B25" s="2"/>
      <c r="C25" s="2"/>
      <c r="D25" s="1"/>
      <c r="E25" s="2"/>
      <c r="F25" s="3"/>
      <c r="G25" s="3"/>
      <c r="H25" s="3"/>
      <c r="I25" s="4"/>
      <c r="J25" s="1"/>
      <c r="K25" s="2"/>
      <c r="L25" s="2"/>
    </row>
    <row r="26" spans="1:12" ht="20.100000000000001" customHeight="1">
      <c r="A26" s="13"/>
      <c r="B26" s="2"/>
      <c r="C26" s="2"/>
      <c r="D26" s="1"/>
      <c r="E26" s="2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13"/>
      <c r="B27" s="2"/>
      <c r="C27" s="2"/>
      <c r="D27" s="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3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C18:C31 B5:B10 B13:B17" xr:uid="{00000000-0002-0000-06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F5" sqref="F5:F12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149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4516243668</v>
      </c>
      <c r="K3" s="6" t="s">
        <v>11</v>
      </c>
      <c r="L3" s="11" t="s">
        <v>210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3" t="s">
        <v>210</v>
      </c>
      <c r="B5" s="2" t="s">
        <v>39</v>
      </c>
      <c r="C5" s="15" t="s">
        <v>40</v>
      </c>
      <c r="D5" s="18" t="s">
        <v>211</v>
      </c>
      <c r="E5" s="16">
        <v>25</v>
      </c>
      <c r="F5" s="3">
        <v>11</v>
      </c>
      <c r="G5" s="3">
        <v>14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3" t="s">
        <v>210</v>
      </c>
      <c r="B6" s="2" t="s">
        <v>39</v>
      </c>
      <c r="C6" s="15" t="s">
        <v>40</v>
      </c>
      <c r="D6" s="18" t="s">
        <v>212</v>
      </c>
      <c r="E6" s="16">
        <v>25</v>
      </c>
      <c r="F6" s="3">
        <v>0</v>
      </c>
      <c r="G6" s="3">
        <v>25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3" t="s">
        <v>209</v>
      </c>
      <c r="B7" s="2" t="s">
        <v>39</v>
      </c>
      <c r="C7" s="15" t="s">
        <v>223</v>
      </c>
      <c r="D7" s="18" t="s">
        <v>213</v>
      </c>
      <c r="E7" s="16">
        <v>25</v>
      </c>
      <c r="F7" s="3">
        <v>12</v>
      </c>
      <c r="G7" s="3">
        <v>13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3" t="s">
        <v>209</v>
      </c>
      <c r="B8" s="2" t="s">
        <v>39</v>
      </c>
      <c r="C8" s="15" t="s">
        <v>223</v>
      </c>
      <c r="D8" s="18" t="s">
        <v>214</v>
      </c>
      <c r="E8" s="16">
        <v>25</v>
      </c>
      <c r="F8" s="3">
        <v>24</v>
      </c>
      <c r="G8" s="3">
        <v>1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3" t="s">
        <v>209</v>
      </c>
      <c r="B9" s="2" t="s">
        <v>39</v>
      </c>
      <c r="C9" s="15" t="s">
        <v>223</v>
      </c>
      <c r="D9" s="18" t="s">
        <v>215</v>
      </c>
      <c r="E9" s="16">
        <v>25</v>
      </c>
      <c r="F9" s="3">
        <v>19</v>
      </c>
      <c r="G9" s="3">
        <v>6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3" t="s">
        <v>209</v>
      </c>
      <c r="B10" s="2" t="s">
        <v>39</v>
      </c>
      <c r="C10" s="15" t="s">
        <v>223</v>
      </c>
      <c r="D10" s="18" t="s">
        <v>216</v>
      </c>
      <c r="E10" s="16">
        <v>25</v>
      </c>
      <c r="F10" s="3">
        <v>0</v>
      </c>
      <c r="G10" s="3">
        <v>25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3" t="s">
        <v>209</v>
      </c>
      <c r="B11" s="2" t="s">
        <v>39</v>
      </c>
      <c r="C11" s="15" t="s">
        <v>223</v>
      </c>
      <c r="D11" s="18" t="s">
        <v>217</v>
      </c>
      <c r="E11" s="16">
        <v>25</v>
      </c>
      <c r="F11" s="3">
        <v>16</v>
      </c>
      <c r="G11" s="3">
        <v>9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3" t="s">
        <v>209</v>
      </c>
      <c r="B12" s="2" t="s">
        <v>39</v>
      </c>
      <c r="C12" s="15" t="s">
        <v>223</v>
      </c>
      <c r="D12" s="18" t="s">
        <v>218</v>
      </c>
      <c r="E12" s="16">
        <v>25</v>
      </c>
      <c r="F12" s="3">
        <v>0</v>
      </c>
      <c r="G12" s="3">
        <v>25</v>
      </c>
      <c r="H12" s="3">
        <v>0</v>
      </c>
      <c r="I12" s="4">
        <v>1</v>
      </c>
      <c r="J12" s="2"/>
      <c r="K12" s="13" t="s">
        <v>88</v>
      </c>
      <c r="L12" s="11"/>
    </row>
    <row r="13" spans="1:28" ht="20.100000000000001" customHeight="1">
      <c r="A13" s="13" t="s">
        <v>210</v>
      </c>
      <c r="B13" s="2" t="s">
        <v>48</v>
      </c>
      <c r="C13" s="15" t="s">
        <v>40</v>
      </c>
      <c r="D13" s="18" t="s">
        <v>53</v>
      </c>
      <c r="E13" s="3">
        <f>SUM(G5:G12)</f>
        <v>118</v>
      </c>
      <c r="F13" s="3">
        <v>0</v>
      </c>
      <c r="G13" s="3">
        <v>118</v>
      </c>
      <c r="H13" s="3">
        <v>0</v>
      </c>
      <c r="I13" s="4">
        <v>1</v>
      </c>
      <c r="J13" s="2"/>
      <c r="K13" s="2" t="s">
        <v>129</v>
      </c>
      <c r="L13" s="18"/>
    </row>
    <row r="14" spans="1:28" ht="20.100000000000001" customHeight="1">
      <c r="A14" s="13" t="s">
        <v>209</v>
      </c>
      <c r="B14" s="2" t="s">
        <v>50</v>
      </c>
      <c r="C14" s="15" t="s">
        <v>40</v>
      </c>
      <c r="D14" s="18" t="s">
        <v>53</v>
      </c>
      <c r="E14" s="16">
        <f>E13</f>
        <v>118</v>
      </c>
      <c r="F14" s="3">
        <v>0</v>
      </c>
      <c r="G14" s="3">
        <v>118</v>
      </c>
      <c r="H14" s="3">
        <v>0</v>
      </c>
      <c r="I14" s="4">
        <v>1</v>
      </c>
      <c r="J14" s="2"/>
      <c r="K14" s="2" t="s">
        <v>129</v>
      </c>
      <c r="L14" s="2"/>
    </row>
    <row r="15" spans="1:28" ht="20.100000000000001" customHeight="1">
      <c r="A15" s="13" t="s">
        <v>209</v>
      </c>
      <c r="B15" s="2" t="s">
        <v>2</v>
      </c>
      <c r="C15" s="15" t="s">
        <v>40</v>
      </c>
      <c r="D15" s="18" t="s">
        <v>53</v>
      </c>
      <c r="E15" s="16">
        <f>E13</f>
        <v>118</v>
      </c>
      <c r="F15" s="3">
        <v>0</v>
      </c>
      <c r="G15" s="3">
        <v>118</v>
      </c>
      <c r="H15" s="3">
        <v>0</v>
      </c>
      <c r="I15" s="4">
        <v>1</v>
      </c>
      <c r="J15" s="2"/>
      <c r="K15" s="2" t="s">
        <v>90</v>
      </c>
      <c r="L15" s="2"/>
    </row>
    <row r="16" spans="1:28" ht="20.100000000000001" customHeight="1">
      <c r="A16" s="13" t="s">
        <v>209</v>
      </c>
      <c r="B16" s="2" t="s">
        <v>52</v>
      </c>
      <c r="C16" s="15" t="s">
        <v>40</v>
      </c>
      <c r="D16" s="18" t="s">
        <v>53</v>
      </c>
      <c r="E16" s="16">
        <f>E13</f>
        <v>118</v>
      </c>
      <c r="F16" s="3">
        <v>0</v>
      </c>
      <c r="G16" s="3">
        <v>118</v>
      </c>
      <c r="H16" s="3">
        <v>0</v>
      </c>
      <c r="I16" s="4">
        <v>1</v>
      </c>
      <c r="J16" s="2"/>
      <c r="K16" s="2" t="s">
        <v>88</v>
      </c>
      <c r="L16" s="2"/>
    </row>
    <row r="17" spans="1:12" ht="20.100000000000001" customHeight="1">
      <c r="A17" s="13" t="s">
        <v>209</v>
      </c>
      <c r="B17" s="2" t="s">
        <v>54</v>
      </c>
      <c r="C17" s="15" t="s">
        <v>40</v>
      </c>
      <c r="D17" s="18" t="s">
        <v>53</v>
      </c>
      <c r="E17" s="18">
        <v>115</v>
      </c>
      <c r="F17" s="3">
        <v>0</v>
      </c>
      <c r="G17" s="3">
        <v>101</v>
      </c>
      <c r="H17" s="3">
        <v>14</v>
      </c>
      <c r="I17" s="4">
        <f>G17/E17</f>
        <v>0.87826086956521743</v>
      </c>
      <c r="J17" s="1"/>
      <c r="K17" s="2" t="s">
        <v>139</v>
      </c>
      <c r="L17" s="2"/>
    </row>
    <row r="18" spans="1:12" ht="20.100000000000001" customHeight="1">
      <c r="A18" s="13" t="s">
        <v>219</v>
      </c>
      <c r="B18" s="2" t="s">
        <v>54</v>
      </c>
      <c r="C18" s="15" t="s">
        <v>223</v>
      </c>
      <c r="D18" s="18" t="s">
        <v>53</v>
      </c>
      <c r="E18" s="18">
        <v>109</v>
      </c>
      <c r="F18" s="3">
        <v>0</v>
      </c>
      <c r="G18" s="3">
        <v>101</v>
      </c>
      <c r="H18" s="3">
        <v>8</v>
      </c>
      <c r="I18" s="4">
        <f>G18/E18</f>
        <v>0.92660550458715596</v>
      </c>
      <c r="J18" s="1"/>
      <c r="K18" s="2" t="s">
        <v>139</v>
      </c>
      <c r="L18" s="2"/>
    </row>
    <row r="19" spans="1:12" ht="20.100000000000001" customHeight="1">
      <c r="A19" s="13" t="s">
        <v>220</v>
      </c>
      <c r="B19" s="2" t="s">
        <v>54</v>
      </c>
      <c r="C19" s="15" t="s">
        <v>223</v>
      </c>
      <c r="D19" s="18" t="s">
        <v>53</v>
      </c>
      <c r="E19" s="2">
        <v>110</v>
      </c>
      <c r="F19" s="3">
        <v>0</v>
      </c>
      <c r="G19" s="3">
        <v>96</v>
      </c>
      <c r="H19" s="3">
        <v>14</v>
      </c>
      <c r="I19" s="4">
        <f>G19/E19</f>
        <v>0.87272727272727268</v>
      </c>
      <c r="J19" s="1"/>
      <c r="K19" s="2" t="s">
        <v>139</v>
      </c>
      <c r="L19" s="2"/>
    </row>
    <row r="20" spans="1:12" ht="20.100000000000001" customHeight="1">
      <c r="A20" s="13" t="s">
        <v>221</v>
      </c>
      <c r="B20" s="2" t="s">
        <v>54</v>
      </c>
      <c r="C20" s="15" t="s">
        <v>223</v>
      </c>
      <c r="D20" s="18" t="s">
        <v>53</v>
      </c>
      <c r="E20" s="2">
        <v>75</v>
      </c>
      <c r="F20" s="3">
        <v>0</v>
      </c>
      <c r="G20" s="3">
        <v>44</v>
      </c>
      <c r="H20" s="3">
        <v>31</v>
      </c>
      <c r="I20" s="4">
        <f>G20/E20</f>
        <v>0.58666666666666667</v>
      </c>
      <c r="J20" s="1"/>
      <c r="K20" s="2" t="s">
        <v>139</v>
      </c>
      <c r="L20" s="2"/>
    </row>
    <row r="21" spans="1:12" ht="20.100000000000001" customHeight="1">
      <c r="A21" s="13"/>
      <c r="B21" s="2"/>
      <c r="C21" s="2"/>
      <c r="D21" s="2"/>
      <c r="E21" s="2"/>
      <c r="F21" s="3"/>
      <c r="G21" s="3"/>
      <c r="H21" s="3"/>
      <c r="I21" s="4"/>
      <c r="J21" s="1"/>
      <c r="K21" s="2"/>
      <c r="L21" s="2"/>
    </row>
    <row r="22" spans="1:12" ht="20.100000000000001" customHeight="1">
      <c r="A22" s="13"/>
      <c r="B22" s="2"/>
      <c r="C22" s="2"/>
      <c r="D22" s="2"/>
      <c r="E22" s="2"/>
      <c r="F22" s="3"/>
      <c r="G22" s="3"/>
      <c r="H22" s="3"/>
      <c r="I22" s="4"/>
      <c r="J22" s="1"/>
      <c r="K22" s="2"/>
      <c r="L22" s="2"/>
    </row>
    <row r="23" spans="1:12" ht="20.100000000000001" customHeight="1">
      <c r="A23" s="13"/>
      <c r="B23" s="2"/>
      <c r="C23" s="2"/>
      <c r="D23" s="1"/>
      <c r="E23" s="2"/>
      <c r="F23" s="3"/>
      <c r="G23" s="3"/>
      <c r="H23" s="3"/>
      <c r="I23" s="4"/>
      <c r="J23" s="1"/>
      <c r="K23" s="2"/>
      <c r="L23" s="2"/>
    </row>
    <row r="24" spans="1:12" ht="20.100000000000001" customHeight="1">
      <c r="A24" s="13"/>
      <c r="B24" s="2"/>
      <c r="C24" s="2"/>
      <c r="D24" s="1"/>
      <c r="E24" s="2"/>
      <c r="F24" s="3"/>
      <c r="G24" s="3"/>
      <c r="H24" s="3"/>
      <c r="I24" s="4" t="str">
        <f t="shared" ref="I24" si="0">IFERROR(G24/F24,"")</f>
        <v/>
      </c>
      <c r="J24" s="1"/>
      <c r="K24" s="2"/>
      <c r="L24" s="2"/>
    </row>
    <row r="25" spans="1:12" ht="20.100000000000001" customHeight="1">
      <c r="A25" s="13"/>
      <c r="B25" s="2"/>
      <c r="C25" s="2"/>
      <c r="D25" s="1"/>
      <c r="E25" s="2"/>
      <c r="F25" s="3"/>
      <c r="G25" s="3"/>
      <c r="H25" s="3"/>
      <c r="I25" s="4"/>
      <c r="J25" s="1"/>
      <c r="K25" s="2"/>
      <c r="L25" s="2"/>
    </row>
    <row r="26" spans="1:12" ht="20.100000000000001" customHeight="1">
      <c r="A26" s="13"/>
      <c r="B26" s="2"/>
      <c r="C26" s="2"/>
      <c r="D26" s="1"/>
      <c r="E26" s="2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13"/>
      <c r="B27" s="2"/>
      <c r="C27" s="2"/>
      <c r="D27" s="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3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C21:C31 B5:B20" xr:uid="{00000000-0002-0000-07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7">
    <pageSetUpPr fitToPage="1"/>
  </sheetPr>
  <dimension ref="A1:AB57"/>
  <sheetViews>
    <sheetView showGridLines="0" zoomScaleNormal="100" workbookViewId="0">
      <pane ySplit="4" topLeftCell="A5" activePane="bottomLeft" state="frozen"/>
      <selection pane="bottomLeft" activeCell="G10" sqref="G10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s="30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s="30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152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4516333618</v>
      </c>
      <c r="K3" s="6" t="s">
        <v>11</v>
      </c>
      <c r="L3" s="11" t="s">
        <v>153</v>
      </c>
      <c r="X3" t="s">
        <v>12</v>
      </c>
      <c r="Y3" s="30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17" t="s">
        <v>16</v>
      </c>
      <c r="F4" s="17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Y4" s="30" t="s">
        <v>154</v>
      </c>
      <c r="Z4" t="s">
        <v>2</v>
      </c>
      <c r="AA4" t="s">
        <v>20</v>
      </c>
      <c r="AB4" t="s">
        <v>21</v>
      </c>
    </row>
    <row r="5" spans="1:28" ht="16.5">
      <c r="A5" s="11" t="s">
        <v>153</v>
      </c>
      <c r="B5" s="2" t="s">
        <v>39</v>
      </c>
      <c r="C5" s="15" t="s">
        <v>157</v>
      </c>
      <c r="D5" s="34" t="s">
        <v>224</v>
      </c>
      <c r="E5" s="19">
        <v>25</v>
      </c>
      <c r="F5" s="19">
        <v>0</v>
      </c>
      <c r="G5" s="16">
        <v>25</v>
      </c>
      <c r="H5" s="3">
        <v>0</v>
      </c>
      <c r="I5" s="4">
        <v>1</v>
      </c>
      <c r="J5" s="2"/>
      <c r="K5" s="13" t="s">
        <v>158</v>
      </c>
      <c r="L5" s="11"/>
      <c r="Y5" s="30" t="s">
        <v>155</v>
      </c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153</v>
      </c>
      <c r="B6" s="2" t="s">
        <v>39</v>
      </c>
      <c r="C6" s="15" t="s">
        <v>40</v>
      </c>
      <c r="D6" s="34" t="s">
        <v>225</v>
      </c>
      <c r="E6" s="19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158</v>
      </c>
      <c r="L6" s="11"/>
      <c r="Y6" s="30" t="s">
        <v>156</v>
      </c>
      <c r="Z6" t="s">
        <v>38</v>
      </c>
    </row>
    <row r="7" spans="1:28" ht="20.100000000000001" customHeight="1">
      <c r="A7" s="11" t="s">
        <v>233</v>
      </c>
      <c r="B7" s="2" t="s">
        <v>39</v>
      </c>
      <c r="C7" s="15" t="s">
        <v>223</v>
      </c>
      <c r="D7" s="34" t="s">
        <v>226</v>
      </c>
      <c r="E7" s="19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158</v>
      </c>
      <c r="L7" s="11"/>
    </row>
    <row r="8" spans="1:28" ht="20.100000000000001" customHeight="1">
      <c r="A8" s="11" t="s">
        <v>233</v>
      </c>
      <c r="B8" s="2" t="s">
        <v>39</v>
      </c>
      <c r="C8" s="15" t="s">
        <v>223</v>
      </c>
      <c r="D8" s="34" t="s">
        <v>227</v>
      </c>
      <c r="E8" s="19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158</v>
      </c>
      <c r="L8" s="11"/>
    </row>
    <row r="9" spans="1:28" ht="20.100000000000001" customHeight="1">
      <c r="A9" s="11" t="s">
        <v>233</v>
      </c>
      <c r="B9" s="2" t="s">
        <v>39</v>
      </c>
      <c r="C9" s="15" t="s">
        <v>223</v>
      </c>
      <c r="D9" s="34" t="s">
        <v>228</v>
      </c>
      <c r="E9" s="19">
        <v>25</v>
      </c>
      <c r="F9" s="19">
        <v>0</v>
      </c>
      <c r="G9" s="16">
        <v>25</v>
      </c>
      <c r="H9" s="3">
        <v>0</v>
      </c>
      <c r="I9" s="4">
        <v>1</v>
      </c>
      <c r="J9" s="2"/>
      <c r="K9" s="13" t="s">
        <v>158</v>
      </c>
      <c r="L9" s="11"/>
    </row>
    <row r="10" spans="1:28" ht="20.100000000000001" customHeight="1">
      <c r="A10" s="11" t="s">
        <v>233</v>
      </c>
      <c r="B10" s="2" t="s">
        <v>39</v>
      </c>
      <c r="C10" s="15" t="s">
        <v>223</v>
      </c>
      <c r="D10" s="34" t="s">
        <v>229</v>
      </c>
      <c r="E10" s="19">
        <v>25</v>
      </c>
      <c r="F10" s="19">
        <v>0</v>
      </c>
      <c r="G10" s="16">
        <v>25</v>
      </c>
      <c r="H10" s="3">
        <v>0</v>
      </c>
      <c r="I10" s="4">
        <v>1</v>
      </c>
      <c r="J10" s="2"/>
      <c r="K10" s="13" t="s">
        <v>158</v>
      </c>
      <c r="L10" s="11"/>
    </row>
    <row r="11" spans="1:28" ht="20.100000000000001" customHeight="1">
      <c r="A11" s="11" t="s">
        <v>233</v>
      </c>
      <c r="B11" s="2" t="s">
        <v>39</v>
      </c>
      <c r="C11" s="15" t="s">
        <v>223</v>
      </c>
      <c r="D11" s="34" t="s">
        <v>230</v>
      </c>
      <c r="E11" s="19">
        <v>25</v>
      </c>
      <c r="F11" s="19">
        <v>0</v>
      </c>
      <c r="G11" s="16">
        <v>25</v>
      </c>
      <c r="H11" s="3">
        <v>0</v>
      </c>
      <c r="I11" s="4">
        <v>1</v>
      </c>
      <c r="J11" s="2"/>
      <c r="K11" s="13" t="s">
        <v>158</v>
      </c>
      <c r="L11" s="11"/>
    </row>
    <row r="12" spans="1:28" ht="20.100000000000001" customHeight="1">
      <c r="A12" s="11" t="s">
        <v>233</v>
      </c>
      <c r="B12" s="2" t="s">
        <v>39</v>
      </c>
      <c r="C12" s="15" t="s">
        <v>223</v>
      </c>
      <c r="D12" s="34" t="s">
        <v>231</v>
      </c>
      <c r="E12" s="19">
        <v>25</v>
      </c>
      <c r="F12" s="19">
        <v>0</v>
      </c>
      <c r="G12" s="16">
        <v>25</v>
      </c>
      <c r="H12" s="3">
        <v>0</v>
      </c>
      <c r="I12" s="4">
        <v>1</v>
      </c>
      <c r="J12" s="2"/>
      <c r="K12" s="13" t="s">
        <v>158</v>
      </c>
      <c r="L12" s="11"/>
    </row>
    <row r="13" spans="1:28" ht="20.100000000000001" customHeight="1">
      <c r="A13" s="11" t="s">
        <v>233</v>
      </c>
      <c r="B13" s="2" t="s">
        <v>39</v>
      </c>
      <c r="C13" s="15" t="s">
        <v>223</v>
      </c>
      <c r="D13" s="34" t="s">
        <v>232</v>
      </c>
      <c r="E13" s="19">
        <v>25</v>
      </c>
      <c r="F13" s="19">
        <v>0</v>
      </c>
      <c r="G13" s="16">
        <v>25</v>
      </c>
      <c r="H13" s="3">
        <v>0</v>
      </c>
      <c r="I13" s="4">
        <v>1</v>
      </c>
      <c r="J13" s="2"/>
      <c r="K13" s="13" t="s">
        <v>158</v>
      </c>
      <c r="L13" s="18"/>
    </row>
    <row r="14" spans="1:28" ht="20.100000000000001" customHeight="1">
      <c r="A14" s="11" t="s">
        <v>233</v>
      </c>
      <c r="B14" s="2" t="s">
        <v>48</v>
      </c>
      <c r="C14" s="15" t="s">
        <v>223</v>
      </c>
      <c r="D14" s="11" t="s">
        <v>234</v>
      </c>
      <c r="E14" s="19">
        <v>225</v>
      </c>
      <c r="F14" s="19">
        <v>0</v>
      </c>
      <c r="G14" s="16">
        <v>225</v>
      </c>
      <c r="H14" s="3">
        <v>0</v>
      </c>
      <c r="I14" s="4">
        <v>1</v>
      </c>
      <c r="J14" s="1"/>
      <c r="K14" s="2" t="s">
        <v>235</v>
      </c>
      <c r="L14" s="2"/>
    </row>
    <row r="15" spans="1:28" ht="20.100000000000001" customHeight="1">
      <c r="A15" s="11" t="s">
        <v>233</v>
      </c>
      <c r="B15" s="2" t="s">
        <v>50</v>
      </c>
      <c r="C15" s="15" t="s">
        <v>223</v>
      </c>
      <c r="D15" s="11" t="s">
        <v>234</v>
      </c>
      <c r="E15" s="19">
        <v>225</v>
      </c>
      <c r="F15" s="19">
        <v>0</v>
      </c>
      <c r="G15" s="16">
        <v>225</v>
      </c>
      <c r="H15" s="3">
        <v>0</v>
      </c>
      <c r="I15" s="4">
        <v>1</v>
      </c>
      <c r="J15" s="1"/>
      <c r="K15" s="2" t="s">
        <v>235</v>
      </c>
      <c r="L15" s="2"/>
    </row>
    <row r="16" spans="1:28" ht="20.100000000000001" customHeight="1">
      <c r="A16" s="11" t="s">
        <v>233</v>
      </c>
      <c r="B16" s="2" t="s">
        <v>2</v>
      </c>
      <c r="C16" s="15" t="s">
        <v>223</v>
      </c>
      <c r="D16" s="11" t="s">
        <v>234</v>
      </c>
      <c r="E16" s="19">
        <v>225</v>
      </c>
      <c r="F16" s="19">
        <v>0</v>
      </c>
      <c r="G16" s="16">
        <v>225</v>
      </c>
      <c r="H16" s="3">
        <v>0</v>
      </c>
      <c r="I16" s="4">
        <v>1</v>
      </c>
      <c r="J16" s="1"/>
      <c r="K16" s="2" t="s">
        <v>264</v>
      </c>
      <c r="L16" s="2"/>
    </row>
    <row r="17" spans="1:12" ht="20.100000000000001" customHeight="1">
      <c r="A17" s="11" t="s">
        <v>233</v>
      </c>
      <c r="B17" s="2" t="s">
        <v>52</v>
      </c>
      <c r="C17" s="15" t="s">
        <v>223</v>
      </c>
      <c r="D17" s="11" t="s">
        <v>234</v>
      </c>
      <c r="E17" s="19">
        <v>225</v>
      </c>
      <c r="F17" s="19">
        <v>0</v>
      </c>
      <c r="G17" s="16">
        <v>225</v>
      </c>
      <c r="H17" s="3">
        <v>0</v>
      </c>
      <c r="I17" s="4">
        <v>1</v>
      </c>
      <c r="J17" s="1"/>
      <c r="K17" s="2" t="s">
        <v>237</v>
      </c>
      <c r="L17" s="2"/>
    </row>
    <row r="18" spans="1:12" ht="20.100000000000001" customHeight="1">
      <c r="A18" s="11" t="s">
        <v>233</v>
      </c>
      <c r="B18" s="2" t="s">
        <v>38</v>
      </c>
      <c r="C18" s="15" t="s">
        <v>223</v>
      </c>
      <c r="D18" s="11" t="s">
        <v>53</v>
      </c>
      <c r="E18" s="11">
        <v>13</v>
      </c>
      <c r="F18" s="19">
        <v>0</v>
      </c>
      <c r="G18" s="16">
        <v>13</v>
      </c>
      <c r="H18" s="3">
        <v>0</v>
      </c>
      <c r="I18" s="4">
        <v>1</v>
      </c>
      <c r="J18" s="1"/>
      <c r="K18" s="2" t="s">
        <v>236</v>
      </c>
      <c r="L18" s="2"/>
    </row>
    <row r="19" spans="1:12" ht="20.100000000000001" customHeight="1">
      <c r="A19" s="48" t="s">
        <v>24</v>
      </c>
      <c r="B19" s="49"/>
      <c r="C19" s="49"/>
      <c r="D19" s="58"/>
      <c r="E19" s="33"/>
      <c r="F19" s="33"/>
      <c r="G19" s="7"/>
      <c r="H19" s="8" t="str">
        <f>IFERROR(F19/E19,"")</f>
        <v/>
      </c>
      <c r="I19" s="9"/>
      <c r="J19" s="9"/>
      <c r="K19" s="12"/>
      <c r="L19" s="10"/>
    </row>
    <row r="20" spans="1:12" ht="20.100000000000001" customHeight="1">
      <c r="A20" s="51" t="s">
        <v>25</v>
      </c>
      <c r="B20" s="52"/>
      <c r="C20" s="53"/>
      <c r="D20" s="51" t="s">
        <v>26</v>
      </c>
      <c r="E20" s="52"/>
      <c r="F20" s="52"/>
      <c r="G20" s="53"/>
      <c r="H20" s="51" t="s">
        <v>27</v>
      </c>
      <c r="I20" s="52"/>
      <c r="J20" s="52"/>
      <c r="K20" s="53"/>
      <c r="L20" s="10"/>
    </row>
    <row r="21" spans="1:12" ht="20.100000000000001" customHeight="1"/>
    <row r="22" spans="1:12" ht="20.100000000000001" customHeight="1"/>
    <row r="23" spans="1:12" ht="20.100000000000001" customHeight="1"/>
    <row r="24" spans="1:12" ht="20.100000000000001" customHeight="1"/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7" ht="21.95" customHeight="1"/>
  </sheetData>
  <mergeCells count="7">
    <mergeCell ref="A1:K1"/>
    <mergeCell ref="A2:K2"/>
    <mergeCell ref="D3:F3"/>
    <mergeCell ref="A19:D19"/>
    <mergeCell ref="A20:C20"/>
    <mergeCell ref="D20:G20"/>
    <mergeCell ref="H20:K20"/>
  </mergeCells>
  <phoneticPr fontId="6" type="noConversion"/>
  <dataValidations count="1">
    <dataValidation type="list" allowBlank="1" sqref="B5:B18" xr:uid="{00000000-0002-0000-08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8">
    <pageSetUpPr fitToPage="1"/>
  </sheetPr>
  <dimension ref="A1:AB58"/>
  <sheetViews>
    <sheetView showGridLines="0" zoomScaleNormal="100" workbookViewId="0">
      <pane ySplit="4" topLeftCell="A17" activePane="bottomLeft" state="frozen"/>
      <selection pane="bottomLeft" activeCell="H36" sqref="H36:H37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4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152</v>
      </c>
      <c r="E3" s="46"/>
      <c r="F3" s="47"/>
      <c r="G3" s="6" t="s">
        <v>10</v>
      </c>
      <c r="H3" s="11" t="s">
        <v>32</v>
      </c>
      <c r="I3" s="6" t="s">
        <v>35</v>
      </c>
      <c r="J3" s="11">
        <v>4516333618</v>
      </c>
      <c r="K3" s="6" t="s">
        <v>11</v>
      </c>
      <c r="L3" s="11" t="s">
        <v>187</v>
      </c>
      <c r="X3" t="s">
        <v>12</v>
      </c>
      <c r="Y3" s="30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Y4" s="30" t="s">
        <v>154</v>
      </c>
      <c r="Z4" t="s">
        <v>2</v>
      </c>
      <c r="AA4" t="s">
        <v>20</v>
      </c>
      <c r="AB4" t="s">
        <v>21</v>
      </c>
    </row>
    <row r="5" spans="1:28">
      <c r="A5" s="11" t="s">
        <v>187</v>
      </c>
      <c r="B5" s="2" t="s">
        <v>39</v>
      </c>
      <c r="C5" s="15" t="s">
        <v>40</v>
      </c>
      <c r="D5" s="11" t="s">
        <v>159</v>
      </c>
      <c r="E5" s="31">
        <v>25</v>
      </c>
      <c r="F5" s="19">
        <v>0</v>
      </c>
      <c r="G5" s="16">
        <v>25</v>
      </c>
      <c r="H5" s="3">
        <v>0</v>
      </c>
      <c r="I5" s="4">
        <v>1</v>
      </c>
      <c r="J5" s="2"/>
      <c r="K5" s="35" t="s">
        <v>88</v>
      </c>
      <c r="L5" s="11"/>
      <c r="Y5" s="30" t="s">
        <v>155</v>
      </c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187</v>
      </c>
      <c r="B6" s="2" t="s">
        <v>39</v>
      </c>
      <c r="C6" s="15" t="s">
        <v>40</v>
      </c>
      <c r="D6" s="11" t="s">
        <v>160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35" t="s">
        <v>88</v>
      </c>
      <c r="L6" s="11"/>
      <c r="Y6" s="30" t="s">
        <v>156</v>
      </c>
      <c r="Z6" t="s">
        <v>38</v>
      </c>
    </row>
    <row r="7" spans="1:28" ht="20.100000000000001" customHeight="1">
      <c r="A7" s="11" t="s">
        <v>238</v>
      </c>
      <c r="B7" s="2" t="s">
        <v>39</v>
      </c>
      <c r="C7" s="15" t="s">
        <v>223</v>
      </c>
      <c r="D7" s="11" t="s">
        <v>161</v>
      </c>
      <c r="E7" s="31">
        <v>25</v>
      </c>
      <c r="F7" s="19">
        <v>17</v>
      </c>
      <c r="G7" s="16">
        <v>8</v>
      </c>
      <c r="H7" s="3">
        <v>0</v>
      </c>
      <c r="I7" s="4">
        <v>1</v>
      </c>
      <c r="J7" s="2"/>
      <c r="K7" s="35" t="s">
        <v>88</v>
      </c>
      <c r="L7" s="11"/>
    </row>
    <row r="8" spans="1:28" ht="20.100000000000001" customHeight="1">
      <c r="A8" s="11" t="s">
        <v>238</v>
      </c>
      <c r="B8" s="2" t="s">
        <v>39</v>
      </c>
      <c r="C8" s="15" t="s">
        <v>223</v>
      </c>
      <c r="D8" s="11" t="s">
        <v>162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35" t="s">
        <v>88</v>
      </c>
      <c r="L8" s="11"/>
    </row>
    <row r="9" spans="1:28" ht="20.100000000000001" customHeight="1">
      <c r="A9" s="11" t="s">
        <v>238</v>
      </c>
      <c r="B9" s="2" t="s">
        <v>39</v>
      </c>
      <c r="C9" s="15" t="s">
        <v>223</v>
      </c>
      <c r="D9" s="11" t="s">
        <v>163</v>
      </c>
      <c r="E9" s="31">
        <v>25</v>
      </c>
      <c r="F9" s="19">
        <v>25</v>
      </c>
      <c r="G9" s="16">
        <v>0</v>
      </c>
      <c r="H9" s="3">
        <v>0</v>
      </c>
      <c r="I9" s="4">
        <v>1</v>
      </c>
      <c r="J9" s="2"/>
      <c r="K9" s="35" t="s">
        <v>88</v>
      </c>
      <c r="L9" s="11"/>
    </row>
    <row r="10" spans="1:28" ht="20.100000000000001" customHeight="1">
      <c r="A10" s="11" t="s">
        <v>238</v>
      </c>
      <c r="B10" s="2" t="s">
        <v>39</v>
      </c>
      <c r="C10" s="15" t="s">
        <v>223</v>
      </c>
      <c r="D10" s="11" t="s">
        <v>164</v>
      </c>
      <c r="E10" s="31">
        <v>25</v>
      </c>
      <c r="F10" s="19">
        <v>0</v>
      </c>
      <c r="G10" s="16">
        <v>25</v>
      </c>
      <c r="H10" s="3">
        <v>0</v>
      </c>
      <c r="I10" s="4">
        <v>1</v>
      </c>
      <c r="J10" s="2"/>
      <c r="K10" s="35" t="s">
        <v>88</v>
      </c>
      <c r="L10" s="11"/>
    </row>
    <row r="11" spans="1:28" ht="20.100000000000001" customHeight="1">
      <c r="A11" s="11" t="s">
        <v>238</v>
      </c>
      <c r="B11" s="2" t="s">
        <v>39</v>
      </c>
      <c r="C11" s="15" t="s">
        <v>40</v>
      </c>
      <c r="D11" s="11" t="s">
        <v>165</v>
      </c>
      <c r="E11" s="31">
        <v>25</v>
      </c>
      <c r="F11" s="19">
        <v>0</v>
      </c>
      <c r="G11" s="16">
        <v>25</v>
      </c>
      <c r="H11" s="3">
        <v>0</v>
      </c>
      <c r="I11" s="4">
        <v>1</v>
      </c>
      <c r="J11" s="2"/>
      <c r="K11" s="35" t="s">
        <v>88</v>
      </c>
      <c r="L11" s="11"/>
    </row>
    <row r="12" spans="1:28" ht="20.100000000000001" customHeight="1">
      <c r="A12" s="11" t="s">
        <v>238</v>
      </c>
      <c r="B12" s="2" t="s">
        <v>39</v>
      </c>
      <c r="C12" s="15" t="s">
        <v>223</v>
      </c>
      <c r="D12" s="11" t="s">
        <v>166</v>
      </c>
      <c r="E12" s="31">
        <v>25</v>
      </c>
      <c r="F12" s="19">
        <v>0</v>
      </c>
      <c r="G12" s="16">
        <v>25</v>
      </c>
      <c r="H12" s="3">
        <v>0</v>
      </c>
      <c r="I12" s="4">
        <v>1</v>
      </c>
      <c r="J12" s="2"/>
      <c r="K12" s="35" t="s">
        <v>88</v>
      </c>
      <c r="L12" s="11"/>
    </row>
    <row r="13" spans="1:28" ht="20.100000000000001" customHeight="1">
      <c r="A13" s="11" t="s">
        <v>238</v>
      </c>
      <c r="B13" s="2" t="s">
        <v>39</v>
      </c>
      <c r="C13" s="15" t="s">
        <v>223</v>
      </c>
      <c r="D13" s="11" t="s">
        <v>167</v>
      </c>
      <c r="E13" s="31">
        <v>25</v>
      </c>
      <c r="F13" s="19">
        <v>25</v>
      </c>
      <c r="G13" s="16">
        <v>0</v>
      </c>
      <c r="H13" s="3">
        <v>0</v>
      </c>
      <c r="I13" s="4">
        <v>1</v>
      </c>
      <c r="J13" s="2"/>
      <c r="K13" s="35" t="s">
        <v>88</v>
      </c>
      <c r="L13" s="18"/>
    </row>
    <row r="14" spans="1:28" ht="20.100000000000001" customHeight="1">
      <c r="A14" s="11" t="s">
        <v>238</v>
      </c>
      <c r="B14" s="2" t="s">
        <v>39</v>
      </c>
      <c r="C14" s="15" t="s">
        <v>223</v>
      </c>
      <c r="D14" s="11" t="s">
        <v>168</v>
      </c>
      <c r="E14" s="31">
        <v>25</v>
      </c>
      <c r="F14" s="19">
        <v>0</v>
      </c>
      <c r="G14" s="16">
        <v>25</v>
      </c>
      <c r="H14" s="3">
        <v>0</v>
      </c>
      <c r="I14" s="4">
        <v>1</v>
      </c>
      <c r="J14" s="2"/>
      <c r="K14" s="35" t="s">
        <v>88</v>
      </c>
      <c r="L14" s="2"/>
    </row>
    <row r="15" spans="1:28" ht="20.100000000000001" customHeight="1">
      <c r="A15" s="11" t="s">
        <v>238</v>
      </c>
      <c r="B15" s="2" t="s">
        <v>39</v>
      </c>
      <c r="C15" s="15" t="s">
        <v>223</v>
      </c>
      <c r="D15" s="11" t="s">
        <v>169</v>
      </c>
      <c r="E15" s="31">
        <v>25</v>
      </c>
      <c r="F15" s="19">
        <v>0</v>
      </c>
      <c r="G15" s="16">
        <v>25</v>
      </c>
      <c r="H15" s="3">
        <v>0</v>
      </c>
      <c r="I15" s="4">
        <v>1</v>
      </c>
      <c r="J15" s="2"/>
      <c r="K15" s="35" t="s">
        <v>88</v>
      </c>
      <c r="L15" s="2"/>
    </row>
    <row r="16" spans="1:28" ht="20.100000000000001" customHeight="1">
      <c r="A16" s="11" t="s">
        <v>238</v>
      </c>
      <c r="B16" s="2" t="s">
        <v>39</v>
      </c>
      <c r="C16" s="15" t="s">
        <v>223</v>
      </c>
      <c r="D16" s="11" t="s">
        <v>170</v>
      </c>
      <c r="E16" s="31">
        <v>25</v>
      </c>
      <c r="F16" s="19">
        <v>0</v>
      </c>
      <c r="G16" s="16">
        <v>25</v>
      </c>
      <c r="H16" s="3">
        <v>0</v>
      </c>
      <c r="I16" s="4">
        <v>1</v>
      </c>
      <c r="J16" s="2"/>
      <c r="K16" s="35" t="s">
        <v>88</v>
      </c>
      <c r="L16" s="2"/>
    </row>
    <row r="17" spans="1:12" ht="20.100000000000001" customHeight="1">
      <c r="A17" s="11" t="s">
        <v>238</v>
      </c>
      <c r="B17" s="2" t="s">
        <v>39</v>
      </c>
      <c r="C17" s="15" t="s">
        <v>223</v>
      </c>
      <c r="D17" s="11" t="s">
        <v>171</v>
      </c>
      <c r="E17" s="31">
        <v>25</v>
      </c>
      <c r="F17" s="19">
        <v>0</v>
      </c>
      <c r="G17" s="16">
        <v>25</v>
      </c>
      <c r="H17" s="3">
        <v>0</v>
      </c>
      <c r="I17" s="4">
        <v>1</v>
      </c>
      <c r="J17" s="1"/>
      <c r="K17" s="35" t="s">
        <v>88</v>
      </c>
      <c r="L17" s="2"/>
    </row>
    <row r="18" spans="1:12" ht="20.100000000000001" customHeight="1">
      <c r="A18" s="11" t="s">
        <v>238</v>
      </c>
      <c r="B18" s="2" t="s">
        <v>39</v>
      </c>
      <c r="C18" s="15" t="s">
        <v>223</v>
      </c>
      <c r="D18" s="11" t="s">
        <v>172</v>
      </c>
      <c r="E18" s="31">
        <v>25</v>
      </c>
      <c r="F18" s="19">
        <v>0</v>
      </c>
      <c r="G18" s="16">
        <v>25</v>
      </c>
      <c r="H18" s="3">
        <v>0</v>
      </c>
      <c r="I18" s="4">
        <v>1</v>
      </c>
      <c r="J18" s="1"/>
      <c r="K18" s="35" t="s">
        <v>88</v>
      </c>
      <c r="L18" s="2"/>
    </row>
    <row r="19" spans="1:12" ht="20.100000000000001" customHeight="1">
      <c r="A19" s="11" t="s">
        <v>238</v>
      </c>
      <c r="B19" s="2" t="s">
        <v>39</v>
      </c>
      <c r="C19" s="15" t="s">
        <v>223</v>
      </c>
      <c r="D19" s="11" t="s">
        <v>173</v>
      </c>
      <c r="E19" s="31">
        <v>25</v>
      </c>
      <c r="F19" s="19">
        <v>0</v>
      </c>
      <c r="G19" s="16">
        <v>25</v>
      </c>
      <c r="H19" s="3">
        <v>0</v>
      </c>
      <c r="I19" s="4">
        <v>1</v>
      </c>
      <c r="J19" s="1"/>
      <c r="K19" s="35" t="s">
        <v>88</v>
      </c>
      <c r="L19" s="2"/>
    </row>
    <row r="20" spans="1:12" ht="20.100000000000001" customHeight="1">
      <c r="A20" s="11" t="s">
        <v>238</v>
      </c>
      <c r="B20" s="2" t="s">
        <v>39</v>
      </c>
      <c r="C20" s="15" t="s">
        <v>223</v>
      </c>
      <c r="D20" s="11" t="s">
        <v>174</v>
      </c>
      <c r="E20" s="31">
        <v>25</v>
      </c>
      <c r="F20" s="19">
        <v>0</v>
      </c>
      <c r="G20" s="16">
        <v>25</v>
      </c>
      <c r="H20" s="3">
        <v>0</v>
      </c>
      <c r="I20" s="4">
        <v>1</v>
      </c>
      <c r="J20" s="1"/>
      <c r="K20" s="35" t="s">
        <v>88</v>
      </c>
      <c r="L20" s="2"/>
    </row>
    <row r="21" spans="1:12" ht="20.100000000000001" customHeight="1">
      <c r="A21" s="11" t="s">
        <v>238</v>
      </c>
      <c r="B21" s="2" t="s">
        <v>39</v>
      </c>
      <c r="C21" s="15" t="s">
        <v>223</v>
      </c>
      <c r="D21" s="11" t="s">
        <v>175</v>
      </c>
      <c r="E21" s="31">
        <v>25</v>
      </c>
      <c r="F21" s="19">
        <v>0</v>
      </c>
      <c r="G21" s="16">
        <v>25</v>
      </c>
      <c r="H21" s="3">
        <v>0</v>
      </c>
      <c r="I21" s="4">
        <v>1</v>
      </c>
      <c r="J21" s="1"/>
      <c r="K21" s="35" t="s">
        <v>88</v>
      </c>
      <c r="L21" s="2"/>
    </row>
    <row r="22" spans="1:12" ht="20.100000000000001" customHeight="1">
      <c r="A22" s="11" t="s">
        <v>238</v>
      </c>
      <c r="B22" s="2" t="s">
        <v>39</v>
      </c>
      <c r="C22" s="15" t="s">
        <v>223</v>
      </c>
      <c r="D22" s="11" t="s">
        <v>176</v>
      </c>
      <c r="E22" s="31">
        <v>25</v>
      </c>
      <c r="F22" s="19">
        <v>0</v>
      </c>
      <c r="G22" s="16">
        <v>25</v>
      </c>
      <c r="H22" s="3">
        <v>0</v>
      </c>
      <c r="I22" s="4">
        <v>1</v>
      </c>
      <c r="J22" s="1"/>
      <c r="K22" s="35" t="s">
        <v>88</v>
      </c>
      <c r="L22" s="2"/>
    </row>
    <row r="23" spans="1:12" ht="20.100000000000001" customHeight="1">
      <c r="A23" s="11" t="s">
        <v>238</v>
      </c>
      <c r="B23" s="2" t="s">
        <v>39</v>
      </c>
      <c r="C23" s="15" t="s">
        <v>223</v>
      </c>
      <c r="D23" s="11" t="s">
        <v>178</v>
      </c>
      <c r="E23" s="31">
        <v>25</v>
      </c>
      <c r="F23" s="19">
        <v>0</v>
      </c>
      <c r="G23" s="16">
        <v>25</v>
      </c>
      <c r="H23" s="3">
        <v>0</v>
      </c>
      <c r="I23" s="4">
        <v>1</v>
      </c>
      <c r="J23" s="1"/>
      <c r="K23" s="35" t="s">
        <v>88</v>
      </c>
      <c r="L23" s="2"/>
    </row>
    <row r="24" spans="1:12" ht="20.100000000000001" customHeight="1">
      <c r="A24" s="11" t="s">
        <v>238</v>
      </c>
      <c r="B24" s="2" t="s">
        <v>39</v>
      </c>
      <c r="C24" s="15" t="s">
        <v>223</v>
      </c>
      <c r="D24" s="11" t="s">
        <v>179</v>
      </c>
      <c r="E24" s="31">
        <v>25</v>
      </c>
      <c r="F24" s="19">
        <v>0</v>
      </c>
      <c r="G24" s="16">
        <v>25</v>
      </c>
      <c r="H24" s="3">
        <v>0</v>
      </c>
      <c r="I24" s="4">
        <v>1</v>
      </c>
      <c r="J24" s="1"/>
      <c r="K24" s="35" t="s">
        <v>88</v>
      </c>
      <c r="L24" s="2"/>
    </row>
    <row r="25" spans="1:12" ht="20.100000000000001" customHeight="1">
      <c r="A25" s="11" t="s">
        <v>238</v>
      </c>
      <c r="B25" s="2" t="s">
        <v>39</v>
      </c>
      <c r="C25" s="15" t="s">
        <v>223</v>
      </c>
      <c r="D25" s="11" t="s">
        <v>180</v>
      </c>
      <c r="E25" s="31">
        <v>25</v>
      </c>
      <c r="F25" s="19">
        <v>25</v>
      </c>
      <c r="G25" s="16">
        <v>25</v>
      </c>
      <c r="H25" s="3">
        <v>0</v>
      </c>
      <c r="I25" s="4">
        <v>1</v>
      </c>
      <c r="J25" s="1"/>
      <c r="K25" s="35" t="s">
        <v>88</v>
      </c>
      <c r="L25" s="2"/>
    </row>
    <row r="26" spans="1:12" ht="20.100000000000001" customHeight="1">
      <c r="A26" s="11" t="s">
        <v>238</v>
      </c>
      <c r="B26" s="2" t="s">
        <v>39</v>
      </c>
      <c r="C26" s="15" t="s">
        <v>223</v>
      </c>
      <c r="D26" s="11" t="s">
        <v>181</v>
      </c>
      <c r="E26" s="31">
        <v>25</v>
      </c>
      <c r="F26" s="19">
        <v>25</v>
      </c>
      <c r="G26" s="16">
        <v>25</v>
      </c>
      <c r="H26" s="3">
        <v>0</v>
      </c>
      <c r="I26" s="4">
        <v>1</v>
      </c>
      <c r="J26" s="1"/>
      <c r="K26" s="35" t="s">
        <v>88</v>
      </c>
      <c r="L26" s="2"/>
    </row>
    <row r="27" spans="1:12" ht="20.100000000000001" customHeight="1">
      <c r="A27" s="11" t="s">
        <v>238</v>
      </c>
      <c r="B27" s="2" t="s">
        <v>39</v>
      </c>
      <c r="C27" s="15" t="s">
        <v>223</v>
      </c>
      <c r="D27" s="11" t="s">
        <v>182</v>
      </c>
      <c r="E27" s="31">
        <v>25</v>
      </c>
      <c r="F27" s="19">
        <v>0</v>
      </c>
      <c r="G27" s="16">
        <v>25</v>
      </c>
      <c r="H27" s="3">
        <v>0</v>
      </c>
      <c r="I27" s="4">
        <v>1</v>
      </c>
      <c r="J27" s="1"/>
      <c r="K27" s="35" t="s">
        <v>88</v>
      </c>
      <c r="L27" s="2"/>
    </row>
    <row r="28" spans="1:12" ht="20.100000000000001" customHeight="1">
      <c r="A28" s="11" t="s">
        <v>238</v>
      </c>
      <c r="B28" s="2" t="s">
        <v>39</v>
      </c>
      <c r="C28" s="15" t="s">
        <v>223</v>
      </c>
      <c r="D28" s="11" t="s">
        <v>183</v>
      </c>
      <c r="E28" s="31">
        <v>25</v>
      </c>
      <c r="F28" s="19">
        <v>0</v>
      </c>
      <c r="G28" s="16">
        <v>25</v>
      </c>
      <c r="H28" s="3">
        <v>0</v>
      </c>
      <c r="I28" s="4">
        <v>1</v>
      </c>
      <c r="J28" s="1"/>
      <c r="K28" s="35" t="s">
        <v>88</v>
      </c>
      <c r="L28" s="2"/>
    </row>
    <row r="29" spans="1:12" ht="20.100000000000001" customHeight="1">
      <c r="A29" s="11" t="s">
        <v>238</v>
      </c>
      <c r="B29" s="2" t="s">
        <v>39</v>
      </c>
      <c r="C29" s="15" t="s">
        <v>223</v>
      </c>
      <c r="D29" s="11" t="s">
        <v>184</v>
      </c>
      <c r="E29" s="31">
        <v>25</v>
      </c>
      <c r="F29" s="19">
        <v>0</v>
      </c>
      <c r="G29" s="16">
        <v>25</v>
      </c>
      <c r="H29" s="3">
        <v>0</v>
      </c>
      <c r="I29" s="4">
        <v>1</v>
      </c>
      <c r="J29" s="1"/>
      <c r="K29" s="35" t="s">
        <v>88</v>
      </c>
      <c r="L29" s="2"/>
    </row>
    <row r="30" spans="1:12" ht="20.100000000000001" customHeight="1">
      <c r="A30" s="11" t="s">
        <v>238</v>
      </c>
      <c r="B30" s="2" t="s">
        <v>39</v>
      </c>
      <c r="C30" s="15" t="s">
        <v>223</v>
      </c>
      <c r="D30" s="11" t="s">
        <v>185</v>
      </c>
      <c r="E30" s="31">
        <v>25</v>
      </c>
      <c r="F30" s="19">
        <v>25</v>
      </c>
      <c r="G30" s="16">
        <v>25</v>
      </c>
      <c r="H30" s="3">
        <v>0</v>
      </c>
      <c r="I30" s="4">
        <v>1</v>
      </c>
      <c r="J30" s="1"/>
      <c r="K30" s="35" t="s">
        <v>88</v>
      </c>
      <c r="L30" s="2"/>
    </row>
    <row r="31" spans="1:12" ht="20.100000000000001" customHeight="1">
      <c r="A31" s="11" t="s">
        <v>238</v>
      </c>
      <c r="B31" s="2" t="s">
        <v>39</v>
      </c>
      <c r="C31" s="15" t="s">
        <v>223</v>
      </c>
      <c r="D31" s="11" t="s">
        <v>186</v>
      </c>
      <c r="E31" s="31">
        <v>25</v>
      </c>
      <c r="F31" s="19">
        <v>0</v>
      </c>
      <c r="G31" s="16">
        <v>25</v>
      </c>
      <c r="H31" s="3">
        <v>0</v>
      </c>
      <c r="I31" s="4">
        <v>1</v>
      </c>
      <c r="J31" s="1"/>
      <c r="K31" s="35" t="s">
        <v>88</v>
      </c>
      <c r="L31" s="2"/>
    </row>
    <row r="32" spans="1:12" ht="20.100000000000001" customHeight="1">
      <c r="A32" s="11">
        <v>20260122</v>
      </c>
      <c r="B32" s="2" t="s">
        <v>48</v>
      </c>
      <c r="C32" s="15" t="s">
        <v>223</v>
      </c>
      <c r="D32" s="11" t="s">
        <v>53</v>
      </c>
      <c r="E32" s="31">
        <v>458</v>
      </c>
      <c r="F32" s="19">
        <v>0</v>
      </c>
      <c r="G32" s="16">
        <v>458</v>
      </c>
      <c r="H32" s="3">
        <v>0</v>
      </c>
      <c r="I32" s="4">
        <v>1</v>
      </c>
      <c r="J32" s="1"/>
      <c r="K32" s="2" t="s">
        <v>129</v>
      </c>
      <c r="L32" s="2"/>
    </row>
    <row r="33" spans="1:12" ht="20.100000000000001" customHeight="1">
      <c r="A33" s="11">
        <v>20260122</v>
      </c>
      <c r="B33" s="2" t="s">
        <v>50</v>
      </c>
      <c r="C33" s="15" t="s">
        <v>223</v>
      </c>
      <c r="D33" s="11" t="s">
        <v>53</v>
      </c>
      <c r="E33" s="31">
        <v>458</v>
      </c>
      <c r="F33" s="19">
        <v>0</v>
      </c>
      <c r="G33" s="16">
        <v>458</v>
      </c>
      <c r="H33" s="3">
        <v>0</v>
      </c>
      <c r="I33" s="4">
        <v>1</v>
      </c>
      <c r="J33" s="1"/>
      <c r="K33" s="2" t="s">
        <v>129</v>
      </c>
      <c r="L33" s="2"/>
    </row>
    <row r="34" spans="1:12" ht="20.100000000000001" customHeight="1">
      <c r="A34" s="11">
        <v>20260122</v>
      </c>
      <c r="B34" s="2" t="s">
        <v>2</v>
      </c>
      <c r="C34" s="15" t="s">
        <v>223</v>
      </c>
      <c r="D34" s="11" t="s">
        <v>53</v>
      </c>
      <c r="E34" s="31">
        <v>458</v>
      </c>
      <c r="F34" s="19">
        <v>0</v>
      </c>
      <c r="G34" s="16">
        <v>458</v>
      </c>
      <c r="H34" s="3">
        <v>0</v>
      </c>
      <c r="I34" s="4">
        <v>1</v>
      </c>
      <c r="J34" s="1"/>
      <c r="K34" s="2" t="s">
        <v>239</v>
      </c>
      <c r="L34" s="2"/>
    </row>
    <row r="35" spans="1:12" ht="20.100000000000001" customHeight="1">
      <c r="A35" s="11">
        <v>20260122</v>
      </c>
      <c r="B35" s="2" t="s">
        <v>52</v>
      </c>
      <c r="C35" s="15" t="s">
        <v>223</v>
      </c>
      <c r="D35" s="11" t="s">
        <v>53</v>
      </c>
      <c r="E35" s="31">
        <v>259</v>
      </c>
      <c r="F35" s="19">
        <v>0</v>
      </c>
      <c r="G35" s="16">
        <v>259</v>
      </c>
      <c r="H35" s="3">
        <v>0</v>
      </c>
      <c r="I35" s="4">
        <v>1</v>
      </c>
      <c r="J35" s="1"/>
      <c r="K35" s="2" t="s">
        <v>88</v>
      </c>
      <c r="L35" s="2"/>
    </row>
    <row r="36" spans="1:12" ht="20.100000000000001" customHeight="1">
      <c r="A36" s="11">
        <v>20260122</v>
      </c>
      <c r="B36" s="2" t="s">
        <v>54</v>
      </c>
      <c r="C36" s="15" t="s">
        <v>223</v>
      </c>
      <c r="D36" s="11" t="s">
        <v>53</v>
      </c>
      <c r="E36" s="31">
        <v>182</v>
      </c>
      <c r="F36" s="19">
        <v>0</v>
      </c>
      <c r="G36" s="16">
        <v>157</v>
      </c>
      <c r="H36" s="3">
        <v>25</v>
      </c>
      <c r="I36" s="4">
        <f>G36/E36</f>
        <v>0.86263736263736268</v>
      </c>
      <c r="J36" s="1"/>
      <c r="K36" s="2" t="s">
        <v>90</v>
      </c>
      <c r="L36" s="2"/>
    </row>
    <row r="37" spans="1:12" ht="20.100000000000001" customHeight="1">
      <c r="A37" s="11">
        <v>20260122</v>
      </c>
      <c r="B37" s="2" t="s">
        <v>54</v>
      </c>
      <c r="C37" s="15" t="s">
        <v>223</v>
      </c>
      <c r="D37" s="11" t="s">
        <v>53</v>
      </c>
      <c r="E37" s="31">
        <v>114</v>
      </c>
      <c r="F37" s="19">
        <v>0</v>
      </c>
      <c r="G37" s="16">
        <v>87</v>
      </c>
      <c r="H37" s="3">
        <v>27</v>
      </c>
      <c r="I37" s="4">
        <f>G37/E37</f>
        <v>0.76315789473684215</v>
      </c>
      <c r="J37" s="1"/>
      <c r="K37" s="2" t="s">
        <v>239</v>
      </c>
      <c r="L37" s="2"/>
    </row>
    <row r="38" spans="1:12" ht="20.100000000000001" customHeight="1">
      <c r="A38" s="48" t="s">
        <v>24</v>
      </c>
      <c r="B38" s="49"/>
      <c r="C38" s="49"/>
      <c r="D38" s="50"/>
      <c r="E38" s="7"/>
      <c r="F38" s="7"/>
      <c r="G38" s="7"/>
      <c r="H38" s="8" t="str">
        <f>IFERROR(F38/E38,"")</f>
        <v/>
      </c>
      <c r="I38" s="9"/>
      <c r="J38" s="9"/>
      <c r="K38" s="12"/>
      <c r="L38" s="10"/>
    </row>
    <row r="39" spans="1:12" ht="20.100000000000001" customHeight="1">
      <c r="A39" s="51" t="s">
        <v>25</v>
      </c>
      <c r="B39" s="52"/>
      <c r="C39" s="53"/>
      <c r="D39" s="51" t="s">
        <v>26</v>
      </c>
      <c r="E39" s="52"/>
      <c r="F39" s="52"/>
      <c r="G39" s="53"/>
      <c r="H39" s="51" t="s">
        <v>27</v>
      </c>
      <c r="I39" s="52"/>
      <c r="J39" s="52"/>
      <c r="K39" s="53"/>
      <c r="L39" s="10"/>
    </row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8" ht="21.95" customHeight="1"/>
  </sheetData>
  <mergeCells count="7">
    <mergeCell ref="A1:K1"/>
    <mergeCell ref="A2:K2"/>
    <mergeCell ref="D3:F3"/>
    <mergeCell ref="A38:D38"/>
    <mergeCell ref="A39:C39"/>
    <mergeCell ref="D39:G39"/>
    <mergeCell ref="H39:K39"/>
  </mergeCells>
  <phoneticPr fontId="5" type="noConversion"/>
  <dataValidations count="1">
    <dataValidation type="list" allowBlank="1" sqref="D14:D22 B5:B37" xr:uid="{00000000-0002-0000-09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6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9"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F23" sqref="F23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177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241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Y4" t="s">
        <v>2</v>
      </c>
      <c r="AA4" t="s">
        <v>20</v>
      </c>
      <c r="AB4" t="s">
        <v>21</v>
      </c>
    </row>
    <row r="5" spans="1:28">
      <c r="A5" s="11" t="s">
        <v>241</v>
      </c>
      <c r="B5" s="2" t="s">
        <v>39</v>
      </c>
      <c r="C5" s="15" t="s">
        <v>223</v>
      </c>
      <c r="D5" s="11" t="s">
        <v>188</v>
      </c>
      <c r="E5" s="31">
        <v>25</v>
      </c>
      <c r="F5" s="19">
        <v>0</v>
      </c>
      <c r="G5" s="16">
        <v>25</v>
      </c>
      <c r="H5" s="3">
        <v>0</v>
      </c>
      <c r="I5" s="4">
        <v>1</v>
      </c>
      <c r="J5" s="2"/>
      <c r="K5" s="13" t="s">
        <v>265</v>
      </c>
      <c r="L5" s="11"/>
      <c r="Y5" t="s">
        <v>52</v>
      </c>
      <c r="AA5" t="s">
        <v>22</v>
      </c>
      <c r="AB5" t="s">
        <v>23</v>
      </c>
    </row>
    <row r="6" spans="1:28" ht="20.100000000000001" customHeight="1">
      <c r="A6" s="11" t="s">
        <v>241</v>
      </c>
      <c r="B6" s="2" t="s">
        <v>39</v>
      </c>
      <c r="C6" s="15" t="s">
        <v>223</v>
      </c>
      <c r="D6" s="11" t="s">
        <v>189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265</v>
      </c>
      <c r="L6" s="11"/>
      <c r="Y6" t="s">
        <v>38</v>
      </c>
    </row>
    <row r="7" spans="1:28" ht="20.100000000000001" customHeight="1">
      <c r="A7" s="11" t="s">
        <v>240</v>
      </c>
      <c r="B7" s="2" t="s">
        <v>39</v>
      </c>
      <c r="C7" s="15" t="s">
        <v>223</v>
      </c>
      <c r="D7" s="11" t="s">
        <v>190</v>
      </c>
      <c r="E7" s="31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265</v>
      </c>
      <c r="L7" s="11"/>
    </row>
    <row r="8" spans="1:28" ht="20.100000000000001" customHeight="1">
      <c r="A8" s="11" t="s">
        <v>240</v>
      </c>
      <c r="B8" s="2" t="s">
        <v>39</v>
      </c>
      <c r="C8" s="15" t="s">
        <v>223</v>
      </c>
      <c r="D8" s="11" t="s">
        <v>191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265</v>
      </c>
      <c r="L8" s="11"/>
    </row>
    <row r="9" spans="1:28" ht="20.100000000000001" customHeight="1">
      <c r="A9" s="11" t="s">
        <v>240</v>
      </c>
      <c r="B9" s="2" t="s">
        <v>39</v>
      </c>
      <c r="C9" s="15" t="s">
        <v>223</v>
      </c>
      <c r="D9" s="11" t="s">
        <v>192</v>
      </c>
      <c r="E9" s="31">
        <v>25</v>
      </c>
      <c r="F9" s="19">
        <v>0</v>
      </c>
      <c r="G9" s="16">
        <v>25</v>
      </c>
      <c r="H9" s="3">
        <v>0</v>
      </c>
      <c r="I9" s="4">
        <v>1</v>
      </c>
      <c r="J9" s="2"/>
      <c r="K9" s="13" t="s">
        <v>265</v>
      </c>
      <c r="L9" s="11"/>
    </row>
    <row r="10" spans="1:28" ht="20.100000000000001" customHeight="1">
      <c r="A10" s="11" t="s">
        <v>240</v>
      </c>
      <c r="B10" s="2" t="s">
        <v>39</v>
      </c>
      <c r="C10" s="15" t="s">
        <v>223</v>
      </c>
      <c r="D10" s="11" t="s">
        <v>193</v>
      </c>
      <c r="E10" s="31">
        <v>25</v>
      </c>
      <c r="F10" s="19">
        <v>0</v>
      </c>
      <c r="G10" s="16">
        <v>25</v>
      </c>
      <c r="H10" s="3">
        <v>0</v>
      </c>
      <c r="I10" s="4">
        <v>1</v>
      </c>
      <c r="J10" s="2"/>
      <c r="K10" s="13" t="s">
        <v>265</v>
      </c>
      <c r="L10" s="11"/>
    </row>
    <row r="11" spans="1:28" ht="20.100000000000001" customHeight="1">
      <c r="A11" s="11" t="s">
        <v>240</v>
      </c>
      <c r="B11" s="2" t="s">
        <v>39</v>
      </c>
      <c r="C11" s="15" t="s">
        <v>223</v>
      </c>
      <c r="D11" s="11" t="s">
        <v>194</v>
      </c>
      <c r="E11" s="31">
        <v>25</v>
      </c>
      <c r="F11" s="19">
        <v>0</v>
      </c>
      <c r="G11" s="16">
        <v>25</v>
      </c>
      <c r="H11" s="3">
        <v>0</v>
      </c>
      <c r="I11" s="4">
        <v>1</v>
      </c>
      <c r="J11" s="2"/>
      <c r="K11" s="13" t="s">
        <v>265</v>
      </c>
      <c r="L11" s="11"/>
    </row>
    <row r="12" spans="1:28" ht="20.100000000000001" customHeight="1">
      <c r="A12" s="11" t="s">
        <v>240</v>
      </c>
      <c r="B12" s="2" t="s">
        <v>39</v>
      </c>
      <c r="C12" s="15" t="s">
        <v>223</v>
      </c>
      <c r="D12" s="11" t="s">
        <v>195</v>
      </c>
      <c r="E12" s="31">
        <v>25</v>
      </c>
      <c r="F12" s="19">
        <v>0</v>
      </c>
      <c r="G12" s="16">
        <v>25</v>
      </c>
      <c r="H12" s="3">
        <v>0</v>
      </c>
      <c r="I12" s="4">
        <v>1</v>
      </c>
      <c r="J12" s="2"/>
      <c r="K12" s="13" t="s">
        <v>265</v>
      </c>
      <c r="L12" s="11"/>
    </row>
    <row r="13" spans="1:28" ht="20.100000000000001" customHeight="1">
      <c r="A13" s="11" t="s">
        <v>240</v>
      </c>
      <c r="B13" s="2" t="s">
        <v>39</v>
      </c>
      <c r="C13" s="15" t="s">
        <v>223</v>
      </c>
      <c r="D13" s="11" t="s">
        <v>196</v>
      </c>
      <c r="E13" s="31">
        <v>25</v>
      </c>
      <c r="F13" s="19">
        <v>0</v>
      </c>
      <c r="G13" s="16">
        <v>25</v>
      </c>
      <c r="H13" s="3">
        <v>0</v>
      </c>
      <c r="I13" s="4">
        <v>1</v>
      </c>
      <c r="J13" s="2"/>
      <c r="K13" s="13" t="s">
        <v>265</v>
      </c>
      <c r="L13" s="18"/>
    </row>
    <row r="14" spans="1:28" ht="20.100000000000001" customHeight="1">
      <c r="A14" s="11" t="s">
        <v>240</v>
      </c>
      <c r="B14" s="2" t="s">
        <v>39</v>
      </c>
      <c r="C14" s="15" t="s">
        <v>223</v>
      </c>
      <c r="D14" s="11" t="s">
        <v>197</v>
      </c>
      <c r="E14" s="31">
        <v>25</v>
      </c>
      <c r="F14" s="19">
        <v>0</v>
      </c>
      <c r="G14" s="16">
        <v>25</v>
      </c>
      <c r="H14" s="3">
        <v>0</v>
      </c>
      <c r="I14" s="4">
        <v>1</v>
      </c>
      <c r="J14" s="2"/>
      <c r="K14" s="13" t="s">
        <v>265</v>
      </c>
      <c r="L14" s="2"/>
    </row>
    <row r="15" spans="1:28" ht="20.100000000000001" customHeight="1">
      <c r="A15" s="11" t="s">
        <v>240</v>
      </c>
      <c r="B15" s="2" t="s">
        <v>39</v>
      </c>
      <c r="C15" s="15" t="s">
        <v>223</v>
      </c>
      <c r="D15" s="11" t="s">
        <v>198</v>
      </c>
      <c r="E15" s="31">
        <v>25</v>
      </c>
      <c r="F15" s="19">
        <v>0</v>
      </c>
      <c r="G15" s="16">
        <v>25</v>
      </c>
      <c r="H15" s="3">
        <v>0</v>
      </c>
      <c r="I15" s="4">
        <v>1</v>
      </c>
      <c r="J15" s="2"/>
      <c r="K15" s="13" t="s">
        <v>265</v>
      </c>
      <c r="L15" s="2"/>
    </row>
    <row r="16" spans="1:28" ht="20.100000000000001" customHeight="1">
      <c r="A16" s="11" t="s">
        <v>240</v>
      </c>
      <c r="B16" s="2" t="s">
        <v>39</v>
      </c>
      <c r="C16" s="15" t="s">
        <v>223</v>
      </c>
      <c r="D16" s="36" t="s">
        <v>199</v>
      </c>
      <c r="E16" s="31">
        <v>25</v>
      </c>
      <c r="F16" s="19">
        <v>0</v>
      </c>
      <c r="G16" s="16">
        <v>25</v>
      </c>
      <c r="H16" s="3">
        <v>0</v>
      </c>
      <c r="I16" s="4">
        <v>1</v>
      </c>
      <c r="J16" s="2"/>
      <c r="K16" s="13" t="s">
        <v>265</v>
      </c>
      <c r="L16" s="2"/>
    </row>
    <row r="17" spans="1:12" ht="20.100000000000001" customHeight="1">
      <c r="A17" s="11" t="s">
        <v>240</v>
      </c>
      <c r="B17" s="2" t="s">
        <v>39</v>
      </c>
      <c r="C17" s="15" t="s">
        <v>223</v>
      </c>
      <c r="D17" s="11" t="s">
        <v>200</v>
      </c>
      <c r="E17" s="19">
        <v>25</v>
      </c>
      <c r="F17" s="16">
        <v>8</v>
      </c>
      <c r="G17" s="3">
        <v>17</v>
      </c>
      <c r="H17" s="3">
        <v>0</v>
      </c>
      <c r="I17" s="4">
        <v>1</v>
      </c>
      <c r="J17" s="1"/>
      <c r="K17" s="13" t="s">
        <v>265</v>
      </c>
      <c r="L17" s="2"/>
    </row>
    <row r="18" spans="1:12" ht="20.100000000000001" customHeight="1">
      <c r="A18" s="11" t="s">
        <v>240</v>
      </c>
      <c r="B18" s="2" t="s">
        <v>39</v>
      </c>
      <c r="C18" s="15" t="s">
        <v>223</v>
      </c>
      <c r="D18" s="11" t="s">
        <v>201</v>
      </c>
      <c r="E18" s="19">
        <v>25</v>
      </c>
      <c r="F18" s="16">
        <v>0</v>
      </c>
      <c r="G18" s="3">
        <v>25</v>
      </c>
      <c r="H18" s="3">
        <v>0</v>
      </c>
      <c r="I18" s="4">
        <v>1</v>
      </c>
      <c r="J18" s="1"/>
      <c r="K18" s="13" t="s">
        <v>265</v>
      </c>
      <c r="L18" s="2"/>
    </row>
    <row r="19" spans="1:12" ht="20.100000000000001" customHeight="1">
      <c r="A19" s="11" t="s">
        <v>240</v>
      </c>
      <c r="B19" s="2" t="s">
        <v>39</v>
      </c>
      <c r="C19" s="15" t="s">
        <v>223</v>
      </c>
      <c r="D19" s="11" t="s">
        <v>202</v>
      </c>
      <c r="E19" s="19">
        <v>25</v>
      </c>
      <c r="F19" s="16">
        <v>25</v>
      </c>
      <c r="G19" s="3">
        <v>0</v>
      </c>
      <c r="H19" s="3">
        <v>0</v>
      </c>
      <c r="I19" s="4">
        <v>1</v>
      </c>
      <c r="J19" s="1"/>
      <c r="K19" s="13" t="s">
        <v>265</v>
      </c>
      <c r="L19" s="2"/>
    </row>
    <row r="20" spans="1:12" ht="20.100000000000001" customHeight="1">
      <c r="A20" s="11" t="s">
        <v>240</v>
      </c>
      <c r="B20" s="2" t="s">
        <v>39</v>
      </c>
      <c r="C20" s="15" t="s">
        <v>223</v>
      </c>
      <c r="D20" s="11" t="s">
        <v>203</v>
      </c>
      <c r="E20" s="19">
        <v>25</v>
      </c>
      <c r="F20" s="16">
        <v>25</v>
      </c>
      <c r="G20" s="3">
        <v>0</v>
      </c>
      <c r="H20" s="3">
        <v>0</v>
      </c>
      <c r="I20" s="4">
        <v>1</v>
      </c>
      <c r="J20" s="1"/>
      <c r="K20" s="13" t="s">
        <v>265</v>
      </c>
      <c r="L20" s="2"/>
    </row>
    <row r="21" spans="1:12" ht="20.100000000000001" customHeight="1">
      <c r="A21" s="11" t="s">
        <v>240</v>
      </c>
      <c r="B21" s="2" t="s">
        <v>39</v>
      </c>
      <c r="C21" s="15" t="s">
        <v>223</v>
      </c>
      <c r="D21" s="11" t="s">
        <v>204</v>
      </c>
      <c r="E21" s="19">
        <v>25</v>
      </c>
      <c r="F21" s="16">
        <v>0</v>
      </c>
      <c r="G21" s="3">
        <v>25</v>
      </c>
      <c r="H21" s="3">
        <v>0</v>
      </c>
      <c r="I21" s="4">
        <v>1</v>
      </c>
      <c r="J21" s="1"/>
      <c r="K21" s="13" t="s">
        <v>265</v>
      </c>
      <c r="L21" s="2"/>
    </row>
    <row r="22" spans="1:12" ht="20.100000000000001" customHeight="1">
      <c r="A22" s="11" t="s">
        <v>240</v>
      </c>
      <c r="B22" s="2" t="s">
        <v>39</v>
      </c>
      <c r="C22" s="15" t="s">
        <v>223</v>
      </c>
      <c r="D22" s="11" t="s">
        <v>205</v>
      </c>
      <c r="E22" s="19">
        <v>25</v>
      </c>
      <c r="F22" s="16">
        <v>17</v>
      </c>
      <c r="G22" s="3">
        <v>8</v>
      </c>
      <c r="H22" s="3">
        <v>0</v>
      </c>
      <c r="I22" s="4">
        <v>1</v>
      </c>
      <c r="J22" s="1"/>
      <c r="K22" s="13" t="s">
        <v>265</v>
      </c>
      <c r="L22" s="2"/>
    </row>
    <row r="23" spans="1:12" ht="20.100000000000001" customHeight="1">
      <c r="A23" s="11" t="s">
        <v>240</v>
      </c>
      <c r="B23" s="2" t="s">
        <v>48</v>
      </c>
      <c r="C23" s="15" t="s">
        <v>223</v>
      </c>
      <c r="D23" s="11" t="s">
        <v>208</v>
      </c>
      <c r="E23" s="11">
        <v>375</v>
      </c>
      <c r="F23" s="19">
        <v>0</v>
      </c>
      <c r="G23" s="16">
        <v>375</v>
      </c>
      <c r="H23" s="3">
        <v>0</v>
      </c>
      <c r="I23" s="4">
        <v>1</v>
      </c>
      <c r="J23" s="1"/>
      <c r="K23" s="2" t="s">
        <v>129</v>
      </c>
      <c r="L23" s="2"/>
    </row>
    <row r="24" spans="1:12" ht="20.100000000000001" customHeight="1">
      <c r="A24" s="11" t="s">
        <v>240</v>
      </c>
      <c r="B24" s="2" t="s">
        <v>50</v>
      </c>
      <c r="C24" s="15" t="s">
        <v>223</v>
      </c>
      <c r="D24" s="11" t="s">
        <v>208</v>
      </c>
      <c r="E24" s="11">
        <v>375</v>
      </c>
      <c r="F24" s="19">
        <v>0</v>
      </c>
      <c r="G24" s="16">
        <v>375</v>
      </c>
      <c r="H24" s="3">
        <v>0</v>
      </c>
      <c r="I24" s="4">
        <v>1</v>
      </c>
      <c r="J24" s="1"/>
      <c r="K24" s="2" t="s">
        <v>129</v>
      </c>
      <c r="L24" s="2"/>
    </row>
    <row r="25" spans="1:12" ht="20.100000000000001" customHeight="1">
      <c r="A25" s="11" t="s">
        <v>240</v>
      </c>
      <c r="B25" s="2" t="s">
        <v>2</v>
      </c>
      <c r="C25" s="15" t="s">
        <v>223</v>
      </c>
      <c r="D25" s="11" t="s">
        <v>208</v>
      </c>
      <c r="E25" s="11">
        <v>375</v>
      </c>
      <c r="F25" s="19">
        <v>0</v>
      </c>
      <c r="G25" s="16">
        <v>375</v>
      </c>
      <c r="H25" s="3">
        <v>0</v>
      </c>
      <c r="I25" s="4">
        <v>1</v>
      </c>
      <c r="J25" s="1"/>
      <c r="K25" s="2" t="s">
        <v>89</v>
      </c>
      <c r="L25" s="2"/>
    </row>
    <row r="26" spans="1:12" ht="20.100000000000001" customHeight="1">
      <c r="A26" s="11" t="s">
        <v>240</v>
      </c>
      <c r="B26" s="2" t="s">
        <v>52</v>
      </c>
      <c r="C26" s="15" t="s">
        <v>223</v>
      </c>
      <c r="D26" s="11" t="s">
        <v>208</v>
      </c>
      <c r="E26" s="11">
        <v>456</v>
      </c>
      <c r="F26" s="19">
        <v>0</v>
      </c>
      <c r="G26" s="16">
        <v>456</v>
      </c>
      <c r="H26" s="3">
        <v>0</v>
      </c>
      <c r="I26" s="4">
        <v>1</v>
      </c>
      <c r="J26" s="1"/>
      <c r="K26" s="2" t="s">
        <v>88</v>
      </c>
      <c r="L26" s="2"/>
    </row>
    <row r="27" spans="1:12" ht="20.100000000000001" customHeight="1">
      <c r="A27" s="11" t="s">
        <v>240</v>
      </c>
      <c r="B27" s="2" t="s">
        <v>207</v>
      </c>
      <c r="C27" s="15" t="s">
        <v>223</v>
      </c>
      <c r="D27" s="11" t="s">
        <v>53</v>
      </c>
      <c r="E27" s="11">
        <v>140</v>
      </c>
      <c r="F27" s="19">
        <v>0</v>
      </c>
      <c r="G27" s="16">
        <v>110</v>
      </c>
      <c r="H27" s="3">
        <v>30</v>
      </c>
      <c r="I27" s="4">
        <f>G27/E27</f>
        <v>0.7857142857142857</v>
      </c>
      <c r="J27" s="1"/>
      <c r="K27" s="2" t="s">
        <v>239</v>
      </c>
      <c r="L27" s="2"/>
    </row>
    <row r="28" spans="1:12" ht="20.100000000000001" customHeight="1">
      <c r="A28" s="13"/>
      <c r="B28" s="2"/>
      <c r="C28" s="2"/>
      <c r="D28" s="32"/>
      <c r="E28" s="18"/>
      <c r="F28" s="22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B5:B27 D14:D22 C28:C31" xr:uid="{00000000-0002-0000-0A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52"/>
  <sheetViews>
    <sheetView showGridLines="0" zoomScaleNormal="100" workbookViewId="0">
      <pane ySplit="4" topLeftCell="A7" activePane="bottomLeft" state="frozen"/>
      <selection pane="bottomLeft" activeCell="H27" sqref="H27:H28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206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252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252</v>
      </c>
      <c r="B5" s="2" t="s">
        <v>39</v>
      </c>
      <c r="C5" s="15" t="s">
        <v>223</v>
      </c>
      <c r="D5" s="11" t="s">
        <v>242</v>
      </c>
      <c r="E5" s="31">
        <v>25</v>
      </c>
      <c r="F5" s="19">
        <v>0</v>
      </c>
      <c r="G5" s="16">
        <v>25</v>
      </c>
      <c r="H5" s="3">
        <v>0</v>
      </c>
      <c r="I5" s="4">
        <v>1</v>
      </c>
      <c r="J5" s="2"/>
      <c r="K5" s="13" t="s">
        <v>265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252</v>
      </c>
      <c r="B6" s="2" t="s">
        <v>39</v>
      </c>
      <c r="C6" s="15" t="s">
        <v>223</v>
      </c>
      <c r="D6" s="11" t="s">
        <v>243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265</v>
      </c>
      <c r="L6" s="11"/>
      <c r="Z6" t="s">
        <v>38</v>
      </c>
    </row>
    <row r="7" spans="1:28" ht="20.100000000000001" customHeight="1">
      <c r="A7" s="11" t="s">
        <v>251</v>
      </c>
      <c r="B7" s="2" t="s">
        <v>39</v>
      </c>
      <c r="C7" s="15" t="s">
        <v>223</v>
      </c>
      <c r="D7" s="11" t="s">
        <v>244</v>
      </c>
      <c r="E7" s="31">
        <v>25</v>
      </c>
      <c r="F7" s="19">
        <v>22</v>
      </c>
      <c r="G7" s="16">
        <v>3</v>
      </c>
      <c r="H7" s="3">
        <v>0</v>
      </c>
      <c r="I7" s="4">
        <v>1</v>
      </c>
      <c r="J7" s="2"/>
      <c r="K7" s="13" t="s">
        <v>265</v>
      </c>
      <c r="L7" s="11"/>
    </row>
    <row r="8" spans="1:28" ht="20.100000000000001" customHeight="1">
      <c r="A8" s="11" t="s">
        <v>251</v>
      </c>
      <c r="B8" s="2" t="s">
        <v>39</v>
      </c>
      <c r="C8" s="15" t="s">
        <v>223</v>
      </c>
      <c r="D8" s="11" t="s">
        <v>245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265</v>
      </c>
      <c r="L8" s="11"/>
    </row>
    <row r="9" spans="1:28" ht="20.100000000000001" customHeight="1">
      <c r="A9" s="11" t="s">
        <v>251</v>
      </c>
      <c r="B9" s="2" t="s">
        <v>39</v>
      </c>
      <c r="C9" s="15" t="s">
        <v>223</v>
      </c>
      <c r="D9" s="11" t="s">
        <v>246</v>
      </c>
      <c r="E9" s="31">
        <v>25</v>
      </c>
      <c r="F9" s="19">
        <v>0</v>
      </c>
      <c r="G9" s="16">
        <v>25</v>
      </c>
      <c r="H9" s="3">
        <v>0</v>
      </c>
      <c r="I9" s="4">
        <v>1</v>
      </c>
      <c r="J9" s="2"/>
      <c r="K9" s="13" t="s">
        <v>265</v>
      </c>
      <c r="L9" s="11"/>
    </row>
    <row r="10" spans="1:28" ht="20.100000000000001" customHeight="1">
      <c r="A10" s="11" t="s">
        <v>251</v>
      </c>
      <c r="B10" s="2" t="s">
        <v>39</v>
      </c>
      <c r="C10" s="15" t="s">
        <v>223</v>
      </c>
      <c r="D10" s="11" t="s">
        <v>247</v>
      </c>
      <c r="E10" s="31">
        <v>25</v>
      </c>
      <c r="F10" s="19">
        <v>0</v>
      </c>
      <c r="G10" s="16">
        <v>25</v>
      </c>
      <c r="H10" s="3">
        <v>0</v>
      </c>
      <c r="I10" s="4">
        <v>1</v>
      </c>
      <c r="J10" s="2"/>
      <c r="K10" s="13" t="s">
        <v>265</v>
      </c>
      <c r="L10" s="11"/>
    </row>
    <row r="11" spans="1:28" ht="20.100000000000001" customHeight="1">
      <c r="A11" s="11" t="s">
        <v>251</v>
      </c>
      <c r="B11" s="2" t="s">
        <v>39</v>
      </c>
      <c r="C11" s="15" t="s">
        <v>223</v>
      </c>
      <c r="D11" s="11" t="s">
        <v>248</v>
      </c>
      <c r="E11" s="31">
        <v>25</v>
      </c>
      <c r="F11" s="19">
        <v>0</v>
      </c>
      <c r="G11" s="16">
        <v>25</v>
      </c>
      <c r="H11" s="3">
        <v>0</v>
      </c>
      <c r="I11" s="4">
        <v>1</v>
      </c>
      <c r="J11" s="2"/>
      <c r="K11" s="13" t="s">
        <v>265</v>
      </c>
      <c r="L11" s="11"/>
    </row>
    <row r="12" spans="1:28" ht="20.100000000000001" customHeight="1">
      <c r="A12" s="11" t="s">
        <v>251</v>
      </c>
      <c r="B12" s="2" t="s">
        <v>39</v>
      </c>
      <c r="C12" s="15" t="s">
        <v>223</v>
      </c>
      <c r="D12" s="11" t="s">
        <v>249</v>
      </c>
      <c r="E12" s="31">
        <v>25</v>
      </c>
      <c r="F12" s="19">
        <v>25</v>
      </c>
      <c r="G12" s="16">
        <v>0</v>
      </c>
      <c r="H12" s="3">
        <v>0</v>
      </c>
      <c r="I12" s="4">
        <v>1</v>
      </c>
      <c r="J12" s="2"/>
      <c r="K12" s="13" t="s">
        <v>265</v>
      </c>
      <c r="L12" s="11"/>
    </row>
    <row r="13" spans="1:28" ht="20.100000000000001" customHeight="1">
      <c r="A13" s="11" t="s">
        <v>251</v>
      </c>
      <c r="B13" s="2" t="s">
        <v>39</v>
      </c>
      <c r="C13" s="15" t="s">
        <v>223</v>
      </c>
      <c r="D13" s="11" t="s">
        <v>250</v>
      </c>
      <c r="E13" s="31">
        <v>25</v>
      </c>
      <c r="F13" s="19">
        <v>0</v>
      </c>
      <c r="G13" s="16">
        <v>25</v>
      </c>
      <c r="H13" s="3">
        <v>0</v>
      </c>
      <c r="I13" s="4">
        <v>1</v>
      </c>
      <c r="J13" s="2"/>
      <c r="K13" s="13" t="s">
        <v>265</v>
      </c>
      <c r="L13" s="18"/>
    </row>
    <row r="14" spans="1:28" ht="20.100000000000001" customHeight="1">
      <c r="A14" s="11" t="s">
        <v>251</v>
      </c>
      <c r="B14" s="2" t="s">
        <v>39</v>
      </c>
      <c r="C14" s="15" t="s">
        <v>223</v>
      </c>
      <c r="D14" s="11" t="s">
        <v>253</v>
      </c>
      <c r="E14" s="31">
        <v>25</v>
      </c>
      <c r="F14" s="19">
        <v>16</v>
      </c>
      <c r="G14" s="16">
        <v>9</v>
      </c>
      <c r="H14" s="3">
        <v>0</v>
      </c>
      <c r="I14" s="4">
        <v>1</v>
      </c>
      <c r="J14" s="2"/>
      <c r="K14" s="13" t="s">
        <v>265</v>
      </c>
      <c r="L14" s="2"/>
    </row>
    <row r="15" spans="1:28" ht="20.100000000000001" customHeight="1">
      <c r="A15" s="11" t="s">
        <v>251</v>
      </c>
      <c r="B15" s="2" t="s">
        <v>39</v>
      </c>
      <c r="C15" s="15" t="s">
        <v>223</v>
      </c>
      <c r="D15" s="11" t="s">
        <v>255</v>
      </c>
      <c r="E15" s="31">
        <v>25</v>
      </c>
      <c r="F15" s="19">
        <v>0</v>
      </c>
      <c r="G15" s="16">
        <v>25</v>
      </c>
      <c r="H15" s="3">
        <v>0</v>
      </c>
      <c r="I15" s="4">
        <v>1</v>
      </c>
      <c r="J15" s="2"/>
      <c r="K15" s="13" t="s">
        <v>265</v>
      </c>
      <c r="L15" s="2"/>
    </row>
    <row r="16" spans="1:28" ht="20.100000000000001" customHeight="1">
      <c r="A16" s="11" t="s">
        <v>251</v>
      </c>
      <c r="B16" s="2" t="s">
        <v>39</v>
      </c>
      <c r="C16" s="15" t="s">
        <v>223</v>
      </c>
      <c r="D16" s="11" t="s">
        <v>256</v>
      </c>
      <c r="E16" s="31">
        <v>25</v>
      </c>
      <c r="F16" s="19">
        <v>0</v>
      </c>
      <c r="G16" s="16">
        <v>25</v>
      </c>
      <c r="H16" s="3">
        <v>0</v>
      </c>
      <c r="I16" s="4">
        <v>1</v>
      </c>
      <c r="J16" s="2"/>
      <c r="K16" s="13" t="s">
        <v>265</v>
      </c>
      <c r="L16" s="2"/>
    </row>
    <row r="17" spans="1:12" ht="20.100000000000001" customHeight="1">
      <c r="A17" s="11" t="s">
        <v>251</v>
      </c>
      <c r="B17" s="2" t="s">
        <v>39</v>
      </c>
      <c r="C17" s="15" t="s">
        <v>223</v>
      </c>
      <c r="D17" s="11" t="s">
        <v>257</v>
      </c>
      <c r="E17" s="31">
        <v>25</v>
      </c>
      <c r="F17" s="19">
        <v>0</v>
      </c>
      <c r="G17" s="16">
        <v>25</v>
      </c>
      <c r="H17" s="3">
        <v>0</v>
      </c>
      <c r="I17" s="4">
        <v>1</v>
      </c>
      <c r="J17" s="1"/>
      <c r="K17" s="13" t="s">
        <v>265</v>
      </c>
      <c r="L17" s="2"/>
    </row>
    <row r="18" spans="1:12" ht="20.100000000000001" customHeight="1">
      <c r="A18" s="11" t="s">
        <v>251</v>
      </c>
      <c r="B18" s="2" t="s">
        <v>39</v>
      </c>
      <c r="C18" s="15" t="s">
        <v>223</v>
      </c>
      <c r="D18" s="11" t="s">
        <v>258</v>
      </c>
      <c r="E18" s="31">
        <v>25</v>
      </c>
      <c r="F18" s="19">
        <v>25</v>
      </c>
      <c r="G18" s="16">
        <v>0</v>
      </c>
      <c r="H18" s="3">
        <v>0</v>
      </c>
      <c r="I18" s="4">
        <v>1</v>
      </c>
      <c r="J18" s="1"/>
      <c r="K18" s="13" t="s">
        <v>265</v>
      </c>
      <c r="L18" s="2"/>
    </row>
    <row r="19" spans="1:12" ht="20.100000000000001" customHeight="1">
      <c r="A19" s="11" t="s">
        <v>251</v>
      </c>
      <c r="B19" s="2" t="s">
        <v>39</v>
      </c>
      <c r="C19" s="15" t="s">
        <v>223</v>
      </c>
      <c r="D19" s="11" t="s">
        <v>259</v>
      </c>
      <c r="E19" s="31">
        <v>25</v>
      </c>
      <c r="F19" s="19">
        <v>0</v>
      </c>
      <c r="G19" s="16">
        <v>25</v>
      </c>
      <c r="H19" s="3">
        <v>0</v>
      </c>
      <c r="I19" s="4">
        <v>1</v>
      </c>
      <c r="J19" s="1"/>
      <c r="K19" s="13" t="s">
        <v>265</v>
      </c>
      <c r="L19" s="2"/>
    </row>
    <row r="20" spans="1:12" ht="20.100000000000001" customHeight="1">
      <c r="A20" s="11" t="s">
        <v>251</v>
      </c>
      <c r="B20" s="2" t="s">
        <v>39</v>
      </c>
      <c r="C20" s="15" t="s">
        <v>223</v>
      </c>
      <c r="D20" s="11" t="s">
        <v>260</v>
      </c>
      <c r="E20" s="31">
        <v>25</v>
      </c>
      <c r="F20" s="19">
        <v>0</v>
      </c>
      <c r="G20" s="16">
        <v>25</v>
      </c>
      <c r="H20" s="3">
        <v>0</v>
      </c>
      <c r="I20" s="4">
        <v>1</v>
      </c>
      <c r="J20" s="1"/>
      <c r="K20" s="13" t="s">
        <v>265</v>
      </c>
      <c r="L20" s="2"/>
    </row>
    <row r="21" spans="1:12" ht="20.100000000000001" customHeight="1">
      <c r="A21" s="11" t="s">
        <v>251</v>
      </c>
      <c r="B21" s="2" t="s">
        <v>39</v>
      </c>
      <c r="C21" s="15" t="s">
        <v>223</v>
      </c>
      <c r="D21" s="11" t="s">
        <v>261</v>
      </c>
      <c r="E21" s="31">
        <v>25</v>
      </c>
      <c r="F21" s="19">
        <v>0</v>
      </c>
      <c r="G21" s="16">
        <v>25</v>
      </c>
      <c r="H21" s="3">
        <v>0</v>
      </c>
      <c r="I21" s="4">
        <v>1</v>
      </c>
      <c r="J21" s="1"/>
      <c r="K21" s="13" t="s">
        <v>265</v>
      </c>
      <c r="L21" s="2"/>
    </row>
    <row r="22" spans="1:12" ht="20.100000000000001" customHeight="1">
      <c r="A22" s="11" t="s">
        <v>251</v>
      </c>
      <c r="B22" s="2" t="s">
        <v>39</v>
      </c>
      <c r="C22" s="15" t="s">
        <v>222</v>
      </c>
      <c r="D22" s="11" t="s">
        <v>254</v>
      </c>
      <c r="E22" s="31">
        <v>25</v>
      </c>
      <c r="F22" s="19">
        <v>24</v>
      </c>
      <c r="G22" s="16">
        <v>1</v>
      </c>
      <c r="H22" s="3">
        <v>0</v>
      </c>
      <c r="I22" s="4">
        <v>1</v>
      </c>
      <c r="J22" s="1"/>
      <c r="K22" s="13" t="s">
        <v>265</v>
      </c>
      <c r="L22" s="2"/>
    </row>
    <row r="23" spans="1:12" ht="20.100000000000001" customHeight="1">
      <c r="A23" s="11" t="s">
        <v>251</v>
      </c>
      <c r="B23" s="2" t="s">
        <v>48</v>
      </c>
      <c r="C23" s="15" t="s">
        <v>223</v>
      </c>
      <c r="D23" s="11" t="s">
        <v>53</v>
      </c>
      <c r="E23" s="31">
        <v>150</v>
      </c>
      <c r="F23" s="19">
        <v>0</v>
      </c>
      <c r="G23" s="3">
        <v>150</v>
      </c>
      <c r="H23" s="3">
        <v>0</v>
      </c>
      <c r="I23" s="4">
        <v>1</v>
      </c>
      <c r="J23" s="1"/>
      <c r="K23" s="2" t="s">
        <v>129</v>
      </c>
      <c r="L23" s="2"/>
    </row>
    <row r="24" spans="1:12" ht="20.100000000000001" customHeight="1">
      <c r="A24" s="11" t="s">
        <v>251</v>
      </c>
      <c r="B24" s="2" t="s">
        <v>50</v>
      </c>
      <c r="C24" s="15" t="s">
        <v>223</v>
      </c>
      <c r="D24" s="11" t="s">
        <v>53</v>
      </c>
      <c r="E24" s="31">
        <v>150</v>
      </c>
      <c r="F24" s="19">
        <v>0</v>
      </c>
      <c r="G24" s="3">
        <v>150</v>
      </c>
      <c r="H24" s="3">
        <v>0</v>
      </c>
      <c r="I24" s="4">
        <v>1</v>
      </c>
      <c r="J24" s="1"/>
      <c r="K24" s="2" t="s">
        <v>129</v>
      </c>
      <c r="L24" s="2"/>
    </row>
    <row r="25" spans="1:12" ht="20.100000000000001" customHeight="1">
      <c r="A25" s="11" t="s">
        <v>251</v>
      </c>
      <c r="B25" s="2" t="s">
        <v>2</v>
      </c>
      <c r="C25" s="15" t="s">
        <v>223</v>
      </c>
      <c r="D25" s="11" t="s">
        <v>53</v>
      </c>
      <c r="E25" s="31">
        <v>150</v>
      </c>
      <c r="F25" s="19">
        <v>0</v>
      </c>
      <c r="G25" s="3">
        <v>150</v>
      </c>
      <c r="H25" s="3">
        <v>0</v>
      </c>
      <c r="I25" s="4">
        <v>1</v>
      </c>
      <c r="J25" s="1"/>
      <c r="K25" s="2" t="s">
        <v>89</v>
      </c>
      <c r="L25" s="2"/>
    </row>
    <row r="26" spans="1:12" ht="20.100000000000001" customHeight="1">
      <c r="A26" s="11" t="s">
        <v>251</v>
      </c>
      <c r="B26" s="2" t="s">
        <v>52</v>
      </c>
      <c r="C26" s="15" t="s">
        <v>223</v>
      </c>
      <c r="D26" s="11" t="s">
        <v>53</v>
      </c>
      <c r="E26" s="31">
        <v>285</v>
      </c>
      <c r="F26" s="19">
        <v>0</v>
      </c>
      <c r="G26" s="3">
        <v>285</v>
      </c>
      <c r="H26" s="3">
        <v>0</v>
      </c>
      <c r="I26" s="4">
        <v>1</v>
      </c>
      <c r="J26" s="1"/>
      <c r="K26" s="2" t="s">
        <v>88</v>
      </c>
      <c r="L26" s="2"/>
    </row>
    <row r="27" spans="1:12" ht="20.100000000000001" customHeight="1">
      <c r="A27" s="11" t="s">
        <v>251</v>
      </c>
      <c r="B27" s="2" t="s">
        <v>38</v>
      </c>
      <c r="C27" s="15" t="s">
        <v>223</v>
      </c>
      <c r="D27" s="11" t="s">
        <v>53</v>
      </c>
      <c r="E27" s="2">
        <v>159</v>
      </c>
      <c r="F27" s="3">
        <v>0</v>
      </c>
      <c r="G27" s="3">
        <v>129</v>
      </c>
      <c r="H27" s="3">
        <v>30</v>
      </c>
      <c r="I27" s="4">
        <f>G27/E27</f>
        <v>0.81132075471698117</v>
      </c>
      <c r="J27" s="1"/>
      <c r="K27" s="2" t="s">
        <v>239</v>
      </c>
      <c r="L27" s="2"/>
    </row>
    <row r="28" spans="1:12" ht="20.100000000000001" customHeight="1">
      <c r="A28" s="11" t="s">
        <v>252</v>
      </c>
      <c r="B28" s="2" t="s">
        <v>38</v>
      </c>
      <c r="C28" s="15" t="s">
        <v>222</v>
      </c>
      <c r="D28" s="11" t="s">
        <v>53</v>
      </c>
      <c r="E28" s="2">
        <v>165</v>
      </c>
      <c r="F28" s="3">
        <v>0</v>
      </c>
      <c r="G28" s="3">
        <v>120</v>
      </c>
      <c r="H28" s="3">
        <v>45</v>
      </c>
      <c r="I28" s="4">
        <f>G28/E28</f>
        <v>0.72727272727272729</v>
      </c>
      <c r="J28" s="1"/>
      <c r="K28" s="2" t="s">
        <v>90</v>
      </c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B5:B28 D19:D21 C29:C31" xr:uid="{00000000-0002-0000-0B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H14" sqref="H14:H15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277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263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263</v>
      </c>
      <c r="B5" s="2" t="s">
        <v>39</v>
      </c>
      <c r="C5" s="15" t="s">
        <v>223</v>
      </c>
      <c r="D5" s="11" t="s">
        <v>267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265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263</v>
      </c>
      <c r="B6" s="2" t="s">
        <v>39</v>
      </c>
      <c r="C6" s="15" t="s">
        <v>223</v>
      </c>
      <c r="D6" s="11" t="s">
        <v>268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265</v>
      </c>
      <c r="L6" s="11"/>
      <c r="Z6" t="s">
        <v>38</v>
      </c>
    </row>
    <row r="7" spans="1:28" ht="20.100000000000001" customHeight="1">
      <c r="A7" s="11" t="s">
        <v>262</v>
      </c>
      <c r="B7" s="2" t="s">
        <v>39</v>
      </c>
      <c r="C7" s="15" t="s">
        <v>223</v>
      </c>
      <c r="D7" s="11" t="s">
        <v>269</v>
      </c>
      <c r="E7" s="31">
        <v>25</v>
      </c>
      <c r="F7" s="19">
        <v>6</v>
      </c>
      <c r="G7" s="16">
        <v>19</v>
      </c>
      <c r="H7" s="3">
        <v>0</v>
      </c>
      <c r="I7" s="4">
        <v>1</v>
      </c>
      <c r="J7" s="2"/>
      <c r="K7" s="13" t="s">
        <v>265</v>
      </c>
      <c r="L7" s="11"/>
    </row>
    <row r="8" spans="1:28" ht="20.100000000000001" customHeight="1">
      <c r="A8" s="11" t="s">
        <v>262</v>
      </c>
      <c r="B8" s="2" t="s">
        <v>39</v>
      </c>
      <c r="C8" s="15" t="s">
        <v>223</v>
      </c>
      <c r="D8" s="11" t="s">
        <v>270</v>
      </c>
      <c r="E8" s="31">
        <v>25</v>
      </c>
      <c r="F8" s="19">
        <v>25</v>
      </c>
      <c r="G8" s="16">
        <v>25</v>
      </c>
      <c r="H8" s="3">
        <v>0</v>
      </c>
      <c r="I8" s="4">
        <v>1</v>
      </c>
      <c r="J8" s="2"/>
      <c r="K8" s="13" t="s">
        <v>265</v>
      </c>
      <c r="L8" s="11"/>
    </row>
    <row r="9" spans="1:28" ht="20.100000000000001" customHeight="1">
      <c r="A9" s="11" t="s">
        <v>262</v>
      </c>
      <c r="B9" s="2" t="s">
        <v>39</v>
      </c>
      <c r="C9" s="15" t="s">
        <v>223</v>
      </c>
      <c r="D9" s="11" t="s">
        <v>266</v>
      </c>
      <c r="E9" s="31">
        <v>25</v>
      </c>
      <c r="F9" s="19">
        <v>0</v>
      </c>
      <c r="G9" s="16">
        <v>25</v>
      </c>
      <c r="H9" s="3">
        <v>0</v>
      </c>
      <c r="I9" s="4">
        <v>1</v>
      </c>
      <c r="J9" s="2"/>
      <c r="K9" s="13" t="s">
        <v>265</v>
      </c>
      <c r="L9" s="11"/>
    </row>
    <row r="10" spans="1:28" ht="20.100000000000001" customHeight="1">
      <c r="A10" s="11" t="s">
        <v>262</v>
      </c>
      <c r="B10" s="2" t="s">
        <v>48</v>
      </c>
      <c r="C10" s="15" t="s">
        <v>223</v>
      </c>
      <c r="D10" s="11" t="s">
        <v>53</v>
      </c>
      <c r="E10" s="31">
        <v>150</v>
      </c>
      <c r="F10" s="19">
        <v>0</v>
      </c>
      <c r="G10" s="3">
        <v>150</v>
      </c>
      <c r="H10" s="3">
        <v>0</v>
      </c>
      <c r="I10" s="4">
        <v>1</v>
      </c>
      <c r="J10" s="2"/>
      <c r="K10" s="13" t="s">
        <v>129</v>
      </c>
      <c r="L10" s="11"/>
    </row>
    <row r="11" spans="1:28" ht="20.100000000000001" customHeight="1">
      <c r="A11" s="11" t="s">
        <v>262</v>
      </c>
      <c r="B11" s="2" t="s">
        <v>50</v>
      </c>
      <c r="C11" s="15" t="s">
        <v>223</v>
      </c>
      <c r="D11" s="11" t="s">
        <v>53</v>
      </c>
      <c r="E11" s="31">
        <v>150</v>
      </c>
      <c r="F11" s="19">
        <v>0</v>
      </c>
      <c r="G11" s="3">
        <v>150</v>
      </c>
      <c r="H11" s="3">
        <v>0</v>
      </c>
      <c r="I11" s="4">
        <v>1</v>
      </c>
      <c r="J11" s="2"/>
      <c r="K11" s="13" t="s">
        <v>129</v>
      </c>
      <c r="L11" s="11"/>
    </row>
    <row r="12" spans="1:28" ht="20.100000000000001" customHeight="1">
      <c r="A12" s="11" t="s">
        <v>262</v>
      </c>
      <c r="B12" s="2" t="s">
        <v>2</v>
      </c>
      <c r="C12" s="15" t="s">
        <v>223</v>
      </c>
      <c r="D12" s="11" t="s">
        <v>53</v>
      </c>
      <c r="E12" s="31">
        <v>150</v>
      </c>
      <c r="F12" s="19">
        <v>0</v>
      </c>
      <c r="G12" s="3">
        <v>150</v>
      </c>
      <c r="H12" s="3">
        <v>0</v>
      </c>
      <c r="I12" s="4">
        <v>1</v>
      </c>
      <c r="J12" s="2"/>
      <c r="K12" s="13" t="s">
        <v>89</v>
      </c>
      <c r="L12" s="11"/>
    </row>
    <row r="13" spans="1:28" ht="20.100000000000001" customHeight="1">
      <c r="A13" s="11" t="s">
        <v>262</v>
      </c>
      <c r="B13" s="2" t="s">
        <v>52</v>
      </c>
      <c r="C13" s="15" t="s">
        <v>223</v>
      </c>
      <c r="D13" s="11" t="s">
        <v>53</v>
      </c>
      <c r="E13" s="31">
        <v>156</v>
      </c>
      <c r="F13" s="19">
        <v>0</v>
      </c>
      <c r="G13" s="3">
        <v>156</v>
      </c>
      <c r="H13" s="3">
        <v>0</v>
      </c>
      <c r="I13" s="4">
        <v>1</v>
      </c>
      <c r="J13" s="2"/>
      <c r="K13" s="2" t="s">
        <v>88</v>
      </c>
      <c r="L13" s="18"/>
    </row>
    <row r="14" spans="1:28" ht="20.100000000000001" customHeight="1">
      <c r="A14" s="11" t="s">
        <v>262</v>
      </c>
      <c r="B14" s="2" t="s">
        <v>38</v>
      </c>
      <c r="C14" s="15" t="s">
        <v>223</v>
      </c>
      <c r="D14" s="11" t="s">
        <v>53</v>
      </c>
      <c r="E14" s="2">
        <v>175</v>
      </c>
      <c r="F14" s="3">
        <v>0</v>
      </c>
      <c r="G14" s="3">
        <v>156</v>
      </c>
      <c r="H14" s="3">
        <v>19</v>
      </c>
      <c r="I14" s="4">
        <f>G14/E14</f>
        <v>0.89142857142857146</v>
      </c>
      <c r="J14" s="2"/>
      <c r="K14" s="2" t="s">
        <v>239</v>
      </c>
      <c r="L14" s="2"/>
    </row>
    <row r="15" spans="1:28" ht="20.100000000000001" customHeight="1">
      <c r="A15" s="11" t="s">
        <v>263</v>
      </c>
      <c r="B15" s="2" t="s">
        <v>38</v>
      </c>
      <c r="C15" s="15" t="s">
        <v>40</v>
      </c>
      <c r="D15" s="11" t="s">
        <v>53</v>
      </c>
      <c r="E15" s="2">
        <v>162</v>
      </c>
      <c r="F15" s="3">
        <v>0</v>
      </c>
      <c r="G15" s="16">
        <v>160</v>
      </c>
      <c r="H15" s="3">
        <v>2</v>
      </c>
      <c r="I15" s="4">
        <f>G15/E15</f>
        <v>0.98765432098765427</v>
      </c>
      <c r="J15" s="2"/>
      <c r="K15" s="2" t="s">
        <v>90</v>
      </c>
      <c r="L15" s="2"/>
    </row>
    <row r="16" spans="1:28" ht="20.100000000000001" customHeight="1">
      <c r="A16" s="11"/>
      <c r="B16" s="2"/>
      <c r="C16" s="15"/>
      <c r="D16" s="11"/>
      <c r="E16" s="31"/>
      <c r="F16" s="19"/>
      <c r="G16" s="16"/>
      <c r="H16" s="3"/>
      <c r="I16" s="4"/>
      <c r="J16" s="2"/>
      <c r="K16" s="2"/>
      <c r="L16" s="2"/>
    </row>
    <row r="17" spans="1:12" ht="20.100000000000001" customHeight="1">
      <c r="A17" s="11"/>
      <c r="B17" s="2"/>
      <c r="C17" s="15"/>
      <c r="D17" s="11"/>
      <c r="E17" s="31"/>
      <c r="F17" s="19"/>
      <c r="G17" s="16"/>
      <c r="H17" s="3"/>
      <c r="I17" s="4"/>
      <c r="J17" s="1"/>
      <c r="K17" s="2"/>
      <c r="L17" s="2"/>
    </row>
    <row r="18" spans="1:12" ht="20.100000000000001" customHeight="1">
      <c r="A18" s="11"/>
      <c r="B18" s="2"/>
      <c r="C18" s="15"/>
      <c r="D18" s="11"/>
      <c r="E18" s="31"/>
      <c r="F18" s="19"/>
      <c r="G18" s="16"/>
      <c r="H18" s="3"/>
      <c r="I18" s="4"/>
      <c r="J18" s="1"/>
      <c r="K18" s="2"/>
      <c r="L18" s="2"/>
    </row>
    <row r="19" spans="1:12" ht="20.100000000000001" customHeight="1">
      <c r="A19" s="11"/>
      <c r="B19" s="2"/>
      <c r="C19" s="15"/>
      <c r="D19" s="11"/>
      <c r="E19" s="31"/>
      <c r="F19" s="19"/>
      <c r="G19" s="16"/>
      <c r="H19" s="3"/>
      <c r="I19" s="4"/>
      <c r="J19" s="1"/>
      <c r="K19" s="2"/>
      <c r="L19" s="2"/>
    </row>
    <row r="20" spans="1:12" ht="20.100000000000001" customHeight="1">
      <c r="A20" s="11"/>
      <c r="B20" s="2"/>
      <c r="C20" s="15"/>
      <c r="D20" s="11"/>
      <c r="E20" s="31"/>
      <c r="F20" s="19"/>
      <c r="G20" s="16"/>
      <c r="H20" s="3"/>
      <c r="I20" s="4"/>
      <c r="J20" s="1"/>
      <c r="K20" s="2"/>
      <c r="L20" s="2"/>
    </row>
    <row r="21" spans="1:12" ht="20.100000000000001" customHeight="1">
      <c r="A21" s="11"/>
      <c r="B21" s="2"/>
      <c r="C21" s="15"/>
      <c r="D21" s="11"/>
      <c r="E21" s="31"/>
      <c r="F21" s="19"/>
      <c r="G21" s="16"/>
      <c r="H21" s="3"/>
      <c r="I21" s="4"/>
      <c r="J21" s="1"/>
      <c r="K21" s="2"/>
      <c r="L21" s="2"/>
    </row>
    <row r="22" spans="1:12" ht="20.100000000000001" customHeight="1">
      <c r="A22" s="11"/>
      <c r="B22" s="2"/>
      <c r="C22" s="15"/>
      <c r="D22" s="11"/>
      <c r="E22" s="31"/>
      <c r="F22" s="19"/>
      <c r="G22" s="16"/>
      <c r="H22" s="3"/>
      <c r="I22" s="4"/>
      <c r="J22" s="1"/>
      <c r="K22" s="2"/>
      <c r="L22" s="2"/>
    </row>
    <row r="23" spans="1:12" ht="20.100000000000001" customHeight="1">
      <c r="A23" s="11"/>
      <c r="B23" s="2"/>
      <c r="C23" s="15"/>
      <c r="D23" s="11"/>
      <c r="E23" s="31"/>
      <c r="F23" s="19"/>
      <c r="G23" s="3"/>
      <c r="H23" s="3"/>
      <c r="I23" s="4"/>
      <c r="J23" s="1"/>
      <c r="K23" s="2"/>
      <c r="L23" s="2"/>
    </row>
    <row r="24" spans="1:12" ht="20.100000000000001" customHeight="1">
      <c r="A24" s="11"/>
      <c r="B24" s="2"/>
      <c r="C24" s="15"/>
      <c r="D24" s="11"/>
      <c r="E24" s="31"/>
      <c r="F24" s="19"/>
      <c r="G24" s="3"/>
      <c r="H24" s="3"/>
      <c r="I24" s="4"/>
      <c r="J24" s="1"/>
      <c r="K24" s="2"/>
      <c r="L24" s="2"/>
    </row>
    <row r="25" spans="1:12" ht="20.100000000000001" customHeight="1">
      <c r="A25" s="11"/>
      <c r="B25" s="2"/>
      <c r="C25" s="15"/>
      <c r="D25" s="11"/>
      <c r="E25" s="31"/>
      <c r="F25" s="19"/>
      <c r="G25" s="3"/>
      <c r="H25" s="3"/>
      <c r="I25" s="4"/>
      <c r="J25" s="1"/>
      <c r="K25" s="2"/>
      <c r="L25" s="2"/>
    </row>
    <row r="26" spans="1:12" ht="20.100000000000001" customHeight="1">
      <c r="A26" s="11"/>
      <c r="B26" s="2"/>
      <c r="C26" s="15"/>
      <c r="D26" s="11"/>
      <c r="E26" s="31"/>
      <c r="F26" s="19"/>
      <c r="G26" s="3"/>
      <c r="H26" s="3"/>
      <c r="I26" s="4"/>
      <c r="J26" s="1"/>
      <c r="K26" s="2"/>
      <c r="L26" s="2"/>
    </row>
    <row r="27" spans="1:12" ht="20.100000000000001" customHeight="1">
      <c r="A27" s="11"/>
      <c r="B27" s="2"/>
      <c r="C27" s="15"/>
      <c r="D27" s="1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3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C28:C31 D19:D21 B5:B27" xr:uid="{00000000-0002-0000-0C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52"/>
  <sheetViews>
    <sheetView showGridLines="0" zoomScaleNormal="100" workbookViewId="0">
      <pane ySplit="4" topLeftCell="A5" activePane="bottomLeft" state="frozen"/>
      <selection pane="bottomLeft" activeCell="K28" sqref="K28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278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272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272</v>
      </c>
      <c r="B5" s="2" t="s">
        <v>39</v>
      </c>
      <c r="C5" s="15" t="s">
        <v>223</v>
      </c>
      <c r="D5" s="11" t="s">
        <v>273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265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272</v>
      </c>
      <c r="B6" s="2" t="s">
        <v>39</v>
      </c>
      <c r="C6" s="15" t="s">
        <v>223</v>
      </c>
      <c r="D6" s="11" t="s">
        <v>274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265</v>
      </c>
      <c r="L6" s="11"/>
      <c r="Z6" t="s">
        <v>38</v>
      </c>
    </row>
    <row r="7" spans="1:28" ht="20.100000000000001" customHeight="1">
      <c r="A7" s="11" t="s">
        <v>271</v>
      </c>
      <c r="B7" s="2" t="s">
        <v>39</v>
      </c>
      <c r="C7" s="15" t="s">
        <v>223</v>
      </c>
      <c r="D7" s="11" t="s">
        <v>275</v>
      </c>
      <c r="E7" s="31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265</v>
      </c>
      <c r="L7" s="11"/>
    </row>
    <row r="8" spans="1:28" ht="20.100000000000001" customHeight="1">
      <c r="A8" s="11" t="s">
        <v>271</v>
      </c>
      <c r="B8" s="2" t="s">
        <v>39</v>
      </c>
      <c r="C8" s="15" t="s">
        <v>223</v>
      </c>
      <c r="D8" s="11" t="s">
        <v>276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265</v>
      </c>
      <c r="L8" s="11"/>
    </row>
    <row r="9" spans="1:28" ht="20.100000000000001" customHeight="1">
      <c r="A9" s="11" t="s">
        <v>271</v>
      </c>
      <c r="B9" s="2" t="s">
        <v>48</v>
      </c>
      <c r="C9" s="15" t="s">
        <v>223</v>
      </c>
      <c r="D9" s="11" t="s">
        <v>53</v>
      </c>
      <c r="E9" s="31">
        <v>182</v>
      </c>
      <c r="F9" s="19">
        <v>0</v>
      </c>
      <c r="G9" s="3">
        <v>182</v>
      </c>
      <c r="H9" s="3">
        <v>0</v>
      </c>
      <c r="I9" s="4">
        <v>1</v>
      </c>
      <c r="J9" s="2"/>
      <c r="K9" s="13" t="s">
        <v>129</v>
      </c>
      <c r="L9" s="11"/>
    </row>
    <row r="10" spans="1:28" ht="20.100000000000001" customHeight="1">
      <c r="A10" s="11" t="s">
        <v>271</v>
      </c>
      <c r="B10" s="2" t="s">
        <v>50</v>
      </c>
      <c r="C10" s="15" t="s">
        <v>223</v>
      </c>
      <c r="D10" s="11" t="s">
        <v>53</v>
      </c>
      <c r="E10" s="31">
        <v>182</v>
      </c>
      <c r="F10" s="19">
        <v>0</v>
      </c>
      <c r="G10" s="3">
        <v>182</v>
      </c>
      <c r="H10" s="3">
        <v>0</v>
      </c>
      <c r="I10" s="4">
        <v>1</v>
      </c>
      <c r="J10" s="2"/>
      <c r="K10" s="13" t="s">
        <v>129</v>
      </c>
      <c r="L10" s="11"/>
    </row>
    <row r="11" spans="1:28" ht="20.100000000000001" customHeight="1">
      <c r="A11" s="11" t="s">
        <v>271</v>
      </c>
      <c r="B11" s="2" t="s">
        <v>2</v>
      </c>
      <c r="C11" s="15" t="s">
        <v>223</v>
      </c>
      <c r="D11" s="11" t="s">
        <v>53</v>
      </c>
      <c r="E11" s="31">
        <v>182</v>
      </c>
      <c r="F11" s="19">
        <v>0</v>
      </c>
      <c r="G11" s="3">
        <v>182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271</v>
      </c>
      <c r="B12" s="2" t="s">
        <v>52</v>
      </c>
      <c r="C12" s="15" t="s">
        <v>223</v>
      </c>
      <c r="D12" s="11" t="s">
        <v>53</v>
      </c>
      <c r="E12" s="31">
        <v>182</v>
      </c>
      <c r="F12" s="19">
        <v>0</v>
      </c>
      <c r="G12" s="3">
        <v>182</v>
      </c>
      <c r="H12" s="3">
        <v>0</v>
      </c>
      <c r="I12" s="4">
        <v>1</v>
      </c>
      <c r="J12" s="2"/>
      <c r="K12" s="2" t="s">
        <v>265</v>
      </c>
      <c r="L12" s="18"/>
    </row>
    <row r="13" spans="1:28" ht="20.100000000000001" customHeight="1">
      <c r="A13" s="11" t="s">
        <v>271</v>
      </c>
      <c r="B13" s="2" t="s">
        <v>38</v>
      </c>
      <c r="C13" s="15" t="s">
        <v>223</v>
      </c>
      <c r="D13" s="11" t="s">
        <v>53</v>
      </c>
      <c r="E13" s="2">
        <v>180</v>
      </c>
      <c r="F13" s="3">
        <v>0</v>
      </c>
      <c r="G13" s="3">
        <v>173</v>
      </c>
      <c r="H13" s="3">
        <v>7</v>
      </c>
      <c r="I13" s="4">
        <f>G13/E13</f>
        <v>0.96111111111111114</v>
      </c>
      <c r="J13" s="2"/>
      <c r="K13" s="2" t="s">
        <v>89</v>
      </c>
      <c r="L13" s="2"/>
    </row>
    <row r="14" spans="1:28" ht="20.100000000000001" customHeight="1">
      <c r="A14" s="11" t="s">
        <v>272</v>
      </c>
      <c r="B14" s="2" t="s">
        <v>38</v>
      </c>
      <c r="C14" s="15" t="s">
        <v>40</v>
      </c>
      <c r="D14" s="11" t="s">
        <v>53</v>
      </c>
      <c r="E14" s="31">
        <v>161</v>
      </c>
      <c r="F14" s="19">
        <v>0</v>
      </c>
      <c r="G14" s="16">
        <v>160</v>
      </c>
      <c r="H14" s="3">
        <v>1</v>
      </c>
      <c r="I14" s="4">
        <f>G14/E14</f>
        <v>0.99378881987577639</v>
      </c>
      <c r="J14" s="2"/>
      <c r="K14" s="2" t="s">
        <v>90</v>
      </c>
      <c r="L14" s="2"/>
    </row>
    <row r="15" spans="1:28" ht="20.100000000000001" customHeight="1">
      <c r="A15" s="11"/>
      <c r="B15" s="2"/>
      <c r="C15" s="15"/>
      <c r="D15" s="11"/>
      <c r="E15" s="31"/>
      <c r="F15" s="19"/>
      <c r="G15" s="16"/>
      <c r="H15" s="3"/>
      <c r="I15" s="4"/>
      <c r="J15" s="2"/>
      <c r="K15" s="2"/>
      <c r="L15" s="2"/>
    </row>
    <row r="16" spans="1:28" ht="20.100000000000001" customHeight="1">
      <c r="A16" s="11"/>
      <c r="B16" s="2"/>
      <c r="C16" s="15"/>
      <c r="D16" s="11"/>
      <c r="E16" s="31"/>
      <c r="F16" s="19"/>
      <c r="G16" s="16"/>
      <c r="H16" s="3"/>
      <c r="I16" s="4"/>
      <c r="J16" s="1"/>
      <c r="K16" s="2"/>
      <c r="L16" s="2"/>
    </row>
    <row r="17" spans="1:12" ht="20.100000000000001" customHeight="1">
      <c r="A17" s="11"/>
      <c r="B17" s="2"/>
      <c r="C17" s="15"/>
      <c r="D17" s="11"/>
      <c r="E17" s="31"/>
      <c r="F17" s="19"/>
      <c r="G17" s="16"/>
      <c r="H17" s="3"/>
      <c r="I17" s="4"/>
      <c r="J17" s="1"/>
      <c r="K17" s="2"/>
      <c r="L17" s="2"/>
    </row>
    <row r="18" spans="1:12" ht="20.100000000000001" customHeight="1">
      <c r="A18" s="11"/>
      <c r="B18" s="2"/>
      <c r="C18" s="15"/>
      <c r="D18" s="11"/>
      <c r="E18" s="31"/>
      <c r="F18" s="19"/>
      <c r="G18" s="16"/>
      <c r="H18" s="3"/>
      <c r="I18" s="4"/>
      <c r="J18" s="1"/>
      <c r="K18" s="2"/>
      <c r="L18" s="2"/>
    </row>
    <row r="19" spans="1:12" ht="20.100000000000001" customHeight="1">
      <c r="A19" s="11"/>
      <c r="B19" s="2"/>
      <c r="C19" s="15"/>
      <c r="D19" s="11"/>
      <c r="E19" s="31"/>
      <c r="F19" s="19"/>
      <c r="G19" s="16"/>
      <c r="H19" s="3"/>
      <c r="I19" s="4"/>
      <c r="J19" s="1"/>
      <c r="K19" s="2"/>
      <c r="L19" s="2"/>
    </row>
    <row r="20" spans="1:12" ht="20.100000000000001" customHeight="1">
      <c r="A20" s="11"/>
      <c r="B20" s="2"/>
      <c r="C20" s="15"/>
      <c r="D20" s="11"/>
      <c r="E20" s="31"/>
      <c r="F20" s="19"/>
      <c r="G20" s="16"/>
      <c r="H20" s="3"/>
      <c r="I20" s="4"/>
      <c r="J20" s="1"/>
      <c r="K20" s="2"/>
      <c r="L20" s="2"/>
    </row>
    <row r="21" spans="1:12" ht="20.100000000000001" customHeight="1">
      <c r="A21" s="11"/>
      <c r="B21" s="2"/>
      <c r="C21" s="15"/>
      <c r="D21" s="11"/>
      <c r="E21" s="31"/>
      <c r="F21" s="19"/>
      <c r="G21" s="16"/>
      <c r="H21" s="3"/>
      <c r="I21" s="4"/>
      <c r="J21" s="1"/>
      <c r="K21" s="2"/>
      <c r="L21" s="2"/>
    </row>
    <row r="22" spans="1:12" ht="20.100000000000001" customHeight="1">
      <c r="A22" s="11"/>
      <c r="B22" s="2"/>
      <c r="C22" s="15"/>
      <c r="D22" s="11"/>
      <c r="E22" s="31"/>
      <c r="F22" s="19"/>
      <c r="G22" s="3"/>
      <c r="H22" s="3"/>
      <c r="I22" s="4"/>
      <c r="J22" s="1"/>
      <c r="K22" s="2"/>
      <c r="L22" s="2"/>
    </row>
    <row r="23" spans="1:12" ht="20.100000000000001" customHeight="1">
      <c r="A23" s="11"/>
      <c r="B23" s="2"/>
      <c r="C23" s="15"/>
      <c r="D23" s="11"/>
      <c r="E23" s="31"/>
      <c r="F23" s="19"/>
      <c r="G23" s="3"/>
      <c r="H23" s="3"/>
      <c r="I23" s="4"/>
      <c r="J23" s="1"/>
      <c r="K23" s="2"/>
      <c r="L23" s="2"/>
    </row>
    <row r="24" spans="1:12" ht="20.100000000000001" customHeight="1">
      <c r="A24" s="11"/>
      <c r="B24" s="2"/>
      <c r="C24" s="15"/>
      <c r="D24" s="11"/>
      <c r="E24" s="31"/>
      <c r="F24" s="19"/>
      <c r="G24" s="3"/>
      <c r="H24" s="3"/>
      <c r="I24" s="4"/>
      <c r="J24" s="1"/>
      <c r="K24" s="2"/>
      <c r="L24" s="2"/>
    </row>
    <row r="25" spans="1:12" ht="20.100000000000001" customHeight="1">
      <c r="A25" s="11"/>
      <c r="B25" s="2"/>
      <c r="C25" s="15"/>
      <c r="D25" s="11"/>
      <c r="E25" s="31"/>
      <c r="F25" s="19"/>
      <c r="G25" s="3"/>
      <c r="H25" s="3"/>
      <c r="I25" s="4"/>
      <c r="J25" s="1"/>
      <c r="K25" s="2"/>
      <c r="L25" s="2"/>
    </row>
    <row r="26" spans="1:12" ht="20.100000000000001" customHeight="1">
      <c r="A26" s="11"/>
      <c r="B26" s="2"/>
      <c r="C26" s="15"/>
      <c r="D26" s="11"/>
      <c r="E26" s="2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13"/>
      <c r="B27" s="2"/>
      <c r="C27" s="2"/>
      <c r="D27" s="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3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48" t="s">
        <v>24</v>
      </c>
      <c r="B31" s="49"/>
      <c r="C31" s="49"/>
      <c r="D31" s="50"/>
      <c r="E31" s="7"/>
      <c r="F31" s="7"/>
      <c r="G31" s="7"/>
      <c r="H31" s="8" t="str">
        <f>IFERROR(F31/E31,"")</f>
        <v/>
      </c>
      <c r="I31" s="9"/>
      <c r="J31" s="9"/>
      <c r="K31" s="12"/>
      <c r="L31" s="10"/>
    </row>
    <row r="32" spans="1:12" ht="20.100000000000001" customHeight="1">
      <c r="A32" s="51" t="s">
        <v>25</v>
      </c>
      <c r="B32" s="52"/>
      <c r="C32" s="53"/>
      <c r="D32" s="51" t="s">
        <v>26</v>
      </c>
      <c r="E32" s="52"/>
      <c r="F32" s="52"/>
      <c r="G32" s="53"/>
      <c r="H32" s="51" t="s">
        <v>27</v>
      </c>
      <c r="I32" s="52"/>
      <c r="J32" s="52"/>
      <c r="K32" s="53"/>
      <c r="L32" s="10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1:D31"/>
    <mergeCell ref="A32:C32"/>
    <mergeCell ref="D32:G32"/>
    <mergeCell ref="H32:K32"/>
  </mergeCells>
  <phoneticPr fontId="5" type="noConversion"/>
  <dataValidations count="1">
    <dataValidation type="list" allowBlank="1" sqref="C27:C30 D18:D20 B5:B26" xr:uid="{00000000-0002-0000-0D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52"/>
  <sheetViews>
    <sheetView showGridLines="0" zoomScaleNormal="100" workbookViewId="0">
      <pane ySplit="4" topLeftCell="A17" activePane="bottomLeft" state="frozen"/>
      <selection pane="bottomLeft" activeCell="H27" sqref="H27:H28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279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280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280</v>
      </c>
      <c r="B5" s="2" t="s">
        <v>39</v>
      </c>
      <c r="C5" s="15" t="s">
        <v>223</v>
      </c>
      <c r="D5" s="11" t="s">
        <v>283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265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280</v>
      </c>
      <c r="B6" s="2" t="s">
        <v>39</v>
      </c>
      <c r="C6" s="15" t="s">
        <v>223</v>
      </c>
      <c r="D6" s="11" t="s">
        <v>284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265</v>
      </c>
      <c r="L6" s="11"/>
      <c r="Z6" t="s">
        <v>38</v>
      </c>
    </row>
    <row r="7" spans="1:28" ht="20.100000000000001" customHeight="1">
      <c r="A7" s="11" t="s">
        <v>285</v>
      </c>
      <c r="B7" s="2" t="s">
        <v>39</v>
      </c>
      <c r="C7" s="15" t="s">
        <v>223</v>
      </c>
      <c r="D7" s="11" t="s">
        <v>286</v>
      </c>
      <c r="E7" s="31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265</v>
      </c>
      <c r="L7" s="11"/>
    </row>
    <row r="8" spans="1:28" ht="20.100000000000001" customHeight="1">
      <c r="A8" s="11" t="s">
        <v>285</v>
      </c>
      <c r="B8" s="2" t="s">
        <v>39</v>
      </c>
      <c r="C8" s="15" t="s">
        <v>223</v>
      </c>
      <c r="D8" s="11" t="s">
        <v>287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265</v>
      </c>
      <c r="L8" s="11"/>
    </row>
    <row r="9" spans="1:28" ht="20.100000000000001" customHeight="1">
      <c r="A9" s="11" t="s">
        <v>285</v>
      </c>
      <c r="B9" s="2" t="s">
        <v>39</v>
      </c>
      <c r="C9" s="15" t="s">
        <v>223</v>
      </c>
      <c r="D9" s="11" t="s">
        <v>288</v>
      </c>
      <c r="E9" s="31">
        <v>25</v>
      </c>
      <c r="F9" s="19">
        <v>0</v>
      </c>
      <c r="G9" s="3">
        <v>25</v>
      </c>
      <c r="H9" s="3">
        <v>0</v>
      </c>
      <c r="I9" s="4">
        <v>1</v>
      </c>
      <c r="J9" s="2"/>
      <c r="K9" s="13" t="s">
        <v>265</v>
      </c>
      <c r="L9" s="11"/>
    </row>
    <row r="10" spans="1:28" ht="20.100000000000001" customHeight="1">
      <c r="A10" s="11" t="s">
        <v>285</v>
      </c>
      <c r="B10" s="2" t="s">
        <v>39</v>
      </c>
      <c r="C10" s="15" t="s">
        <v>223</v>
      </c>
      <c r="D10" s="11" t="s">
        <v>289</v>
      </c>
      <c r="E10" s="31">
        <v>25</v>
      </c>
      <c r="F10" s="19">
        <v>0</v>
      </c>
      <c r="G10" s="3">
        <v>25</v>
      </c>
      <c r="H10" s="3">
        <v>0</v>
      </c>
      <c r="I10" s="4">
        <v>1</v>
      </c>
      <c r="J10" s="2"/>
      <c r="K10" s="13" t="s">
        <v>265</v>
      </c>
      <c r="L10" s="11"/>
    </row>
    <row r="11" spans="1:28" ht="20.100000000000001" customHeight="1">
      <c r="A11" s="11" t="s">
        <v>285</v>
      </c>
      <c r="B11" s="2" t="s">
        <v>39</v>
      </c>
      <c r="C11" s="15" t="s">
        <v>223</v>
      </c>
      <c r="D11" s="11" t="s">
        <v>290</v>
      </c>
      <c r="E11" s="31">
        <v>25</v>
      </c>
      <c r="F11" s="19">
        <v>10</v>
      </c>
      <c r="G11" s="3">
        <v>15</v>
      </c>
      <c r="H11" s="3">
        <v>0</v>
      </c>
      <c r="I11" s="4">
        <v>1</v>
      </c>
      <c r="J11" s="2"/>
      <c r="K11" s="13" t="s">
        <v>265</v>
      </c>
      <c r="L11" s="11"/>
    </row>
    <row r="12" spans="1:28" ht="20.100000000000001" customHeight="1">
      <c r="A12" s="11" t="s">
        <v>285</v>
      </c>
      <c r="B12" s="2" t="s">
        <v>39</v>
      </c>
      <c r="C12" s="15" t="s">
        <v>223</v>
      </c>
      <c r="D12" s="11" t="s">
        <v>291</v>
      </c>
      <c r="E12" s="31">
        <v>25</v>
      </c>
      <c r="F12" s="19">
        <v>18</v>
      </c>
      <c r="G12" s="3">
        <v>7</v>
      </c>
      <c r="H12" s="3">
        <v>0</v>
      </c>
      <c r="I12" s="4">
        <v>1</v>
      </c>
      <c r="J12" s="2"/>
      <c r="K12" s="13" t="s">
        <v>265</v>
      </c>
      <c r="L12" s="18"/>
    </row>
    <row r="13" spans="1:28" ht="20.100000000000001" customHeight="1">
      <c r="A13" s="11" t="s">
        <v>285</v>
      </c>
      <c r="B13" s="2" t="s">
        <v>39</v>
      </c>
      <c r="C13" s="15" t="s">
        <v>223</v>
      </c>
      <c r="D13" s="11" t="s">
        <v>292</v>
      </c>
      <c r="E13" s="31">
        <v>25</v>
      </c>
      <c r="F13" s="3">
        <v>21</v>
      </c>
      <c r="G13" s="3">
        <v>4</v>
      </c>
      <c r="H13" s="3">
        <v>0</v>
      </c>
      <c r="I13" s="4">
        <v>1</v>
      </c>
      <c r="J13" s="2"/>
      <c r="K13" s="13" t="s">
        <v>265</v>
      </c>
      <c r="L13" s="2"/>
    </row>
    <row r="14" spans="1:28" ht="20.100000000000001" customHeight="1">
      <c r="A14" s="11" t="s">
        <v>285</v>
      </c>
      <c r="B14" s="2" t="s">
        <v>39</v>
      </c>
      <c r="C14" s="15" t="s">
        <v>223</v>
      </c>
      <c r="D14" s="11" t="s">
        <v>293</v>
      </c>
      <c r="E14" s="31">
        <v>25</v>
      </c>
      <c r="F14" s="19">
        <v>2</v>
      </c>
      <c r="G14" s="16">
        <v>23</v>
      </c>
      <c r="H14" s="3">
        <v>0</v>
      </c>
      <c r="I14" s="4">
        <v>1</v>
      </c>
      <c r="J14" s="2"/>
      <c r="K14" s="13" t="s">
        <v>265</v>
      </c>
      <c r="L14" s="2"/>
    </row>
    <row r="15" spans="1:28" ht="20.100000000000001" customHeight="1">
      <c r="A15" s="11" t="s">
        <v>285</v>
      </c>
      <c r="B15" s="2" t="s">
        <v>39</v>
      </c>
      <c r="C15" s="15" t="s">
        <v>223</v>
      </c>
      <c r="D15" s="11" t="s">
        <v>294</v>
      </c>
      <c r="E15" s="31">
        <v>25</v>
      </c>
      <c r="F15" s="19">
        <v>9</v>
      </c>
      <c r="G15" s="16">
        <v>16</v>
      </c>
      <c r="H15" s="3">
        <v>0</v>
      </c>
      <c r="I15" s="4">
        <v>1</v>
      </c>
      <c r="J15" s="2"/>
      <c r="K15" s="13" t="s">
        <v>265</v>
      </c>
      <c r="L15" s="2"/>
    </row>
    <row r="16" spans="1:28" ht="20.100000000000001" customHeight="1">
      <c r="A16" s="11" t="s">
        <v>285</v>
      </c>
      <c r="B16" s="2" t="s">
        <v>39</v>
      </c>
      <c r="C16" s="15" t="s">
        <v>223</v>
      </c>
      <c r="D16" s="11" t="s">
        <v>295</v>
      </c>
      <c r="E16" s="31">
        <v>25</v>
      </c>
      <c r="F16" s="19">
        <v>25</v>
      </c>
      <c r="G16" s="16">
        <v>0</v>
      </c>
      <c r="H16" s="3">
        <v>0</v>
      </c>
      <c r="I16" s="4">
        <v>1</v>
      </c>
      <c r="J16" s="1"/>
      <c r="K16" s="13" t="s">
        <v>265</v>
      </c>
      <c r="L16" s="2"/>
    </row>
    <row r="17" spans="1:12" ht="20.100000000000001" customHeight="1">
      <c r="A17" s="11" t="s">
        <v>285</v>
      </c>
      <c r="B17" s="2" t="s">
        <v>39</v>
      </c>
      <c r="C17" s="15" t="s">
        <v>223</v>
      </c>
      <c r="D17" s="11" t="s">
        <v>296</v>
      </c>
      <c r="E17" s="31">
        <v>25</v>
      </c>
      <c r="F17" s="19">
        <v>0</v>
      </c>
      <c r="G17" s="16">
        <v>25</v>
      </c>
      <c r="H17" s="3">
        <v>0</v>
      </c>
      <c r="I17" s="4">
        <v>1</v>
      </c>
      <c r="J17" s="1"/>
      <c r="K17" s="13" t="s">
        <v>265</v>
      </c>
      <c r="L17" s="2"/>
    </row>
    <row r="18" spans="1:12" ht="20.100000000000001" customHeight="1">
      <c r="A18" s="11" t="s">
        <v>285</v>
      </c>
      <c r="B18" s="2" t="s">
        <v>39</v>
      </c>
      <c r="C18" s="15" t="s">
        <v>223</v>
      </c>
      <c r="D18" s="11" t="s">
        <v>297</v>
      </c>
      <c r="E18" s="31">
        <v>25</v>
      </c>
      <c r="F18" s="19">
        <v>0</v>
      </c>
      <c r="G18" s="16">
        <v>25</v>
      </c>
      <c r="H18" s="3">
        <v>0</v>
      </c>
      <c r="I18" s="4">
        <v>1</v>
      </c>
      <c r="J18" s="1"/>
      <c r="K18" s="13" t="s">
        <v>265</v>
      </c>
      <c r="L18" s="2"/>
    </row>
    <row r="19" spans="1:12" ht="20.100000000000001" customHeight="1">
      <c r="A19" s="11" t="s">
        <v>285</v>
      </c>
      <c r="B19" s="2" t="s">
        <v>39</v>
      </c>
      <c r="C19" s="15" t="s">
        <v>223</v>
      </c>
      <c r="D19" s="11" t="s">
        <v>298</v>
      </c>
      <c r="E19" s="31">
        <v>25</v>
      </c>
      <c r="F19" s="19">
        <v>0</v>
      </c>
      <c r="G19" s="16">
        <v>25</v>
      </c>
      <c r="H19" s="3">
        <v>0</v>
      </c>
      <c r="I19" s="4">
        <v>1</v>
      </c>
      <c r="J19" s="1"/>
      <c r="K19" s="13" t="s">
        <v>265</v>
      </c>
      <c r="L19" s="2"/>
    </row>
    <row r="20" spans="1:12" ht="20.100000000000001" customHeight="1">
      <c r="A20" s="11" t="s">
        <v>285</v>
      </c>
      <c r="B20" s="2" t="s">
        <v>39</v>
      </c>
      <c r="C20" s="15" t="s">
        <v>223</v>
      </c>
      <c r="D20" s="11" t="s">
        <v>299</v>
      </c>
      <c r="E20" s="31">
        <v>25</v>
      </c>
      <c r="F20" s="19">
        <v>25</v>
      </c>
      <c r="G20" s="16">
        <v>0</v>
      </c>
      <c r="H20" s="3">
        <v>0</v>
      </c>
      <c r="I20" s="4">
        <v>1</v>
      </c>
      <c r="J20" s="1"/>
      <c r="K20" s="13" t="s">
        <v>265</v>
      </c>
      <c r="L20" s="2"/>
    </row>
    <row r="21" spans="1:12" ht="20.100000000000001" customHeight="1">
      <c r="A21" s="11" t="s">
        <v>285</v>
      </c>
      <c r="B21" s="2" t="s">
        <v>39</v>
      </c>
      <c r="C21" s="15" t="s">
        <v>223</v>
      </c>
      <c r="D21" s="11" t="s">
        <v>300</v>
      </c>
      <c r="E21" s="31">
        <v>25</v>
      </c>
      <c r="F21" s="19">
        <v>0</v>
      </c>
      <c r="G21" s="16">
        <v>25</v>
      </c>
      <c r="H21" s="3">
        <v>0</v>
      </c>
      <c r="I21" s="4">
        <v>1</v>
      </c>
      <c r="J21" s="1"/>
      <c r="K21" s="13" t="s">
        <v>265</v>
      </c>
      <c r="L21" s="2"/>
    </row>
    <row r="22" spans="1:12" ht="20.100000000000001" customHeight="1">
      <c r="A22" s="11" t="s">
        <v>285</v>
      </c>
      <c r="B22" s="2" t="s">
        <v>39</v>
      </c>
      <c r="C22" s="15" t="s">
        <v>223</v>
      </c>
      <c r="D22" s="11" t="s">
        <v>301</v>
      </c>
      <c r="E22" s="31">
        <v>25</v>
      </c>
      <c r="F22" s="19">
        <v>4</v>
      </c>
      <c r="G22" s="3">
        <v>21</v>
      </c>
      <c r="H22" s="3">
        <v>0</v>
      </c>
      <c r="I22" s="4">
        <v>1</v>
      </c>
      <c r="J22" s="1"/>
      <c r="K22" s="13" t="s">
        <v>265</v>
      </c>
      <c r="L22" s="2"/>
    </row>
    <row r="23" spans="1:12" ht="20.100000000000001" customHeight="1">
      <c r="A23" s="11" t="s">
        <v>285</v>
      </c>
      <c r="B23" s="2" t="s">
        <v>48</v>
      </c>
      <c r="C23" s="15" t="s">
        <v>223</v>
      </c>
      <c r="D23" s="11" t="s">
        <v>53</v>
      </c>
      <c r="E23" s="31">
        <v>311</v>
      </c>
      <c r="F23" s="19">
        <v>0</v>
      </c>
      <c r="G23" s="3">
        <v>311</v>
      </c>
      <c r="H23" s="3">
        <v>0</v>
      </c>
      <c r="I23" s="4">
        <v>1</v>
      </c>
      <c r="J23" s="1"/>
      <c r="K23" s="2" t="s">
        <v>129</v>
      </c>
      <c r="L23" s="2"/>
    </row>
    <row r="24" spans="1:12" ht="20.100000000000001" customHeight="1">
      <c r="A24" s="11" t="s">
        <v>285</v>
      </c>
      <c r="B24" s="2" t="s">
        <v>50</v>
      </c>
      <c r="C24" s="15" t="s">
        <v>223</v>
      </c>
      <c r="D24" s="11" t="s">
        <v>53</v>
      </c>
      <c r="E24" s="31">
        <v>311</v>
      </c>
      <c r="F24" s="19">
        <v>0</v>
      </c>
      <c r="G24" s="3">
        <v>311</v>
      </c>
      <c r="H24" s="3">
        <v>0</v>
      </c>
      <c r="I24" s="4">
        <v>1</v>
      </c>
      <c r="J24" s="1"/>
      <c r="K24" s="2" t="s">
        <v>129</v>
      </c>
      <c r="L24" s="2"/>
    </row>
    <row r="25" spans="1:12" ht="20.100000000000001" customHeight="1">
      <c r="A25" s="11" t="s">
        <v>285</v>
      </c>
      <c r="B25" s="2" t="s">
        <v>2</v>
      </c>
      <c r="C25" s="15" t="s">
        <v>223</v>
      </c>
      <c r="D25" s="11" t="s">
        <v>53</v>
      </c>
      <c r="E25" s="31">
        <v>311</v>
      </c>
      <c r="F25" s="19">
        <v>0</v>
      </c>
      <c r="G25" s="3">
        <v>311</v>
      </c>
      <c r="H25" s="3">
        <v>0</v>
      </c>
      <c r="I25" s="4">
        <v>1</v>
      </c>
      <c r="J25" s="1"/>
      <c r="K25" s="2" t="s">
        <v>89</v>
      </c>
      <c r="L25" s="2"/>
    </row>
    <row r="26" spans="1:12" ht="20.100000000000001" customHeight="1">
      <c r="A26" s="11" t="s">
        <v>285</v>
      </c>
      <c r="B26" s="2" t="s">
        <v>52</v>
      </c>
      <c r="C26" s="15" t="s">
        <v>223</v>
      </c>
      <c r="D26" s="11" t="s">
        <v>53</v>
      </c>
      <c r="E26" s="2">
        <v>144</v>
      </c>
      <c r="F26" s="3">
        <v>0</v>
      </c>
      <c r="G26" s="3">
        <v>144</v>
      </c>
      <c r="H26" s="3">
        <v>0</v>
      </c>
      <c r="I26" s="4">
        <v>1</v>
      </c>
      <c r="J26" s="1"/>
      <c r="K26" s="2" t="s">
        <v>265</v>
      </c>
      <c r="L26" s="2"/>
    </row>
    <row r="27" spans="1:12" ht="20.100000000000001" customHeight="1">
      <c r="A27" s="11" t="s">
        <v>285</v>
      </c>
      <c r="B27" s="2" t="s">
        <v>38</v>
      </c>
      <c r="C27" s="15" t="s">
        <v>223</v>
      </c>
      <c r="D27" s="11" t="s">
        <v>53</v>
      </c>
      <c r="E27" s="2">
        <v>169</v>
      </c>
      <c r="F27" s="3">
        <v>0</v>
      </c>
      <c r="G27" s="3">
        <v>146</v>
      </c>
      <c r="H27" s="3">
        <v>23</v>
      </c>
      <c r="I27" s="4">
        <f>G27/E27</f>
        <v>0.86390532544378695</v>
      </c>
      <c r="J27" s="1"/>
      <c r="K27" s="2" t="s">
        <v>239</v>
      </c>
      <c r="L27" s="2"/>
    </row>
    <row r="28" spans="1:12" ht="20.100000000000001" customHeight="1">
      <c r="A28" s="11" t="s">
        <v>285</v>
      </c>
      <c r="B28" s="2" t="s">
        <v>38</v>
      </c>
      <c r="C28" s="15" t="s">
        <v>40</v>
      </c>
      <c r="D28" s="11" t="s">
        <v>53</v>
      </c>
      <c r="E28" s="2">
        <v>157</v>
      </c>
      <c r="F28" s="3">
        <v>0</v>
      </c>
      <c r="G28" s="3">
        <v>150</v>
      </c>
      <c r="H28" s="3">
        <v>7</v>
      </c>
      <c r="I28" s="4">
        <f>G28/E28</f>
        <v>0.95541401273885351</v>
      </c>
      <c r="J28" s="1"/>
      <c r="K28" s="2" t="s">
        <v>90</v>
      </c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48" t="s">
        <v>24</v>
      </c>
      <c r="B31" s="49"/>
      <c r="C31" s="49"/>
      <c r="D31" s="50"/>
      <c r="E31" s="7"/>
      <c r="F31" s="7"/>
      <c r="G31" s="7"/>
      <c r="H31" s="8" t="str">
        <f>IFERROR(F31/E31,"")</f>
        <v/>
      </c>
      <c r="I31" s="9"/>
      <c r="J31" s="9"/>
      <c r="K31" s="12"/>
      <c r="L31" s="10"/>
    </row>
    <row r="32" spans="1:12" ht="20.100000000000001" customHeight="1">
      <c r="A32" s="51" t="s">
        <v>25</v>
      </c>
      <c r="B32" s="52"/>
      <c r="C32" s="53"/>
      <c r="D32" s="51" t="s">
        <v>26</v>
      </c>
      <c r="E32" s="52"/>
      <c r="F32" s="52"/>
      <c r="G32" s="53"/>
      <c r="H32" s="51" t="s">
        <v>27</v>
      </c>
      <c r="I32" s="52"/>
      <c r="J32" s="52"/>
      <c r="K32" s="53"/>
      <c r="L32" s="10"/>
    </row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1:D31"/>
    <mergeCell ref="A32:C32"/>
    <mergeCell ref="D32:G32"/>
    <mergeCell ref="H32:K32"/>
  </mergeCells>
  <phoneticPr fontId="5" type="noConversion"/>
  <dataValidations count="1">
    <dataValidation type="list" allowBlank="1" sqref="B5:B28 D18:D20 C29:C30" xr:uid="{00000000-0002-0000-0E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53"/>
  <sheetViews>
    <sheetView showGridLines="0" zoomScaleNormal="100" workbookViewId="0">
      <pane ySplit="4" topLeftCell="A5" activePane="bottomLeft" state="frozen"/>
      <selection pane="bottomLeft" activeCell="D14" sqref="D14:G1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282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281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281</v>
      </c>
      <c r="B5" s="2" t="s">
        <v>39</v>
      </c>
      <c r="C5" s="15" t="s">
        <v>223</v>
      </c>
      <c r="D5" s="11" t="s">
        <v>303</v>
      </c>
      <c r="E5" s="31">
        <v>25</v>
      </c>
      <c r="F5" s="19">
        <v>19</v>
      </c>
      <c r="G5" s="16">
        <v>6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281</v>
      </c>
      <c r="B6" s="2" t="s">
        <v>39</v>
      </c>
      <c r="C6" s="15" t="s">
        <v>223</v>
      </c>
      <c r="D6" s="11" t="s">
        <v>304</v>
      </c>
      <c r="E6" s="31">
        <v>25</v>
      </c>
      <c r="F6" s="19">
        <v>15</v>
      </c>
      <c r="G6" s="16">
        <v>10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302</v>
      </c>
      <c r="B7" s="2" t="s">
        <v>39</v>
      </c>
      <c r="C7" s="15" t="s">
        <v>223</v>
      </c>
      <c r="D7" s="11" t="s">
        <v>305</v>
      </c>
      <c r="E7" s="31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302</v>
      </c>
      <c r="B8" s="2" t="s">
        <v>39</v>
      </c>
      <c r="C8" s="15" t="s">
        <v>223</v>
      </c>
      <c r="D8" s="11" t="s">
        <v>306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302</v>
      </c>
      <c r="B9" s="2" t="s">
        <v>39</v>
      </c>
      <c r="C9" s="15" t="s">
        <v>223</v>
      </c>
      <c r="D9" s="11" t="s">
        <v>307</v>
      </c>
      <c r="E9" s="31">
        <v>25</v>
      </c>
      <c r="F9" s="19">
        <v>0</v>
      </c>
      <c r="G9" s="3">
        <v>25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302</v>
      </c>
      <c r="B10" s="2" t="s">
        <v>39</v>
      </c>
      <c r="C10" s="15" t="s">
        <v>223</v>
      </c>
      <c r="D10" s="11" t="s">
        <v>308</v>
      </c>
      <c r="E10" s="31">
        <v>25</v>
      </c>
      <c r="F10" s="19">
        <v>0</v>
      </c>
      <c r="G10" s="3">
        <v>25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302</v>
      </c>
      <c r="B11" s="2" t="s">
        <v>39</v>
      </c>
      <c r="C11" s="15" t="s">
        <v>223</v>
      </c>
      <c r="D11" s="11" t="s">
        <v>309</v>
      </c>
      <c r="E11" s="31">
        <v>25</v>
      </c>
      <c r="F11" s="19">
        <v>12</v>
      </c>
      <c r="G11" s="3">
        <v>13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302</v>
      </c>
      <c r="B12" s="2" t="s">
        <v>39</v>
      </c>
      <c r="C12" s="15" t="s">
        <v>223</v>
      </c>
      <c r="D12" s="11" t="s">
        <v>310</v>
      </c>
      <c r="E12" s="31">
        <v>25</v>
      </c>
      <c r="F12" s="19">
        <v>25</v>
      </c>
      <c r="G12" s="3">
        <v>0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302</v>
      </c>
      <c r="B13" s="2" t="s">
        <v>39</v>
      </c>
      <c r="C13" s="15" t="s">
        <v>223</v>
      </c>
      <c r="D13" s="11" t="s">
        <v>311</v>
      </c>
      <c r="E13" s="31">
        <v>25</v>
      </c>
      <c r="F13" s="24">
        <v>20</v>
      </c>
      <c r="G13" s="24">
        <v>5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302</v>
      </c>
      <c r="B14" s="2" t="s">
        <v>39</v>
      </c>
      <c r="C14" s="15" t="s">
        <v>223</v>
      </c>
      <c r="D14" s="11" t="s">
        <v>313</v>
      </c>
      <c r="E14" s="37">
        <v>225</v>
      </c>
      <c r="F14" s="19">
        <v>204</v>
      </c>
      <c r="G14" s="19">
        <v>21</v>
      </c>
      <c r="H14" s="16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302</v>
      </c>
      <c r="B15" s="2" t="s">
        <v>48</v>
      </c>
      <c r="C15" s="15" t="s">
        <v>223</v>
      </c>
      <c r="D15" s="11" t="s">
        <v>53</v>
      </c>
      <c r="E15" s="31">
        <v>134</v>
      </c>
      <c r="F15" s="38">
        <v>0</v>
      </c>
      <c r="G15" s="39">
        <v>134</v>
      </c>
      <c r="H15" s="3">
        <v>0</v>
      </c>
      <c r="I15" s="4">
        <v>1</v>
      </c>
      <c r="J15" s="2"/>
      <c r="K15" s="2" t="s">
        <v>129</v>
      </c>
      <c r="L15" s="2"/>
    </row>
    <row r="16" spans="1:28" ht="20.100000000000001" customHeight="1">
      <c r="A16" s="11" t="s">
        <v>302</v>
      </c>
      <c r="B16" s="2" t="s">
        <v>50</v>
      </c>
      <c r="C16" s="15" t="s">
        <v>223</v>
      </c>
      <c r="D16" s="11" t="s">
        <v>53</v>
      </c>
      <c r="E16" s="31">
        <v>134</v>
      </c>
      <c r="F16" s="19">
        <v>0</v>
      </c>
      <c r="G16" s="16">
        <v>134</v>
      </c>
      <c r="H16" s="3">
        <v>0</v>
      </c>
      <c r="I16" s="4">
        <v>1</v>
      </c>
      <c r="J16" s="2"/>
      <c r="K16" s="2" t="s">
        <v>129</v>
      </c>
      <c r="L16" s="2"/>
    </row>
    <row r="17" spans="1:12" ht="20.100000000000001" customHeight="1">
      <c r="A17" s="11" t="s">
        <v>302</v>
      </c>
      <c r="B17" s="2" t="s">
        <v>2</v>
      </c>
      <c r="C17" s="15" t="s">
        <v>223</v>
      </c>
      <c r="D17" s="11" t="s">
        <v>53</v>
      </c>
      <c r="E17" s="31">
        <v>134</v>
      </c>
      <c r="F17" s="19">
        <v>0</v>
      </c>
      <c r="G17" s="16">
        <v>134</v>
      </c>
      <c r="H17" s="3">
        <v>0</v>
      </c>
      <c r="I17" s="4">
        <v>1</v>
      </c>
      <c r="J17" s="1"/>
      <c r="K17" s="2" t="s">
        <v>239</v>
      </c>
      <c r="L17" s="2"/>
    </row>
    <row r="18" spans="1:12" ht="20.100000000000001" customHeight="1">
      <c r="A18" s="11" t="s">
        <v>302</v>
      </c>
      <c r="B18" s="2" t="s">
        <v>52</v>
      </c>
      <c r="C18" s="15" t="s">
        <v>223</v>
      </c>
      <c r="D18" s="11" t="s">
        <v>53</v>
      </c>
      <c r="E18" s="31">
        <v>331</v>
      </c>
      <c r="F18" s="19">
        <v>0</v>
      </c>
      <c r="G18" s="16">
        <v>331</v>
      </c>
      <c r="H18" s="3">
        <v>0</v>
      </c>
      <c r="I18" s="4">
        <v>1</v>
      </c>
      <c r="J18" s="1"/>
      <c r="K18" s="2" t="s">
        <v>265</v>
      </c>
      <c r="L18" s="2"/>
    </row>
    <row r="19" spans="1:12" ht="20.100000000000001" customHeight="1">
      <c r="A19" s="11" t="s">
        <v>302</v>
      </c>
      <c r="B19" s="2" t="s">
        <v>38</v>
      </c>
      <c r="C19" s="15" t="s">
        <v>223</v>
      </c>
      <c r="D19" s="11" t="s">
        <v>53</v>
      </c>
      <c r="E19" s="31">
        <v>167</v>
      </c>
      <c r="F19" s="19">
        <v>0</v>
      </c>
      <c r="G19" s="16">
        <v>115</v>
      </c>
      <c r="H19" s="3">
        <v>52</v>
      </c>
      <c r="I19" s="4">
        <f>G19/E19</f>
        <v>0.68862275449101795</v>
      </c>
      <c r="J19" s="1"/>
      <c r="K19" s="2" t="s">
        <v>89</v>
      </c>
      <c r="L19" s="2"/>
    </row>
    <row r="20" spans="1:12" ht="20.100000000000001" customHeight="1">
      <c r="A20" s="11"/>
      <c r="B20" s="2"/>
      <c r="C20" s="15"/>
      <c r="D20" s="11"/>
      <c r="E20" s="31"/>
      <c r="F20" s="19"/>
      <c r="G20" s="16"/>
      <c r="H20" s="3"/>
      <c r="I20" s="4"/>
      <c r="J20" s="1"/>
      <c r="K20" s="2"/>
      <c r="L20" s="2"/>
    </row>
    <row r="21" spans="1:12" ht="20.100000000000001" customHeight="1">
      <c r="A21" s="11"/>
      <c r="B21" s="2"/>
      <c r="C21" s="15"/>
      <c r="D21" s="11"/>
      <c r="E21" s="31"/>
      <c r="F21" s="19"/>
      <c r="G21" s="16"/>
      <c r="H21" s="3"/>
      <c r="I21" s="4"/>
      <c r="J21" s="1"/>
      <c r="K21" s="2"/>
      <c r="L21" s="2"/>
    </row>
    <row r="22" spans="1:12" ht="20.100000000000001" customHeight="1">
      <c r="A22" s="11"/>
      <c r="B22" s="2"/>
      <c r="C22" s="15"/>
      <c r="D22" s="11"/>
      <c r="E22" s="31"/>
      <c r="F22" s="19"/>
      <c r="G22" s="16"/>
      <c r="H22" s="3"/>
      <c r="I22" s="4"/>
      <c r="J22" s="1"/>
      <c r="K22" s="2"/>
      <c r="L22" s="2"/>
    </row>
    <row r="23" spans="1:12" ht="20.100000000000001" customHeight="1">
      <c r="A23" s="11"/>
      <c r="B23" s="2"/>
      <c r="C23" s="15"/>
      <c r="D23" s="11"/>
      <c r="E23" s="31"/>
      <c r="F23" s="19"/>
      <c r="G23" s="3"/>
      <c r="H23" s="3"/>
      <c r="I23" s="4"/>
      <c r="J23" s="1"/>
      <c r="K23" s="2"/>
      <c r="L23" s="2"/>
    </row>
    <row r="24" spans="1:12" ht="20.100000000000001" customHeight="1">
      <c r="A24" s="11"/>
      <c r="B24" s="2"/>
      <c r="C24" s="15"/>
      <c r="D24" s="11"/>
      <c r="E24" s="31"/>
      <c r="F24" s="19"/>
      <c r="G24" s="3"/>
      <c r="H24" s="3"/>
      <c r="I24" s="4"/>
      <c r="J24" s="1"/>
      <c r="K24" s="2"/>
      <c r="L24" s="2"/>
    </row>
    <row r="25" spans="1:12" ht="20.100000000000001" customHeight="1">
      <c r="A25" s="11"/>
      <c r="B25" s="2"/>
      <c r="C25" s="15"/>
      <c r="D25" s="11"/>
      <c r="E25" s="31"/>
      <c r="F25" s="19"/>
      <c r="G25" s="3"/>
      <c r="H25" s="3"/>
      <c r="I25" s="4"/>
      <c r="J25" s="1"/>
      <c r="K25" s="2"/>
      <c r="L25" s="2"/>
    </row>
    <row r="26" spans="1:12" ht="20.100000000000001" customHeight="1">
      <c r="A26" s="11"/>
      <c r="B26" s="2"/>
      <c r="C26" s="15"/>
      <c r="D26" s="11"/>
      <c r="E26" s="31"/>
      <c r="F26" s="19"/>
      <c r="G26" s="3"/>
      <c r="H26" s="3"/>
      <c r="I26" s="4"/>
      <c r="J26" s="1"/>
      <c r="K26" s="2"/>
      <c r="L26" s="2"/>
    </row>
    <row r="27" spans="1:12" ht="20.100000000000001" customHeight="1">
      <c r="A27" s="11"/>
      <c r="B27" s="2"/>
      <c r="C27" s="15"/>
      <c r="D27" s="11"/>
      <c r="E27" s="2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3"/>
      <c r="B28" s="2"/>
      <c r="C28" s="2"/>
      <c r="D28" s="1"/>
      <c r="E28" s="2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3"/>
      <c r="B29" s="2"/>
      <c r="C29" s="2"/>
      <c r="D29" s="1"/>
      <c r="E29" s="2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13"/>
      <c r="B30" s="2"/>
      <c r="C30" s="2"/>
      <c r="D30" s="1"/>
      <c r="E30" s="2"/>
      <c r="F30" s="3"/>
      <c r="G30" s="3"/>
      <c r="H30" s="3"/>
      <c r="I30" s="4"/>
      <c r="J30" s="1"/>
      <c r="K30" s="2"/>
      <c r="L30" s="2"/>
    </row>
    <row r="31" spans="1:12" ht="20.100000000000001" customHeight="1">
      <c r="A31" s="13"/>
      <c r="B31" s="2"/>
      <c r="C31" s="2"/>
      <c r="D31" s="1"/>
      <c r="E31" s="2"/>
      <c r="F31" s="3"/>
      <c r="G31" s="3"/>
      <c r="H31" s="3"/>
      <c r="I31" s="4"/>
      <c r="J31" s="1"/>
      <c r="K31" s="2"/>
      <c r="L31" s="2"/>
    </row>
    <row r="32" spans="1:12" ht="20.100000000000001" customHeight="1">
      <c r="A32" s="48" t="s">
        <v>24</v>
      </c>
      <c r="B32" s="49"/>
      <c r="C32" s="49"/>
      <c r="D32" s="50"/>
      <c r="E32" s="7"/>
      <c r="F32" s="7"/>
      <c r="G32" s="7"/>
      <c r="H32" s="8" t="str">
        <f>IFERROR(F32/E32,"")</f>
        <v/>
      </c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0" ht="20.100000000000001" customHeight="1"/>
    <row r="53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C28:C31 D21 B5:B27" xr:uid="{00000000-0002-0000-0F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F22" sqref="F22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316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312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312</v>
      </c>
      <c r="B5" s="2" t="s">
        <v>39</v>
      </c>
      <c r="C5" s="15" t="s">
        <v>223</v>
      </c>
      <c r="D5" s="11" t="s">
        <v>319</v>
      </c>
      <c r="E5" s="31">
        <v>25</v>
      </c>
      <c r="F5" s="16">
        <v>25</v>
      </c>
      <c r="G5" s="19">
        <v>0</v>
      </c>
      <c r="H5" s="16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312</v>
      </c>
      <c r="B6" s="2" t="s">
        <v>39</v>
      </c>
      <c r="C6" s="15" t="s">
        <v>223</v>
      </c>
      <c r="D6" s="11" t="s">
        <v>320</v>
      </c>
      <c r="E6" s="31">
        <v>25</v>
      </c>
      <c r="F6" s="16">
        <v>14</v>
      </c>
      <c r="G6" s="19">
        <v>11</v>
      </c>
      <c r="H6" s="16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318</v>
      </c>
      <c r="B7" s="2" t="s">
        <v>39</v>
      </c>
      <c r="C7" s="15" t="s">
        <v>223</v>
      </c>
      <c r="D7" s="11" t="s">
        <v>321</v>
      </c>
      <c r="E7" s="31">
        <v>25</v>
      </c>
      <c r="F7" s="16">
        <v>24</v>
      </c>
      <c r="G7" s="19">
        <v>1</v>
      </c>
      <c r="H7" s="16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318</v>
      </c>
      <c r="B8" s="2" t="s">
        <v>39</v>
      </c>
      <c r="C8" s="15" t="s">
        <v>223</v>
      </c>
      <c r="D8" s="11" t="s">
        <v>322</v>
      </c>
      <c r="E8" s="31">
        <v>25</v>
      </c>
      <c r="F8" s="16">
        <v>25</v>
      </c>
      <c r="G8" s="19">
        <v>0</v>
      </c>
      <c r="H8" s="16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318</v>
      </c>
      <c r="B9" s="2" t="s">
        <v>39</v>
      </c>
      <c r="C9" s="15" t="s">
        <v>223</v>
      </c>
      <c r="D9" s="11" t="s">
        <v>323</v>
      </c>
      <c r="E9" s="31">
        <v>25</v>
      </c>
      <c r="F9" s="3">
        <v>20</v>
      </c>
      <c r="G9" s="19">
        <v>5</v>
      </c>
      <c r="H9" s="16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318</v>
      </c>
      <c r="B10" s="2" t="s">
        <v>39</v>
      </c>
      <c r="C10" s="15" t="s">
        <v>223</v>
      </c>
      <c r="D10" s="11" t="s">
        <v>324</v>
      </c>
      <c r="E10" s="31">
        <v>25</v>
      </c>
      <c r="F10" s="3">
        <v>21</v>
      </c>
      <c r="G10" s="19">
        <v>4</v>
      </c>
      <c r="H10" s="16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318</v>
      </c>
      <c r="B11" s="2" t="s">
        <v>39</v>
      </c>
      <c r="C11" s="15" t="s">
        <v>223</v>
      </c>
      <c r="D11" s="11" t="s">
        <v>325</v>
      </c>
      <c r="E11" s="31">
        <v>25</v>
      </c>
      <c r="F11" s="3">
        <v>22</v>
      </c>
      <c r="G11" s="19">
        <v>3</v>
      </c>
      <c r="H11" s="16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318</v>
      </c>
      <c r="B12" s="2" t="s">
        <v>39</v>
      </c>
      <c r="C12" s="15" t="s">
        <v>223</v>
      </c>
      <c r="D12" s="11" t="s">
        <v>326</v>
      </c>
      <c r="E12" s="31">
        <v>25</v>
      </c>
      <c r="F12" s="3">
        <v>15</v>
      </c>
      <c r="G12" s="19">
        <v>10</v>
      </c>
      <c r="H12" s="16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318</v>
      </c>
      <c r="B13" s="2" t="s">
        <v>39</v>
      </c>
      <c r="C13" s="15" t="s">
        <v>223</v>
      </c>
      <c r="D13" s="11" t="s">
        <v>327</v>
      </c>
      <c r="E13" s="31">
        <v>25</v>
      </c>
      <c r="F13" s="3">
        <v>24</v>
      </c>
      <c r="G13" s="3">
        <v>1</v>
      </c>
      <c r="H13" s="16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318</v>
      </c>
      <c r="B14" s="2" t="s">
        <v>39</v>
      </c>
      <c r="C14" s="15" t="s">
        <v>223</v>
      </c>
      <c r="D14" s="11" t="s">
        <v>328</v>
      </c>
      <c r="E14" s="31">
        <v>25</v>
      </c>
      <c r="F14" s="16">
        <v>11</v>
      </c>
      <c r="G14" s="19">
        <v>14</v>
      </c>
      <c r="H14" s="16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318</v>
      </c>
      <c r="B15" s="2" t="s">
        <v>39</v>
      </c>
      <c r="C15" s="15" t="s">
        <v>223</v>
      </c>
      <c r="D15" s="11" t="s">
        <v>329</v>
      </c>
      <c r="E15" s="31">
        <v>25</v>
      </c>
      <c r="F15" s="16">
        <v>0</v>
      </c>
      <c r="G15" s="19">
        <v>25</v>
      </c>
      <c r="H15" s="16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318</v>
      </c>
      <c r="B16" s="2" t="s">
        <v>39</v>
      </c>
      <c r="C16" s="15" t="s">
        <v>223</v>
      </c>
      <c r="D16" s="11" t="s">
        <v>330</v>
      </c>
      <c r="E16" s="31">
        <v>25</v>
      </c>
      <c r="F16" s="16">
        <v>13</v>
      </c>
      <c r="G16" s="19">
        <v>12</v>
      </c>
      <c r="H16" s="16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318</v>
      </c>
      <c r="B17" s="2" t="s">
        <v>39</v>
      </c>
      <c r="C17" s="15" t="s">
        <v>223</v>
      </c>
      <c r="D17" s="11" t="s">
        <v>331</v>
      </c>
      <c r="E17" s="31">
        <v>25</v>
      </c>
      <c r="F17" s="16">
        <v>23</v>
      </c>
      <c r="G17" s="19">
        <v>2</v>
      </c>
      <c r="H17" s="16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318</v>
      </c>
      <c r="B18" s="2" t="s">
        <v>39</v>
      </c>
      <c r="C18" s="15" t="s">
        <v>223</v>
      </c>
      <c r="D18" s="11" t="s">
        <v>332</v>
      </c>
      <c r="E18" s="31">
        <v>25</v>
      </c>
      <c r="F18" s="16">
        <v>25</v>
      </c>
      <c r="G18" s="19">
        <v>0</v>
      </c>
      <c r="H18" s="16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318</v>
      </c>
      <c r="B19" s="2" t="s">
        <v>39</v>
      </c>
      <c r="C19" s="15" t="s">
        <v>223</v>
      </c>
      <c r="D19" s="11" t="s">
        <v>333</v>
      </c>
      <c r="E19" s="31">
        <v>25</v>
      </c>
      <c r="F19" s="16">
        <v>24</v>
      </c>
      <c r="G19" s="19">
        <v>1</v>
      </c>
      <c r="H19" s="16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318</v>
      </c>
      <c r="B20" s="2" t="s">
        <v>39</v>
      </c>
      <c r="C20" s="15" t="s">
        <v>223</v>
      </c>
      <c r="D20" s="11" t="s">
        <v>334</v>
      </c>
      <c r="E20" s="31">
        <v>25</v>
      </c>
      <c r="F20" s="16">
        <v>22</v>
      </c>
      <c r="G20" s="19">
        <v>3</v>
      </c>
      <c r="H20" s="16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318</v>
      </c>
      <c r="B21" s="2" t="s">
        <v>39</v>
      </c>
      <c r="C21" s="15" t="s">
        <v>223</v>
      </c>
      <c r="D21" s="11" t="s">
        <v>335</v>
      </c>
      <c r="E21" s="31">
        <v>25</v>
      </c>
      <c r="F21" s="16">
        <v>25</v>
      </c>
      <c r="G21" s="19">
        <v>0</v>
      </c>
      <c r="H21" s="16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318</v>
      </c>
      <c r="B22" s="2" t="s">
        <v>39</v>
      </c>
      <c r="C22" s="15" t="s">
        <v>223</v>
      </c>
      <c r="D22" s="11" t="s">
        <v>336</v>
      </c>
      <c r="E22" s="31">
        <v>25</v>
      </c>
      <c r="F22" s="3">
        <v>24</v>
      </c>
      <c r="G22" s="19">
        <v>1</v>
      </c>
      <c r="H22" s="16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59" t="s">
        <v>24</v>
      </c>
      <c r="B23" s="59"/>
      <c r="C23" s="59"/>
      <c r="D23" s="59"/>
      <c r="E23" s="41">
        <v>450</v>
      </c>
      <c r="F23" s="41">
        <v>357</v>
      </c>
      <c r="G23" s="41">
        <v>93</v>
      </c>
      <c r="H23" s="9"/>
      <c r="I23" s="40"/>
      <c r="J23" s="9"/>
      <c r="K23" s="12"/>
      <c r="L23" s="10"/>
    </row>
    <row r="24" spans="1:12" ht="20.100000000000001" customHeight="1">
      <c r="A24" s="60" t="s">
        <v>25</v>
      </c>
      <c r="B24" s="61"/>
      <c r="C24" s="62"/>
      <c r="D24" s="60" t="s">
        <v>26</v>
      </c>
      <c r="E24" s="61"/>
      <c r="F24" s="61"/>
      <c r="G24" s="62"/>
      <c r="H24" s="60" t="s">
        <v>27</v>
      </c>
      <c r="I24" s="52"/>
      <c r="J24" s="52"/>
      <c r="K24" s="53"/>
      <c r="L24" s="10"/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23:D23"/>
    <mergeCell ref="A24:C24"/>
    <mergeCell ref="D24:G24"/>
    <mergeCell ref="H24:K24"/>
  </mergeCells>
  <phoneticPr fontId="5" type="noConversion"/>
  <dataValidations count="1">
    <dataValidation type="list" allowBlank="1" sqref="B5:B22" xr:uid="{00000000-0002-0000-1000-0000000000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7680-BA92-4ADF-B54E-AA0810BEDB7A}">
  <sheetPr>
    <pageSetUpPr fitToPage="1"/>
  </sheetPr>
  <dimension ref="A1:AB52"/>
  <sheetViews>
    <sheetView showGridLines="0" zoomScaleNormal="100" workbookViewId="0">
      <pane ySplit="4" topLeftCell="A15" activePane="bottomLeft" state="frozen"/>
      <selection pane="bottomLeft" activeCell="I30" sqref="I30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316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312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312</v>
      </c>
      <c r="B5" s="2" t="s">
        <v>39</v>
      </c>
      <c r="C5" s="15" t="s">
        <v>223</v>
      </c>
      <c r="D5" s="11" t="s">
        <v>338</v>
      </c>
      <c r="E5" s="31">
        <v>25</v>
      </c>
      <c r="F5" s="16">
        <v>12</v>
      </c>
      <c r="G5" s="19">
        <v>13</v>
      </c>
      <c r="H5" s="19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312</v>
      </c>
      <c r="B6" s="2" t="s">
        <v>39</v>
      </c>
      <c r="C6" s="15" t="s">
        <v>223</v>
      </c>
      <c r="D6" s="11" t="s">
        <v>339</v>
      </c>
      <c r="E6" s="31">
        <v>25</v>
      </c>
      <c r="F6" s="16">
        <v>11</v>
      </c>
      <c r="G6" s="19">
        <v>14</v>
      </c>
      <c r="H6" s="19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318</v>
      </c>
      <c r="B7" s="2" t="s">
        <v>39</v>
      </c>
      <c r="C7" s="15" t="s">
        <v>223</v>
      </c>
      <c r="D7" s="11" t="s">
        <v>340</v>
      </c>
      <c r="E7" s="31">
        <v>25</v>
      </c>
      <c r="F7" s="16">
        <v>18</v>
      </c>
      <c r="G7" s="19">
        <v>7</v>
      </c>
      <c r="H7" s="19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318</v>
      </c>
      <c r="B8" s="2" t="s">
        <v>39</v>
      </c>
      <c r="C8" s="15" t="s">
        <v>223</v>
      </c>
      <c r="D8" s="11" t="s">
        <v>341</v>
      </c>
      <c r="E8" s="31">
        <v>25</v>
      </c>
      <c r="F8" s="16">
        <v>16</v>
      </c>
      <c r="G8" s="19">
        <v>9</v>
      </c>
      <c r="H8" s="19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318</v>
      </c>
      <c r="B9" s="2" t="s">
        <v>39</v>
      </c>
      <c r="C9" s="15" t="s">
        <v>223</v>
      </c>
      <c r="D9" s="11" t="s">
        <v>342</v>
      </c>
      <c r="E9" s="31">
        <v>25</v>
      </c>
      <c r="F9" s="3">
        <v>24</v>
      </c>
      <c r="G9" s="19">
        <v>1</v>
      </c>
      <c r="H9" s="19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318</v>
      </c>
      <c r="B10" s="2" t="s">
        <v>39</v>
      </c>
      <c r="C10" s="15" t="s">
        <v>223</v>
      </c>
      <c r="D10" s="11" t="s">
        <v>343</v>
      </c>
      <c r="E10" s="31">
        <v>25</v>
      </c>
      <c r="F10" s="3">
        <v>17</v>
      </c>
      <c r="G10" s="19">
        <v>8</v>
      </c>
      <c r="H10" s="19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318</v>
      </c>
      <c r="B11" s="2" t="s">
        <v>39</v>
      </c>
      <c r="C11" s="15" t="s">
        <v>223</v>
      </c>
      <c r="D11" s="11" t="s">
        <v>344</v>
      </c>
      <c r="E11" s="31">
        <v>25</v>
      </c>
      <c r="F11" s="3">
        <v>18</v>
      </c>
      <c r="G11" s="19">
        <v>7</v>
      </c>
      <c r="H11" s="19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318</v>
      </c>
      <c r="B12" s="2" t="s">
        <v>39</v>
      </c>
      <c r="C12" s="15" t="s">
        <v>223</v>
      </c>
      <c r="D12" s="11" t="s">
        <v>345</v>
      </c>
      <c r="E12" s="31">
        <v>25</v>
      </c>
      <c r="F12" s="3">
        <v>11</v>
      </c>
      <c r="G12" s="19">
        <v>14</v>
      </c>
      <c r="H12" s="19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318</v>
      </c>
      <c r="B13" s="2" t="s">
        <v>39</v>
      </c>
      <c r="C13" s="15" t="s">
        <v>223</v>
      </c>
      <c r="D13" s="11" t="s">
        <v>346</v>
      </c>
      <c r="E13" s="31">
        <v>25</v>
      </c>
      <c r="F13" s="3">
        <v>3</v>
      </c>
      <c r="G13" s="3">
        <v>22</v>
      </c>
      <c r="H13" s="19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318</v>
      </c>
      <c r="B14" s="2" t="s">
        <v>39</v>
      </c>
      <c r="C14" s="15" t="s">
        <v>223</v>
      </c>
      <c r="D14" s="11" t="s">
        <v>347</v>
      </c>
      <c r="E14" s="31">
        <v>25</v>
      </c>
      <c r="F14" s="16">
        <v>5</v>
      </c>
      <c r="G14" s="19">
        <v>20</v>
      </c>
      <c r="H14" s="19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318</v>
      </c>
      <c r="B15" s="2" t="s">
        <v>39</v>
      </c>
      <c r="C15" s="15" t="s">
        <v>223</v>
      </c>
      <c r="D15" s="11" t="s">
        <v>348</v>
      </c>
      <c r="E15" s="31">
        <v>25</v>
      </c>
      <c r="F15" s="16">
        <v>25</v>
      </c>
      <c r="G15" s="19">
        <v>0</v>
      </c>
      <c r="H15" s="19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318</v>
      </c>
      <c r="B16" s="2" t="s">
        <v>39</v>
      </c>
      <c r="C16" s="15" t="s">
        <v>223</v>
      </c>
      <c r="D16" s="11" t="s">
        <v>349</v>
      </c>
      <c r="E16" s="31">
        <v>25</v>
      </c>
      <c r="F16" s="16">
        <v>20</v>
      </c>
      <c r="G16" s="19">
        <v>5</v>
      </c>
      <c r="H16" s="19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318</v>
      </c>
      <c r="B17" s="2" t="s">
        <v>39</v>
      </c>
      <c r="C17" s="15" t="s">
        <v>223</v>
      </c>
      <c r="D17" s="11" t="s">
        <v>350</v>
      </c>
      <c r="E17" s="31">
        <v>25</v>
      </c>
      <c r="F17" s="16">
        <v>6</v>
      </c>
      <c r="G17" s="19">
        <v>19</v>
      </c>
      <c r="H17" s="19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318</v>
      </c>
      <c r="B18" s="2" t="s">
        <v>39</v>
      </c>
      <c r="C18" s="15" t="s">
        <v>223</v>
      </c>
      <c r="D18" s="11" t="s">
        <v>351</v>
      </c>
      <c r="E18" s="31">
        <v>25</v>
      </c>
      <c r="F18" s="16">
        <v>23</v>
      </c>
      <c r="G18" s="19">
        <v>2</v>
      </c>
      <c r="H18" s="19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318</v>
      </c>
      <c r="B19" s="2" t="s">
        <v>39</v>
      </c>
      <c r="C19" s="15" t="s">
        <v>223</v>
      </c>
      <c r="D19" s="11" t="s">
        <v>352</v>
      </c>
      <c r="E19" s="31">
        <v>25</v>
      </c>
      <c r="F19" s="16">
        <v>25</v>
      </c>
      <c r="G19" s="19">
        <v>0</v>
      </c>
      <c r="H19" s="19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318</v>
      </c>
      <c r="B20" s="2" t="s">
        <v>39</v>
      </c>
      <c r="C20" s="15" t="s">
        <v>223</v>
      </c>
      <c r="D20" s="11" t="s">
        <v>353</v>
      </c>
      <c r="E20" s="31">
        <v>25</v>
      </c>
      <c r="F20" s="16">
        <v>25</v>
      </c>
      <c r="G20" s="19">
        <v>0</v>
      </c>
      <c r="H20" s="19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318</v>
      </c>
      <c r="B21" s="2" t="s">
        <v>39</v>
      </c>
      <c r="C21" s="15" t="s">
        <v>223</v>
      </c>
      <c r="D21" s="11" t="s">
        <v>354</v>
      </c>
      <c r="E21" s="31">
        <v>25</v>
      </c>
      <c r="F21" s="16">
        <v>12</v>
      </c>
      <c r="G21" s="19">
        <v>13</v>
      </c>
      <c r="H21" s="19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318</v>
      </c>
      <c r="B22" s="2" t="s">
        <v>39</v>
      </c>
      <c r="C22" s="15" t="s">
        <v>223</v>
      </c>
      <c r="D22" s="11" t="s">
        <v>355</v>
      </c>
      <c r="E22" s="31">
        <v>25</v>
      </c>
      <c r="F22" s="3">
        <v>13</v>
      </c>
      <c r="G22" s="19">
        <v>12</v>
      </c>
      <c r="H22" s="19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11" t="s">
        <v>318</v>
      </c>
      <c r="B23" s="2" t="s">
        <v>39</v>
      </c>
      <c r="C23" s="15" t="s">
        <v>223</v>
      </c>
      <c r="D23" s="11" t="s">
        <v>356</v>
      </c>
      <c r="E23" s="31">
        <v>23</v>
      </c>
      <c r="F23" s="3">
        <v>23</v>
      </c>
      <c r="G23" s="19">
        <v>0</v>
      </c>
      <c r="H23" s="19">
        <v>0</v>
      </c>
      <c r="I23" s="4">
        <v>1</v>
      </c>
      <c r="J23" s="1"/>
      <c r="K23" s="13" t="s">
        <v>88</v>
      </c>
      <c r="L23" s="2"/>
    </row>
    <row r="24" spans="1:12" ht="20.100000000000001" customHeight="1">
      <c r="A24" s="11" t="s">
        <v>318</v>
      </c>
      <c r="B24" s="2" t="s">
        <v>39</v>
      </c>
      <c r="C24" s="15" t="s">
        <v>223</v>
      </c>
      <c r="D24" s="11" t="s">
        <v>357</v>
      </c>
      <c r="E24" s="31">
        <v>25</v>
      </c>
      <c r="F24" s="3">
        <v>14</v>
      </c>
      <c r="G24" s="19">
        <v>11</v>
      </c>
      <c r="H24" s="19">
        <v>0</v>
      </c>
      <c r="I24" s="4">
        <v>1</v>
      </c>
      <c r="J24" s="1"/>
      <c r="K24" s="13" t="s">
        <v>88</v>
      </c>
      <c r="L24" s="2"/>
    </row>
    <row r="25" spans="1:12" ht="20.100000000000001" customHeight="1">
      <c r="A25" s="11" t="s">
        <v>318</v>
      </c>
      <c r="B25" s="2" t="s">
        <v>39</v>
      </c>
      <c r="C25" s="15" t="s">
        <v>223</v>
      </c>
      <c r="D25" s="11" t="s">
        <v>358</v>
      </c>
      <c r="E25" s="31">
        <v>25</v>
      </c>
      <c r="F25" s="3">
        <v>6</v>
      </c>
      <c r="G25" s="19">
        <v>19</v>
      </c>
      <c r="H25" s="19">
        <v>0</v>
      </c>
      <c r="I25" s="4">
        <v>1</v>
      </c>
      <c r="J25" s="1"/>
      <c r="K25" s="13" t="s">
        <v>88</v>
      </c>
      <c r="L25" s="2"/>
    </row>
    <row r="26" spans="1:12" ht="20.100000000000001" customHeight="1">
      <c r="A26" s="11" t="s">
        <v>318</v>
      </c>
      <c r="B26" s="2" t="s">
        <v>39</v>
      </c>
      <c r="C26" s="15" t="s">
        <v>223</v>
      </c>
      <c r="D26" s="11" t="s">
        <v>359</v>
      </c>
      <c r="E26" s="31">
        <v>25</v>
      </c>
      <c r="F26" s="3">
        <v>23</v>
      </c>
      <c r="G26" s="3">
        <v>2</v>
      </c>
      <c r="H26" s="19">
        <v>0</v>
      </c>
      <c r="I26" s="4">
        <v>1</v>
      </c>
      <c r="J26" s="1"/>
      <c r="K26" s="13" t="s">
        <v>88</v>
      </c>
      <c r="L26" s="2"/>
    </row>
    <row r="27" spans="1:12" ht="20.100000000000001" customHeight="1">
      <c r="A27" s="11" t="s">
        <v>318</v>
      </c>
      <c r="B27" s="2" t="s">
        <v>39</v>
      </c>
      <c r="C27" s="15" t="s">
        <v>223</v>
      </c>
      <c r="D27" s="11" t="s">
        <v>360</v>
      </c>
      <c r="E27" s="31">
        <v>25</v>
      </c>
      <c r="F27" s="3">
        <v>22</v>
      </c>
      <c r="G27" s="3">
        <v>3</v>
      </c>
      <c r="H27" s="19">
        <v>0</v>
      </c>
      <c r="I27" s="4">
        <v>1</v>
      </c>
      <c r="J27" s="1"/>
      <c r="K27" s="13" t="s">
        <v>88</v>
      </c>
      <c r="L27" s="2"/>
    </row>
    <row r="28" spans="1:12" ht="20.100000000000001" customHeight="1">
      <c r="A28" s="11" t="s">
        <v>318</v>
      </c>
      <c r="B28" s="2" t="s">
        <v>39</v>
      </c>
      <c r="C28" s="15" t="s">
        <v>223</v>
      </c>
      <c r="D28" s="11" t="s">
        <v>361</v>
      </c>
      <c r="E28" s="31">
        <v>25</v>
      </c>
      <c r="F28" s="3">
        <v>25</v>
      </c>
      <c r="G28" s="3">
        <v>0</v>
      </c>
      <c r="H28" s="19">
        <v>0</v>
      </c>
      <c r="I28" s="4">
        <v>1</v>
      </c>
      <c r="J28" s="1"/>
      <c r="K28" s="13" t="s">
        <v>88</v>
      </c>
      <c r="L28" s="2"/>
    </row>
    <row r="29" spans="1:12" ht="20.100000000000001" customHeight="1">
      <c r="A29" s="11" t="s">
        <v>318</v>
      </c>
      <c r="B29" s="2" t="s">
        <v>39</v>
      </c>
      <c r="C29" s="15" t="s">
        <v>223</v>
      </c>
      <c r="D29" s="11" t="s">
        <v>362</v>
      </c>
      <c r="E29" s="31">
        <v>25</v>
      </c>
      <c r="F29" s="3">
        <v>25</v>
      </c>
      <c r="G29" s="3">
        <v>0</v>
      </c>
      <c r="H29" s="19">
        <v>0</v>
      </c>
      <c r="I29" s="4">
        <v>1</v>
      </c>
      <c r="J29" s="1"/>
      <c r="K29" s="13" t="s">
        <v>88</v>
      </c>
      <c r="L29" s="2"/>
    </row>
    <row r="30" spans="1:12" ht="20.100000000000001" customHeight="1">
      <c r="A30" s="11" t="s">
        <v>318</v>
      </c>
      <c r="B30" s="2" t="s">
        <v>39</v>
      </c>
      <c r="C30" s="15" t="s">
        <v>223</v>
      </c>
      <c r="D30" s="11" t="s">
        <v>363</v>
      </c>
      <c r="E30" s="31">
        <v>25</v>
      </c>
      <c r="F30" s="3">
        <v>24</v>
      </c>
      <c r="G30" s="3">
        <v>1</v>
      </c>
      <c r="H30" s="19">
        <v>0</v>
      </c>
      <c r="I30" s="4">
        <v>1</v>
      </c>
      <c r="J30" s="1"/>
      <c r="K30" s="13" t="s">
        <v>88</v>
      </c>
      <c r="L30" s="2"/>
    </row>
    <row r="31" spans="1:12" ht="20.100000000000001" customHeight="1">
      <c r="A31" s="11" t="s">
        <v>318</v>
      </c>
      <c r="B31" s="2" t="s">
        <v>39</v>
      </c>
      <c r="C31" s="15" t="s">
        <v>223</v>
      </c>
      <c r="D31" s="11" t="s">
        <v>364</v>
      </c>
      <c r="E31" s="31">
        <v>25</v>
      </c>
      <c r="F31" s="3">
        <v>25</v>
      </c>
      <c r="G31" s="3">
        <v>0</v>
      </c>
      <c r="H31" s="19">
        <v>0</v>
      </c>
      <c r="I31" s="4">
        <v>1</v>
      </c>
      <c r="J31" s="1"/>
      <c r="K31" s="13" t="s">
        <v>88</v>
      </c>
      <c r="L31" s="2"/>
    </row>
    <row r="32" spans="1:12" ht="20.100000000000001" customHeight="1">
      <c r="A32" s="48" t="s">
        <v>24</v>
      </c>
      <c r="B32" s="49"/>
      <c r="C32" s="49"/>
      <c r="D32" s="50"/>
      <c r="E32" s="7">
        <v>673</v>
      </c>
      <c r="F32" s="7">
        <v>471</v>
      </c>
      <c r="G32" s="7">
        <v>202</v>
      </c>
      <c r="H32" s="9"/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B5:B31" xr:uid="{2A7B152B-B445-476B-9D14-091A6361EB5C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1021-277A-4407-A0A0-F74E31B287BF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G14" sqref="G1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316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312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312</v>
      </c>
      <c r="B5" s="2" t="s">
        <v>39</v>
      </c>
      <c r="C5" s="15" t="s">
        <v>223</v>
      </c>
      <c r="D5" s="11" t="s">
        <v>365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312</v>
      </c>
      <c r="B6" s="2" t="s">
        <v>39</v>
      </c>
      <c r="C6" s="15" t="s">
        <v>223</v>
      </c>
      <c r="D6" s="11" t="s">
        <v>366</v>
      </c>
      <c r="E6" s="31">
        <v>25</v>
      </c>
      <c r="F6" s="19">
        <v>15</v>
      </c>
      <c r="G6" s="16">
        <v>10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318</v>
      </c>
      <c r="B7" s="2" t="s">
        <v>39</v>
      </c>
      <c r="C7" s="15" t="s">
        <v>223</v>
      </c>
      <c r="D7" s="11" t="s">
        <v>367</v>
      </c>
      <c r="E7" s="31">
        <v>25</v>
      </c>
      <c r="F7" s="19">
        <v>24</v>
      </c>
      <c r="G7" s="16">
        <v>1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318</v>
      </c>
      <c r="B8" s="2" t="s">
        <v>39</v>
      </c>
      <c r="C8" s="15" t="s">
        <v>223</v>
      </c>
      <c r="D8" s="11" t="s">
        <v>368</v>
      </c>
      <c r="E8" s="31">
        <v>25</v>
      </c>
      <c r="F8" s="19">
        <v>13</v>
      </c>
      <c r="G8" s="16">
        <v>12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318</v>
      </c>
      <c r="B9" s="2" t="s">
        <v>39</v>
      </c>
      <c r="C9" s="15" t="s">
        <v>223</v>
      </c>
      <c r="D9" s="11" t="s">
        <v>369</v>
      </c>
      <c r="E9" s="31">
        <v>25</v>
      </c>
      <c r="F9" s="19">
        <v>19</v>
      </c>
      <c r="G9" s="3">
        <v>6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318</v>
      </c>
      <c r="B10" s="2" t="s">
        <v>39</v>
      </c>
      <c r="C10" s="15" t="s">
        <v>223</v>
      </c>
      <c r="D10" s="11" t="s">
        <v>370</v>
      </c>
      <c r="E10" s="31">
        <v>25</v>
      </c>
      <c r="F10" s="19">
        <v>25</v>
      </c>
      <c r="G10" s="3">
        <v>0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318</v>
      </c>
      <c r="B11" s="2" t="s">
        <v>39</v>
      </c>
      <c r="C11" s="15" t="s">
        <v>223</v>
      </c>
      <c r="D11" s="11" t="s">
        <v>371</v>
      </c>
      <c r="E11" s="31">
        <v>25</v>
      </c>
      <c r="F11" s="19">
        <v>15</v>
      </c>
      <c r="G11" s="3">
        <v>10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318</v>
      </c>
      <c r="B12" s="2" t="s">
        <v>39</v>
      </c>
      <c r="C12" s="15" t="s">
        <v>223</v>
      </c>
      <c r="D12" s="11" t="s">
        <v>372</v>
      </c>
      <c r="E12" s="31">
        <v>25</v>
      </c>
      <c r="F12" s="19">
        <v>25</v>
      </c>
      <c r="G12" s="3">
        <v>0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318</v>
      </c>
      <c r="B13" s="2" t="s">
        <v>39</v>
      </c>
      <c r="C13" s="15" t="s">
        <v>223</v>
      </c>
      <c r="D13" s="11" t="s">
        <v>373</v>
      </c>
      <c r="E13" s="31">
        <v>25</v>
      </c>
      <c r="F13" s="3">
        <v>25</v>
      </c>
      <c r="G13" s="3">
        <v>0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337</v>
      </c>
      <c r="B14" s="2"/>
      <c r="C14" s="15"/>
      <c r="D14" s="11"/>
      <c r="E14" s="31">
        <v>225</v>
      </c>
      <c r="F14" s="19">
        <v>186</v>
      </c>
      <c r="G14" s="16">
        <v>39</v>
      </c>
      <c r="H14" s="3"/>
      <c r="I14" s="4"/>
      <c r="J14" s="2"/>
      <c r="K14" s="13"/>
      <c r="L14" s="2"/>
    </row>
    <row r="15" spans="1:28" ht="20.100000000000001" customHeight="1">
      <c r="A15" s="11" t="s">
        <v>318</v>
      </c>
      <c r="B15" s="2" t="s">
        <v>48</v>
      </c>
      <c r="C15" s="15" t="s">
        <v>223</v>
      </c>
      <c r="D15" s="11" t="s">
        <v>53</v>
      </c>
      <c r="E15" s="31">
        <v>357</v>
      </c>
      <c r="F15" s="19">
        <v>0</v>
      </c>
      <c r="G15" s="16">
        <v>357</v>
      </c>
      <c r="H15" s="3">
        <v>0</v>
      </c>
      <c r="I15" s="4">
        <v>1</v>
      </c>
      <c r="J15" s="2"/>
      <c r="K15" s="13" t="s">
        <v>129</v>
      </c>
      <c r="L15" s="2"/>
    </row>
    <row r="16" spans="1:28" ht="20.100000000000001" customHeight="1">
      <c r="A16" s="11" t="s">
        <v>318</v>
      </c>
      <c r="B16" s="2" t="s">
        <v>50</v>
      </c>
      <c r="C16" s="15" t="s">
        <v>223</v>
      </c>
      <c r="D16" s="11" t="s">
        <v>53</v>
      </c>
      <c r="E16" s="31">
        <v>357</v>
      </c>
      <c r="F16" s="19">
        <v>0</v>
      </c>
      <c r="G16" s="16">
        <v>357</v>
      </c>
      <c r="H16" s="3">
        <v>0</v>
      </c>
      <c r="I16" s="4">
        <v>1</v>
      </c>
      <c r="J16" s="1"/>
      <c r="K16" s="13" t="s">
        <v>129</v>
      </c>
      <c r="L16" s="2"/>
    </row>
    <row r="17" spans="1:12" ht="20.100000000000001" customHeight="1">
      <c r="A17" s="11" t="s">
        <v>318</v>
      </c>
      <c r="B17" s="2" t="s">
        <v>2</v>
      </c>
      <c r="C17" s="15" t="s">
        <v>223</v>
      </c>
      <c r="D17" s="11" t="s">
        <v>53</v>
      </c>
      <c r="E17" s="31">
        <v>357</v>
      </c>
      <c r="F17" s="19">
        <v>0</v>
      </c>
      <c r="G17" s="16">
        <v>357</v>
      </c>
      <c r="H17" s="3">
        <v>0</v>
      </c>
      <c r="I17" s="4">
        <v>1</v>
      </c>
      <c r="J17" s="1"/>
      <c r="K17" s="13" t="s">
        <v>89</v>
      </c>
      <c r="L17" s="2"/>
    </row>
    <row r="18" spans="1:12" ht="20.100000000000001" customHeight="1">
      <c r="A18" s="11" t="s">
        <v>318</v>
      </c>
      <c r="B18" s="2" t="s">
        <v>52</v>
      </c>
      <c r="C18" s="15" t="s">
        <v>223</v>
      </c>
      <c r="D18" s="11" t="s">
        <v>53</v>
      </c>
      <c r="E18" s="31">
        <v>250</v>
      </c>
      <c r="F18" s="19">
        <v>0</v>
      </c>
      <c r="G18" s="16">
        <v>250</v>
      </c>
      <c r="H18" s="3">
        <v>0</v>
      </c>
      <c r="I18" s="4">
        <v>1</v>
      </c>
      <c r="J18" s="1"/>
      <c r="K18" s="13" t="s">
        <v>265</v>
      </c>
      <c r="L18" s="2"/>
    </row>
    <row r="19" spans="1:12" ht="20.100000000000001" customHeight="1">
      <c r="A19" s="11" t="s">
        <v>318</v>
      </c>
      <c r="B19" s="2" t="s">
        <v>38</v>
      </c>
      <c r="C19" s="15" t="s">
        <v>223</v>
      </c>
      <c r="D19" s="11" t="s">
        <v>53</v>
      </c>
      <c r="E19" s="31">
        <v>155</v>
      </c>
      <c r="F19" s="19">
        <v>0</v>
      </c>
      <c r="G19" s="16">
        <v>127</v>
      </c>
      <c r="H19" s="3">
        <v>28</v>
      </c>
      <c r="I19" s="4">
        <f>G19/E19</f>
        <v>0.8193548387096774</v>
      </c>
      <c r="J19" s="1"/>
      <c r="K19" s="13" t="s">
        <v>239</v>
      </c>
      <c r="L19" s="2"/>
    </row>
    <row r="20" spans="1:12" ht="20.100000000000001" customHeight="1">
      <c r="A20" s="11" t="s">
        <v>318</v>
      </c>
      <c r="B20" s="2" t="s">
        <v>38</v>
      </c>
      <c r="C20" s="15" t="s">
        <v>223</v>
      </c>
      <c r="D20" s="11" t="s">
        <v>53</v>
      </c>
      <c r="E20" s="31">
        <v>152</v>
      </c>
      <c r="F20" s="19">
        <v>0</v>
      </c>
      <c r="G20" s="16">
        <v>146</v>
      </c>
      <c r="H20" s="3">
        <v>6</v>
      </c>
      <c r="I20" s="4">
        <f>G20/E20</f>
        <v>0.96052631578947367</v>
      </c>
      <c r="J20" s="1"/>
      <c r="K20" s="13" t="s">
        <v>90</v>
      </c>
      <c r="L20" s="2"/>
    </row>
    <row r="21" spans="1:12" ht="20.100000000000001" customHeight="1">
      <c r="A21" s="48"/>
      <c r="B21" s="49"/>
      <c r="C21" s="49"/>
      <c r="D21" s="50"/>
      <c r="E21" s="7"/>
      <c r="F21" s="7"/>
      <c r="G21" s="7"/>
      <c r="H21" s="8"/>
      <c r="I21" s="9"/>
      <c r="J21" s="9"/>
      <c r="K21" s="12"/>
      <c r="L21" s="10"/>
    </row>
    <row r="22" spans="1:12" ht="20.100000000000001" customHeight="1">
      <c r="A22" s="51" t="s">
        <v>25</v>
      </c>
      <c r="B22" s="52"/>
      <c r="C22" s="53"/>
      <c r="D22" s="51" t="s">
        <v>26</v>
      </c>
      <c r="E22" s="52"/>
      <c r="F22" s="52"/>
      <c r="G22" s="53"/>
      <c r="H22" s="51" t="s">
        <v>27</v>
      </c>
      <c r="I22" s="52"/>
      <c r="J22" s="52"/>
      <c r="K22" s="53"/>
      <c r="L22" s="10"/>
    </row>
    <row r="23" spans="1:12" ht="20.100000000000001" customHeight="1"/>
    <row r="24" spans="1:12" ht="20.100000000000001" customHeight="1"/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21:D21"/>
    <mergeCell ref="A22:C22"/>
    <mergeCell ref="D22:G22"/>
    <mergeCell ref="H22:K22"/>
  </mergeCells>
  <phoneticPr fontId="5" type="noConversion"/>
  <dataValidations count="1">
    <dataValidation type="list" allowBlank="1" sqref="B5:B20" xr:uid="{D3B59977-E57F-4215-80D4-142824BEEBAB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D998-A2C1-402A-AAC3-5B6CB4B6CB3E}">
  <sheetPr>
    <pageSetUpPr fitToPage="1"/>
  </sheetPr>
  <dimension ref="A1:AB52"/>
  <sheetViews>
    <sheetView showGridLines="0" zoomScaleNormal="100" workbookViewId="0">
      <pane ySplit="4" topLeftCell="A8" activePane="bottomLeft" state="frozen"/>
      <selection pane="bottomLeft" activeCell="I14" sqref="I14:I18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317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315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315</v>
      </c>
      <c r="B5" s="2" t="s">
        <v>39</v>
      </c>
      <c r="C5" s="15" t="s">
        <v>223</v>
      </c>
      <c r="D5" s="11" t="s">
        <v>374</v>
      </c>
      <c r="E5" s="31">
        <v>25</v>
      </c>
      <c r="F5" s="19">
        <v>24</v>
      </c>
      <c r="G5" s="16">
        <v>1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315</v>
      </c>
      <c r="B6" s="2" t="s">
        <v>39</v>
      </c>
      <c r="C6" s="15" t="s">
        <v>223</v>
      </c>
      <c r="D6" s="11" t="s">
        <v>375</v>
      </c>
      <c r="E6" s="31">
        <v>25</v>
      </c>
      <c r="F6" s="19">
        <v>22</v>
      </c>
      <c r="G6" s="16">
        <v>3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314</v>
      </c>
      <c r="B7" s="2" t="s">
        <v>39</v>
      </c>
      <c r="C7" s="15" t="s">
        <v>223</v>
      </c>
      <c r="D7" s="11" t="s">
        <v>376</v>
      </c>
      <c r="E7" s="31">
        <v>25</v>
      </c>
      <c r="F7" s="19">
        <v>20</v>
      </c>
      <c r="G7" s="16">
        <v>5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314</v>
      </c>
      <c r="B8" s="2" t="s">
        <v>39</v>
      </c>
      <c r="C8" s="15" t="s">
        <v>223</v>
      </c>
      <c r="D8" s="11" t="s">
        <v>377</v>
      </c>
      <c r="E8" s="31">
        <v>25</v>
      </c>
      <c r="F8" s="19">
        <v>12</v>
      </c>
      <c r="G8" s="16">
        <v>13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314</v>
      </c>
      <c r="B9" s="2" t="s">
        <v>39</v>
      </c>
      <c r="C9" s="15" t="s">
        <v>223</v>
      </c>
      <c r="D9" s="11" t="s">
        <v>378</v>
      </c>
      <c r="E9" s="31">
        <v>25</v>
      </c>
      <c r="F9" s="19">
        <v>20</v>
      </c>
      <c r="G9" s="3">
        <v>5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314</v>
      </c>
      <c r="B10" s="2" t="s">
        <v>39</v>
      </c>
      <c r="C10" s="15" t="s">
        <v>223</v>
      </c>
      <c r="D10" s="11" t="s">
        <v>379</v>
      </c>
      <c r="E10" s="31">
        <v>25</v>
      </c>
      <c r="F10" s="19">
        <v>23</v>
      </c>
      <c r="G10" s="3">
        <v>2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314</v>
      </c>
      <c r="B11" s="2" t="s">
        <v>39</v>
      </c>
      <c r="C11" s="15" t="s">
        <v>223</v>
      </c>
      <c r="D11" s="11" t="s">
        <v>380</v>
      </c>
      <c r="E11" s="31">
        <v>25</v>
      </c>
      <c r="F11" s="19">
        <v>11</v>
      </c>
      <c r="G11" s="3">
        <v>14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314</v>
      </c>
      <c r="B12" s="2" t="s">
        <v>39</v>
      </c>
      <c r="C12" s="15" t="s">
        <v>223</v>
      </c>
      <c r="D12" s="11" t="s">
        <v>381</v>
      </c>
      <c r="E12" s="31">
        <v>25</v>
      </c>
      <c r="F12" s="19">
        <v>25</v>
      </c>
      <c r="G12" s="3">
        <v>0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314</v>
      </c>
      <c r="B13" s="2" t="s">
        <v>39</v>
      </c>
      <c r="C13" s="15" t="s">
        <v>223</v>
      </c>
      <c r="D13" s="11" t="s">
        <v>382</v>
      </c>
      <c r="E13" s="31">
        <v>25</v>
      </c>
      <c r="F13" s="3">
        <v>24</v>
      </c>
      <c r="G13" s="3">
        <v>1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314</v>
      </c>
      <c r="B14" s="2" t="s">
        <v>39</v>
      </c>
      <c r="C14" s="15" t="s">
        <v>223</v>
      </c>
      <c r="D14" s="11" t="s">
        <v>383</v>
      </c>
      <c r="E14" s="31">
        <v>25</v>
      </c>
      <c r="F14" s="19">
        <v>25</v>
      </c>
      <c r="G14" s="16">
        <v>0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314</v>
      </c>
      <c r="B15" s="2" t="s">
        <v>39</v>
      </c>
      <c r="C15" s="15" t="s">
        <v>223</v>
      </c>
      <c r="D15" s="11" t="s">
        <v>384</v>
      </c>
      <c r="E15" s="31">
        <v>25</v>
      </c>
      <c r="F15" s="19">
        <v>15</v>
      </c>
      <c r="G15" s="16">
        <v>10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314</v>
      </c>
      <c r="B16" s="2" t="s">
        <v>39</v>
      </c>
      <c r="C16" s="15" t="s">
        <v>223</v>
      </c>
      <c r="D16" s="11" t="s">
        <v>385</v>
      </c>
      <c r="E16" s="31">
        <v>25</v>
      </c>
      <c r="F16" s="19">
        <v>25</v>
      </c>
      <c r="G16" s="16">
        <v>0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314</v>
      </c>
      <c r="B17" s="2" t="s">
        <v>39</v>
      </c>
      <c r="C17" s="15" t="s">
        <v>223</v>
      </c>
      <c r="D17" s="11" t="s">
        <v>386</v>
      </c>
      <c r="E17" s="31">
        <v>25</v>
      </c>
      <c r="F17" s="19">
        <v>22</v>
      </c>
      <c r="G17" s="16">
        <v>3</v>
      </c>
      <c r="H17" s="3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314</v>
      </c>
      <c r="B18" s="2" t="s">
        <v>39</v>
      </c>
      <c r="C18" s="15" t="s">
        <v>223</v>
      </c>
      <c r="D18" s="11" t="s">
        <v>387</v>
      </c>
      <c r="E18" s="31">
        <v>25</v>
      </c>
      <c r="F18" s="19">
        <v>25</v>
      </c>
      <c r="G18" s="16">
        <v>0</v>
      </c>
      <c r="H18" s="3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314</v>
      </c>
      <c r="B19" s="2" t="s">
        <v>39</v>
      </c>
      <c r="C19" s="15" t="s">
        <v>223</v>
      </c>
      <c r="D19" s="11" t="s">
        <v>388</v>
      </c>
      <c r="E19" s="31">
        <v>25</v>
      </c>
      <c r="F19" s="19">
        <v>25</v>
      </c>
      <c r="G19" s="16">
        <v>0</v>
      </c>
      <c r="H19" s="3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314</v>
      </c>
      <c r="B20" s="2" t="s">
        <v>39</v>
      </c>
      <c r="C20" s="15" t="s">
        <v>223</v>
      </c>
      <c r="D20" s="11" t="s">
        <v>389</v>
      </c>
      <c r="E20" s="31">
        <v>25</v>
      </c>
      <c r="F20" s="19">
        <v>14</v>
      </c>
      <c r="G20" s="16">
        <v>11</v>
      </c>
      <c r="H20" s="3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314</v>
      </c>
      <c r="B21" s="2" t="s">
        <v>39</v>
      </c>
      <c r="C21" s="15" t="s">
        <v>223</v>
      </c>
      <c r="D21" s="11" t="s">
        <v>390</v>
      </c>
      <c r="E21" s="31">
        <v>25</v>
      </c>
      <c r="F21" s="19">
        <v>6</v>
      </c>
      <c r="G21" s="16">
        <v>19</v>
      </c>
      <c r="H21" s="3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314</v>
      </c>
      <c r="B22" s="2" t="s">
        <v>39</v>
      </c>
      <c r="C22" s="15" t="s">
        <v>223</v>
      </c>
      <c r="D22" s="11" t="s">
        <v>391</v>
      </c>
      <c r="E22" s="31">
        <v>25</v>
      </c>
      <c r="F22" s="19">
        <v>25</v>
      </c>
      <c r="G22" s="3">
        <v>0</v>
      </c>
      <c r="H22" s="3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48" t="s">
        <v>24</v>
      </c>
      <c r="B23" s="49"/>
      <c r="C23" s="49"/>
      <c r="D23" s="50"/>
      <c r="E23" s="7">
        <v>450</v>
      </c>
      <c r="F23" s="7">
        <v>363</v>
      </c>
      <c r="G23" s="7">
        <v>87</v>
      </c>
      <c r="H23" s="8"/>
      <c r="I23" s="9"/>
      <c r="J23" s="9"/>
      <c r="K23" s="12"/>
      <c r="L23" s="10"/>
    </row>
    <row r="24" spans="1:12" ht="20.100000000000001" customHeight="1">
      <c r="A24" s="51" t="s">
        <v>25</v>
      </c>
      <c r="B24" s="52"/>
      <c r="C24" s="53"/>
      <c r="D24" s="51" t="s">
        <v>26</v>
      </c>
      <c r="E24" s="52"/>
      <c r="F24" s="52"/>
      <c r="G24" s="53"/>
      <c r="H24" s="51" t="s">
        <v>27</v>
      </c>
      <c r="I24" s="52"/>
      <c r="J24" s="52"/>
      <c r="K24" s="53"/>
      <c r="L24" s="10"/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23:D23"/>
    <mergeCell ref="A24:C24"/>
    <mergeCell ref="D24:G24"/>
    <mergeCell ref="H24:K24"/>
  </mergeCells>
  <phoneticPr fontId="5" type="noConversion"/>
  <dataValidations count="1">
    <dataValidation type="list" allowBlank="1" sqref="B5:B22" xr:uid="{E8C8C7B4-3939-459C-8EE1-C00F83CC7EC3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F683-19B0-4694-9BEB-B6E7A314A735}">
  <sheetPr>
    <pageSetUpPr fitToPage="1"/>
  </sheetPr>
  <dimension ref="A1:AB52"/>
  <sheetViews>
    <sheetView showGridLines="0" zoomScaleNormal="100" workbookViewId="0">
      <pane ySplit="4" topLeftCell="A20" activePane="bottomLeft" state="frozen"/>
      <selection pane="bottomLeft" activeCell="K39" sqref="K39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317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315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315</v>
      </c>
      <c r="B5" s="2" t="s">
        <v>39</v>
      </c>
      <c r="C5" s="15" t="s">
        <v>223</v>
      </c>
      <c r="D5" s="11" t="s">
        <v>392</v>
      </c>
      <c r="E5" s="31">
        <v>22</v>
      </c>
      <c r="F5" s="19">
        <v>22</v>
      </c>
      <c r="G5" s="16">
        <v>0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315</v>
      </c>
      <c r="B6" s="2" t="s">
        <v>39</v>
      </c>
      <c r="C6" s="15" t="s">
        <v>223</v>
      </c>
      <c r="D6" s="11" t="s">
        <v>393</v>
      </c>
      <c r="E6" s="31">
        <v>25</v>
      </c>
      <c r="F6" s="19">
        <v>25</v>
      </c>
      <c r="G6" s="16">
        <v>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314</v>
      </c>
      <c r="B7" s="2" t="s">
        <v>39</v>
      </c>
      <c r="C7" s="15" t="s">
        <v>223</v>
      </c>
      <c r="D7" s="11" t="s">
        <v>394</v>
      </c>
      <c r="E7" s="31">
        <v>25</v>
      </c>
      <c r="F7" s="19">
        <v>25</v>
      </c>
      <c r="G7" s="16">
        <v>0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314</v>
      </c>
      <c r="B8" s="2" t="s">
        <v>39</v>
      </c>
      <c r="C8" s="15" t="s">
        <v>223</v>
      </c>
      <c r="D8" s="11" t="s">
        <v>395</v>
      </c>
      <c r="E8" s="31">
        <v>25</v>
      </c>
      <c r="F8" s="19">
        <v>20</v>
      </c>
      <c r="G8" s="16">
        <v>5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314</v>
      </c>
      <c r="B9" s="2" t="s">
        <v>39</v>
      </c>
      <c r="C9" s="15" t="s">
        <v>223</v>
      </c>
      <c r="D9" s="11" t="s">
        <v>396</v>
      </c>
      <c r="E9" s="31">
        <v>25</v>
      </c>
      <c r="F9" s="19">
        <v>25</v>
      </c>
      <c r="G9" s="3">
        <v>0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314</v>
      </c>
      <c r="B10" s="2" t="s">
        <v>39</v>
      </c>
      <c r="C10" s="15" t="s">
        <v>223</v>
      </c>
      <c r="D10" s="11" t="s">
        <v>397</v>
      </c>
      <c r="E10" s="31">
        <v>25</v>
      </c>
      <c r="F10" s="19">
        <v>25</v>
      </c>
      <c r="G10" s="3">
        <v>0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314</v>
      </c>
      <c r="B11" s="2" t="s">
        <v>39</v>
      </c>
      <c r="C11" s="15" t="s">
        <v>223</v>
      </c>
      <c r="D11" s="11" t="s">
        <v>398</v>
      </c>
      <c r="E11" s="31">
        <v>25</v>
      </c>
      <c r="F11" s="19">
        <v>12</v>
      </c>
      <c r="G11" s="3">
        <v>13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314</v>
      </c>
      <c r="B12" s="2" t="s">
        <v>39</v>
      </c>
      <c r="C12" s="15" t="s">
        <v>223</v>
      </c>
      <c r="D12" s="11" t="s">
        <v>399</v>
      </c>
      <c r="E12" s="31">
        <v>25</v>
      </c>
      <c r="F12" s="19">
        <v>9</v>
      </c>
      <c r="G12" s="3">
        <v>16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314</v>
      </c>
      <c r="B13" s="2" t="s">
        <v>39</v>
      </c>
      <c r="C13" s="15" t="s">
        <v>223</v>
      </c>
      <c r="D13" s="11" t="s">
        <v>400</v>
      </c>
      <c r="E13" s="31">
        <v>25</v>
      </c>
      <c r="F13" s="3">
        <v>19</v>
      </c>
      <c r="G13" s="3">
        <v>6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314</v>
      </c>
      <c r="B14" s="2" t="s">
        <v>39</v>
      </c>
      <c r="C14" s="15" t="s">
        <v>223</v>
      </c>
      <c r="D14" s="11" t="s">
        <v>401</v>
      </c>
      <c r="E14" s="31">
        <v>25</v>
      </c>
      <c r="F14" s="19">
        <v>25</v>
      </c>
      <c r="G14" s="16">
        <v>0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314</v>
      </c>
      <c r="B15" s="2" t="s">
        <v>39</v>
      </c>
      <c r="C15" s="15" t="s">
        <v>223</v>
      </c>
      <c r="D15" s="11" t="s">
        <v>402</v>
      </c>
      <c r="E15" s="31">
        <v>25</v>
      </c>
      <c r="F15" s="19">
        <v>22</v>
      </c>
      <c r="G15" s="16">
        <v>3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314</v>
      </c>
      <c r="B16" s="2" t="s">
        <v>39</v>
      </c>
      <c r="C16" s="15" t="s">
        <v>223</v>
      </c>
      <c r="D16" s="11" t="s">
        <v>403</v>
      </c>
      <c r="E16" s="31">
        <v>25</v>
      </c>
      <c r="F16" s="19">
        <v>25</v>
      </c>
      <c r="G16" s="16">
        <v>0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314</v>
      </c>
      <c r="B17" s="2" t="s">
        <v>39</v>
      </c>
      <c r="C17" s="15" t="s">
        <v>223</v>
      </c>
      <c r="D17" s="11" t="s">
        <v>404</v>
      </c>
      <c r="E17" s="31">
        <v>25</v>
      </c>
      <c r="F17" s="19">
        <v>12</v>
      </c>
      <c r="G17" s="16">
        <v>13</v>
      </c>
      <c r="H17" s="3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314</v>
      </c>
      <c r="B18" s="2" t="s">
        <v>39</v>
      </c>
      <c r="C18" s="15" t="s">
        <v>223</v>
      </c>
      <c r="D18" s="11" t="s">
        <v>405</v>
      </c>
      <c r="E18" s="31">
        <v>25</v>
      </c>
      <c r="F18" s="19">
        <v>25</v>
      </c>
      <c r="G18" s="16">
        <v>0</v>
      </c>
      <c r="H18" s="3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314</v>
      </c>
      <c r="B19" s="2" t="s">
        <v>39</v>
      </c>
      <c r="C19" s="15" t="s">
        <v>223</v>
      </c>
      <c r="D19" s="11" t="s">
        <v>406</v>
      </c>
      <c r="E19" s="31">
        <v>25</v>
      </c>
      <c r="F19" s="19">
        <v>25</v>
      </c>
      <c r="G19" s="16">
        <v>0</v>
      </c>
      <c r="H19" s="3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314</v>
      </c>
      <c r="B20" s="2" t="s">
        <v>39</v>
      </c>
      <c r="C20" s="15" t="s">
        <v>223</v>
      </c>
      <c r="D20" s="11" t="s">
        <v>407</v>
      </c>
      <c r="E20" s="31">
        <v>25</v>
      </c>
      <c r="F20" s="19">
        <v>25</v>
      </c>
      <c r="G20" s="16">
        <v>0</v>
      </c>
      <c r="H20" s="3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314</v>
      </c>
      <c r="B21" s="2" t="s">
        <v>39</v>
      </c>
      <c r="C21" s="15" t="s">
        <v>223</v>
      </c>
      <c r="D21" s="11" t="s">
        <v>408</v>
      </c>
      <c r="E21" s="31">
        <v>25</v>
      </c>
      <c r="F21" s="19">
        <v>25</v>
      </c>
      <c r="G21" s="16">
        <v>0</v>
      </c>
      <c r="H21" s="3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314</v>
      </c>
      <c r="B22" s="2" t="s">
        <v>39</v>
      </c>
      <c r="C22" s="15" t="s">
        <v>223</v>
      </c>
      <c r="D22" s="11" t="s">
        <v>409</v>
      </c>
      <c r="E22" s="31">
        <v>25</v>
      </c>
      <c r="F22" s="19">
        <v>25</v>
      </c>
      <c r="G22" s="3">
        <v>0</v>
      </c>
      <c r="H22" s="3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11" t="s">
        <v>314</v>
      </c>
      <c r="B23" s="2" t="s">
        <v>39</v>
      </c>
      <c r="C23" s="15" t="s">
        <v>223</v>
      </c>
      <c r="D23" s="11" t="s">
        <v>410</v>
      </c>
      <c r="E23" s="31">
        <v>25</v>
      </c>
      <c r="F23" s="19">
        <v>25</v>
      </c>
      <c r="G23" s="3">
        <v>0</v>
      </c>
      <c r="H23" s="3">
        <v>0</v>
      </c>
      <c r="I23" s="4">
        <v>1</v>
      </c>
      <c r="J23" s="1"/>
      <c r="K23" s="13" t="s">
        <v>88</v>
      </c>
      <c r="L23" s="2"/>
    </row>
    <row r="24" spans="1:12" ht="20.100000000000001" customHeight="1">
      <c r="A24" s="11" t="s">
        <v>314</v>
      </c>
      <c r="B24" s="2" t="s">
        <v>39</v>
      </c>
      <c r="C24" s="15" t="s">
        <v>223</v>
      </c>
      <c r="D24" s="11" t="s">
        <v>411</v>
      </c>
      <c r="E24" s="31">
        <v>25</v>
      </c>
      <c r="F24" s="19">
        <v>25</v>
      </c>
      <c r="G24" s="3">
        <v>0</v>
      </c>
      <c r="H24" s="3">
        <v>0</v>
      </c>
      <c r="I24" s="4">
        <v>1</v>
      </c>
      <c r="J24" s="1"/>
      <c r="K24" s="13" t="s">
        <v>88</v>
      </c>
      <c r="L24" s="2"/>
    </row>
    <row r="25" spans="1:12" ht="20.100000000000001" customHeight="1">
      <c r="A25" s="11" t="s">
        <v>314</v>
      </c>
      <c r="B25" s="2" t="s">
        <v>39</v>
      </c>
      <c r="C25" s="15" t="s">
        <v>223</v>
      </c>
      <c r="D25" s="11" t="s">
        <v>412</v>
      </c>
      <c r="E25" s="31">
        <v>25</v>
      </c>
      <c r="F25" s="19">
        <v>25</v>
      </c>
      <c r="G25" s="3">
        <v>0</v>
      </c>
      <c r="H25" s="3">
        <v>0</v>
      </c>
      <c r="I25" s="4">
        <v>1</v>
      </c>
      <c r="J25" s="1"/>
      <c r="K25" s="13" t="s">
        <v>88</v>
      </c>
      <c r="L25" s="2"/>
    </row>
    <row r="26" spans="1:12" ht="20.100000000000001" customHeight="1">
      <c r="A26" s="11" t="s">
        <v>314</v>
      </c>
      <c r="B26" s="2" t="s">
        <v>39</v>
      </c>
      <c r="C26" s="15" t="s">
        <v>223</v>
      </c>
      <c r="D26" s="11" t="s">
        <v>413</v>
      </c>
      <c r="E26" s="31">
        <v>25</v>
      </c>
      <c r="F26" s="3">
        <v>25</v>
      </c>
      <c r="G26" s="3">
        <v>0</v>
      </c>
      <c r="H26" s="3">
        <v>0</v>
      </c>
      <c r="I26" s="4">
        <v>1</v>
      </c>
      <c r="J26" s="1"/>
      <c r="K26" s="13" t="s">
        <v>88</v>
      </c>
      <c r="L26" s="2"/>
    </row>
    <row r="27" spans="1:12" ht="20.100000000000001" customHeight="1">
      <c r="A27" s="11" t="s">
        <v>314</v>
      </c>
      <c r="B27" s="2" t="s">
        <v>39</v>
      </c>
      <c r="C27" s="15" t="s">
        <v>223</v>
      </c>
      <c r="D27" s="11" t="s">
        <v>414</v>
      </c>
      <c r="E27" s="31">
        <v>25</v>
      </c>
      <c r="F27" s="3">
        <v>14</v>
      </c>
      <c r="G27" s="3">
        <v>11</v>
      </c>
      <c r="H27" s="3">
        <v>0</v>
      </c>
      <c r="I27" s="4">
        <v>1</v>
      </c>
      <c r="J27" s="1"/>
      <c r="K27" s="13" t="s">
        <v>88</v>
      </c>
      <c r="L27" s="2"/>
    </row>
    <row r="28" spans="1:12" ht="20.100000000000001" customHeight="1">
      <c r="A28" s="11" t="s">
        <v>314</v>
      </c>
      <c r="B28" s="2" t="s">
        <v>39</v>
      </c>
      <c r="C28" s="15" t="s">
        <v>223</v>
      </c>
      <c r="D28" s="11" t="s">
        <v>415</v>
      </c>
      <c r="E28" s="31">
        <v>25</v>
      </c>
      <c r="F28" s="3">
        <v>25</v>
      </c>
      <c r="G28" s="3">
        <v>0</v>
      </c>
      <c r="H28" s="3">
        <v>0</v>
      </c>
      <c r="I28" s="4">
        <v>1</v>
      </c>
      <c r="J28" s="1"/>
      <c r="K28" s="13" t="s">
        <v>88</v>
      </c>
      <c r="L28" s="2"/>
    </row>
    <row r="29" spans="1:12" ht="20.100000000000001" customHeight="1">
      <c r="A29" s="11" t="s">
        <v>314</v>
      </c>
      <c r="B29" s="2" t="s">
        <v>39</v>
      </c>
      <c r="C29" s="15" t="s">
        <v>223</v>
      </c>
      <c r="D29" s="11" t="s">
        <v>416</v>
      </c>
      <c r="E29" s="31">
        <v>25</v>
      </c>
      <c r="F29" s="3">
        <v>23</v>
      </c>
      <c r="G29" s="3">
        <v>2</v>
      </c>
      <c r="H29" s="3">
        <v>0</v>
      </c>
      <c r="I29" s="4">
        <v>1</v>
      </c>
      <c r="J29" s="1"/>
      <c r="K29" s="13" t="s">
        <v>88</v>
      </c>
      <c r="L29" s="2"/>
    </row>
    <row r="30" spans="1:12" ht="20.100000000000001" customHeight="1">
      <c r="A30" s="11" t="s">
        <v>314</v>
      </c>
      <c r="B30" s="2" t="s">
        <v>39</v>
      </c>
      <c r="C30" s="15" t="s">
        <v>223</v>
      </c>
      <c r="D30" s="11" t="s">
        <v>417</v>
      </c>
      <c r="E30" s="31">
        <v>25</v>
      </c>
      <c r="F30" s="3">
        <v>25</v>
      </c>
      <c r="G30" s="3">
        <v>0</v>
      </c>
      <c r="H30" s="3">
        <v>0</v>
      </c>
      <c r="I30" s="4">
        <v>1</v>
      </c>
      <c r="J30" s="1"/>
      <c r="K30" s="13" t="s">
        <v>88</v>
      </c>
      <c r="L30" s="2"/>
    </row>
    <row r="31" spans="1:12" ht="20.100000000000001" customHeight="1">
      <c r="A31" s="11" t="s">
        <v>314</v>
      </c>
      <c r="B31" s="2" t="s">
        <v>39</v>
      </c>
      <c r="C31" s="15" t="s">
        <v>223</v>
      </c>
      <c r="D31" s="11" t="s">
        <v>418</v>
      </c>
      <c r="E31" s="31">
        <v>25</v>
      </c>
      <c r="F31" s="3">
        <v>7</v>
      </c>
      <c r="G31" s="3">
        <v>18</v>
      </c>
      <c r="H31" s="3">
        <v>0</v>
      </c>
      <c r="I31" s="4">
        <v>1</v>
      </c>
      <c r="J31" s="1"/>
      <c r="K31" s="13" t="s">
        <v>88</v>
      </c>
      <c r="L31" s="2"/>
    </row>
    <row r="32" spans="1:12" ht="20.100000000000001" customHeight="1">
      <c r="A32" s="11" t="s">
        <v>337</v>
      </c>
      <c r="B32" s="2"/>
      <c r="C32" s="15"/>
      <c r="D32" s="11"/>
      <c r="E32" s="31">
        <v>672</v>
      </c>
      <c r="F32" s="3">
        <v>585</v>
      </c>
      <c r="G32" s="3">
        <v>87</v>
      </c>
      <c r="H32" s="3">
        <v>0</v>
      </c>
      <c r="I32" s="4">
        <v>1</v>
      </c>
      <c r="J32" s="1"/>
      <c r="K32" s="2"/>
      <c r="L32" s="2"/>
    </row>
    <row r="33" spans="1:12" ht="20.100000000000001" customHeight="1">
      <c r="A33" s="11" t="s">
        <v>314</v>
      </c>
      <c r="B33" s="2" t="s">
        <v>48</v>
      </c>
      <c r="C33" s="15" t="s">
        <v>223</v>
      </c>
      <c r="D33" s="11" t="s">
        <v>53</v>
      </c>
      <c r="E33" s="31">
        <v>248</v>
      </c>
      <c r="F33" s="3">
        <v>0</v>
      </c>
      <c r="G33" s="3">
        <v>248</v>
      </c>
      <c r="H33" s="3">
        <v>0</v>
      </c>
      <c r="I33" s="4">
        <v>1</v>
      </c>
      <c r="J33" s="1"/>
      <c r="K33" s="2" t="s">
        <v>129</v>
      </c>
      <c r="L33" s="2"/>
    </row>
    <row r="34" spans="1:12" ht="20.100000000000001" customHeight="1">
      <c r="A34" s="11" t="s">
        <v>314</v>
      </c>
      <c r="B34" s="2" t="s">
        <v>50</v>
      </c>
      <c r="C34" s="15" t="s">
        <v>223</v>
      </c>
      <c r="D34" s="11" t="s">
        <v>53</v>
      </c>
      <c r="E34" s="31">
        <v>248</v>
      </c>
      <c r="F34" s="3">
        <v>0</v>
      </c>
      <c r="G34" s="3">
        <v>248</v>
      </c>
      <c r="H34" s="3">
        <v>0</v>
      </c>
      <c r="I34" s="4">
        <v>1</v>
      </c>
      <c r="J34" s="1"/>
      <c r="K34" s="2" t="s">
        <v>129</v>
      </c>
      <c r="L34" s="2"/>
    </row>
    <row r="35" spans="1:12" ht="20.100000000000001" customHeight="1">
      <c r="A35" s="11" t="s">
        <v>314</v>
      </c>
      <c r="B35" s="2" t="s">
        <v>2</v>
      </c>
      <c r="C35" s="15" t="s">
        <v>223</v>
      </c>
      <c r="D35" s="11" t="s">
        <v>53</v>
      </c>
      <c r="E35" s="31">
        <v>248</v>
      </c>
      <c r="F35" s="3">
        <v>0</v>
      </c>
      <c r="G35" s="3">
        <v>248</v>
      </c>
      <c r="H35" s="3">
        <v>0</v>
      </c>
      <c r="I35" s="4">
        <v>1</v>
      </c>
      <c r="J35" s="1"/>
      <c r="K35" s="2" t="s">
        <v>89</v>
      </c>
      <c r="L35" s="2"/>
    </row>
    <row r="36" spans="1:12" ht="20.100000000000001" customHeight="1">
      <c r="A36" s="11" t="s">
        <v>314</v>
      </c>
      <c r="B36" s="2" t="s">
        <v>52</v>
      </c>
      <c r="C36" s="15" t="s">
        <v>223</v>
      </c>
      <c r="D36" s="11" t="s">
        <v>53</v>
      </c>
      <c r="E36" s="31">
        <v>281</v>
      </c>
      <c r="F36" s="3">
        <v>0</v>
      </c>
      <c r="G36" s="3">
        <v>281</v>
      </c>
      <c r="H36" s="3">
        <v>0</v>
      </c>
      <c r="I36" s="4">
        <v>1</v>
      </c>
      <c r="J36" s="1"/>
      <c r="K36" s="2" t="s">
        <v>265</v>
      </c>
      <c r="L36" s="2"/>
    </row>
    <row r="37" spans="1:12" ht="20.100000000000001" customHeight="1">
      <c r="A37" s="11" t="s">
        <v>314</v>
      </c>
      <c r="B37" s="2" t="s">
        <v>38</v>
      </c>
      <c r="C37" s="15" t="s">
        <v>223</v>
      </c>
      <c r="D37" s="11" t="s">
        <v>53</v>
      </c>
      <c r="E37" s="31">
        <v>142</v>
      </c>
      <c r="F37" s="3">
        <v>0</v>
      </c>
      <c r="G37" s="3">
        <v>123</v>
      </c>
      <c r="H37" s="3">
        <v>19</v>
      </c>
      <c r="I37" s="4">
        <f>G37/E37</f>
        <v>0.86619718309859151</v>
      </c>
      <c r="J37" s="1"/>
      <c r="K37" s="2" t="s">
        <v>239</v>
      </c>
      <c r="L37" s="2"/>
    </row>
    <row r="38" spans="1:12" ht="20.100000000000001" customHeight="1">
      <c r="A38" s="11" t="s">
        <v>314</v>
      </c>
      <c r="B38" s="2" t="s">
        <v>38</v>
      </c>
      <c r="C38" s="15" t="s">
        <v>223</v>
      </c>
      <c r="D38" s="11" t="s">
        <v>53</v>
      </c>
      <c r="E38" s="31">
        <v>156</v>
      </c>
      <c r="F38" s="3">
        <v>0</v>
      </c>
      <c r="G38" s="3">
        <v>150</v>
      </c>
      <c r="H38" s="3">
        <v>6</v>
      </c>
      <c r="I38" s="4">
        <f>G38/E38</f>
        <v>0.96153846153846156</v>
      </c>
      <c r="J38" s="1"/>
      <c r="K38" s="2" t="s">
        <v>90</v>
      </c>
      <c r="L38" s="2"/>
    </row>
    <row r="39" spans="1:12" ht="20.100000000000001" customHeight="1">
      <c r="A39" s="48" t="s">
        <v>24</v>
      </c>
      <c r="B39" s="49"/>
      <c r="C39" s="49"/>
      <c r="D39" s="50"/>
      <c r="E39" s="7"/>
      <c r="F39" s="7"/>
      <c r="G39" s="7"/>
      <c r="H39" s="8" t="str">
        <f>IFERROR(F39/E39,"")</f>
        <v/>
      </c>
      <c r="I39" s="9"/>
      <c r="J39" s="9"/>
      <c r="K39" s="12"/>
      <c r="L39" s="10"/>
    </row>
    <row r="40" spans="1:12" ht="20.100000000000001" customHeight="1">
      <c r="A40" s="51" t="s">
        <v>25</v>
      </c>
      <c r="B40" s="52"/>
      <c r="C40" s="53"/>
      <c r="D40" s="51" t="s">
        <v>26</v>
      </c>
      <c r="E40" s="52"/>
      <c r="F40" s="52"/>
      <c r="G40" s="53"/>
      <c r="H40" s="51" t="s">
        <v>27</v>
      </c>
      <c r="I40" s="52"/>
      <c r="J40" s="52"/>
      <c r="K40" s="53"/>
      <c r="L40" s="10"/>
    </row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9:D39"/>
    <mergeCell ref="A40:C40"/>
    <mergeCell ref="D40:G40"/>
    <mergeCell ref="H40:K40"/>
  </mergeCells>
  <phoneticPr fontId="5" type="noConversion"/>
  <dataValidations count="1">
    <dataValidation type="list" allowBlank="1" sqref="B5:B38" xr:uid="{526A48E7-3521-4750-A3DB-84ABF987B48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411E-A224-4F09-8C6D-F1D11436D0CD}">
  <sheetPr>
    <pageSetUpPr fitToPage="1"/>
  </sheetPr>
  <dimension ref="A1:AB52"/>
  <sheetViews>
    <sheetView showGridLines="0" zoomScaleNormal="100" workbookViewId="0">
      <pane ySplit="4" topLeftCell="A20" activePane="bottomLeft" state="frozen"/>
      <selection pane="bottomLeft" activeCell="L3" sqref="L3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449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420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420</v>
      </c>
      <c r="B5" s="2" t="s">
        <v>39</v>
      </c>
      <c r="C5" s="15" t="s">
        <v>223</v>
      </c>
      <c r="D5" s="11" t="s">
        <v>422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420</v>
      </c>
      <c r="B6" s="2" t="s">
        <v>39</v>
      </c>
      <c r="C6" s="15" t="s">
        <v>223</v>
      </c>
      <c r="D6" s="11" t="s">
        <v>423</v>
      </c>
      <c r="E6" s="31">
        <v>25</v>
      </c>
      <c r="F6" s="19">
        <v>25</v>
      </c>
      <c r="G6" s="16">
        <v>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419</v>
      </c>
      <c r="B7" s="2" t="s">
        <v>39</v>
      </c>
      <c r="C7" s="15" t="s">
        <v>223</v>
      </c>
      <c r="D7" s="11" t="s">
        <v>424</v>
      </c>
      <c r="E7" s="31">
        <v>25</v>
      </c>
      <c r="F7" s="19">
        <v>9</v>
      </c>
      <c r="G7" s="16">
        <v>16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419</v>
      </c>
      <c r="B8" s="2" t="s">
        <v>39</v>
      </c>
      <c r="C8" s="15" t="s">
        <v>223</v>
      </c>
      <c r="D8" s="11" t="s">
        <v>425</v>
      </c>
      <c r="E8" s="31">
        <v>25</v>
      </c>
      <c r="F8" s="19">
        <v>23</v>
      </c>
      <c r="G8" s="16">
        <v>2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419</v>
      </c>
      <c r="B9" s="2" t="s">
        <v>39</v>
      </c>
      <c r="C9" s="15" t="s">
        <v>223</v>
      </c>
      <c r="D9" s="11" t="s">
        <v>426</v>
      </c>
      <c r="E9" s="31">
        <v>25</v>
      </c>
      <c r="F9" s="19">
        <v>25</v>
      </c>
      <c r="G9" s="3">
        <v>0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419</v>
      </c>
      <c r="B10" s="2" t="s">
        <v>39</v>
      </c>
      <c r="C10" s="15" t="s">
        <v>223</v>
      </c>
      <c r="D10" s="11" t="s">
        <v>427</v>
      </c>
      <c r="E10" s="31">
        <v>25</v>
      </c>
      <c r="F10" s="19">
        <v>25</v>
      </c>
      <c r="G10" s="3">
        <v>0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419</v>
      </c>
      <c r="B11" s="2" t="s">
        <v>39</v>
      </c>
      <c r="C11" s="15" t="s">
        <v>223</v>
      </c>
      <c r="D11" s="11" t="s">
        <v>428</v>
      </c>
      <c r="E11" s="31">
        <v>25</v>
      </c>
      <c r="F11" s="19">
        <v>18</v>
      </c>
      <c r="G11" s="3">
        <v>7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419</v>
      </c>
      <c r="B12" s="2" t="s">
        <v>39</v>
      </c>
      <c r="C12" s="15" t="s">
        <v>223</v>
      </c>
      <c r="D12" s="11" t="s">
        <v>429</v>
      </c>
      <c r="E12" s="31">
        <v>25</v>
      </c>
      <c r="F12" s="19">
        <v>0</v>
      </c>
      <c r="G12" s="3">
        <v>25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419</v>
      </c>
      <c r="B13" s="2" t="s">
        <v>39</v>
      </c>
      <c r="C13" s="15" t="s">
        <v>223</v>
      </c>
      <c r="D13" s="11" t="s">
        <v>430</v>
      </c>
      <c r="E13" s="31">
        <v>25</v>
      </c>
      <c r="F13" s="3">
        <v>3</v>
      </c>
      <c r="G13" s="3">
        <v>22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419</v>
      </c>
      <c r="B14" s="2" t="s">
        <v>39</v>
      </c>
      <c r="C14" s="15" t="s">
        <v>223</v>
      </c>
      <c r="D14" s="11" t="s">
        <v>431</v>
      </c>
      <c r="E14" s="31">
        <v>25</v>
      </c>
      <c r="F14" s="19">
        <v>25</v>
      </c>
      <c r="G14" s="16">
        <v>0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419</v>
      </c>
      <c r="B15" s="2" t="s">
        <v>39</v>
      </c>
      <c r="C15" s="15" t="s">
        <v>223</v>
      </c>
      <c r="D15" s="11" t="s">
        <v>432</v>
      </c>
      <c r="E15" s="31">
        <v>25</v>
      </c>
      <c r="F15" s="19">
        <v>15</v>
      </c>
      <c r="G15" s="16">
        <v>10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419</v>
      </c>
      <c r="B16" s="2" t="s">
        <v>39</v>
      </c>
      <c r="C16" s="15" t="s">
        <v>223</v>
      </c>
      <c r="D16" s="11" t="s">
        <v>433</v>
      </c>
      <c r="E16" s="31">
        <v>25</v>
      </c>
      <c r="F16" s="19">
        <v>25</v>
      </c>
      <c r="G16" s="16">
        <v>0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419</v>
      </c>
      <c r="B17" s="2" t="s">
        <v>39</v>
      </c>
      <c r="C17" s="15" t="s">
        <v>223</v>
      </c>
      <c r="D17" s="11" t="s">
        <v>434</v>
      </c>
      <c r="E17" s="31">
        <v>25</v>
      </c>
      <c r="F17" s="19">
        <v>22</v>
      </c>
      <c r="G17" s="16">
        <v>3</v>
      </c>
      <c r="H17" s="3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419</v>
      </c>
      <c r="B18" s="2" t="s">
        <v>39</v>
      </c>
      <c r="C18" s="15" t="s">
        <v>223</v>
      </c>
      <c r="D18" s="11" t="s">
        <v>435</v>
      </c>
      <c r="E18" s="31">
        <v>25</v>
      </c>
      <c r="F18" s="19">
        <v>25</v>
      </c>
      <c r="G18" s="16">
        <v>0</v>
      </c>
      <c r="H18" s="3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419</v>
      </c>
      <c r="B19" s="2" t="s">
        <v>39</v>
      </c>
      <c r="C19" s="15" t="s">
        <v>223</v>
      </c>
      <c r="D19" s="11" t="s">
        <v>436</v>
      </c>
      <c r="E19" s="31">
        <v>25</v>
      </c>
      <c r="F19" s="19">
        <v>12</v>
      </c>
      <c r="G19" s="16">
        <v>13</v>
      </c>
      <c r="H19" s="3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419</v>
      </c>
      <c r="B20" s="2" t="s">
        <v>39</v>
      </c>
      <c r="C20" s="15" t="s">
        <v>223</v>
      </c>
      <c r="D20" s="11" t="s">
        <v>437</v>
      </c>
      <c r="E20" s="31">
        <v>25</v>
      </c>
      <c r="F20" s="19">
        <v>25</v>
      </c>
      <c r="G20" s="16">
        <v>0</v>
      </c>
      <c r="H20" s="3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419</v>
      </c>
      <c r="B21" s="2" t="s">
        <v>39</v>
      </c>
      <c r="C21" s="15" t="s">
        <v>223</v>
      </c>
      <c r="D21" s="11" t="s">
        <v>438</v>
      </c>
      <c r="E21" s="31">
        <v>25</v>
      </c>
      <c r="F21" s="19">
        <v>24</v>
      </c>
      <c r="G21" s="16">
        <v>1</v>
      </c>
      <c r="H21" s="3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419</v>
      </c>
      <c r="B22" s="2" t="s">
        <v>39</v>
      </c>
      <c r="C22" s="15" t="s">
        <v>223</v>
      </c>
      <c r="D22" s="11" t="s">
        <v>439</v>
      </c>
      <c r="E22" s="31">
        <v>25</v>
      </c>
      <c r="F22" s="19">
        <v>8</v>
      </c>
      <c r="G22" s="3">
        <v>17</v>
      </c>
      <c r="H22" s="3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11" t="s">
        <v>419</v>
      </c>
      <c r="B23" s="2" t="s">
        <v>39</v>
      </c>
      <c r="C23" s="15" t="s">
        <v>223</v>
      </c>
      <c r="D23" s="11" t="s">
        <v>440</v>
      </c>
      <c r="E23" s="31">
        <v>25</v>
      </c>
      <c r="F23" s="19">
        <v>24</v>
      </c>
      <c r="G23" s="3">
        <v>1</v>
      </c>
      <c r="H23" s="3">
        <v>0</v>
      </c>
      <c r="I23" s="4">
        <v>1</v>
      </c>
      <c r="J23" s="1"/>
      <c r="K23" s="13" t="s">
        <v>88</v>
      </c>
      <c r="L23" s="2"/>
    </row>
    <row r="24" spans="1:12" ht="20.100000000000001" customHeight="1">
      <c r="A24" s="11" t="s">
        <v>419</v>
      </c>
      <c r="B24" s="2" t="s">
        <v>39</v>
      </c>
      <c r="C24" s="15" t="s">
        <v>223</v>
      </c>
      <c r="D24" s="11" t="s">
        <v>441</v>
      </c>
      <c r="E24" s="31">
        <v>25</v>
      </c>
      <c r="F24" s="19">
        <v>24</v>
      </c>
      <c r="G24" s="3">
        <v>1</v>
      </c>
      <c r="H24" s="3">
        <v>0</v>
      </c>
      <c r="I24" s="4">
        <v>1</v>
      </c>
      <c r="J24" s="1"/>
      <c r="K24" s="13" t="s">
        <v>88</v>
      </c>
      <c r="L24" s="2"/>
    </row>
    <row r="25" spans="1:12" ht="20.100000000000001" customHeight="1">
      <c r="A25" s="11" t="s">
        <v>419</v>
      </c>
      <c r="B25" s="2" t="s">
        <v>39</v>
      </c>
      <c r="C25" s="15" t="s">
        <v>223</v>
      </c>
      <c r="D25" s="11" t="s">
        <v>442</v>
      </c>
      <c r="E25" s="31">
        <v>25</v>
      </c>
      <c r="F25" s="19">
        <v>25</v>
      </c>
      <c r="G25" s="3">
        <v>0</v>
      </c>
      <c r="H25" s="3">
        <v>0</v>
      </c>
      <c r="I25" s="4">
        <v>1</v>
      </c>
      <c r="J25" s="1"/>
      <c r="K25" s="13" t="s">
        <v>88</v>
      </c>
      <c r="L25" s="2"/>
    </row>
    <row r="26" spans="1:12" ht="20.100000000000001" customHeight="1">
      <c r="A26" s="11" t="s">
        <v>419</v>
      </c>
      <c r="B26" s="2" t="s">
        <v>39</v>
      </c>
      <c r="C26" s="15" t="s">
        <v>223</v>
      </c>
      <c r="D26" s="11" t="s">
        <v>443</v>
      </c>
      <c r="E26" s="31">
        <v>20</v>
      </c>
      <c r="F26" s="3">
        <v>20</v>
      </c>
      <c r="G26" s="3">
        <v>0</v>
      </c>
      <c r="H26" s="3">
        <v>0</v>
      </c>
      <c r="I26" s="4">
        <v>1</v>
      </c>
      <c r="J26" s="1"/>
      <c r="K26" s="13" t="s">
        <v>88</v>
      </c>
      <c r="L26" s="2"/>
    </row>
    <row r="27" spans="1:12" ht="20.100000000000001" customHeight="1">
      <c r="A27" s="11" t="s">
        <v>419</v>
      </c>
      <c r="B27" s="2" t="s">
        <v>39</v>
      </c>
      <c r="C27" s="15" t="s">
        <v>223</v>
      </c>
      <c r="D27" s="11" t="s">
        <v>444</v>
      </c>
      <c r="E27" s="31">
        <v>25</v>
      </c>
      <c r="F27" s="3">
        <v>22</v>
      </c>
      <c r="G27" s="3">
        <v>3</v>
      </c>
      <c r="H27" s="3">
        <v>0</v>
      </c>
      <c r="I27" s="4">
        <v>1</v>
      </c>
      <c r="J27" s="1"/>
      <c r="K27" s="13" t="s">
        <v>88</v>
      </c>
      <c r="L27" s="2"/>
    </row>
    <row r="28" spans="1:12" ht="20.100000000000001" customHeight="1">
      <c r="A28" s="11" t="s">
        <v>419</v>
      </c>
      <c r="B28" s="2" t="s">
        <v>39</v>
      </c>
      <c r="C28" s="15" t="s">
        <v>223</v>
      </c>
      <c r="D28" s="11" t="s">
        <v>445</v>
      </c>
      <c r="E28" s="31">
        <v>25</v>
      </c>
      <c r="F28" s="3">
        <v>25</v>
      </c>
      <c r="G28" s="3">
        <v>0</v>
      </c>
      <c r="H28" s="3">
        <v>0</v>
      </c>
      <c r="I28" s="4">
        <v>1</v>
      </c>
      <c r="J28" s="1"/>
      <c r="K28" s="13" t="s">
        <v>88</v>
      </c>
      <c r="L28" s="2"/>
    </row>
    <row r="29" spans="1:12" ht="20.100000000000001" customHeight="1">
      <c r="A29" s="11" t="s">
        <v>419</v>
      </c>
      <c r="B29" s="2" t="s">
        <v>39</v>
      </c>
      <c r="C29" s="15" t="s">
        <v>223</v>
      </c>
      <c r="D29" s="11" t="s">
        <v>446</v>
      </c>
      <c r="E29" s="31">
        <v>25</v>
      </c>
      <c r="F29" s="3">
        <v>25</v>
      </c>
      <c r="G29" s="3">
        <v>0</v>
      </c>
      <c r="H29" s="3">
        <v>0</v>
      </c>
      <c r="I29" s="4">
        <v>1</v>
      </c>
      <c r="J29" s="1"/>
      <c r="K29" s="13" t="s">
        <v>88</v>
      </c>
      <c r="L29" s="2"/>
    </row>
    <row r="30" spans="1:12" ht="20.100000000000001" customHeight="1">
      <c r="A30" s="11" t="s">
        <v>419</v>
      </c>
      <c r="B30" s="2" t="s">
        <v>39</v>
      </c>
      <c r="C30" s="15" t="s">
        <v>223</v>
      </c>
      <c r="D30" s="11" t="s">
        <v>447</v>
      </c>
      <c r="E30" s="31">
        <v>25</v>
      </c>
      <c r="F30" s="3">
        <v>24</v>
      </c>
      <c r="G30" s="3">
        <v>1</v>
      </c>
      <c r="H30" s="3">
        <v>0</v>
      </c>
      <c r="I30" s="4">
        <v>1</v>
      </c>
      <c r="J30" s="1"/>
      <c r="K30" s="13" t="s">
        <v>88</v>
      </c>
      <c r="L30" s="2"/>
    </row>
    <row r="31" spans="1:12" ht="20.100000000000001" customHeight="1">
      <c r="A31" s="11" t="s">
        <v>419</v>
      </c>
      <c r="B31" s="2" t="s">
        <v>39</v>
      </c>
      <c r="C31" s="15" t="s">
        <v>223</v>
      </c>
      <c r="D31" s="11" t="s">
        <v>448</v>
      </c>
      <c r="E31" s="31">
        <v>25</v>
      </c>
      <c r="F31" s="3">
        <v>18</v>
      </c>
      <c r="G31" s="3">
        <v>7</v>
      </c>
      <c r="H31" s="3">
        <v>0</v>
      </c>
      <c r="I31" s="4">
        <v>1</v>
      </c>
      <c r="J31" s="1"/>
      <c r="K31" s="13" t="s">
        <v>88</v>
      </c>
      <c r="L31" s="2"/>
    </row>
    <row r="32" spans="1:12" ht="20.100000000000001" customHeight="1">
      <c r="A32" s="48" t="s">
        <v>24</v>
      </c>
      <c r="B32" s="49"/>
      <c r="C32" s="49"/>
      <c r="D32" s="50"/>
      <c r="E32" s="7">
        <v>670</v>
      </c>
      <c r="F32" s="7">
        <v>541</v>
      </c>
      <c r="G32" s="7">
        <v>129</v>
      </c>
      <c r="H32" s="8"/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B5:B31" xr:uid="{F04F1E9D-6C54-4273-8397-FA49B480CACA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3644-3F21-475A-BB44-906C0CFFA6C4}">
  <sheetPr>
    <pageSetUpPr fitToPage="1"/>
  </sheetPr>
  <dimension ref="A1:AB52"/>
  <sheetViews>
    <sheetView showGridLines="0" zoomScaleNormal="100" workbookViewId="0">
      <pane ySplit="4" topLeftCell="A14" activePane="bottomLeft" state="frozen"/>
      <selection pane="bottomLeft" activeCell="A28" sqref="A28:H28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449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420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420</v>
      </c>
      <c r="B5" s="2" t="s">
        <v>39</v>
      </c>
      <c r="C5" s="15" t="s">
        <v>223</v>
      </c>
      <c r="D5" s="11" t="s">
        <v>450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420</v>
      </c>
      <c r="B6" s="2" t="s">
        <v>39</v>
      </c>
      <c r="C6" s="15" t="s">
        <v>223</v>
      </c>
      <c r="D6" s="11" t="s">
        <v>451</v>
      </c>
      <c r="E6" s="31">
        <v>25</v>
      </c>
      <c r="F6" s="19">
        <v>25</v>
      </c>
      <c r="G6" s="16">
        <v>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419</v>
      </c>
      <c r="B7" s="2" t="s">
        <v>39</v>
      </c>
      <c r="C7" s="15" t="s">
        <v>223</v>
      </c>
      <c r="D7" s="11" t="s">
        <v>452</v>
      </c>
      <c r="E7" s="31">
        <v>25</v>
      </c>
      <c r="F7" s="19">
        <v>15</v>
      </c>
      <c r="G7" s="16">
        <v>10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419</v>
      </c>
      <c r="B8" s="2" t="s">
        <v>39</v>
      </c>
      <c r="C8" s="15" t="s">
        <v>223</v>
      </c>
      <c r="D8" s="11" t="s">
        <v>453</v>
      </c>
      <c r="E8" s="31">
        <v>25</v>
      </c>
      <c r="F8" s="19">
        <v>25</v>
      </c>
      <c r="G8" s="16">
        <v>0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419</v>
      </c>
      <c r="B9" s="2" t="s">
        <v>39</v>
      </c>
      <c r="C9" s="15" t="s">
        <v>223</v>
      </c>
      <c r="D9" s="11" t="s">
        <v>454</v>
      </c>
      <c r="E9" s="31">
        <v>25</v>
      </c>
      <c r="F9" s="19">
        <v>13</v>
      </c>
      <c r="G9" s="3">
        <v>12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419</v>
      </c>
      <c r="B10" s="2" t="s">
        <v>39</v>
      </c>
      <c r="C10" s="15" t="s">
        <v>223</v>
      </c>
      <c r="D10" s="11" t="s">
        <v>455</v>
      </c>
      <c r="E10" s="31">
        <v>25</v>
      </c>
      <c r="F10" s="19">
        <v>13</v>
      </c>
      <c r="G10" s="3">
        <v>12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419</v>
      </c>
      <c r="B11" s="2" t="s">
        <v>39</v>
      </c>
      <c r="C11" s="15" t="s">
        <v>223</v>
      </c>
      <c r="D11" s="11" t="s">
        <v>456</v>
      </c>
      <c r="E11" s="31">
        <v>25</v>
      </c>
      <c r="F11" s="19">
        <v>19</v>
      </c>
      <c r="G11" s="3">
        <v>6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419</v>
      </c>
      <c r="B12" s="2" t="s">
        <v>39</v>
      </c>
      <c r="C12" s="15" t="s">
        <v>223</v>
      </c>
      <c r="D12" s="11" t="s">
        <v>457</v>
      </c>
      <c r="E12" s="31">
        <v>25</v>
      </c>
      <c r="F12" s="19">
        <v>25</v>
      </c>
      <c r="G12" s="3">
        <v>0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419</v>
      </c>
      <c r="B13" s="2" t="s">
        <v>39</v>
      </c>
      <c r="C13" s="15" t="s">
        <v>223</v>
      </c>
      <c r="D13" s="11" t="s">
        <v>458</v>
      </c>
      <c r="E13" s="31">
        <v>25</v>
      </c>
      <c r="F13" s="3">
        <v>12</v>
      </c>
      <c r="G13" s="3">
        <v>13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419</v>
      </c>
      <c r="B14" s="2" t="s">
        <v>39</v>
      </c>
      <c r="C14" s="15" t="s">
        <v>223</v>
      </c>
      <c r="D14" s="11" t="s">
        <v>459</v>
      </c>
      <c r="E14" s="31">
        <v>25</v>
      </c>
      <c r="F14" s="19">
        <v>15</v>
      </c>
      <c r="G14" s="16">
        <v>10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419</v>
      </c>
      <c r="B15" s="2" t="s">
        <v>39</v>
      </c>
      <c r="C15" s="15" t="s">
        <v>223</v>
      </c>
      <c r="D15" s="11" t="s">
        <v>460</v>
      </c>
      <c r="E15" s="31">
        <v>25</v>
      </c>
      <c r="F15" s="19">
        <v>25</v>
      </c>
      <c r="G15" s="16">
        <v>0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419</v>
      </c>
      <c r="B16" s="2" t="s">
        <v>39</v>
      </c>
      <c r="C16" s="15" t="s">
        <v>223</v>
      </c>
      <c r="D16" s="11" t="s">
        <v>461</v>
      </c>
      <c r="E16" s="31">
        <v>25</v>
      </c>
      <c r="F16" s="19">
        <v>25</v>
      </c>
      <c r="G16" s="16">
        <v>0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419</v>
      </c>
      <c r="B17" s="2" t="s">
        <v>39</v>
      </c>
      <c r="C17" s="15" t="s">
        <v>223</v>
      </c>
      <c r="D17" s="11" t="s">
        <v>462</v>
      </c>
      <c r="E17" s="31">
        <v>25</v>
      </c>
      <c r="F17" s="19">
        <v>25</v>
      </c>
      <c r="G17" s="16">
        <v>0</v>
      </c>
      <c r="H17" s="3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419</v>
      </c>
      <c r="B18" s="2" t="s">
        <v>39</v>
      </c>
      <c r="C18" s="15" t="s">
        <v>223</v>
      </c>
      <c r="D18" s="11" t="s">
        <v>463</v>
      </c>
      <c r="E18" s="31">
        <v>25</v>
      </c>
      <c r="F18" s="19">
        <v>25</v>
      </c>
      <c r="G18" s="16">
        <v>0</v>
      </c>
      <c r="H18" s="3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419</v>
      </c>
      <c r="B19" s="2" t="s">
        <v>39</v>
      </c>
      <c r="C19" s="15" t="s">
        <v>223</v>
      </c>
      <c r="D19" s="11" t="s">
        <v>464</v>
      </c>
      <c r="E19" s="31">
        <v>25</v>
      </c>
      <c r="F19" s="19">
        <v>25</v>
      </c>
      <c r="G19" s="16">
        <v>0</v>
      </c>
      <c r="H19" s="3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419</v>
      </c>
      <c r="B20" s="2" t="s">
        <v>39</v>
      </c>
      <c r="C20" s="15" t="s">
        <v>223</v>
      </c>
      <c r="D20" s="11" t="s">
        <v>465</v>
      </c>
      <c r="E20" s="31">
        <v>25</v>
      </c>
      <c r="F20" s="19">
        <v>25</v>
      </c>
      <c r="G20" s="16">
        <v>0</v>
      </c>
      <c r="H20" s="3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419</v>
      </c>
      <c r="B21" s="2" t="s">
        <v>39</v>
      </c>
      <c r="C21" s="15" t="s">
        <v>223</v>
      </c>
      <c r="D21" s="11" t="s">
        <v>466</v>
      </c>
      <c r="E21" s="31">
        <v>25</v>
      </c>
      <c r="F21" s="19">
        <v>25</v>
      </c>
      <c r="G21" s="16">
        <v>0</v>
      </c>
      <c r="H21" s="3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419</v>
      </c>
      <c r="B22" s="2" t="s">
        <v>39</v>
      </c>
      <c r="C22" s="15" t="s">
        <v>223</v>
      </c>
      <c r="D22" s="11" t="s">
        <v>467</v>
      </c>
      <c r="E22" s="31">
        <v>25</v>
      </c>
      <c r="F22" s="19">
        <v>25</v>
      </c>
      <c r="G22" s="16">
        <v>0</v>
      </c>
      <c r="H22" s="3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11" t="s">
        <v>337</v>
      </c>
      <c r="B23" s="2"/>
      <c r="C23" s="15"/>
      <c r="D23" s="11"/>
      <c r="E23" s="31">
        <v>450</v>
      </c>
      <c r="F23" s="19">
        <v>387</v>
      </c>
      <c r="G23" s="3">
        <v>63</v>
      </c>
      <c r="H23" s="3"/>
      <c r="I23" s="4"/>
      <c r="J23" s="1"/>
      <c r="K23" s="13"/>
      <c r="L23" s="2"/>
    </row>
    <row r="24" spans="1:12" ht="20.100000000000001" customHeight="1">
      <c r="A24" s="11" t="s">
        <v>419</v>
      </c>
      <c r="B24" s="2" t="s">
        <v>48</v>
      </c>
      <c r="C24" s="15" t="s">
        <v>223</v>
      </c>
      <c r="D24" s="11" t="s">
        <v>53</v>
      </c>
      <c r="E24" s="31">
        <v>192</v>
      </c>
      <c r="F24" s="3">
        <v>0</v>
      </c>
      <c r="G24" s="3">
        <v>192</v>
      </c>
      <c r="H24" s="3">
        <v>0</v>
      </c>
      <c r="I24" s="4">
        <v>1</v>
      </c>
      <c r="J24" s="1"/>
      <c r="K24" s="2" t="s">
        <v>129</v>
      </c>
      <c r="L24" s="2"/>
    </row>
    <row r="25" spans="1:12" ht="20.100000000000001" customHeight="1">
      <c r="A25" s="11" t="s">
        <v>419</v>
      </c>
      <c r="B25" s="2" t="s">
        <v>50</v>
      </c>
      <c r="C25" s="15" t="s">
        <v>223</v>
      </c>
      <c r="D25" s="11" t="s">
        <v>53</v>
      </c>
      <c r="E25" s="31">
        <v>192</v>
      </c>
      <c r="F25" s="3">
        <v>0</v>
      </c>
      <c r="G25" s="3">
        <v>192</v>
      </c>
      <c r="H25" s="3">
        <v>0</v>
      </c>
      <c r="I25" s="4">
        <v>1</v>
      </c>
      <c r="J25" s="1"/>
      <c r="K25" s="2" t="s">
        <v>129</v>
      </c>
      <c r="L25" s="2"/>
    </row>
    <row r="26" spans="1:12" ht="20.100000000000001" customHeight="1">
      <c r="A26" s="11" t="s">
        <v>419</v>
      </c>
      <c r="B26" s="2" t="s">
        <v>2</v>
      </c>
      <c r="C26" s="15" t="s">
        <v>223</v>
      </c>
      <c r="D26" s="11" t="s">
        <v>53</v>
      </c>
      <c r="E26" s="31">
        <v>192</v>
      </c>
      <c r="F26" s="3">
        <v>0</v>
      </c>
      <c r="G26" s="3">
        <v>192</v>
      </c>
      <c r="H26" s="3">
        <v>0</v>
      </c>
      <c r="I26" s="4">
        <v>1</v>
      </c>
      <c r="J26" s="1"/>
      <c r="K26" s="2" t="s">
        <v>239</v>
      </c>
      <c r="L26" s="2"/>
    </row>
    <row r="27" spans="1:12" ht="20.100000000000001" customHeight="1">
      <c r="A27" s="11" t="s">
        <v>419</v>
      </c>
      <c r="B27" s="2" t="s">
        <v>52</v>
      </c>
      <c r="C27" s="15" t="s">
        <v>223</v>
      </c>
      <c r="D27" s="11" t="s">
        <v>53</v>
      </c>
      <c r="E27" s="31">
        <v>135</v>
      </c>
      <c r="F27" s="3">
        <v>0</v>
      </c>
      <c r="G27" s="3">
        <v>135</v>
      </c>
      <c r="H27" s="3">
        <v>0</v>
      </c>
      <c r="I27" s="4">
        <v>1</v>
      </c>
      <c r="J27" s="1"/>
      <c r="K27" s="2" t="s">
        <v>265</v>
      </c>
      <c r="L27" s="2"/>
    </row>
    <row r="28" spans="1:12" ht="20.100000000000001" customHeight="1">
      <c r="A28" s="11" t="s">
        <v>419</v>
      </c>
      <c r="B28" s="2" t="s">
        <v>38</v>
      </c>
      <c r="C28" s="15" t="s">
        <v>223</v>
      </c>
      <c r="D28" s="11" t="s">
        <v>53</v>
      </c>
      <c r="E28" s="31">
        <v>172</v>
      </c>
      <c r="F28" s="3">
        <v>0</v>
      </c>
      <c r="G28" s="3">
        <v>165</v>
      </c>
      <c r="H28" s="3">
        <v>7</v>
      </c>
      <c r="I28" s="4">
        <f>G28/E28</f>
        <v>0.95930232558139539</v>
      </c>
      <c r="J28" s="1"/>
      <c r="K28" s="2" t="s">
        <v>89</v>
      </c>
      <c r="L28" s="2"/>
    </row>
    <row r="29" spans="1:12" ht="20.100000000000001" customHeight="1">
      <c r="A29" s="11" t="s">
        <v>420</v>
      </c>
      <c r="B29" s="2" t="s">
        <v>38</v>
      </c>
      <c r="C29" s="15" t="s">
        <v>223</v>
      </c>
      <c r="D29" s="11" t="s">
        <v>53</v>
      </c>
      <c r="E29" s="31">
        <v>145</v>
      </c>
      <c r="F29" s="3">
        <v>0</v>
      </c>
      <c r="G29" s="3">
        <v>140</v>
      </c>
      <c r="H29" s="3">
        <v>5</v>
      </c>
      <c r="I29" s="4">
        <f>G29/E29</f>
        <v>0.96551724137931039</v>
      </c>
      <c r="J29" s="1"/>
      <c r="K29" s="2" t="s">
        <v>90</v>
      </c>
      <c r="L29" s="2"/>
    </row>
    <row r="30" spans="1:12" ht="20.100000000000001" customHeight="1">
      <c r="A30" s="48" t="s">
        <v>24</v>
      </c>
      <c r="B30" s="49"/>
      <c r="C30" s="49"/>
      <c r="D30" s="50"/>
      <c r="E30" s="7"/>
      <c r="F30" s="7"/>
      <c r="G30" s="7"/>
      <c r="H30" s="8" t="str">
        <f>IFERROR(F30/E30,"")</f>
        <v/>
      </c>
      <c r="I30" s="9"/>
      <c r="J30" s="9"/>
      <c r="K30" s="12"/>
      <c r="L30" s="10"/>
    </row>
    <row r="31" spans="1:12" ht="20.100000000000001" customHeight="1">
      <c r="A31" s="51" t="s">
        <v>25</v>
      </c>
      <c r="B31" s="52"/>
      <c r="C31" s="53"/>
      <c r="D31" s="51" t="s">
        <v>26</v>
      </c>
      <c r="E31" s="52"/>
      <c r="F31" s="52"/>
      <c r="G31" s="53"/>
      <c r="H31" s="51" t="s">
        <v>27</v>
      </c>
      <c r="I31" s="52"/>
      <c r="J31" s="52"/>
      <c r="K31" s="53"/>
      <c r="L31" s="10"/>
    </row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0:D30"/>
    <mergeCell ref="A31:C31"/>
    <mergeCell ref="D31:G31"/>
    <mergeCell ref="H31:K31"/>
  </mergeCells>
  <phoneticPr fontId="5" type="noConversion"/>
  <dataValidations count="1">
    <dataValidation type="list" allowBlank="1" sqref="B5:B29" xr:uid="{892FFA3A-68AD-4A37-9C5B-452F7616F900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D272-EF2C-491C-8562-72E5FB988F47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K20" sqref="K20:K31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469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468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468</v>
      </c>
      <c r="B5" s="2" t="s">
        <v>39</v>
      </c>
      <c r="C5" s="15" t="s">
        <v>223</v>
      </c>
      <c r="D5" s="11" t="s">
        <v>484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468</v>
      </c>
      <c r="B6" s="2" t="s">
        <v>39</v>
      </c>
      <c r="C6" s="15" t="s">
        <v>223</v>
      </c>
      <c r="D6" s="11" t="s">
        <v>485</v>
      </c>
      <c r="E6" s="31">
        <v>25</v>
      </c>
      <c r="F6" s="19">
        <v>25</v>
      </c>
      <c r="G6" s="16">
        <v>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421</v>
      </c>
      <c r="B7" s="2" t="s">
        <v>39</v>
      </c>
      <c r="C7" s="15" t="s">
        <v>223</v>
      </c>
      <c r="D7" s="11" t="s">
        <v>486</v>
      </c>
      <c r="E7" s="31">
        <v>25</v>
      </c>
      <c r="F7" s="19">
        <v>23</v>
      </c>
      <c r="G7" s="16">
        <v>2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421</v>
      </c>
      <c r="B8" s="2" t="s">
        <v>39</v>
      </c>
      <c r="C8" s="15" t="s">
        <v>223</v>
      </c>
      <c r="D8" s="11" t="s">
        <v>487</v>
      </c>
      <c r="E8" s="31">
        <v>25</v>
      </c>
      <c r="F8" s="19">
        <v>25</v>
      </c>
      <c r="G8" s="16">
        <v>0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421</v>
      </c>
      <c r="B9" s="2" t="s">
        <v>39</v>
      </c>
      <c r="C9" s="15" t="s">
        <v>223</v>
      </c>
      <c r="D9" s="11" t="s">
        <v>488</v>
      </c>
      <c r="E9" s="31">
        <v>25</v>
      </c>
      <c r="F9" s="19">
        <v>24</v>
      </c>
      <c r="G9" s="16">
        <v>1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421</v>
      </c>
      <c r="B10" s="2" t="s">
        <v>39</v>
      </c>
      <c r="C10" s="15" t="s">
        <v>223</v>
      </c>
      <c r="D10" s="11" t="s">
        <v>489</v>
      </c>
      <c r="E10" s="31">
        <v>25</v>
      </c>
      <c r="F10" s="19">
        <v>25</v>
      </c>
      <c r="G10" s="16">
        <v>0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421</v>
      </c>
      <c r="B11" s="2" t="s">
        <v>39</v>
      </c>
      <c r="C11" s="15" t="s">
        <v>223</v>
      </c>
      <c r="D11" s="11" t="s">
        <v>490</v>
      </c>
      <c r="E11" s="31">
        <v>25</v>
      </c>
      <c r="F11" s="19">
        <v>25</v>
      </c>
      <c r="G11" s="16">
        <v>0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421</v>
      </c>
      <c r="B12" s="2" t="s">
        <v>39</v>
      </c>
      <c r="C12" s="15" t="s">
        <v>223</v>
      </c>
      <c r="D12" s="11" t="s">
        <v>491</v>
      </c>
      <c r="E12" s="31">
        <v>25</v>
      </c>
      <c r="F12" s="19">
        <v>25</v>
      </c>
      <c r="G12" s="16">
        <v>0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421</v>
      </c>
      <c r="B13" s="2" t="s">
        <v>39</v>
      </c>
      <c r="C13" s="15" t="s">
        <v>223</v>
      </c>
      <c r="D13" s="11" t="s">
        <v>492</v>
      </c>
      <c r="E13" s="31">
        <v>25</v>
      </c>
      <c r="F13" s="19">
        <v>25</v>
      </c>
      <c r="G13" s="16">
        <v>0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421</v>
      </c>
      <c r="B14" s="2" t="s">
        <v>39</v>
      </c>
      <c r="C14" s="15" t="s">
        <v>223</v>
      </c>
      <c r="D14" s="11" t="s">
        <v>493</v>
      </c>
      <c r="E14" s="31">
        <v>25</v>
      </c>
      <c r="F14" s="19">
        <v>25</v>
      </c>
      <c r="G14" s="16">
        <v>0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421</v>
      </c>
      <c r="B15" s="2" t="s">
        <v>39</v>
      </c>
      <c r="C15" s="15" t="s">
        <v>223</v>
      </c>
      <c r="D15" s="11" t="s">
        <v>494</v>
      </c>
      <c r="E15" s="31">
        <v>25</v>
      </c>
      <c r="F15" s="19">
        <v>25</v>
      </c>
      <c r="G15" s="16">
        <v>0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421</v>
      </c>
      <c r="B16" s="2" t="s">
        <v>39</v>
      </c>
      <c r="C16" s="15" t="s">
        <v>223</v>
      </c>
      <c r="D16" s="11" t="s">
        <v>495</v>
      </c>
      <c r="E16" s="31">
        <v>25</v>
      </c>
      <c r="F16" s="19">
        <v>25</v>
      </c>
      <c r="G16" s="16">
        <v>0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421</v>
      </c>
      <c r="B17" s="2" t="s">
        <v>39</v>
      </c>
      <c r="C17" s="15" t="s">
        <v>223</v>
      </c>
      <c r="D17" s="11" t="s">
        <v>496</v>
      </c>
      <c r="E17" s="31">
        <v>25</v>
      </c>
      <c r="F17" s="19">
        <v>14</v>
      </c>
      <c r="G17" s="16">
        <v>11</v>
      </c>
      <c r="H17" s="3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421</v>
      </c>
      <c r="B18" s="2" t="s">
        <v>39</v>
      </c>
      <c r="C18" s="15" t="s">
        <v>223</v>
      </c>
      <c r="D18" s="11" t="s">
        <v>497</v>
      </c>
      <c r="E18" s="31">
        <v>25</v>
      </c>
      <c r="F18" s="19">
        <v>12</v>
      </c>
      <c r="G18" s="16">
        <v>13</v>
      </c>
      <c r="H18" s="3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421</v>
      </c>
      <c r="B19" s="2" t="s">
        <v>39</v>
      </c>
      <c r="C19" s="15" t="s">
        <v>223</v>
      </c>
      <c r="D19" s="11" t="s">
        <v>498</v>
      </c>
      <c r="E19" s="31">
        <v>25</v>
      </c>
      <c r="F19" s="19">
        <v>25</v>
      </c>
      <c r="G19" s="16">
        <v>0</v>
      </c>
      <c r="H19" s="3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421</v>
      </c>
      <c r="B20" s="2" t="s">
        <v>39</v>
      </c>
      <c r="C20" s="15" t="s">
        <v>223</v>
      </c>
      <c r="D20" s="11" t="s">
        <v>499</v>
      </c>
      <c r="E20" s="31">
        <v>25</v>
      </c>
      <c r="F20" s="19">
        <v>25</v>
      </c>
      <c r="G20" s="16">
        <v>0</v>
      </c>
      <c r="H20" s="3">
        <v>0</v>
      </c>
      <c r="I20" s="4">
        <v>1</v>
      </c>
      <c r="J20" s="1"/>
      <c r="K20" s="13" t="s">
        <v>129</v>
      </c>
      <c r="L20" s="2"/>
    </row>
    <row r="21" spans="1:12" ht="20.100000000000001" customHeight="1">
      <c r="A21" s="11" t="s">
        <v>421</v>
      </c>
      <c r="B21" s="2" t="s">
        <v>39</v>
      </c>
      <c r="C21" s="15" t="s">
        <v>223</v>
      </c>
      <c r="D21" s="11" t="s">
        <v>500</v>
      </c>
      <c r="E21" s="31">
        <v>25</v>
      </c>
      <c r="F21" s="19">
        <v>25</v>
      </c>
      <c r="G21" s="16">
        <v>0</v>
      </c>
      <c r="H21" s="3">
        <v>0</v>
      </c>
      <c r="I21" s="4">
        <v>1</v>
      </c>
      <c r="J21" s="1"/>
      <c r="K21" s="13" t="s">
        <v>129</v>
      </c>
      <c r="L21" s="2"/>
    </row>
    <row r="22" spans="1:12" ht="20.100000000000001" customHeight="1">
      <c r="A22" s="11" t="s">
        <v>421</v>
      </c>
      <c r="B22" s="2" t="s">
        <v>39</v>
      </c>
      <c r="C22" s="15" t="s">
        <v>223</v>
      </c>
      <c r="D22" s="11" t="s">
        <v>501</v>
      </c>
      <c r="E22" s="31">
        <v>25</v>
      </c>
      <c r="F22" s="19">
        <v>25</v>
      </c>
      <c r="G22" s="16">
        <v>0</v>
      </c>
      <c r="H22" s="3">
        <v>0</v>
      </c>
      <c r="I22" s="4">
        <v>1</v>
      </c>
      <c r="J22" s="1"/>
      <c r="K22" s="13" t="s">
        <v>129</v>
      </c>
      <c r="L22" s="2"/>
    </row>
    <row r="23" spans="1:12" ht="20.100000000000001" customHeight="1">
      <c r="A23" s="11" t="s">
        <v>421</v>
      </c>
      <c r="B23" s="2" t="s">
        <v>39</v>
      </c>
      <c r="C23" s="15" t="s">
        <v>223</v>
      </c>
      <c r="D23" s="11" t="s">
        <v>502</v>
      </c>
      <c r="E23" s="31">
        <v>25</v>
      </c>
      <c r="F23" s="19">
        <v>25</v>
      </c>
      <c r="G23" s="16">
        <v>0</v>
      </c>
      <c r="H23" s="3">
        <v>0</v>
      </c>
      <c r="I23" s="4">
        <v>1</v>
      </c>
      <c r="J23" s="1"/>
      <c r="K23" s="13" t="s">
        <v>129</v>
      </c>
      <c r="L23" s="2"/>
    </row>
    <row r="24" spans="1:12" ht="20.100000000000001" customHeight="1">
      <c r="A24" s="11" t="s">
        <v>421</v>
      </c>
      <c r="B24" s="2" t="s">
        <v>39</v>
      </c>
      <c r="C24" s="15" t="s">
        <v>223</v>
      </c>
      <c r="D24" s="11" t="s">
        <v>503</v>
      </c>
      <c r="E24" s="31">
        <v>25</v>
      </c>
      <c r="F24" s="19">
        <v>25</v>
      </c>
      <c r="G24" s="16">
        <v>0</v>
      </c>
      <c r="H24" s="3">
        <v>0</v>
      </c>
      <c r="I24" s="4">
        <v>1</v>
      </c>
      <c r="J24" s="1"/>
      <c r="K24" s="13" t="s">
        <v>129</v>
      </c>
      <c r="L24" s="2"/>
    </row>
    <row r="25" spans="1:12" ht="20.100000000000001" customHeight="1">
      <c r="A25" s="11" t="s">
        <v>421</v>
      </c>
      <c r="B25" s="2" t="s">
        <v>39</v>
      </c>
      <c r="C25" s="15" t="s">
        <v>223</v>
      </c>
      <c r="D25" s="11" t="s">
        <v>504</v>
      </c>
      <c r="E25" s="31">
        <v>25</v>
      </c>
      <c r="F25" s="19">
        <v>25</v>
      </c>
      <c r="G25" s="16">
        <v>0</v>
      </c>
      <c r="H25" s="3">
        <v>0</v>
      </c>
      <c r="I25" s="4">
        <v>1</v>
      </c>
      <c r="J25" s="1"/>
      <c r="K25" s="13" t="s">
        <v>129</v>
      </c>
      <c r="L25" s="2"/>
    </row>
    <row r="26" spans="1:12" ht="20.100000000000001" customHeight="1">
      <c r="A26" s="11" t="s">
        <v>421</v>
      </c>
      <c r="B26" s="2" t="s">
        <v>39</v>
      </c>
      <c r="C26" s="15" t="s">
        <v>223</v>
      </c>
      <c r="D26" s="11" t="s">
        <v>505</v>
      </c>
      <c r="E26" s="31">
        <v>25</v>
      </c>
      <c r="F26" s="3">
        <v>12</v>
      </c>
      <c r="G26" s="3">
        <v>13</v>
      </c>
      <c r="H26" s="3">
        <v>0</v>
      </c>
      <c r="I26" s="4">
        <v>1</v>
      </c>
      <c r="J26" s="1"/>
      <c r="K26" s="13" t="s">
        <v>129</v>
      </c>
      <c r="L26" s="2"/>
    </row>
    <row r="27" spans="1:12" ht="20.100000000000001" customHeight="1">
      <c r="A27" s="11" t="s">
        <v>421</v>
      </c>
      <c r="B27" s="2" t="s">
        <v>39</v>
      </c>
      <c r="C27" s="15" t="s">
        <v>223</v>
      </c>
      <c r="D27" s="11" t="s">
        <v>506</v>
      </c>
      <c r="E27" s="31">
        <v>25</v>
      </c>
      <c r="F27" s="3">
        <v>25</v>
      </c>
      <c r="G27" s="3">
        <v>0</v>
      </c>
      <c r="H27" s="3">
        <v>0</v>
      </c>
      <c r="I27" s="4">
        <v>1</v>
      </c>
      <c r="J27" s="1"/>
      <c r="K27" s="13" t="s">
        <v>129</v>
      </c>
      <c r="L27" s="2"/>
    </row>
    <row r="28" spans="1:12" ht="20.100000000000001" customHeight="1">
      <c r="A28" s="11" t="s">
        <v>421</v>
      </c>
      <c r="B28" s="2" t="s">
        <v>39</v>
      </c>
      <c r="C28" s="15" t="s">
        <v>223</v>
      </c>
      <c r="D28" s="11" t="s">
        <v>507</v>
      </c>
      <c r="E28" s="31">
        <v>25</v>
      </c>
      <c r="F28" s="3">
        <v>20</v>
      </c>
      <c r="G28" s="3">
        <v>5</v>
      </c>
      <c r="H28" s="3">
        <v>0</v>
      </c>
      <c r="I28" s="4">
        <v>1</v>
      </c>
      <c r="J28" s="1"/>
      <c r="K28" s="13" t="s">
        <v>129</v>
      </c>
      <c r="L28" s="2"/>
    </row>
    <row r="29" spans="1:12" ht="20.100000000000001" customHeight="1">
      <c r="A29" s="11" t="s">
        <v>421</v>
      </c>
      <c r="B29" s="2" t="s">
        <v>39</v>
      </c>
      <c r="C29" s="15" t="s">
        <v>223</v>
      </c>
      <c r="D29" s="11" t="s">
        <v>508</v>
      </c>
      <c r="E29" s="31">
        <v>25</v>
      </c>
      <c r="F29" s="3">
        <v>16</v>
      </c>
      <c r="G29" s="3">
        <v>9</v>
      </c>
      <c r="H29" s="3">
        <v>0</v>
      </c>
      <c r="I29" s="4">
        <v>1</v>
      </c>
      <c r="J29" s="1"/>
      <c r="K29" s="13" t="s">
        <v>129</v>
      </c>
      <c r="L29" s="2"/>
    </row>
    <row r="30" spans="1:12" ht="20.100000000000001" customHeight="1">
      <c r="A30" s="11" t="s">
        <v>421</v>
      </c>
      <c r="B30" s="2" t="s">
        <v>39</v>
      </c>
      <c r="C30" s="15" t="s">
        <v>223</v>
      </c>
      <c r="D30" s="11" t="s">
        <v>509</v>
      </c>
      <c r="E30" s="31">
        <v>25</v>
      </c>
      <c r="F30" s="3">
        <v>18</v>
      </c>
      <c r="G30" s="3">
        <v>7</v>
      </c>
      <c r="H30" s="3">
        <v>0</v>
      </c>
      <c r="I30" s="4">
        <v>1</v>
      </c>
      <c r="J30" s="1"/>
      <c r="K30" s="13" t="s">
        <v>129</v>
      </c>
      <c r="L30" s="2"/>
    </row>
    <row r="31" spans="1:12" ht="20.100000000000001" customHeight="1">
      <c r="A31" s="11" t="s">
        <v>421</v>
      </c>
      <c r="B31" s="2" t="s">
        <v>39</v>
      </c>
      <c r="C31" s="15" t="s">
        <v>223</v>
      </c>
      <c r="D31" s="11" t="s">
        <v>510</v>
      </c>
      <c r="E31" s="31">
        <v>25</v>
      </c>
      <c r="F31" s="3">
        <v>25</v>
      </c>
      <c r="G31" s="3">
        <v>0</v>
      </c>
      <c r="H31" s="3">
        <v>0</v>
      </c>
      <c r="I31" s="4">
        <v>1</v>
      </c>
      <c r="J31" s="1"/>
      <c r="K31" s="13" t="s">
        <v>129</v>
      </c>
      <c r="L31" s="2"/>
    </row>
    <row r="32" spans="1:12" ht="20.100000000000001" customHeight="1">
      <c r="A32" s="48" t="s">
        <v>24</v>
      </c>
      <c r="B32" s="49"/>
      <c r="C32" s="49"/>
      <c r="D32" s="50"/>
      <c r="E32" s="7">
        <v>675</v>
      </c>
      <c r="F32" s="7">
        <v>614</v>
      </c>
      <c r="G32" s="7">
        <v>61</v>
      </c>
      <c r="H32" s="8"/>
      <c r="I32" s="9"/>
      <c r="J32" s="9"/>
      <c r="K32" s="12"/>
      <c r="L32" s="10"/>
    </row>
    <row r="33" spans="1:12" ht="20.100000000000001" customHeight="1">
      <c r="A33" s="51" t="s">
        <v>25</v>
      </c>
      <c r="B33" s="52"/>
      <c r="C33" s="53"/>
      <c r="D33" s="51" t="s">
        <v>26</v>
      </c>
      <c r="E33" s="52"/>
      <c r="F33" s="52"/>
      <c r="G33" s="53"/>
      <c r="H33" s="51" t="s">
        <v>27</v>
      </c>
      <c r="I33" s="52"/>
      <c r="J33" s="52"/>
      <c r="K33" s="53"/>
      <c r="L33" s="10"/>
    </row>
    <row r="34" spans="1:12" ht="20.100000000000001" customHeight="1"/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2:D32"/>
    <mergeCell ref="A33:C33"/>
    <mergeCell ref="D33:G33"/>
    <mergeCell ref="H33:K33"/>
  </mergeCells>
  <phoneticPr fontId="5" type="noConversion"/>
  <dataValidations count="1">
    <dataValidation type="list" allowBlank="1" sqref="B5:B31" xr:uid="{9F0911BD-BA01-469F-AACB-848F02CA343F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88A5-02EE-422F-ACB7-56492E1959A7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B21" sqref="B21:D24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469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468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468</v>
      </c>
      <c r="B5" s="2" t="s">
        <v>39</v>
      </c>
      <c r="C5" s="15" t="s">
        <v>223</v>
      </c>
      <c r="D5" s="11" t="s">
        <v>470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468</v>
      </c>
      <c r="B6" s="2" t="s">
        <v>39</v>
      </c>
      <c r="C6" s="15" t="s">
        <v>223</v>
      </c>
      <c r="D6" s="11" t="s">
        <v>471</v>
      </c>
      <c r="E6" s="31">
        <v>25</v>
      </c>
      <c r="F6" s="19">
        <v>15</v>
      </c>
      <c r="G6" s="16">
        <v>10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421</v>
      </c>
      <c r="B7" s="2" t="s">
        <v>39</v>
      </c>
      <c r="C7" s="15" t="s">
        <v>223</v>
      </c>
      <c r="D7" s="11" t="s">
        <v>472</v>
      </c>
      <c r="E7" s="31">
        <v>25</v>
      </c>
      <c r="F7" s="19">
        <v>25</v>
      </c>
      <c r="G7" s="16">
        <v>0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421</v>
      </c>
      <c r="B8" s="2" t="s">
        <v>39</v>
      </c>
      <c r="C8" s="15" t="s">
        <v>223</v>
      </c>
      <c r="D8" s="11" t="s">
        <v>473</v>
      </c>
      <c r="E8" s="31">
        <v>25</v>
      </c>
      <c r="F8" s="19">
        <v>25</v>
      </c>
      <c r="G8" s="16">
        <v>0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421</v>
      </c>
      <c r="B9" s="2" t="s">
        <v>39</v>
      </c>
      <c r="C9" s="15" t="s">
        <v>223</v>
      </c>
      <c r="D9" s="11" t="s">
        <v>474</v>
      </c>
      <c r="E9" s="31">
        <v>25</v>
      </c>
      <c r="F9" s="19">
        <v>25</v>
      </c>
      <c r="G9" s="16">
        <v>0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421</v>
      </c>
      <c r="B10" s="2" t="s">
        <v>39</v>
      </c>
      <c r="C10" s="15" t="s">
        <v>223</v>
      </c>
      <c r="D10" s="11" t="s">
        <v>475</v>
      </c>
      <c r="E10" s="31">
        <v>25</v>
      </c>
      <c r="F10" s="19">
        <v>25</v>
      </c>
      <c r="G10" s="16">
        <v>0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421</v>
      </c>
      <c r="B11" s="2" t="s">
        <v>39</v>
      </c>
      <c r="C11" s="15" t="s">
        <v>223</v>
      </c>
      <c r="D11" s="11" t="s">
        <v>476</v>
      </c>
      <c r="E11" s="31">
        <v>25</v>
      </c>
      <c r="F11" s="19">
        <v>25</v>
      </c>
      <c r="G11" s="16">
        <v>0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421</v>
      </c>
      <c r="B12" s="2" t="s">
        <v>39</v>
      </c>
      <c r="C12" s="15" t="s">
        <v>223</v>
      </c>
      <c r="D12" s="11" t="s">
        <v>477</v>
      </c>
      <c r="E12" s="31">
        <v>25</v>
      </c>
      <c r="F12" s="19">
        <v>23</v>
      </c>
      <c r="G12" s="3">
        <v>2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421</v>
      </c>
      <c r="B13" s="2" t="s">
        <v>39</v>
      </c>
      <c r="C13" s="15" t="s">
        <v>223</v>
      </c>
      <c r="D13" s="11" t="s">
        <v>478</v>
      </c>
      <c r="E13" s="31">
        <v>25</v>
      </c>
      <c r="F13" s="3">
        <v>25</v>
      </c>
      <c r="G13" s="3">
        <v>0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337</v>
      </c>
      <c r="B14" s="2"/>
      <c r="C14" s="15"/>
      <c r="D14" s="11"/>
      <c r="E14" s="31">
        <v>225</v>
      </c>
      <c r="F14" s="19">
        <v>213</v>
      </c>
      <c r="G14" s="16">
        <v>12</v>
      </c>
      <c r="H14" s="3"/>
      <c r="I14" s="4"/>
      <c r="J14" s="2"/>
      <c r="K14" s="13"/>
      <c r="L14" s="2"/>
    </row>
    <row r="15" spans="1:28" ht="20.100000000000001" customHeight="1">
      <c r="A15" s="11" t="s">
        <v>421</v>
      </c>
      <c r="B15" s="2" t="s">
        <v>39</v>
      </c>
      <c r="C15" s="15" t="s">
        <v>223</v>
      </c>
      <c r="D15" s="11" t="s">
        <v>479</v>
      </c>
      <c r="E15" s="31">
        <v>25</v>
      </c>
      <c r="F15" s="19">
        <v>25</v>
      </c>
      <c r="G15" s="16">
        <v>0</v>
      </c>
      <c r="H15" s="3">
        <v>0</v>
      </c>
      <c r="I15" s="4">
        <v>1</v>
      </c>
      <c r="J15" s="2"/>
      <c r="K15" s="13" t="s">
        <v>129</v>
      </c>
      <c r="L15" s="2"/>
    </row>
    <row r="16" spans="1:28" ht="20.100000000000001" customHeight="1">
      <c r="A16" s="11" t="s">
        <v>421</v>
      </c>
      <c r="B16" s="2" t="s">
        <v>39</v>
      </c>
      <c r="C16" s="15" t="s">
        <v>223</v>
      </c>
      <c r="D16" s="11" t="s">
        <v>480</v>
      </c>
      <c r="E16" s="31">
        <v>25</v>
      </c>
      <c r="F16" s="19">
        <v>10</v>
      </c>
      <c r="G16" s="16">
        <v>15</v>
      </c>
      <c r="H16" s="3">
        <v>0</v>
      </c>
      <c r="I16" s="4">
        <v>1</v>
      </c>
      <c r="J16" s="1"/>
      <c r="K16" s="13" t="s">
        <v>129</v>
      </c>
      <c r="L16" s="2"/>
    </row>
    <row r="17" spans="1:12" ht="20.100000000000001" customHeight="1">
      <c r="A17" s="11" t="s">
        <v>421</v>
      </c>
      <c r="B17" s="2" t="s">
        <v>39</v>
      </c>
      <c r="C17" s="15" t="s">
        <v>223</v>
      </c>
      <c r="D17" s="11" t="s">
        <v>481</v>
      </c>
      <c r="E17" s="31">
        <v>25</v>
      </c>
      <c r="F17" s="19">
        <v>25</v>
      </c>
      <c r="G17" s="16">
        <v>0</v>
      </c>
      <c r="H17" s="3">
        <v>0</v>
      </c>
      <c r="I17" s="4">
        <v>1</v>
      </c>
      <c r="J17" s="1"/>
      <c r="K17" s="13" t="s">
        <v>129</v>
      </c>
      <c r="L17" s="2"/>
    </row>
    <row r="18" spans="1:12" ht="20.100000000000001" customHeight="1">
      <c r="A18" s="11" t="s">
        <v>421</v>
      </c>
      <c r="B18" s="2" t="s">
        <v>39</v>
      </c>
      <c r="C18" s="15" t="s">
        <v>223</v>
      </c>
      <c r="D18" s="11" t="s">
        <v>482</v>
      </c>
      <c r="E18" s="31">
        <v>25</v>
      </c>
      <c r="F18" s="19">
        <v>19</v>
      </c>
      <c r="G18" s="16">
        <v>6</v>
      </c>
      <c r="H18" s="3">
        <v>0</v>
      </c>
      <c r="I18" s="4">
        <v>1</v>
      </c>
      <c r="J18" s="1"/>
      <c r="K18" s="13" t="s">
        <v>129</v>
      </c>
      <c r="L18" s="2"/>
    </row>
    <row r="19" spans="1:12" ht="20.100000000000001" customHeight="1">
      <c r="A19" s="11" t="s">
        <v>421</v>
      </c>
      <c r="B19" s="2" t="s">
        <v>39</v>
      </c>
      <c r="C19" s="15" t="s">
        <v>223</v>
      </c>
      <c r="D19" s="11" t="s">
        <v>483</v>
      </c>
      <c r="E19" s="31">
        <v>25</v>
      </c>
      <c r="F19" s="19">
        <v>25</v>
      </c>
      <c r="G19" s="16">
        <v>0</v>
      </c>
      <c r="H19" s="3">
        <v>0</v>
      </c>
      <c r="I19" s="4">
        <v>1</v>
      </c>
      <c r="J19" s="1"/>
      <c r="K19" s="13" t="s">
        <v>129</v>
      </c>
      <c r="L19" s="2"/>
    </row>
    <row r="20" spans="1:12" ht="20.100000000000001" customHeight="1">
      <c r="A20" s="11" t="s">
        <v>337</v>
      </c>
      <c r="B20" s="2"/>
      <c r="C20" s="15"/>
      <c r="D20" s="11"/>
      <c r="E20" s="31">
        <v>125</v>
      </c>
      <c r="F20" s="19">
        <v>104</v>
      </c>
      <c r="G20" s="16">
        <v>21</v>
      </c>
      <c r="H20" s="3"/>
      <c r="I20" s="4"/>
      <c r="J20" s="1"/>
      <c r="K20" s="13"/>
      <c r="L20" s="2"/>
    </row>
    <row r="21" spans="1:12" ht="20.100000000000001" customHeight="1">
      <c r="A21" s="11" t="s">
        <v>468</v>
      </c>
      <c r="B21" s="2" t="s">
        <v>48</v>
      </c>
      <c r="C21" s="15" t="s">
        <v>223</v>
      </c>
      <c r="D21" s="11" t="s">
        <v>53</v>
      </c>
      <c r="E21" s="31">
        <v>112</v>
      </c>
      <c r="F21" s="3">
        <v>0</v>
      </c>
      <c r="G21" s="3">
        <v>112</v>
      </c>
      <c r="H21" s="3">
        <v>0</v>
      </c>
      <c r="I21" s="4">
        <v>1</v>
      </c>
      <c r="J21" s="1"/>
      <c r="K21" s="2" t="s">
        <v>129</v>
      </c>
      <c r="L21" s="2"/>
    </row>
    <row r="22" spans="1:12" ht="20.100000000000001" customHeight="1">
      <c r="A22" s="11" t="s">
        <v>468</v>
      </c>
      <c r="B22" s="2" t="s">
        <v>50</v>
      </c>
      <c r="C22" s="15" t="s">
        <v>223</v>
      </c>
      <c r="D22" s="11" t="s">
        <v>53</v>
      </c>
      <c r="E22" s="31">
        <v>112</v>
      </c>
      <c r="F22" s="3">
        <v>0</v>
      </c>
      <c r="G22" s="3">
        <v>112</v>
      </c>
      <c r="H22" s="3">
        <v>0</v>
      </c>
      <c r="I22" s="4">
        <v>1</v>
      </c>
      <c r="J22" s="1"/>
      <c r="K22" s="2" t="s">
        <v>129</v>
      </c>
      <c r="L22" s="2"/>
    </row>
    <row r="23" spans="1:12" ht="20.100000000000001" customHeight="1">
      <c r="A23" s="11" t="s">
        <v>468</v>
      </c>
      <c r="B23" s="2" t="s">
        <v>2</v>
      </c>
      <c r="C23" s="15" t="s">
        <v>223</v>
      </c>
      <c r="D23" s="11" t="s">
        <v>53</v>
      </c>
      <c r="E23" s="31">
        <v>112</v>
      </c>
      <c r="F23" s="3">
        <v>0</v>
      </c>
      <c r="G23" s="3">
        <v>112</v>
      </c>
      <c r="H23" s="3">
        <v>0</v>
      </c>
      <c r="I23" s="4">
        <v>1</v>
      </c>
      <c r="J23" s="1"/>
      <c r="K23" s="2" t="s">
        <v>89</v>
      </c>
      <c r="L23" s="2"/>
    </row>
    <row r="24" spans="1:12" ht="20.100000000000001" customHeight="1">
      <c r="A24" s="11" t="s">
        <v>468</v>
      </c>
      <c r="B24" s="2" t="s">
        <v>52</v>
      </c>
      <c r="C24" s="15" t="s">
        <v>223</v>
      </c>
      <c r="D24" s="11" t="s">
        <v>53</v>
      </c>
      <c r="E24" s="31">
        <v>57</v>
      </c>
      <c r="F24" s="3">
        <v>0</v>
      </c>
      <c r="G24" s="3">
        <v>57</v>
      </c>
      <c r="H24" s="3">
        <v>0</v>
      </c>
      <c r="I24" s="4">
        <v>1</v>
      </c>
      <c r="J24" s="1"/>
      <c r="K24" s="2" t="s">
        <v>265</v>
      </c>
      <c r="L24" s="2"/>
    </row>
    <row r="25" spans="1:12" ht="20.100000000000001" customHeight="1">
      <c r="A25" s="11" t="s">
        <v>468</v>
      </c>
      <c r="B25" s="2" t="s">
        <v>38</v>
      </c>
      <c r="C25" s="15" t="s">
        <v>223</v>
      </c>
      <c r="D25" s="11" t="s">
        <v>53</v>
      </c>
      <c r="E25" s="31">
        <v>52</v>
      </c>
      <c r="F25" s="3">
        <v>0</v>
      </c>
      <c r="G25" s="3">
        <v>45</v>
      </c>
      <c r="H25" s="3">
        <v>7</v>
      </c>
      <c r="I25" s="4">
        <f>G25/E25</f>
        <v>0.86538461538461542</v>
      </c>
      <c r="J25" s="1"/>
      <c r="K25" s="2" t="s">
        <v>239</v>
      </c>
      <c r="L25" s="2"/>
    </row>
    <row r="26" spans="1:12" ht="20.100000000000001" customHeight="1">
      <c r="A26" s="11"/>
      <c r="B26" s="2"/>
      <c r="C26" s="15"/>
      <c r="D26" s="11"/>
      <c r="E26" s="31"/>
      <c r="F26" s="3"/>
      <c r="G26" s="3"/>
      <c r="H26" s="3"/>
      <c r="I26" s="4"/>
      <c r="J26" s="1"/>
      <c r="K26" s="2"/>
      <c r="L26" s="2"/>
    </row>
    <row r="27" spans="1:12" ht="20.100000000000001" customHeight="1">
      <c r="A27" s="11"/>
      <c r="B27" s="2"/>
      <c r="C27" s="15"/>
      <c r="D27" s="11"/>
      <c r="E27" s="31"/>
      <c r="F27" s="3"/>
      <c r="G27" s="3"/>
      <c r="H27" s="3"/>
      <c r="I27" s="4"/>
      <c r="J27" s="1"/>
      <c r="K27" s="2"/>
      <c r="L27" s="2"/>
    </row>
    <row r="28" spans="1:12" ht="20.100000000000001" customHeight="1">
      <c r="A28" s="11"/>
      <c r="B28" s="2"/>
      <c r="C28" s="15"/>
      <c r="D28" s="11"/>
      <c r="E28" s="31"/>
      <c r="F28" s="3"/>
      <c r="G28" s="3"/>
      <c r="H28" s="3"/>
      <c r="I28" s="4"/>
      <c r="J28" s="1"/>
      <c r="K28" s="2"/>
      <c r="L28" s="2"/>
    </row>
    <row r="29" spans="1:12" ht="20.100000000000001" customHeight="1">
      <c r="A29" s="11"/>
      <c r="B29" s="2"/>
      <c r="C29" s="15"/>
      <c r="D29" s="11"/>
      <c r="E29" s="31"/>
      <c r="F29" s="3"/>
      <c r="G29" s="3"/>
      <c r="H29" s="3"/>
      <c r="I29" s="4"/>
      <c r="J29" s="1"/>
      <c r="K29" s="2"/>
      <c r="L29" s="2"/>
    </row>
    <row r="30" spans="1:12" ht="20.100000000000001" customHeight="1">
      <c r="A30" s="48" t="s">
        <v>24</v>
      </c>
      <c r="B30" s="49"/>
      <c r="C30" s="49"/>
      <c r="D30" s="50"/>
      <c r="E30" s="7"/>
      <c r="F30" s="7"/>
      <c r="G30" s="7"/>
      <c r="H30" s="8" t="str">
        <f>IFERROR(F30/E30,"")</f>
        <v/>
      </c>
      <c r="I30" s="9"/>
      <c r="J30" s="9"/>
      <c r="K30" s="12"/>
      <c r="L30" s="10"/>
    </row>
    <row r="31" spans="1:12" ht="20.100000000000001" customHeight="1">
      <c r="A31" s="51" t="s">
        <v>25</v>
      </c>
      <c r="B31" s="52"/>
      <c r="C31" s="53"/>
      <c r="D31" s="51" t="s">
        <v>26</v>
      </c>
      <c r="E31" s="52"/>
      <c r="F31" s="52"/>
      <c r="G31" s="53"/>
      <c r="H31" s="51" t="s">
        <v>27</v>
      </c>
      <c r="I31" s="52"/>
      <c r="J31" s="52"/>
      <c r="K31" s="53"/>
      <c r="L31" s="10"/>
    </row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0:D30"/>
    <mergeCell ref="A31:C31"/>
    <mergeCell ref="D31:G31"/>
    <mergeCell ref="H31:K31"/>
  </mergeCells>
  <phoneticPr fontId="5" type="noConversion"/>
  <dataValidations count="1">
    <dataValidation type="list" allowBlank="1" sqref="B5:B29" xr:uid="{B7F1DC1C-702C-411F-B21E-EE8F44876307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53C8-5B59-44EA-A955-2157729C4AA7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I5" sqref="I5:I6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513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512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512</v>
      </c>
      <c r="B5" s="2" t="s">
        <v>39</v>
      </c>
      <c r="C5" s="15" t="s">
        <v>223</v>
      </c>
      <c r="D5" s="11" t="s">
        <v>514</v>
      </c>
      <c r="E5" s="31">
        <v>25</v>
      </c>
      <c r="F5" s="19">
        <v>25</v>
      </c>
      <c r="G5" s="16">
        <v>0</v>
      </c>
      <c r="H5" s="3">
        <v>0</v>
      </c>
      <c r="I5" s="4">
        <v>1</v>
      </c>
      <c r="J5" s="2"/>
      <c r="K5" s="13" t="s">
        <v>536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512</v>
      </c>
      <c r="B6" s="2" t="s">
        <v>39</v>
      </c>
      <c r="C6" s="15" t="s">
        <v>223</v>
      </c>
      <c r="D6" s="11" t="s">
        <v>515</v>
      </c>
      <c r="E6" s="31">
        <v>25</v>
      </c>
      <c r="F6" s="19">
        <v>25</v>
      </c>
      <c r="G6" s="16">
        <v>0</v>
      </c>
      <c r="H6" s="3">
        <v>0</v>
      </c>
      <c r="I6" s="4">
        <v>1</v>
      </c>
      <c r="J6" s="2"/>
      <c r="K6" s="13" t="s">
        <v>536</v>
      </c>
      <c r="L6" s="11"/>
      <c r="Z6" t="s">
        <v>38</v>
      </c>
    </row>
    <row r="7" spans="1:28" ht="20.100000000000001" customHeight="1">
      <c r="A7" s="11" t="s">
        <v>511</v>
      </c>
      <c r="B7" s="2" t="s">
        <v>39</v>
      </c>
      <c r="C7" s="15" t="s">
        <v>223</v>
      </c>
      <c r="D7" s="11" t="s">
        <v>516</v>
      </c>
      <c r="E7" s="31">
        <v>25</v>
      </c>
      <c r="F7" s="19">
        <v>25</v>
      </c>
      <c r="G7" s="16">
        <v>0</v>
      </c>
      <c r="H7" s="3">
        <v>0</v>
      </c>
      <c r="I7" s="4">
        <v>1</v>
      </c>
      <c r="J7" s="2"/>
      <c r="K7" s="13" t="s">
        <v>536</v>
      </c>
      <c r="L7" s="11"/>
    </row>
    <row r="8" spans="1:28" ht="20.100000000000001" customHeight="1">
      <c r="A8" s="11" t="s">
        <v>511</v>
      </c>
      <c r="B8" s="2" t="s">
        <v>39</v>
      </c>
      <c r="C8" s="15" t="s">
        <v>223</v>
      </c>
      <c r="D8" s="11" t="s">
        <v>517</v>
      </c>
      <c r="E8" s="31">
        <v>25</v>
      </c>
      <c r="F8" s="19">
        <v>11</v>
      </c>
      <c r="G8" s="16">
        <v>14</v>
      </c>
      <c r="H8" s="3">
        <v>0</v>
      </c>
      <c r="I8" s="4">
        <v>1</v>
      </c>
      <c r="J8" s="2"/>
      <c r="K8" s="13" t="s">
        <v>536</v>
      </c>
      <c r="L8" s="11"/>
    </row>
    <row r="9" spans="1:28" ht="20.100000000000001" customHeight="1">
      <c r="A9" s="11" t="s">
        <v>511</v>
      </c>
      <c r="B9" s="2" t="s">
        <v>39</v>
      </c>
      <c r="C9" s="15" t="s">
        <v>223</v>
      </c>
      <c r="D9" s="11" t="s">
        <v>518</v>
      </c>
      <c r="E9" s="31">
        <v>25</v>
      </c>
      <c r="F9" s="19">
        <v>25</v>
      </c>
      <c r="G9" s="16">
        <v>0</v>
      </c>
      <c r="H9" s="3">
        <v>0</v>
      </c>
      <c r="I9" s="4">
        <v>1</v>
      </c>
      <c r="J9" s="2"/>
      <c r="K9" s="13" t="s">
        <v>536</v>
      </c>
      <c r="L9" s="11"/>
    </row>
    <row r="10" spans="1:28" ht="20.100000000000001" customHeight="1">
      <c r="A10" s="11" t="s">
        <v>511</v>
      </c>
      <c r="B10" s="2" t="s">
        <v>39</v>
      </c>
      <c r="C10" s="15" t="s">
        <v>223</v>
      </c>
      <c r="D10" s="11" t="s">
        <v>519</v>
      </c>
      <c r="E10" s="31">
        <v>25</v>
      </c>
      <c r="F10" s="19">
        <v>11</v>
      </c>
      <c r="G10" s="16">
        <v>11</v>
      </c>
      <c r="H10" s="3">
        <v>3</v>
      </c>
      <c r="I10" s="4">
        <v>1</v>
      </c>
      <c r="J10" s="2" t="s">
        <v>537</v>
      </c>
      <c r="K10" s="13" t="s">
        <v>536</v>
      </c>
      <c r="L10" s="11"/>
    </row>
    <row r="11" spans="1:28" ht="20.100000000000001" customHeight="1">
      <c r="A11" s="11" t="s">
        <v>511</v>
      </c>
      <c r="B11" s="2" t="s">
        <v>39</v>
      </c>
      <c r="C11" s="15" t="s">
        <v>223</v>
      </c>
      <c r="D11" s="11" t="s">
        <v>520</v>
      </c>
      <c r="E11" s="31">
        <v>25</v>
      </c>
      <c r="F11" s="19">
        <v>2</v>
      </c>
      <c r="G11" s="16">
        <v>23</v>
      </c>
      <c r="H11" s="3">
        <v>0</v>
      </c>
      <c r="I11" s="4">
        <v>1</v>
      </c>
      <c r="J11" s="2"/>
      <c r="K11" s="13" t="s">
        <v>536</v>
      </c>
      <c r="L11" s="11"/>
    </row>
    <row r="12" spans="1:28" ht="20.100000000000001" customHeight="1">
      <c r="A12" s="11" t="s">
        <v>511</v>
      </c>
      <c r="B12" s="2" t="s">
        <v>39</v>
      </c>
      <c r="C12" s="15" t="s">
        <v>223</v>
      </c>
      <c r="D12" s="11" t="s">
        <v>521</v>
      </c>
      <c r="E12" s="31">
        <v>25</v>
      </c>
      <c r="F12" s="19">
        <v>24</v>
      </c>
      <c r="G12" s="16">
        <v>1</v>
      </c>
      <c r="H12" s="3">
        <v>0</v>
      </c>
      <c r="I12" s="4">
        <v>1</v>
      </c>
      <c r="J12" s="2"/>
      <c r="K12" s="13" t="s">
        <v>536</v>
      </c>
      <c r="L12" s="18"/>
    </row>
    <row r="13" spans="1:28" ht="20.100000000000001" customHeight="1">
      <c r="A13" s="11" t="s">
        <v>511</v>
      </c>
      <c r="B13" s="2" t="s">
        <v>39</v>
      </c>
      <c r="C13" s="15" t="s">
        <v>223</v>
      </c>
      <c r="D13" s="11" t="s">
        <v>522</v>
      </c>
      <c r="E13" s="31">
        <v>25</v>
      </c>
      <c r="F13" s="19">
        <v>25</v>
      </c>
      <c r="G13" s="16">
        <v>0</v>
      </c>
      <c r="H13" s="3">
        <v>0</v>
      </c>
      <c r="I13" s="4">
        <v>1</v>
      </c>
      <c r="J13" s="2"/>
      <c r="K13" s="13" t="s">
        <v>536</v>
      </c>
      <c r="L13" s="2"/>
    </row>
    <row r="14" spans="1:28" ht="20.100000000000001" customHeight="1">
      <c r="A14" s="11" t="s">
        <v>511</v>
      </c>
      <c r="B14" s="2" t="s">
        <v>39</v>
      </c>
      <c r="C14" s="15" t="s">
        <v>223</v>
      </c>
      <c r="D14" s="11" t="s">
        <v>523</v>
      </c>
      <c r="E14" s="31">
        <v>25</v>
      </c>
      <c r="F14" s="19">
        <v>14</v>
      </c>
      <c r="G14" s="16">
        <v>11</v>
      </c>
      <c r="H14" s="3">
        <v>0</v>
      </c>
      <c r="I14" s="4">
        <v>1</v>
      </c>
      <c r="J14" s="2"/>
      <c r="K14" s="13" t="s">
        <v>536</v>
      </c>
      <c r="L14" s="2"/>
    </row>
    <row r="15" spans="1:28" ht="20.100000000000001" customHeight="1">
      <c r="A15" s="11" t="s">
        <v>511</v>
      </c>
      <c r="B15" s="2" t="s">
        <v>39</v>
      </c>
      <c r="C15" s="15" t="s">
        <v>223</v>
      </c>
      <c r="D15" s="11" t="s">
        <v>524</v>
      </c>
      <c r="E15" s="31">
        <v>25</v>
      </c>
      <c r="F15" s="19">
        <v>13</v>
      </c>
      <c r="G15" s="16">
        <v>12</v>
      </c>
      <c r="H15" s="3">
        <v>0</v>
      </c>
      <c r="I15" s="4">
        <v>1</v>
      </c>
      <c r="J15" s="2"/>
      <c r="K15" s="13" t="s">
        <v>536</v>
      </c>
      <c r="L15" s="2"/>
    </row>
    <row r="16" spans="1:28" ht="20.100000000000001" customHeight="1">
      <c r="A16" s="11" t="s">
        <v>511</v>
      </c>
      <c r="B16" s="2" t="s">
        <v>39</v>
      </c>
      <c r="C16" s="15" t="s">
        <v>223</v>
      </c>
      <c r="D16" s="11" t="s">
        <v>525</v>
      </c>
      <c r="E16" s="31">
        <v>25</v>
      </c>
      <c r="F16" s="19">
        <v>12</v>
      </c>
      <c r="G16" s="16">
        <v>13</v>
      </c>
      <c r="H16" s="3">
        <v>0</v>
      </c>
      <c r="I16" s="4">
        <v>1</v>
      </c>
      <c r="J16" s="1"/>
      <c r="K16" s="13" t="s">
        <v>536</v>
      </c>
      <c r="L16" s="2"/>
    </row>
    <row r="17" spans="1:12" ht="20.100000000000001" customHeight="1">
      <c r="A17" s="11" t="s">
        <v>511</v>
      </c>
      <c r="B17" s="2" t="s">
        <v>39</v>
      </c>
      <c r="C17" s="15" t="s">
        <v>223</v>
      </c>
      <c r="D17" s="11" t="s">
        <v>526</v>
      </c>
      <c r="E17" s="31">
        <v>25</v>
      </c>
      <c r="F17" s="19">
        <v>21</v>
      </c>
      <c r="G17" s="16">
        <v>4</v>
      </c>
      <c r="H17" s="3">
        <v>0</v>
      </c>
      <c r="I17" s="4">
        <v>1</v>
      </c>
      <c r="J17" s="1"/>
      <c r="K17" s="13" t="s">
        <v>536</v>
      </c>
      <c r="L17" s="2"/>
    </row>
    <row r="18" spans="1:12" ht="20.100000000000001" customHeight="1">
      <c r="A18" s="11" t="s">
        <v>511</v>
      </c>
      <c r="B18" s="2" t="s">
        <v>39</v>
      </c>
      <c r="C18" s="15" t="s">
        <v>223</v>
      </c>
      <c r="D18" s="11" t="s">
        <v>527</v>
      </c>
      <c r="E18" s="31">
        <v>25</v>
      </c>
      <c r="F18" s="19">
        <v>23</v>
      </c>
      <c r="G18" s="16">
        <v>2</v>
      </c>
      <c r="H18" s="3">
        <v>0</v>
      </c>
      <c r="I18" s="4">
        <v>1</v>
      </c>
      <c r="J18" s="1"/>
      <c r="K18" s="13" t="s">
        <v>536</v>
      </c>
      <c r="L18" s="2"/>
    </row>
    <row r="19" spans="1:12" ht="20.100000000000001" customHeight="1">
      <c r="A19" s="11" t="s">
        <v>511</v>
      </c>
      <c r="B19" s="2" t="s">
        <v>39</v>
      </c>
      <c r="C19" s="15" t="s">
        <v>223</v>
      </c>
      <c r="D19" s="11" t="s">
        <v>528</v>
      </c>
      <c r="E19" s="31">
        <v>25</v>
      </c>
      <c r="F19" s="19">
        <v>24</v>
      </c>
      <c r="G19" s="16">
        <v>1</v>
      </c>
      <c r="H19" s="3">
        <v>0</v>
      </c>
      <c r="I19" s="4">
        <v>1</v>
      </c>
      <c r="J19" s="1"/>
      <c r="K19" s="13" t="s">
        <v>536</v>
      </c>
      <c r="L19" s="2"/>
    </row>
    <row r="20" spans="1:12" ht="20.100000000000001" customHeight="1">
      <c r="A20" s="11" t="s">
        <v>511</v>
      </c>
      <c r="B20" s="2" t="s">
        <v>39</v>
      </c>
      <c r="C20" s="15" t="s">
        <v>223</v>
      </c>
      <c r="D20" s="11" t="s">
        <v>529</v>
      </c>
      <c r="E20" s="31">
        <v>25</v>
      </c>
      <c r="F20" s="19">
        <v>25</v>
      </c>
      <c r="G20" s="16">
        <v>0</v>
      </c>
      <c r="H20" s="3">
        <v>0</v>
      </c>
      <c r="I20" s="4">
        <v>1</v>
      </c>
      <c r="J20" s="1"/>
      <c r="K20" s="13" t="s">
        <v>536</v>
      </c>
      <c r="L20" s="2"/>
    </row>
    <row r="21" spans="1:12" ht="20.100000000000001" customHeight="1">
      <c r="A21" s="11" t="s">
        <v>511</v>
      </c>
      <c r="B21" s="2" t="s">
        <v>39</v>
      </c>
      <c r="C21" s="15" t="s">
        <v>223</v>
      </c>
      <c r="D21" s="11" t="s">
        <v>530</v>
      </c>
      <c r="E21" s="31">
        <v>25</v>
      </c>
      <c r="F21" s="19">
        <v>17</v>
      </c>
      <c r="G21" s="16">
        <v>8</v>
      </c>
      <c r="H21" s="3">
        <v>0</v>
      </c>
      <c r="I21" s="4">
        <v>1</v>
      </c>
      <c r="J21" s="1"/>
      <c r="K21" s="13" t="s">
        <v>536</v>
      </c>
      <c r="L21" s="2"/>
    </row>
    <row r="22" spans="1:12" ht="20.100000000000001" customHeight="1">
      <c r="A22" s="11" t="s">
        <v>511</v>
      </c>
      <c r="B22" s="2" t="s">
        <v>39</v>
      </c>
      <c r="C22" s="15" t="s">
        <v>223</v>
      </c>
      <c r="D22" s="11" t="s">
        <v>531</v>
      </c>
      <c r="E22" s="31">
        <v>25</v>
      </c>
      <c r="F22" s="19">
        <v>13</v>
      </c>
      <c r="G22" s="16">
        <v>12</v>
      </c>
      <c r="H22" s="3">
        <v>0</v>
      </c>
      <c r="I22" s="4">
        <v>1</v>
      </c>
      <c r="J22" s="1"/>
      <c r="K22" s="13" t="s">
        <v>536</v>
      </c>
      <c r="L22" s="2"/>
    </row>
    <row r="23" spans="1:12" ht="20.100000000000001" customHeight="1">
      <c r="A23" s="11" t="s">
        <v>511</v>
      </c>
      <c r="B23" s="2" t="s">
        <v>39</v>
      </c>
      <c r="C23" s="15" t="s">
        <v>223</v>
      </c>
      <c r="D23" s="11" t="s">
        <v>532</v>
      </c>
      <c r="E23" s="31">
        <v>25</v>
      </c>
      <c r="F23" s="19">
        <v>25</v>
      </c>
      <c r="G23" s="16">
        <v>0</v>
      </c>
      <c r="H23" s="3">
        <v>0</v>
      </c>
      <c r="I23" s="4">
        <v>1</v>
      </c>
      <c r="J23" s="1"/>
      <c r="K23" s="13" t="s">
        <v>536</v>
      </c>
      <c r="L23" s="2"/>
    </row>
    <row r="24" spans="1:12" ht="20.100000000000001" customHeight="1">
      <c r="A24" s="11" t="s">
        <v>511</v>
      </c>
      <c r="B24" s="2" t="s">
        <v>39</v>
      </c>
      <c r="C24" s="15" t="s">
        <v>223</v>
      </c>
      <c r="D24" s="11" t="s">
        <v>533</v>
      </c>
      <c r="E24" s="31">
        <v>25</v>
      </c>
      <c r="F24" s="19">
        <v>25</v>
      </c>
      <c r="G24" s="16">
        <v>0</v>
      </c>
      <c r="H24" s="3">
        <v>0</v>
      </c>
      <c r="I24" s="4">
        <v>1</v>
      </c>
      <c r="J24" s="1"/>
      <c r="K24" s="13" t="s">
        <v>536</v>
      </c>
      <c r="L24" s="2"/>
    </row>
    <row r="25" spans="1:12" ht="20.100000000000001" customHeight="1">
      <c r="A25" s="11" t="s">
        <v>511</v>
      </c>
      <c r="B25" s="2" t="s">
        <v>39</v>
      </c>
      <c r="C25" s="15" t="s">
        <v>223</v>
      </c>
      <c r="D25" s="11" t="s">
        <v>534</v>
      </c>
      <c r="E25" s="31">
        <v>25</v>
      </c>
      <c r="F25" s="19">
        <v>25</v>
      </c>
      <c r="G25" s="16">
        <v>0</v>
      </c>
      <c r="H25" s="3">
        <v>0</v>
      </c>
      <c r="I25" s="4">
        <v>1</v>
      </c>
      <c r="J25" s="1"/>
      <c r="K25" s="13" t="s">
        <v>536</v>
      </c>
      <c r="L25" s="2"/>
    </row>
    <row r="26" spans="1:12" ht="20.100000000000001" customHeight="1">
      <c r="A26" s="11" t="s">
        <v>511</v>
      </c>
      <c r="B26" s="2" t="s">
        <v>39</v>
      </c>
      <c r="C26" s="15" t="s">
        <v>223</v>
      </c>
      <c r="D26" s="11" t="s">
        <v>535</v>
      </c>
      <c r="E26" s="31">
        <v>25</v>
      </c>
      <c r="F26" s="3">
        <v>24</v>
      </c>
      <c r="G26" s="3">
        <v>0</v>
      </c>
      <c r="H26" s="3">
        <v>1</v>
      </c>
      <c r="I26" s="4">
        <v>1</v>
      </c>
      <c r="J26" s="2" t="s">
        <v>538</v>
      </c>
      <c r="K26" s="13" t="s">
        <v>536</v>
      </c>
      <c r="L26" s="2"/>
    </row>
    <row r="27" spans="1:12" ht="20.100000000000001" customHeight="1">
      <c r="A27" s="11" t="s">
        <v>337</v>
      </c>
      <c r="B27" s="2"/>
      <c r="C27" s="15"/>
      <c r="D27" s="11"/>
      <c r="E27" s="31">
        <v>550</v>
      </c>
      <c r="F27" s="3">
        <v>434</v>
      </c>
      <c r="G27" s="3">
        <v>112</v>
      </c>
      <c r="H27" s="3">
        <v>4</v>
      </c>
      <c r="I27" s="4"/>
      <c r="J27" s="1"/>
      <c r="K27" s="13"/>
      <c r="L27" s="2"/>
    </row>
    <row r="28" spans="1:12" ht="20.100000000000001" customHeight="1">
      <c r="A28" s="11" t="s">
        <v>511</v>
      </c>
      <c r="B28" s="2" t="s">
        <v>48</v>
      </c>
      <c r="C28" s="15" t="s">
        <v>223</v>
      </c>
      <c r="D28" s="11" t="s">
        <v>53</v>
      </c>
      <c r="E28" s="31">
        <v>112</v>
      </c>
      <c r="F28" s="3">
        <v>0</v>
      </c>
      <c r="G28" s="3">
        <v>112</v>
      </c>
      <c r="H28" s="3">
        <v>0</v>
      </c>
      <c r="I28" s="4">
        <v>1</v>
      </c>
      <c r="J28" s="1"/>
      <c r="K28" s="13" t="s">
        <v>129</v>
      </c>
      <c r="L28" s="2"/>
    </row>
    <row r="29" spans="1:12" ht="20.100000000000001" customHeight="1">
      <c r="A29" s="11" t="s">
        <v>511</v>
      </c>
      <c r="B29" s="2" t="s">
        <v>50</v>
      </c>
      <c r="C29" s="15" t="s">
        <v>223</v>
      </c>
      <c r="D29" s="11" t="s">
        <v>53</v>
      </c>
      <c r="E29" s="31">
        <v>112</v>
      </c>
      <c r="F29" s="3">
        <v>0</v>
      </c>
      <c r="G29" s="3">
        <v>112</v>
      </c>
      <c r="H29" s="3">
        <v>0</v>
      </c>
      <c r="I29" s="4">
        <v>1</v>
      </c>
      <c r="J29" s="1"/>
      <c r="K29" s="13" t="s">
        <v>129</v>
      </c>
      <c r="L29" s="2"/>
    </row>
    <row r="30" spans="1:12" ht="20.100000000000001" customHeight="1">
      <c r="A30" s="11" t="s">
        <v>511</v>
      </c>
      <c r="B30" s="2" t="s">
        <v>2</v>
      </c>
      <c r="C30" s="15" t="s">
        <v>223</v>
      </c>
      <c r="D30" s="11" t="s">
        <v>53</v>
      </c>
      <c r="E30" s="31">
        <v>112</v>
      </c>
      <c r="F30" s="3">
        <v>0</v>
      </c>
      <c r="G30" s="3">
        <v>112</v>
      </c>
      <c r="H30" s="3">
        <v>0</v>
      </c>
      <c r="I30" s="4">
        <v>1</v>
      </c>
      <c r="J30" s="1"/>
      <c r="K30" s="13" t="s">
        <v>89</v>
      </c>
      <c r="L30" s="2"/>
    </row>
    <row r="31" spans="1:12" ht="20.100000000000001" customHeight="1">
      <c r="A31" s="11" t="s">
        <v>511</v>
      </c>
      <c r="B31" s="2" t="s">
        <v>52</v>
      </c>
      <c r="C31" s="15" t="s">
        <v>223</v>
      </c>
      <c r="D31" s="11" t="s">
        <v>53</v>
      </c>
      <c r="E31" s="31">
        <v>206</v>
      </c>
      <c r="F31" s="3">
        <v>0</v>
      </c>
      <c r="G31" s="3">
        <v>205</v>
      </c>
      <c r="H31" s="3">
        <v>1</v>
      </c>
      <c r="I31" s="4">
        <v>1</v>
      </c>
      <c r="J31" s="1"/>
      <c r="K31" s="13" t="s">
        <v>239</v>
      </c>
      <c r="L31" s="2"/>
    </row>
    <row r="32" spans="1:12" ht="20.100000000000001" customHeight="1">
      <c r="A32" s="11" t="s">
        <v>511</v>
      </c>
      <c r="B32" s="2" t="s">
        <v>38</v>
      </c>
      <c r="C32" s="15" t="s">
        <v>223</v>
      </c>
      <c r="D32" s="11" t="s">
        <v>53</v>
      </c>
      <c r="E32" s="31">
        <v>18</v>
      </c>
      <c r="F32" s="3">
        <v>0</v>
      </c>
      <c r="G32" s="3">
        <v>3</v>
      </c>
      <c r="H32" s="3">
        <v>15</v>
      </c>
      <c r="I32" s="4">
        <f>G32/E32</f>
        <v>0.16666666666666666</v>
      </c>
      <c r="J32" s="1"/>
      <c r="K32" s="13" t="s">
        <v>89</v>
      </c>
      <c r="L32" s="2"/>
    </row>
    <row r="33" spans="1:12" ht="20.100000000000001" customHeight="1">
      <c r="A33" s="48" t="s">
        <v>24</v>
      </c>
      <c r="B33" s="49"/>
      <c r="C33" s="49"/>
      <c r="D33" s="50"/>
      <c r="E33" s="7"/>
      <c r="F33" s="7"/>
      <c r="G33" s="7"/>
      <c r="H33" s="8"/>
      <c r="I33" s="9"/>
      <c r="J33" s="9"/>
      <c r="K33" s="12"/>
      <c r="L33" s="10"/>
    </row>
    <row r="34" spans="1:12" ht="20.100000000000001" customHeight="1">
      <c r="A34" s="51" t="s">
        <v>25</v>
      </c>
      <c r="B34" s="52"/>
      <c r="C34" s="53"/>
      <c r="D34" s="51" t="s">
        <v>26</v>
      </c>
      <c r="E34" s="52"/>
      <c r="F34" s="52"/>
      <c r="G34" s="53"/>
      <c r="H34" s="51" t="s">
        <v>27</v>
      </c>
      <c r="I34" s="52"/>
      <c r="J34" s="52"/>
      <c r="K34" s="53"/>
      <c r="L34" s="10"/>
    </row>
    <row r="35" spans="1:12" ht="20.100000000000001" customHeight="1"/>
    <row r="36" spans="1:12" ht="20.100000000000001" customHeight="1"/>
    <row r="37" spans="1:12" ht="20.100000000000001" customHeight="1"/>
    <row r="38" spans="1:12" ht="20.100000000000001" customHeight="1"/>
    <row r="39" spans="1:12" ht="20.100000000000001" customHeight="1"/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3:D33"/>
    <mergeCell ref="A34:C34"/>
    <mergeCell ref="D34:G34"/>
    <mergeCell ref="H34:K34"/>
  </mergeCells>
  <phoneticPr fontId="5" type="noConversion"/>
  <dataValidations count="1">
    <dataValidation type="list" allowBlank="1" sqref="B5:B32" xr:uid="{07E216CC-8CDB-40C0-9187-0E331E122E48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7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6A57-CF08-406F-9E0E-8F4FF66F0A9D}">
  <sheetPr>
    <pageSetUpPr fitToPage="1"/>
  </sheetPr>
  <dimension ref="A1:AB52"/>
  <sheetViews>
    <sheetView showGridLines="0" zoomScaleNormal="100" workbookViewId="0">
      <pane ySplit="4" topLeftCell="A26" activePane="bottomLeft" state="frozen"/>
      <selection pane="bottomLeft" activeCell="I38" sqref="I38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539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541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541</v>
      </c>
      <c r="B5" s="2" t="s">
        <v>39</v>
      </c>
      <c r="C5" s="15" t="s">
        <v>223</v>
      </c>
      <c r="D5" s="11" t="s">
        <v>542</v>
      </c>
      <c r="E5" s="31">
        <v>25</v>
      </c>
      <c r="F5" s="19">
        <v>0</v>
      </c>
      <c r="G5" s="16">
        <v>25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541</v>
      </c>
      <c r="B6" s="2" t="s">
        <v>39</v>
      </c>
      <c r="C6" s="15" t="s">
        <v>223</v>
      </c>
      <c r="D6" s="11" t="s">
        <v>543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540</v>
      </c>
      <c r="B7" s="2" t="s">
        <v>39</v>
      </c>
      <c r="C7" s="15" t="s">
        <v>223</v>
      </c>
      <c r="D7" s="11" t="s">
        <v>544</v>
      </c>
      <c r="E7" s="31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540</v>
      </c>
      <c r="B8" s="2" t="s">
        <v>39</v>
      </c>
      <c r="C8" s="15" t="s">
        <v>223</v>
      </c>
      <c r="D8" s="11" t="s">
        <v>545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540</v>
      </c>
      <c r="B9" s="2" t="s">
        <v>39</v>
      </c>
      <c r="C9" s="15" t="s">
        <v>223</v>
      </c>
      <c r="D9" s="11" t="s">
        <v>546</v>
      </c>
      <c r="E9" s="31">
        <v>25</v>
      </c>
      <c r="F9" s="19">
        <v>0</v>
      </c>
      <c r="G9" s="16">
        <v>25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540</v>
      </c>
      <c r="B10" s="2" t="s">
        <v>39</v>
      </c>
      <c r="C10" s="15" t="s">
        <v>223</v>
      </c>
      <c r="D10" s="11" t="s">
        <v>547</v>
      </c>
      <c r="E10" s="31">
        <v>25</v>
      </c>
      <c r="F10" s="19">
        <v>0</v>
      </c>
      <c r="G10" s="16">
        <v>25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540</v>
      </c>
      <c r="B11" s="2" t="s">
        <v>39</v>
      </c>
      <c r="C11" s="15" t="s">
        <v>223</v>
      </c>
      <c r="D11" s="11" t="s">
        <v>548</v>
      </c>
      <c r="E11" s="31">
        <v>25</v>
      </c>
      <c r="F11" s="19">
        <v>0</v>
      </c>
      <c r="G11" s="16">
        <v>25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540</v>
      </c>
      <c r="B12" s="2" t="s">
        <v>39</v>
      </c>
      <c r="C12" s="15" t="s">
        <v>223</v>
      </c>
      <c r="D12" s="11" t="s">
        <v>549</v>
      </c>
      <c r="E12" s="31">
        <v>25</v>
      </c>
      <c r="F12" s="19">
        <v>0</v>
      </c>
      <c r="G12" s="16">
        <v>25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540</v>
      </c>
      <c r="B13" s="2" t="s">
        <v>39</v>
      </c>
      <c r="C13" s="15" t="s">
        <v>223</v>
      </c>
      <c r="D13" s="11" t="s">
        <v>550</v>
      </c>
      <c r="E13" s="31">
        <v>25</v>
      </c>
      <c r="F13" s="19">
        <v>0</v>
      </c>
      <c r="G13" s="16">
        <v>25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540</v>
      </c>
      <c r="B14" s="2" t="s">
        <v>39</v>
      </c>
      <c r="C14" s="15" t="s">
        <v>223</v>
      </c>
      <c r="D14" s="11" t="s">
        <v>551</v>
      </c>
      <c r="E14" s="31">
        <v>25</v>
      </c>
      <c r="F14" s="19">
        <v>0</v>
      </c>
      <c r="G14" s="16">
        <v>25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540</v>
      </c>
      <c r="B15" s="2" t="s">
        <v>39</v>
      </c>
      <c r="C15" s="15" t="s">
        <v>223</v>
      </c>
      <c r="D15" s="11" t="s">
        <v>552</v>
      </c>
      <c r="E15" s="31">
        <v>25</v>
      </c>
      <c r="F15" s="19">
        <v>0</v>
      </c>
      <c r="G15" s="16">
        <v>25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540</v>
      </c>
      <c r="B16" s="2" t="s">
        <v>39</v>
      </c>
      <c r="C16" s="15" t="s">
        <v>223</v>
      </c>
      <c r="D16" s="11" t="s">
        <v>553</v>
      </c>
      <c r="E16" s="31">
        <v>25</v>
      </c>
      <c r="F16" s="19">
        <v>0</v>
      </c>
      <c r="G16" s="16">
        <v>25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540</v>
      </c>
      <c r="B17" s="2" t="s">
        <v>39</v>
      </c>
      <c r="C17" s="15" t="s">
        <v>223</v>
      </c>
      <c r="D17" s="11" t="s">
        <v>554</v>
      </c>
      <c r="E17" s="31">
        <v>25</v>
      </c>
      <c r="F17" s="19">
        <v>0</v>
      </c>
      <c r="G17" s="16">
        <v>25</v>
      </c>
      <c r="H17" s="3">
        <v>0</v>
      </c>
      <c r="I17" s="4">
        <v>1</v>
      </c>
      <c r="J17" s="1"/>
      <c r="K17" s="13" t="s">
        <v>88</v>
      </c>
      <c r="L17" s="2"/>
    </row>
    <row r="18" spans="1:12" ht="20.100000000000001" customHeight="1">
      <c r="A18" s="11" t="s">
        <v>540</v>
      </c>
      <c r="B18" s="2" t="s">
        <v>39</v>
      </c>
      <c r="C18" s="15" t="s">
        <v>223</v>
      </c>
      <c r="D18" s="11" t="s">
        <v>555</v>
      </c>
      <c r="E18" s="31">
        <v>25</v>
      </c>
      <c r="F18" s="19">
        <v>0</v>
      </c>
      <c r="G18" s="16">
        <v>25</v>
      </c>
      <c r="H18" s="3">
        <v>0</v>
      </c>
      <c r="I18" s="4">
        <v>1</v>
      </c>
      <c r="J18" s="1"/>
      <c r="K18" s="13" t="s">
        <v>88</v>
      </c>
      <c r="L18" s="2"/>
    </row>
    <row r="19" spans="1:12" ht="20.100000000000001" customHeight="1">
      <c r="A19" s="11" t="s">
        <v>540</v>
      </c>
      <c r="B19" s="2" t="s">
        <v>39</v>
      </c>
      <c r="C19" s="15" t="s">
        <v>223</v>
      </c>
      <c r="D19" s="11" t="s">
        <v>556</v>
      </c>
      <c r="E19" s="31">
        <v>25</v>
      </c>
      <c r="F19" s="19">
        <v>0</v>
      </c>
      <c r="G19" s="16">
        <v>25</v>
      </c>
      <c r="H19" s="3">
        <v>0</v>
      </c>
      <c r="I19" s="4">
        <v>1</v>
      </c>
      <c r="J19" s="1"/>
      <c r="K19" s="13" t="s">
        <v>88</v>
      </c>
      <c r="L19" s="2"/>
    </row>
    <row r="20" spans="1:12" ht="20.100000000000001" customHeight="1">
      <c r="A20" s="11" t="s">
        <v>540</v>
      </c>
      <c r="B20" s="2" t="s">
        <v>39</v>
      </c>
      <c r="C20" s="15" t="s">
        <v>223</v>
      </c>
      <c r="D20" s="11" t="s">
        <v>557</v>
      </c>
      <c r="E20" s="31">
        <v>25</v>
      </c>
      <c r="F20" s="19">
        <v>0</v>
      </c>
      <c r="G20" s="16">
        <v>25</v>
      </c>
      <c r="H20" s="3">
        <v>0</v>
      </c>
      <c r="I20" s="4">
        <v>1</v>
      </c>
      <c r="J20" s="1"/>
      <c r="K20" s="13" t="s">
        <v>88</v>
      </c>
      <c r="L20" s="2"/>
    </row>
    <row r="21" spans="1:12" ht="20.100000000000001" customHeight="1">
      <c r="A21" s="11" t="s">
        <v>540</v>
      </c>
      <c r="B21" s="2" t="s">
        <v>39</v>
      </c>
      <c r="C21" s="15" t="s">
        <v>223</v>
      </c>
      <c r="D21" s="11" t="s">
        <v>558</v>
      </c>
      <c r="E21" s="31">
        <v>25</v>
      </c>
      <c r="F21" s="19">
        <v>0</v>
      </c>
      <c r="G21" s="16">
        <v>25</v>
      </c>
      <c r="H21" s="3">
        <v>0</v>
      </c>
      <c r="I21" s="4">
        <v>1</v>
      </c>
      <c r="J21" s="1"/>
      <c r="K21" s="13" t="s">
        <v>88</v>
      </c>
      <c r="L21" s="2"/>
    </row>
    <row r="22" spans="1:12" ht="20.100000000000001" customHeight="1">
      <c r="A22" s="11" t="s">
        <v>540</v>
      </c>
      <c r="B22" s="2" t="s">
        <v>39</v>
      </c>
      <c r="C22" s="15" t="s">
        <v>223</v>
      </c>
      <c r="D22" s="11" t="s">
        <v>559</v>
      </c>
      <c r="E22" s="31">
        <v>25</v>
      </c>
      <c r="F22" s="19">
        <v>0</v>
      </c>
      <c r="G22" s="16">
        <v>25</v>
      </c>
      <c r="H22" s="3">
        <v>0</v>
      </c>
      <c r="I22" s="4">
        <v>1</v>
      </c>
      <c r="J22" s="1"/>
      <c r="K22" s="13" t="s">
        <v>88</v>
      </c>
      <c r="L22" s="2"/>
    </row>
    <row r="23" spans="1:12" ht="20.100000000000001" customHeight="1">
      <c r="A23" s="11" t="s">
        <v>540</v>
      </c>
      <c r="B23" s="2" t="s">
        <v>39</v>
      </c>
      <c r="C23" s="15" t="s">
        <v>223</v>
      </c>
      <c r="D23" s="11" t="s">
        <v>560</v>
      </c>
      <c r="E23" s="31">
        <v>25</v>
      </c>
      <c r="F23" s="19">
        <v>0</v>
      </c>
      <c r="G23" s="16">
        <v>25</v>
      </c>
      <c r="H23" s="3">
        <v>0</v>
      </c>
      <c r="I23" s="4">
        <v>1</v>
      </c>
      <c r="J23" s="1"/>
      <c r="K23" s="13" t="s">
        <v>88</v>
      </c>
      <c r="L23" s="2"/>
    </row>
    <row r="24" spans="1:12" ht="20.100000000000001" customHeight="1">
      <c r="A24" s="11" t="s">
        <v>540</v>
      </c>
      <c r="B24" s="2" t="s">
        <v>39</v>
      </c>
      <c r="C24" s="15" t="s">
        <v>223</v>
      </c>
      <c r="D24" s="11" t="s">
        <v>561</v>
      </c>
      <c r="E24" s="31">
        <v>25</v>
      </c>
      <c r="F24" s="19">
        <v>0</v>
      </c>
      <c r="G24" s="16">
        <v>25</v>
      </c>
      <c r="H24" s="3">
        <v>0</v>
      </c>
      <c r="I24" s="4">
        <v>1</v>
      </c>
      <c r="J24" s="1"/>
      <c r="K24" s="13" t="s">
        <v>88</v>
      </c>
      <c r="L24" s="2"/>
    </row>
    <row r="25" spans="1:12" ht="20.100000000000001" customHeight="1">
      <c r="A25" s="11" t="s">
        <v>540</v>
      </c>
      <c r="B25" s="2" t="s">
        <v>39</v>
      </c>
      <c r="C25" s="15" t="s">
        <v>223</v>
      </c>
      <c r="D25" s="11" t="s">
        <v>562</v>
      </c>
      <c r="E25" s="31">
        <v>25</v>
      </c>
      <c r="F25" s="19">
        <v>0</v>
      </c>
      <c r="G25" s="16">
        <v>25</v>
      </c>
      <c r="H25" s="3">
        <v>0</v>
      </c>
      <c r="I25" s="4">
        <v>1</v>
      </c>
      <c r="J25" s="1"/>
      <c r="K25" s="13" t="s">
        <v>88</v>
      </c>
      <c r="L25" s="2"/>
    </row>
    <row r="26" spans="1:12" ht="20.100000000000001" customHeight="1">
      <c r="A26" s="11" t="s">
        <v>540</v>
      </c>
      <c r="B26" s="2" t="s">
        <v>39</v>
      </c>
      <c r="C26" s="15" t="s">
        <v>223</v>
      </c>
      <c r="D26" s="11" t="s">
        <v>563</v>
      </c>
      <c r="E26" s="31">
        <v>25</v>
      </c>
      <c r="F26" s="19">
        <v>0</v>
      </c>
      <c r="G26" s="16">
        <v>25</v>
      </c>
      <c r="H26" s="3">
        <v>0</v>
      </c>
      <c r="I26" s="4">
        <v>1</v>
      </c>
      <c r="J26" s="2"/>
      <c r="K26" s="13" t="s">
        <v>88</v>
      </c>
      <c r="L26" s="2"/>
    </row>
    <row r="27" spans="1:12" ht="20.100000000000001" customHeight="1">
      <c r="A27" s="11" t="s">
        <v>540</v>
      </c>
      <c r="B27" s="2" t="s">
        <v>39</v>
      </c>
      <c r="C27" s="15" t="s">
        <v>223</v>
      </c>
      <c r="D27" s="11" t="s">
        <v>564</v>
      </c>
      <c r="E27" s="31">
        <v>25</v>
      </c>
      <c r="F27" s="19">
        <v>0</v>
      </c>
      <c r="G27" s="16">
        <v>25</v>
      </c>
      <c r="H27" s="3">
        <v>0</v>
      </c>
      <c r="I27" s="4">
        <v>1</v>
      </c>
      <c r="J27" s="1"/>
      <c r="K27" s="13" t="s">
        <v>88</v>
      </c>
      <c r="L27" s="2"/>
    </row>
    <row r="28" spans="1:12" ht="20.100000000000001" customHeight="1">
      <c r="A28" s="11" t="s">
        <v>540</v>
      </c>
      <c r="B28" s="2" t="s">
        <v>39</v>
      </c>
      <c r="C28" s="15" t="s">
        <v>223</v>
      </c>
      <c r="D28" s="11" t="s">
        <v>565</v>
      </c>
      <c r="E28" s="31">
        <v>25</v>
      </c>
      <c r="F28" s="19">
        <v>0</v>
      </c>
      <c r="G28" s="16">
        <v>25</v>
      </c>
      <c r="H28" s="3">
        <v>0</v>
      </c>
      <c r="I28" s="4">
        <v>1</v>
      </c>
      <c r="J28" s="1"/>
      <c r="K28" s="13" t="s">
        <v>88</v>
      </c>
      <c r="L28" s="2"/>
    </row>
    <row r="29" spans="1:12" ht="20.100000000000001" customHeight="1">
      <c r="A29" s="11" t="s">
        <v>540</v>
      </c>
      <c r="B29" s="2" t="s">
        <v>39</v>
      </c>
      <c r="C29" s="15" t="s">
        <v>223</v>
      </c>
      <c r="D29" s="11" t="s">
        <v>566</v>
      </c>
      <c r="E29" s="31">
        <v>25</v>
      </c>
      <c r="F29" s="19">
        <v>0</v>
      </c>
      <c r="G29" s="16">
        <v>25</v>
      </c>
      <c r="H29" s="3">
        <v>0</v>
      </c>
      <c r="I29" s="4">
        <v>1</v>
      </c>
      <c r="J29" s="1"/>
      <c r="K29" s="13" t="s">
        <v>88</v>
      </c>
      <c r="L29" s="2"/>
    </row>
    <row r="30" spans="1:12" ht="20.100000000000001" customHeight="1">
      <c r="A30" s="11" t="s">
        <v>540</v>
      </c>
      <c r="B30" s="2" t="s">
        <v>39</v>
      </c>
      <c r="C30" s="15" t="s">
        <v>223</v>
      </c>
      <c r="D30" s="11" t="s">
        <v>567</v>
      </c>
      <c r="E30" s="31">
        <v>25</v>
      </c>
      <c r="F30" s="19">
        <v>0</v>
      </c>
      <c r="G30" s="16">
        <v>25</v>
      </c>
      <c r="H30" s="3">
        <v>0</v>
      </c>
      <c r="I30" s="4">
        <v>1</v>
      </c>
      <c r="J30" s="1"/>
      <c r="K30" s="13" t="s">
        <v>88</v>
      </c>
      <c r="L30" s="2"/>
    </row>
    <row r="31" spans="1:12" ht="20.100000000000001" customHeight="1">
      <c r="A31" s="11" t="s">
        <v>540</v>
      </c>
      <c r="B31" s="2" t="s">
        <v>39</v>
      </c>
      <c r="C31" s="15" t="s">
        <v>223</v>
      </c>
      <c r="D31" s="11" t="s">
        <v>568</v>
      </c>
      <c r="E31" s="31">
        <v>25</v>
      </c>
      <c r="F31" s="19">
        <v>0</v>
      </c>
      <c r="G31" s="16">
        <v>25</v>
      </c>
      <c r="H31" s="3">
        <v>0</v>
      </c>
      <c r="I31" s="4">
        <v>1</v>
      </c>
      <c r="J31" s="1"/>
      <c r="K31" s="13" t="s">
        <v>88</v>
      </c>
      <c r="L31" s="2"/>
    </row>
    <row r="32" spans="1:12" ht="20.100000000000001" customHeight="1">
      <c r="A32" s="11" t="s">
        <v>337</v>
      </c>
      <c r="B32" s="2"/>
      <c r="C32" s="15"/>
      <c r="D32" s="11"/>
      <c r="E32" s="31">
        <v>675</v>
      </c>
      <c r="F32" s="3">
        <v>0</v>
      </c>
      <c r="G32" s="3">
        <v>675</v>
      </c>
      <c r="H32" s="3">
        <v>0</v>
      </c>
      <c r="I32" s="4"/>
      <c r="J32" s="1"/>
      <c r="K32" s="13"/>
      <c r="L32" s="2"/>
    </row>
    <row r="33" spans="1:12" ht="20.100000000000001" customHeight="1">
      <c r="A33" s="11" t="s">
        <v>540</v>
      </c>
      <c r="B33" s="2" t="s">
        <v>48</v>
      </c>
      <c r="C33" s="15" t="s">
        <v>223</v>
      </c>
      <c r="D33" s="11" t="s">
        <v>53</v>
      </c>
      <c r="E33" s="31">
        <v>350</v>
      </c>
      <c r="F33" s="3">
        <v>0</v>
      </c>
      <c r="G33" s="3">
        <v>350</v>
      </c>
      <c r="H33" s="3">
        <v>0</v>
      </c>
      <c r="I33" s="4">
        <v>1</v>
      </c>
      <c r="J33" s="1"/>
      <c r="K33" s="13" t="s">
        <v>129</v>
      </c>
      <c r="L33" s="2"/>
    </row>
    <row r="34" spans="1:12" ht="20.100000000000001" customHeight="1">
      <c r="A34" s="11" t="s">
        <v>540</v>
      </c>
      <c r="B34" s="2" t="s">
        <v>50</v>
      </c>
      <c r="C34" s="15" t="s">
        <v>223</v>
      </c>
      <c r="D34" s="11" t="s">
        <v>53</v>
      </c>
      <c r="E34" s="31">
        <v>350</v>
      </c>
      <c r="F34" s="3">
        <v>0</v>
      </c>
      <c r="G34" s="3">
        <v>350</v>
      </c>
      <c r="H34" s="3">
        <v>0</v>
      </c>
      <c r="I34" s="4">
        <v>1</v>
      </c>
      <c r="J34" s="1"/>
      <c r="K34" s="13" t="s">
        <v>129</v>
      </c>
      <c r="L34" s="2"/>
    </row>
    <row r="35" spans="1:12" ht="20.100000000000001" customHeight="1">
      <c r="A35" s="11" t="s">
        <v>540</v>
      </c>
      <c r="B35" s="2" t="s">
        <v>2</v>
      </c>
      <c r="C35" s="15" t="s">
        <v>223</v>
      </c>
      <c r="D35" s="11" t="s">
        <v>53</v>
      </c>
      <c r="E35" s="31">
        <v>350</v>
      </c>
      <c r="F35" s="3">
        <v>0</v>
      </c>
      <c r="G35" s="3">
        <v>350</v>
      </c>
      <c r="H35" s="3">
        <v>0</v>
      </c>
      <c r="I35" s="4">
        <v>1</v>
      </c>
      <c r="J35" s="1"/>
      <c r="K35" s="13" t="s">
        <v>239</v>
      </c>
      <c r="L35" s="2"/>
    </row>
    <row r="36" spans="1:12" ht="20.100000000000001" customHeight="1">
      <c r="A36" s="11" t="s">
        <v>540</v>
      </c>
      <c r="B36" s="2" t="s">
        <v>52</v>
      </c>
      <c r="C36" s="15" t="s">
        <v>223</v>
      </c>
      <c r="D36" s="11" t="s">
        <v>53</v>
      </c>
      <c r="E36" s="31">
        <v>205</v>
      </c>
      <c r="F36" s="3">
        <v>0</v>
      </c>
      <c r="G36" s="3">
        <v>205</v>
      </c>
      <c r="H36" s="3">
        <v>0</v>
      </c>
      <c r="I36" s="4">
        <v>1</v>
      </c>
      <c r="J36" s="1"/>
      <c r="K36" s="13" t="s">
        <v>89</v>
      </c>
      <c r="L36" s="2"/>
    </row>
    <row r="37" spans="1:12" ht="20.100000000000001" customHeight="1">
      <c r="A37" s="11" t="s">
        <v>540</v>
      </c>
      <c r="B37" s="2" t="s">
        <v>38</v>
      </c>
      <c r="C37" s="15" t="s">
        <v>223</v>
      </c>
      <c r="D37" s="11" t="s">
        <v>53</v>
      </c>
      <c r="E37" s="31">
        <v>156</v>
      </c>
      <c r="F37" s="3">
        <v>0</v>
      </c>
      <c r="G37" s="3">
        <v>140</v>
      </c>
      <c r="H37" s="3">
        <v>16</v>
      </c>
      <c r="I37" s="4">
        <f>G37/E37</f>
        <v>0.89743589743589747</v>
      </c>
      <c r="J37" s="1"/>
      <c r="K37" s="13" t="s">
        <v>90</v>
      </c>
      <c r="L37" s="2"/>
    </row>
    <row r="38" spans="1:12" ht="20.100000000000001" customHeight="1">
      <c r="A38" s="48" t="s">
        <v>24</v>
      </c>
      <c r="B38" s="49"/>
      <c r="C38" s="49"/>
      <c r="D38" s="50"/>
      <c r="E38" s="7"/>
      <c r="F38" s="7"/>
      <c r="G38" s="7"/>
      <c r="H38" s="8"/>
      <c r="I38" s="9"/>
      <c r="J38" s="9"/>
      <c r="K38" s="12"/>
      <c r="L38" s="10"/>
    </row>
    <row r="39" spans="1:12" ht="20.100000000000001" customHeight="1">
      <c r="A39" s="51" t="s">
        <v>25</v>
      </c>
      <c r="B39" s="52"/>
      <c r="C39" s="53"/>
      <c r="D39" s="51" t="s">
        <v>26</v>
      </c>
      <c r="E39" s="52"/>
      <c r="F39" s="52"/>
      <c r="G39" s="53"/>
      <c r="H39" s="51" t="s">
        <v>27</v>
      </c>
      <c r="I39" s="52"/>
      <c r="J39" s="52"/>
      <c r="K39" s="53"/>
      <c r="L39" s="10"/>
    </row>
    <row r="40" spans="1:12" ht="20.100000000000001" customHeight="1"/>
    <row r="41" spans="1:12" ht="20.100000000000001" customHeight="1"/>
    <row r="42" spans="1:12" ht="20.100000000000001" customHeight="1"/>
    <row r="43" spans="1:12" ht="20.100000000000001" customHeight="1"/>
    <row r="44" spans="1:12" ht="20.100000000000001" customHeight="1"/>
    <row r="45" spans="1:12" ht="20.100000000000001" customHeight="1"/>
    <row r="46" spans="1:12" ht="20.100000000000001" customHeight="1"/>
    <row r="47" spans="1:12" ht="20.100000000000001" customHeight="1"/>
    <row r="48" spans="1:12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38:D38"/>
    <mergeCell ref="A39:C39"/>
    <mergeCell ref="D39:G39"/>
    <mergeCell ref="H39:K39"/>
  </mergeCells>
  <phoneticPr fontId="5" type="noConversion"/>
  <dataValidations count="1">
    <dataValidation type="list" allowBlank="1" sqref="B5:B37" xr:uid="{899CE137-2A17-4830-A18B-C2C13C013971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6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B409-8274-4645-A96A-891EC8937763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G9" sqref="G9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569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571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571</v>
      </c>
      <c r="B5" s="2" t="s">
        <v>48</v>
      </c>
      <c r="C5" s="15" t="s">
        <v>223</v>
      </c>
      <c r="D5" s="11" t="s">
        <v>53</v>
      </c>
      <c r="E5" s="31">
        <v>325</v>
      </c>
      <c r="F5" s="3">
        <v>0</v>
      </c>
      <c r="G5" s="3">
        <v>325</v>
      </c>
      <c r="H5" s="3">
        <v>0</v>
      </c>
      <c r="I5" s="4">
        <v>1</v>
      </c>
      <c r="J5" s="1"/>
      <c r="K5" s="13" t="s">
        <v>129</v>
      </c>
      <c r="L5" s="2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571</v>
      </c>
      <c r="B6" s="2" t="s">
        <v>50</v>
      </c>
      <c r="C6" s="15" t="s">
        <v>223</v>
      </c>
      <c r="D6" s="11" t="s">
        <v>53</v>
      </c>
      <c r="E6" s="31">
        <v>325</v>
      </c>
      <c r="F6" s="3">
        <v>0</v>
      </c>
      <c r="G6" s="3">
        <v>325</v>
      </c>
      <c r="H6" s="3">
        <v>0</v>
      </c>
      <c r="I6" s="4">
        <v>1</v>
      </c>
      <c r="J6" s="1"/>
      <c r="K6" s="13" t="s">
        <v>265</v>
      </c>
      <c r="L6" s="2"/>
      <c r="Z6" t="s">
        <v>38</v>
      </c>
    </row>
    <row r="7" spans="1:28" ht="20.100000000000001" customHeight="1">
      <c r="A7" s="11" t="s">
        <v>570</v>
      </c>
      <c r="B7" s="2" t="s">
        <v>2</v>
      </c>
      <c r="C7" s="15" t="s">
        <v>223</v>
      </c>
      <c r="D7" s="11" t="s">
        <v>53</v>
      </c>
      <c r="E7" s="31">
        <v>325</v>
      </c>
      <c r="F7" s="3">
        <v>0</v>
      </c>
      <c r="G7" s="3">
        <v>325</v>
      </c>
      <c r="H7" s="3">
        <v>0</v>
      </c>
      <c r="I7" s="4">
        <v>1</v>
      </c>
      <c r="J7" s="1"/>
      <c r="K7" s="13" t="s">
        <v>239</v>
      </c>
      <c r="L7" s="2"/>
    </row>
    <row r="8" spans="1:28" ht="20.100000000000001" customHeight="1">
      <c r="A8" s="11" t="s">
        <v>570</v>
      </c>
      <c r="B8" s="2" t="s">
        <v>52</v>
      </c>
      <c r="C8" s="15" t="s">
        <v>223</v>
      </c>
      <c r="D8" s="11" t="s">
        <v>53</v>
      </c>
      <c r="E8" s="31">
        <v>315</v>
      </c>
      <c r="F8" s="3">
        <v>0</v>
      </c>
      <c r="G8" s="3">
        <v>315</v>
      </c>
      <c r="H8" s="3">
        <v>0</v>
      </c>
      <c r="I8" s="4">
        <v>1</v>
      </c>
      <c r="J8" s="1"/>
      <c r="K8" s="13" t="s">
        <v>89</v>
      </c>
      <c r="L8" s="2"/>
    </row>
    <row r="9" spans="1:28" ht="20.100000000000001" customHeight="1">
      <c r="A9" s="11" t="s">
        <v>570</v>
      </c>
      <c r="B9" s="2" t="s">
        <v>38</v>
      </c>
      <c r="C9" s="15" t="s">
        <v>223</v>
      </c>
      <c r="D9" s="11" t="s">
        <v>53</v>
      </c>
      <c r="E9" s="31">
        <v>128</v>
      </c>
      <c r="F9" s="3">
        <v>0</v>
      </c>
      <c r="G9" s="3">
        <v>113</v>
      </c>
      <c r="H9" s="3">
        <v>15</v>
      </c>
      <c r="I9" s="4">
        <f>G9/E9</f>
        <v>0.8828125</v>
      </c>
      <c r="J9" s="1"/>
      <c r="K9" s="13" t="s">
        <v>90</v>
      </c>
      <c r="L9" s="2"/>
    </row>
    <row r="10" spans="1:28" ht="20.100000000000001" customHeight="1">
      <c r="A10" s="48" t="s">
        <v>24</v>
      </c>
      <c r="B10" s="49"/>
      <c r="C10" s="49"/>
      <c r="D10" s="50"/>
      <c r="E10" s="7"/>
      <c r="F10" s="7"/>
      <c r="G10" s="7"/>
      <c r="H10" s="8"/>
      <c r="I10" s="9"/>
      <c r="J10" s="9"/>
      <c r="K10" s="12"/>
      <c r="L10" s="10"/>
    </row>
    <row r="11" spans="1:28" ht="20.100000000000001" customHeight="1">
      <c r="A11" s="51" t="s">
        <v>25</v>
      </c>
      <c r="B11" s="52"/>
      <c r="C11" s="53"/>
      <c r="D11" s="51" t="s">
        <v>26</v>
      </c>
      <c r="E11" s="52"/>
      <c r="F11" s="52"/>
      <c r="G11" s="53"/>
      <c r="H11" s="51" t="s">
        <v>27</v>
      </c>
      <c r="I11" s="52"/>
      <c r="J11" s="52"/>
      <c r="K11" s="53"/>
      <c r="L11" s="10"/>
    </row>
    <row r="12" spans="1:28" ht="20.100000000000001" customHeight="1"/>
    <row r="13" spans="1:28" ht="20.100000000000001" customHeight="1"/>
    <row r="14" spans="1:28" ht="20.100000000000001" customHeight="1"/>
    <row r="15" spans="1:28" ht="20.100000000000001" customHeight="1"/>
    <row r="16" spans="1:28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10:D10"/>
    <mergeCell ref="A11:C11"/>
    <mergeCell ref="D11:G11"/>
    <mergeCell ref="H11:K11"/>
  </mergeCells>
  <phoneticPr fontId="5" type="noConversion"/>
  <dataValidations count="1">
    <dataValidation type="list" allowBlank="1" sqref="B5:B9" xr:uid="{0EF4F9C3-17FE-4633-9664-811C1F705BC1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F559-C797-41DC-B8BC-E78A2168953A}">
  <sheetPr>
    <pageSetUpPr fitToPage="1"/>
  </sheetPr>
  <dimension ref="A1:AB52"/>
  <sheetViews>
    <sheetView showGridLines="0" zoomScaleNormal="100" workbookViewId="0">
      <pane ySplit="4" topLeftCell="A5" activePane="bottomLeft" state="frozen"/>
      <selection pane="bottomLeft" activeCell="K22" sqref="K22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572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574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 t="s">
        <v>574</v>
      </c>
      <c r="B5" s="2" t="s">
        <v>39</v>
      </c>
      <c r="C5" s="15" t="s">
        <v>223</v>
      </c>
      <c r="D5" s="11" t="s">
        <v>575</v>
      </c>
      <c r="E5" s="31">
        <v>25</v>
      </c>
      <c r="F5" s="19">
        <v>0</v>
      </c>
      <c r="G5" s="16">
        <v>25</v>
      </c>
      <c r="H5" s="3">
        <v>0</v>
      </c>
      <c r="I5" s="4">
        <v>1</v>
      </c>
      <c r="J5" s="2"/>
      <c r="K5" s="13" t="s">
        <v>88</v>
      </c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 t="s">
        <v>574</v>
      </c>
      <c r="B6" s="2" t="s">
        <v>39</v>
      </c>
      <c r="C6" s="15" t="s">
        <v>223</v>
      </c>
      <c r="D6" s="11" t="s">
        <v>576</v>
      </c>
      <c r="E6" s="31">
        <v>25</v>
      </c>
      <c r="F6" s="19">
        <v>0</v>
      </c>
      <c r="G6" s="16">
        <v>25</v>
      </c>
      <c r="H6" s="3">
        <v>0</v>
      </c>
      <c r="I6" s="4">
        <v>1</v>
      </c>
      <c r="J6" s="2"/>
      <c r="K6" s="13" t="s">
        <v>88</v>
      </c>
      <c r="L6" s="11"/>
      <c r="Z6" t="s">
        <v>38</v>
      </c>
    </row>
    <row r="7" spans="1:28" ht="20.100000000000001" customHeight="1">
      <c r="A7" s="11" t="s">
        <v>573</v>
      </c>
      <c r="B7" s="2" t="s">
        <v>39</v>
      </c>
      <c r="C7" s="15" t="s">
        <v>223</v>
      </c>
      <c r="D7" s="11" t="s">
        <v>577</v>
      </c>
      <c r="E7" s="31">
        <v>25</v>
      </c>
      <c r="F7" s="19">
        <v>0</v>
      </c>
      <c r="G7" s="16">
        <v>25</v>
      </c>
      <c r="H7" s="3">
        <v>0</v>
      </c>
      <c r="I7" s="4">
        <v>1</v>
      </c>
      <c r="J7" s="2"/>
      <c r="K7" s="13" t="s">
        <v>88</v>
      </c>
      <c r="L7" s="11"/>
    </row>
    <row r="8" spans="1:28" ht="20.100000000000001" customHeight="1">
      <c r="A8" s="11" t="s">
        <v>573</v>
      </c>
      <c r="B8" s="2" t="s">
        <v>39</v>
      </c>
      <c r="C8" s="15" t="s">
        <v>223</v>
      </c>
      <c r="D8" s="11" t="s">
        <v>578</v>
      </c>
      <c r="E8" s="31">
        <v>25</v>
      </c>
      <c r="F8" s="19">
        <v>0</v>
      </c>
      <c r="G8" s="16">
        <v>25</v>
      </c>
      <c r="H8" s="3">
        <v>0</v>
      </c>
      <c r="I8" s="4">
        <v>1</v>
      </c>
      <c r="J8" s="2"/>
      <c r="K8" s="13" t="s">
        <v>88</v>
      </c>
      <c r="L8" s="11"/>
    </row>
    <row r="9" spans="1:28" ht="20.100000000000001" customHeight="1">
      <c r="A9" s="11" t="s">
        <v>573</v>
      </c>
      <c r="B9" s="2" t="s">
        <v>39</v>
      </c>
      <c r="C9" s="15" t="s">
        <v>223</v>
      </c>
      <c r="D9" s="11" t="s">
        <v>579</v>
      </c>
      <c r="E9" s="31">
        <v>25</v>
      </c>
      <c r="F9" s="19">
        <v>0</v>
      </c>
      <c r="G9" s="16">
        <v>25</v>
      </c>
      <c r="H9" s="3">
        <v>0</v>
      </c>
      <c r="I9" s="4">
        <v>1</v>
      </c>
      <c r="J9" s="2"/>
      <c r="K9" s="13" t="s">
        <v>88</v>
      </c>
      <c r="L9" s="11"/>
    </row>
    <row r="10" spans="1:28" ht="20.100000000000001" customHeight="1">
      <c r="A10" s="11" t="s">
        <v>573</v>
      </c>
      <c r="B10" s="2" t="s">
        <v>39</v>
      </c>
      <c r="C10" s="15" t="s">
        <v>223</v>
      </c>
      <c r="D10" s="11" t="s">
        <v>580</v>
      </c>
      <c r="E10" s="31">
        <v>25</v>
      </c>
      <c r="F10" s="19">
        <v>0</v>
      </c>
      <c r="G10" s="16">
        <v>25</v>
      </c>
      <c r="H10" s="3">
        <v>0</v>
      </c>
      <c r="I10" s="4">
        <v>1</v>
      </c>
      <c r="J10" s="2"/>
      <c r="K10" s="13" t="s">
        <v>88</v>
      </c>
      <c r="L10" s="11"/>
    </row>
    <row r="11" spans="1:28" ht="20.100000000000001" customHeight="1">
      <c r="A11" s="11" t="s">
        <v>573</v>
      </c>
      <c r="B11" s="2" t="s">
        <v>39</v>
      </c>
      <c r="C11" s="15" t="s">
        <v>223</v>
      </c>
      <c r="D11" s="11" t="s">
        <v>581</v>
      </c>
      <c r="E11" s="31">
        <v>25</v>
      </c>
      <c r="F11" s="19">
        <v>0</v>
      </c>
      <c r="G11" s="16">
        <v>25</v>
      </c>
      <c r="H11" s="3">
        <v>0</v>
      </c>
      <c r="I11" s="4">
        <v>1</v>
      </c>
      <c r="J11" s="2"/>
      <c r="K11" s="13" t="s">
        <v>88</v>
      </c>
      <c r="L11" s="11"/>
    </row>
    <row r="12" spans="1:28" ht="20.100000000000001" customHeight="1">
      <c r="A12" s="11" t="s">
        <v>573</v>
      </c>
      <c r="B12" s="2" t="s">
        <v>39</v>
      </c>
      <c r="C12" s="15" t="s">
        <v>223</v>
      </c>
      <c r="D12" s="11" t="s">
        <v>582</v>
      </c>
      <c r="E12" s="31">
        <v>25</v>
      </c>
      <c r="F12" s="19">
        <v>0</v>
      </c>
      <c r="G12" s="16">
        <v>25</v>
      </c>
      <c r="H12" s="3">
        <v>0</v>
      </c>
      <c r="I12" s="4">
        <v>1</v>
      </c>
      <c r="J12" s="2"/>
      <c r="K12" s="13" t="s">
        <v>88</v>
      </c>
      <c r="L12" s="18"/>
    </row>
    <row r="13" spans="1:28" ht="20.100000000000001" customHeight="1">
      <c r="A13" s="11" t="s">
        <v>573</v>
      </c>
      <c r="B13" s="2" t="s">
        <v>39</v>
      </c>
      <c r="C13" s="15" t="s">
        <v>223</v>
      </c>
      <c r="D13" s="11" t="s">
        <v>583</v>
      </c>
      <c r="E13" s="31">
        <v>25</v>
      </c>
      <c r="F13" s="19">
        <v>0</v>
      </c>
      <c r="G13" s="16">
        <v>25</v>
      </c>
      <c r="H13" s="3">
        <v>0</v>
      </c>
      <c r="I13" s="4">
        <v>1</v>
      </c>
      <c r="J13" s="2"/>
      <c r="K13" s="13" t="s">
        <v>88</v>
      </c>
      <c r="L13" s="2"/>
    </row>
    <row r="14" spans="1:28" ht="20.100000000000001" customHeight="1">
      <c r="A14" s="11" t="s">
        <v>573</v>
      </c>
      <c r="B14" s="2" t="s">
        <v>39</v>
      </c>
      <c r="C14" s="15" t="s">
        <v>223</v>
      </c>
      <c r="D14" s="11" t="s">
        <v>584</v>
      </c>
      <c r="E14" s="31">
        <v>25</v>
      </c>
      <c r="F14" s="19">
        <v>0</v>
      </c>
      <c r="G14" s="16">
        <v>25</v>
      </c>
      <c r="H14" s="3">
        <v>0</v>
      </c>
      <c r="I14" s="4">
        <v>1</v>
      </c>
      <c r="J14" s="2"/>
      <c r="K14" s="13" t="s">
        <v>88</v>
      </c>
      <c r="L14" s="2"/>
    </row>
    <row r="15" spans="1:28" ht="20.100000000000001" customHeight="1">
      <c r="A15" s="11" t="s">
        <v>573</v>
      </c>
      <c r="B15" s="2" t="s">
        <v>39</v>
      </c>
      <c r="C15" s="15" t="s">
        <v>223</v>
      </c>
      <c r="D15" s="11" t="s">
        <v>585</v>
      </c>
      <c r="E15" s="31">
        <v>25</v>
      </c>
      <c r="F15" s="19">
        <v>0</v>
      </c>
      <c r="G15" s="16">
        <v>25</v>
      </c>
      <c r="H15" s="3">
        <v>0</v>
      </c>
      <c r="I15" s="4">
        <v>1</v>
      </c>
      <c r="J15" s="2"/>
      <c r="K15" s="13" t="s">
        <v>88</v>
      </c>
      <c r="L15" s="2"/>
    </row>
    <row r="16" spans="1:28" ht="20.100000000000001" customHeight="1">
      <c r="A16" s="11" t="s">
        <v>573</v>
      </c>
      <c r="B16" s="2" t="s">
        <v>39</v>
      </c>
      <c r="C16" s="15" t="s">
        <v>223</v>
      </c>
      <c r="D16" s="11" t="s">
        <v>586</v>
      </c>
      <c r="E16" s="31">
        <v>25</v>
      </c>
      <c r="F16" s="19">
        <v>0</v>
      </c>
      <c r="G16" s="16">
        <v>25</v>
      </c>
      <c r="H16" s="3">
        <v>0</v>
      </c>
      <c r="I16" s="4">
        <v>1</v>
      </c>
      <c r="J16" s="1"/>
      <c r="K16" s="13" t="s">
        <v>88</v>
      </c>
      <c r="L16" s="2"/>
    </row>
    <row r="17" spans="1:12" ht="20.100000000000001" customHeight="1">
      <c r="A17" s="11" t="s">
        <v>337</v>
      </c>
      <c r="B17" s="2"/>
      <c r="C17" s="15"/>
      <c r="D17" s="11"/>
      <c r="E17" s="31">
        <v>300</v>
      </c>
      <c r="F17" s="3">
        <v>0</v>
      </c>
      <c r="G17" s="3">
        <v>300</v>
      </c>
      <c r="H17" s="3">
        <v>0</v>
      </c>
      <c r="I17" s="4"/>
      <c r="J17" s="1"/>
      <c r="K17" s="13"/>
      <c r="L17" s="2"/>
    </row>
    <row r="18" spans="1:12" ht="20.100000000000001" customHeight="1">
      <c r="A18" s="11" t="s">
        <v>573</v>
      </c>
      <c r="B18" s="2" t="s">
        <v>48</v>
      </c>
      <c r="C18" s="15" t="s">
        <v>223</v>
      </c>
      <c r="D18" s="11" t="s">
        <v>53</v>
      </c>
      <c r="E18" s="31">
        <v>316</v>
      </c>
      <c r="F18" s="3">
        <v>0</v>
      </c>
      <c r="G18" s="3">
        <v>316</v>
      </c>
      <c r="H18" s="3">
        <v>0</v>
      </c>
      <c r="I18" s="4">
        <v>1</v>
      </c>
      <c r="J18" s="1"/>
      <c r="K18" s="13" t="s">
        <v>129</v>
      </c>
      <c r="L18" s="2"/>
    </row>
    <row r="19" spans="1:12" ht="20.100000000000001" customHeight="1">
      <c r="A19" s="11" t="s">
        <v>573</v>
      </c>
      <c r="B19" s="2" t="s">
        <v>50</v>
      </c>
      <c r="C19" s="15" t="s">
        <v>223</v>
      </c>
      <c r="D19" s="11" t="s">
        <v>53</v>
      </c>
      <c r="E19" s="31">
        <v>316</v>
      </c>
      <c r="F19" s="3">
        <v>0</v>
      </c>
      <c r="G19" s="3">
        <v>316</v>
      </c>
      <c r="H19" s="3">
        <v>0</v>
      </c>
      <c r="I19" s="4">
        <v>1</v>
      </c>
      <c r="J19" s="1"/>
      <c r="K19" s="13" t="s">
        <v>129</v>
      </c>
      <c r="L19" s="2"/>
    </row>
    <row r="20" spans="1:12" ht="20.100000000000001" customHeight="1">
      <c r="A20" s="11" t="s">
        <v>573</v>
      </c>
      <c r="B20" s="2" t="s">
        <v>2</v>
      </c>
      <c r="C20" s="15" t="s">
        <v>223</v>
      </c>
      <c r="D20" s="11" t="s">
        <v>53</v>
      </c>
      <c r="E20" s="31">
        <v>316</v>
      </c>
      <c r="F20" s="3">
        <v>0</v>
      </c>
      <c r="G20" s="3">
        <v>316</v>
      </c>
      <c r="H20" s="3">
        <v>0</v>
      </c>
      <c r="I20" s="4">
        <v>1</v>
      </c>
      <c r="J20" s="1"/>
      <c r="K20" s="13" t="s">
        <v>239</v>
      </c>
      <c r="L20" s="2"/>
    </row>
    <row r="21" spans="1:12" ht="20.100000000000001" customHeight="1">
      <c r="A21" s="11" t="s">
        <v>573</v>
      </c>
      <c r="B21" s="2" t="s">
        <v>52</v>
      </c>
      <c r="C21" s="15" t="s">
        <v>223</v>
      </c>
      <c r="D21" s="11" t="s">
        <v>53</v>
      </c>
      <c r="E21" s="31"/>
      <c r="F21" s="3">
        <v>0</v>
      </c>
      <c r="G21" s="3"/>
      <c r="H21" s="3">
        <v>0</v>
      </c>
      <c r="I21" s="4">
        <v>1</v>
      </c>
      <c r="J21" s="1"/>
      <c r="K21" s="13" t="s">
        <v>89</v>
      </c>
      <c r="L21" s="2"/>
    </row>
    <row r="22" spans="1:12" ht="20.100000000000001" customHeight="1">
      <c r="A22" s="11" t="s">
        <v>573</v>
      </c>
      <c r="B22" s="2" t="s">
        <v>38</v>
      </c>
      <c r="C22" s="15" t="s">
        <v>223</v>
      </c>
      <c r="D22" s="11" t="s">
        <v>53</v>
      </c>
      <c r="E22" s="31">
        <v>40</v>
      </c>
      <c r="F22" s="3">
        <v>0</v>
      </c>
      <c r="G22" s="3"/>
      <c r="H22" s="3"/>
      <c r="I22" s="4"/>
      <c r="J22" s="1"/>
      <c r="K22" s="13" t="s">
        <v>239</v>
      </c>
      <c r="L22" s="2"/>
    </row>
    <row r="23" spans="1:12" ht="20.100000000000001" customHeight="1">
      <c r="A23" s="48" t="s">
        <v>24</v>
      </c>
      <c r="B23" s="49"/>
      <c r="C23" s="49"/>
      <c r="D23" s="50"/>
      <c r="E23" s="7"/>
      <c r="F23" s="7"/>
      <c r="G23" s="7"/>
      <c r="H23" s="8"/>
      <c r="I23" s="9"/>
      <c r="J23" s="9"/>
      <c r="K23" s="12"/>
      <c r="L23" s="10"/>
    </row>
    <row r="24" spans="1:12" ht="20.100000000000001" customHeight="1">
      <c r="A24" s="51" t="s">
        <v>25</v>
      </c>
      <c r="B24" s="52"/>
      <c r="C24" s="53"/>
      <c r="D24" s="51" t="s">
        <v>26</v>
      </c>
      <c r="E24" s="52"/>
      <c r="F24" s="52"/>
      <c r="G24" s="53"/>
      <c r="H24" s="51" t="s">
        <v>27</v>
      </c>
      <c r="I24" s="52"/>
      <c r="J24" s="52"/>
      <c r="K24" s="53"/>
      <c r="L24" s="10"/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23:D23"/>
    <mergeCell ref="A24:C24"/>
    <mergeCell ref="D24:G24"/>
    <mergeCell ref="H24:K24"/>
  </mergeCells>
  <phoneticPr fontId="5" type="noConversion"/>
  <dataValidations count="1">
    <dataValidation type="list" allowBlank="1" sqref="B5:B22" xr:uid="{951F9D90-CEEC-4BED-B698-03E5BFD627D2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E0DA-032F-4B41-80B5-53C9B869146D}">
  <sheetPr>
    <pageSetUpPr fitToPage="1"/>
  </sheetPr>
  <dimension ref="A1:AB52"/>
  <sheetViews>
    <sheetView showGridLines="0" tabSelected="1" zoomScaleNormal="100" workbookViewId="0">
      <pane ySplit="4" topLeftCell="A5" activePane="bottomLeft" state="frozen"/>
      <selection pane="bottomLeft" activeCell="L3" sqref="L3"/>
    </sheetView>
  </sheetViews>
  <sheetFormatPr defaultRowHeight="15.75"/>
  <cols>
    <col min="1" max="1" width="11" customWidth="1"/>
    <col min="2" max="2" width="14" customWidth="1"/>
    <col min="3" max="3" width="22" customWidth="1"/>
    <col min="4" max="4" width="13.85546875" bestFit="1" customWidth="1"/>
    <col min="5" max="7" width="10" customWidth="1"/>
    <col min="8" max="8" width="9" customWidth="1"/>
    <col min="9" max="9" width="20" customWidth="1"/>
    <col min="10" max="10" width="13.5703125" bestFit="1" customWidth="1"/>
    <col min="11" max="11" width="12" customWidth="1"/>
    <col min="12" max="12" width="28.85546875" customWidth="1"/>
    <col min="23" max="23" width="8.140625" customWidth="1"/>
    <col min="24" max="24" width="3.42578125" customWidth="1"/>
    <col min="25" max="25" width="10.7109375" customWidth="1"/>
    <col min="26" max="26" width="4.85546875" customWidth="1"/>
    <col min="27" max="27" width="5.42578125" customWidth="1"/>
  </cols>
  <sheetData>
    <row r="1" spans="1:28" ht="26.1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X1" t="s">
        <v>1</v>
      </c>
      <c r="Y1" t="s">
        <v>37</v>
      </c>
      <c r="Z1" t="s">
        <v>3</v>
      </c>
      <c r="AA1" t="s">
        <v>4</v>
      </c>
    </row>
    <row r="2" spans="1:28" ht="20.100000000000001" customHeight="1">
      <c r="A2" s="44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4"/>
      <c r="X2" t="s">
        <v>5</v>
      </c>
      <c r="Y2" t="s">
        <v>49</v>
      </c>
      <c r="Z2" t="s">
        <v>6</v>
      </c>
      <c r="AA2" t="s">
        <v>7</v>
      </c>
    </row>
    <row r="3" spans="1:28" ht="18" customHeight="1">
      <c r="A3" s="6" t="s">
        <v>8</v>
      </c>
      <c r="B3" s="11">
        <v>115</v>
      </c>
      <c r="C3" s="6" t="s">
        <v>9</v>
      </c>
      <c r="D3" s="45" t="s">
        <v>588</v>
      </c>
      <c r="E3" s="46"/>
      <c r="F3" s="47"/>
      <c r="G3" s="6" t="s">
        <v>10</v>
      </c>
      <c r="H3" s="11" t="s">
        <v>32</v>
      </c>
      <c r="I3" s="6" t="s">
        <v>35</v>
      </c>
      <c r="J3" s="11"/>
      <c r="K3" s="6" t="s">
        <v>11</v>
      </c>
      <c r="L3" s="11" t="s">
        <v>587</v>
      </c>
      <c r="X3" t="s">
        <v>12</v>
      </c>
      <c r="Y3" t="s">
        <v>51</v>
      </c>
      <c r="Z3" t="s">
        <v>13</v>
      </c>
      <c r="AA3" t="s">
        <v>14</v>
      </c>
    </row>
    <row r="4" spans="1:28" ht="32.1" customHeight="1">
      <c r="A4" s="5" t="s">
        <v>138</v>
      </c>
      <c r="B4" s="5" t="s">
        <v>15</v>
      </c>
      <c r="C4" s="5" t="s">
        <v>34</v>
      </c>
      <c r="D4" s="17" t="s">
        <v>33</v>
      </c>
      <c r="E4" s="5" t="s">
        <v>16</v>
      </c>
      <c r="F4" s="5" t="s">
        <v>130</v>
      </c>
      <c r="G4" s="5" t="s">
        <v>17</v>
      </c>
      <c r="H4" s="5" t="s">
        <v>18</v>
      </c>
      <c r="I4" s="5" t="s">
        <v>19</v>
      </c>
      <c r="J4" s="5" t="s">
        <v>29</v>
      </c>
      <c r="K4" s="5" t="s">
        <v>31</v>
      </c>
      <c r="L4" s="17" t="s">
        <v>30</v>
      </c>
      <c r="Z4" t="s">
        <v>2</v>
      </c>
      <c r="AA4" t="s">
        <v>20</v>
      </c>
      <c r="AB4" t="s">
        <v>21</v>
      </c>
    </row>
    <row r="5" spans="1:28">
      <c r="A5" s="11"/>
      <c r="B5" s="2"/>
      <c r="C5" s="15"/>
      <c r="D5" s="11"/>
      <c r="E5" s="31"/>
      <c r="F5" s="19"/>
      <c r="G5" s="16"/>
      <c r="H5" s="3"/>
      <c r="I5" s="4"/>
      <c r="J5" s="2"/>
      <c r="K5" s="13"/>
      <c r="L5" s="11"/>
      <c r="Z5" t="s">
        <v>52</v>
      </c>
      <c r="AA5" t="s">
        <v>22</v>
      </c>
      <c r="AB5" t="s">
        <v>23</v>
      </c>
    </row>
    <row r="6" spans="1:28" ht="20.100000000000001" customHeight="1">
      <c r="A6" s="11"/>
      <c r="B6" s="2"/>
      <c r="C6" s="15"/>
      <c r="D6" s="11"/>
      <c r="E6" s="31"/>
      <c r="F6" s="19"/>
      <c r="G6" s="16"/>
      <c r="H6" s="3"/>
      <c r="I6" s="4"/>
      <c r="J6" s="2"/>
      <c r="K6" s="13"/>
      <c r="L6" s="11"/>
      <c r="Z6" t="s">
        <v>38</v>
      </c>
    </row>
    <row r="7" spans="1:28" ht="20.100000000000001" customHeight="1">
      <c r="A7" s="11"/>
      <c r="B7" s="2"/>
      <c r="C7" s="15"/>
      <c r="D7" s="11"/>
      <c r="E7" s="31"/>
      <c r="F7" s="19"/>
      <c r="G7" s="16"/>
      <c r="H7" s="3"/>
      <c r="I7" s="4"/>
      <c r="J7" s="2"/>
      <c r="K7" s="13"/>
      <c r="L7" s="11"/>
    </row>
    <row r="8" spans="1:28" ht="20.100000000000001" customHeight="1">
      <c r="A8" s="11"/>
      <c r="B8" s="2"/>
      <c r="C8" s="15"/>
      <c r="D8" s="11"/>
      <c r="E8" s="31"/>
      <c r="F8" s="19"/>
      <c r="G8" s="16"/>
      <c r="H8" s="3"/>
      <c r="I8" s="4"/>
      <c r="J8" s="2"/>
      <c r="K8" s="13"/>
      <c r="L8" s="11"/>
    </row>
    <row r="9" spans="1:28" ht="20.100000000000001" customHeight="1">
      <c r="A9" s="11"/>
      <c r="B9" s="2"/>
      <c r="C9" s="15"/>
      <c r="D9" s="11"/>
      <c r="E9" s="31"/>
      <c r="F9" s="19"/>
      <c r="G9" s="16"/>
      <c r="H9" s="3"/>
      <c r="I9" s="4"/>
      <c r="J9" s="2"/>
      <c r="K9" s="13"/>
      <c r="L9" s="11"/>
    </row>
    <row r="10" spans="1:28" ht="20.100000000000001" customHeight="1">
      <c r="A10" s="11"/>
      <c r="B10" s="2"/>
      <c r="C10" s="15"/>
      <c r="D10" s="11"/>
      <c r="E10" s="31"/>
      <c r="F10" s="19"/>
      <c r="G10" s="16"/>
      <c r="H10" s="3"/>
      <c r="I10" s="4"/>
      <c r="J10" s="2"/>
      <c r="K10" s="13"/>
      <c r="L10" s="11"/>
    </row>
    <row r="11" spans="1:28" ht="20.100000000000001" customHeight="1">
      <c r="A11" s="11"/>
      <c r="B11" s="2"/>
      <c r="C11" s="15"/>
      <c r="D11" s="11"/>
      <c r="E11" s="31"/>
      <c r="F11" s="19"/>
      <c r="G11" s="16"/>
      <c r="H11" s="3"/>
      <c r="I11" s="4"/>
      <c r="J11" s="2"/>
      <c r="K11" s="13"/>
      <c r="L11" s="11"/>
    </row>
    <row r="12" spans="1:28" ht="20.100000000000001" customHeight="1">
      <c r="A12" s="11"/>
      <c r="B12" s="2"/>
      <c r="C12" s="15"/>
      <c r="D12" s="11"/>
      <c r="E12" s="31"/>
      <c r="F12" s="19"/>
      <c r="G12" s="16"/>
      <c r="H12" s="3"/>
      <c r="I12" s="4"/>
      <c r="J12" s="2"/>
      <c r="K12" s="13"/>
      <c r="L12" s="18"/>
    </row>
    <row r="13" spans="1:28" ht="20.100000000000001" customHeight="1">
      <c r="A13" s="11"/>
      <c r="B13" s="2"/>
      <c r="C13" s="15"/>
      <c r="D13" s="11"/>
      <c r="E13" s="31"/>
      <c r="F13" s="19"/>
      <c r="G13" s="16"/>
      <c r="H13" s="3"/>
      <c r="I13" s="4"/>
      <c r="J13" s="2"/>
      <c r="K13" s="13"/>
      <c r="L13" s="2"/>
    </row>
    <row r="14" spans="1:28" ht="20.100000000000001" customHeight="1">
      <c r="A14" s="11"/>
      <c r="B14" s="2"/>
      <c r="C14" s="15"/>
      <c r="D14" s="11"/>
      <c r="E14" s="31"/>
      <c r="F14" s="19"/>
      <c r="G14" s="16"/>
      <c r="H14" s="3"/>
      <c r="I14" s="4"/>
      <c r="J14" s="2"/>
      <c r="K14" s="13"/>
      <c r="L14" s="2"/>
    </row>
    <row r="15" spans="1:28" ht="20.100000000000001" customHeight="1">
      <c r="A15" s="11"/>
      <c r="B15" s="2"/>
      <c r="C15" s="15"/>
      <c r="D15" s="11"/>
      <c r="E15" s="31"/>
      <c r="F15" s="19"/>
      <c r="G15" s="16"/>
      <c r="H15" s="3"/>
      <c r="I15" s="4"/>
      <c r="J15" s="2"/>
      <c r="K15" s="13"/>
      <c r="L15" s="2"/>
    </row>
    <row r="16" spans="1:28" ht="20.100000000000001" customHeight="1">
      <c r="A16" s="11"/>
      <c r="B16" s="2"/>
      <c r="C16" s="15"/>
      <c r="D16" s="11"/>
      <c r="E16" s="31"/>
      <c r="F16" s="19"/>
      <c r="G16" s="16"/>
      <c r="H16" s="3"/>
      <c r="I16" s="4"/>
      <c r="J16" s="1"/>
      <c r="K16" s="13"/>
      <c r="L16" s="2"/>
    </row>
    <row r="17" spans="1:12" ht="20.100000000000001" customHeight="1">
      <c r="A17" s="11"/>
      <c r="B17" s="2"/>
      <c r="C17" s="15"/>
      <c r="D17" s="11"/>
      <c r="E17" s="31"/>
      <c r="F17" s="3"/>
      <c r="G17" s="3"/>
      <c r="H17" s="3"/>
      <c r="I17" s="4"/>
      <c r="J17" s="1"/>
      <c r="K17" s="13"/>
      <c r="L17" s="2"/>
    </row>
    <row r="18" spans="1:12" ht="20.100000000000001" customHeight="1">
      <c r="A18" s="11"/>
      <c r="B18" s="2"/>
      <c r="C18" s="15"/>
      <c r="D18" s="11"/>
      <c r="E18" s="31"/>
      <c r="F18" s="3"/>
      <c r="G18" s="3"/>
      <c r="H18" s="3"/>
      <c r="I18" s="4"/>
      <c r="J18" s="1"/>
      <c r="K18" s="13"/>
      <c r="L18" s="2"/>
    </row>
    <row r="19" spans="1:12" ht="20.100000000000001" customHeight="1">
      <c r="A19" s="11"/>
      <c r="B19" s="2"/>
      <c r="C19" s="15"/>
      <c r="D19" s="11"/>
      <c r="E19" s="31"/>
      <c r="F19" s="3"/>
      <c r="G19" s="3"/>
      <c r="H19" s="3"/>
      <c r="I19" s="4"/>
      <c r="J19" s="1"/>
      <c r="K19" s="13"/>
      <c r="L19" s="2"/>
    </row>
    <row r="20" spans="1:12" ht="20.100000000000001" customHeight="1">
      <c r="A20" s="11"/>
      <c r="B20" s="2"/>
      <c r="C20" s="15"/>
      <c r="D20" s="11"/>
      <c r="E20" s="31"/>
      <c r="F20" s="3"/>
      <c r="G20" s="3"/>
      <c r="H20" s="3"/>
      <c r="I20" s="4"/>
      <c r="J20" s="1"/>
      <c r="K20" s="13"/>
      <c r="L20" s="2"/>
    </row>
    <row r="21" spans="1:12" ht="20.100000000000001" customHeight="1">
      <c r="A21" s="11"/>
      <c r="B21" s="2"/>
      <c r="C21" s="15"/>
      <c r="D21" s="11"/>
      <c r="E21" s="31"/>
      <c r="F21" s="3"/>
      <c r="G21" s="3"/>
      <c r="H21" s="3"/>
      <c r="I21" s="4"/>
      <c r="J21" s="1"/>
      <c r="K21" s="13"/>
      <c r="L21" s="2"/>
    </row>
    <row r="22" spans="1:12" ht="20.100000000000001" customHeight="1">
      <c r="A22" s="11"/>
      <c r="B22" s="2"/>
      <c r="C22" s="15"/>
      <c r="D22" s="11"/>
      <c r="E22" s="31"/>
      <c r="F22" s="3"/>
      <c r="G22" s="3"/>
      <c r="H22" s="3"/>
      <c r="I22" s="4"/>
      <c r="J22" s="1"/>
      <c r="K22" s="13"/>
      <c r="L22" s="2"/>
    </row>
    <row r="23" spans="1:12" ht="20.100000000000001" customHeight="1">
      <c r="A23" s="48" t="s">
        <v>24</v>
      </c>
      <c r="B23" s="49"/>
      <c r="C23" s="49"/>
      <c r="D23" s="50"/>
      <c r="E23" s="7"/>
      <c r="F23" s="7"/>
      <c r="G23" s="7"/>
      <c r="H23" s="8"/>
      <c r="I23" s="9"/>
      <c r="J23" s="9"/>
      <c r="K23" s="12"/>
      <c r="L23" s="10"/>
    </row>
    <row r="24" spans="1:12" ht="20.100000000000001" customHeight="1">
      <c r="A24" s="51" t="s">
        <v>25</v>
      </c>
      <c r="B24" s="52"/>
      <c r="C24" s="53"/>
      <c r="D24" s="51" t="s">
        <v>26</v>
      </c>
      <c r="E24" s="52"/>
      <c r="F24" s="52"/>
      <c r="G24" s="53"/>
      <c r="H24" s="51" t="s">
        <v>27</v>
      </c>
      <c r="I24" s="52"/>
      <c r="J24" s="52"/>
      <c r="K24" s="53"/>
      <c r="L24" s="10"/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2" ht="21.95" customHeight="1"/>
  </sheetData>
  <mergeCells count="7">
    <mergeCell ref="A1:K1"/>
    <mergeCell ref="A2:K2"/>
    <mergeCell ref="D3:F3"/>
    <mergeCell ref="A23:D23"/>
    <mergeCell ref="A24:C24"/>
    <mergeCell ref="D24:G24"/>
    <mergeCell ref="H24:K24"/>
  </mergeCells>
  <phoneticPr fontId="5" type="noConversion"/>
  <dataValidations count="1">
    <dataValidation type="list" allowBlank="1" sqref="B5:B22" xr:uid="{7F93903B-64FD-4A8B-BBF8-CB512C55179A}">
      <formula1>$Y$1:$Y$6</formula1>
    </dataValidation>
  </dataValidations>
  <pageMargins left="0.31496062992125984" right="0.31496062992125984" top="0.39370078740157483" bottom="0.39370078740157483" header="0.51181102362204722" footer="0.51181102362204722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60</vt:i4>
      </vt:variant>
    </vt:vector>
  </HeadingPairs>
  <TitlesOfParts>
    <vt:vector size="90" baseType="lpstr">
      <vt:lpstr>生產日報空白</vt:lpstr>
      <vt:lpstr>生產日報2026.01.05</vt:lpstr>
      <vt:lpstr>生產日報2026.01.06</vt:lpstr>
      <vt:lpstr>生產日2026.01.07</vt:lpstr>
      <vt:lpstr>生產日報2026.01.08</vt:lpstr>
      <vt:lpstr>生產日報2026.01.09</vt:lpstr>
      <vt:lpstr>生產日報2026.01.10</vt:lpstr>
      <vt:lpstr>生產日報2026.01.12</vt:lpstr>
      <vt:lpstr>生產日報2026.01.21</vt:lpstr>
      <vt:lpstr>生產日報2026.01.22</vt:lpstr>
      <vt:lpstr>生產日報2026.01.23</vt:lpstr>
      <vt:lpstr>生產日報2026.01.26 </vt:lpstr>
      <vt:lpstr>生產日報2026.01.27</vt:lpstr>
      <vt:lpstr>生產日報2026.01.28</vt:lpstr>
      <vt:lpstr>生產日報2026.01.29</vt:lpstr>
      <vt:lpstr>生產日報2026.01.30</vt:lpstr>
      <vt:lpstr>生產日報2026.02.201</vt:lpstr>
      <vt:lpstr>生產日報2026.02.202</vt:lpstr>
      <vt:lpstr>生產日報2026.02.203</vt:lpstr>
      <vt:lpstr>生產日報2026.02.301</vt:lpstr>
      <vt:lpstr>生產日報2026.02.302</vt:lpstr>
      <vt:lpstr>生產日報2026.02.401</vt:lpstr>
      <vt:lpstr>生產日報2026.02.402</vt:lpstr>
      <vt:lpstr>生產日報2026.02.501</vt:lpstr>
      <vt:lpstr>生產日報2026.02.502</vt:lpstr>
      <vt:lpstr>生產日報2026.02.06</vt:lpstr>
      <vt:lpstr>生產日報2026.02.09</vt:lpstr>
      <vt:lpstr>生產日報2026.02.10</vt:lpstr>
      <vt:lpstr>生產日報2026.02.11</vt:lpstr>
      <vt:lpstr>生產日報2026.02.23</vt:lpstr>
      <vt:lpstr>生產日2026.01.07!Print_Area</vt:lpstr>
      <vt:lpstr>生產日報2026.01.05!Print_Area</vt:lpstr>
      <vt:lpstr>生產日報2026.01.06!Print_Area</vt:lpstr>
      <vt:lpstr>生產日報2026.01.08!Print_Area</vt:lpstr>
      <vt:lpstr>生產日報2026.01.09!Print_Area</vt:lpstr>
      <vt:lpstr>生產日報2026.01.10!Print_Area</vt:lpstr>
      <vt:lpstr>生產日報2026.01.12!Print_Area</vt:lpstr>
      <vt:lpstr>生產日報2026.01.21!Print_Area</vt:lpstr>
      <vt:lpstr>生產日報2026.01.22!Print_Area</vt:lpstr>
      <vt:lpstr>生產日報2026.01.23!Print_Area</vt:lpstr>
      <vt:lpstr>'生產日報2026.01.26 '!Print_Area</vt:lpstr>
      <vt:lpstr>生產日報2026.01.27!Print_Area</vt:lpstr>
      <vt:lpstr>生產日報2026.01.28!Print_Area</vt:lpstr>
      <vt:lpstr>生產日報2026.01.29!Print_Area</vt:lpstr>
      <vt:lpstr>生產日報2026.01.30!Print_Area</vt:lpstr>
      <vt:lpstr>生產日報2026.02.06!Print_Area</vt:lpstr>
      <vt:lpstr>生產日報2026.02.09!Print_Area</vt:lpstr>
      <vt:lpstr>生產日報2026.02.10!Print_Area</vt:lpstr>
      <vt:lpstr>生產日報2026.02.11!Print_Area</vt:lpstr>
      <vt:lpstr>生產日報2026.02.201!Print_Area</vt:lpstr>
      <vt:lpstr>生產日報2026.02.202!Print_Area</vt:lpstr>
      <vt:lpstr>生產日報2026.02.203!Print_Area</vt:lpstr>
      <vt:lpstr>生產日報2026.02.23!Print_Area</vt:lpstr>
      <vt:lpstr>生產日報2026.02.301!Print_Area</vt:lpstr>
      <vt:lpstr>生產日報2026.02.302!Print_Area</vt:lpstr>
      <vt:lpstr>生產日報2026.02.401!Print_Area</vt:lpstr>
      <vt:lpstr>生產日報2026.02.402!Print_Area</vt:lpstr>
      <vt:lpstr>生產日報2026.02.501!Print_Area</vt:lpstr>
      <vt:lpstr>生產日報2026.02.502!Print_Area</vt:lpstr>
      <vt:lpstr>生產日報空白!Print_Area</vt:lpstr>
      <vt:lpstr>生產日2026.01.07!Print_Titles</vt:lpstr>
      <vt:lpstr>生產日報2026.01.05!Print_Titles</vt:lpstr>
      <vt:lpstr>生產日報2026.01.06!Print_Titles</vt:lpstr>
      <vt:lpstr>生產日報2026.01.08!Print_Titles</vt:lpstr>
      <vt:lpstr>生產日報2026.01.09!Print_Titles</vt:lpstr>
      <vt:lpstr>生產日報2026.01.10!Print_Titles</vt:lpstr>
      <vt:lpstr>生產日報2026.01.12!Print_Titles</vt:lpstr>
      <vt:lpstr>生產日報2026.01.21!Print_Titles</vt:lpstr>
      <vt:lpstr>生產日報2026.01.22!Print_Titles</vt:lpstr>
      <vt:lpstr>生產日報2026.01.23!Print_Titles</vt:lpstr>
      <vt:lpstr>'生產日報2026.01.26 '!Print_Titles</vt:lpstr>
      <vt:lpstr>生產日報2026.01.27!Print_Titles</vt:lpstr>
      <vt:lpstr>生產日報2026.01.28!Print_Titles</vt:lpstr>
      <vt:lpstr>生產日報2026.01.29!Print_Titles</vt:lpstr>
      <vt:lpstr>生產日報2026.01.30!Print_Titles</vt:lpstr>
      <vt:lpstr>生產日報2026.02.06!Print_Titles</vt:lpstr>
      <vt:lpstr>生產日報2026.02.09!Print_Titles</vt:lpstr>
      <vt:lpstr>生產日報2026.02.10!Print_Titles</vt:lpstr>
      <vt:lpstr>生產日報2026.02.11!Print_Titles</vt:lpstr>
      <vt:lpstr>生產日報2026.02.201!Print_Titles</vt:lpstr>
      <vt:lpstr>生產日報2026.02.202!Print_Titles</vt:lpstr>
      <vt:lpstr>生產日報2026.02.203!Print_Titles</vt:lpstr>
      <vt:lpstr>生產日報2026.02.23!Print_Titles</vt:lpstr>
      <vt:lpstr>生產日報2026.02.301!Print_Titles</vt:lpstr>
      <vt:lpstr>生產日報2026.02.302!Print_Titles</vt:lpstr>
      <vt:lpstr>生產日報2026.02.401!Print_Titles</vt:lpstr>
      <vt:lpstr>生產日報2026.02.402!Print_Titles</vt:lpstr>
      <vt:lpstr>生產日報2026.02.501!Print_Titles</vt:lpstr>
      <vt:lpstr>生產日報2026.02.502!Print_Titles</vt:lpstr>
      <vt:lpstr>生產日報空白!Print_Titles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有為 蔡</cp:lastModifiedBy>
  <cp:lastPrinted>2026-02-23T00:17:42Z</cp:lastPrinted>
  <dcterms:created xsi:type="dcterms:W3CDTF">2025-12-31T06:58:26Z</dcterms:created>
  <dcterms:modified xsi:type="dcterms:W3CDTF">2026-02-23T00:17:45Z</dcterms:modified>
</cp:coreProperties>
</file>