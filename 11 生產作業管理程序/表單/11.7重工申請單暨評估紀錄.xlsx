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/>
  </bookViews>
  <sheets>
    <sheet name="申請評估" sheetId="1" r:id="rId1"/>
    <sheet name="重工紀錄" sheetId="2" r:id="rId2"/>
    <sheet name="清單" sheetId="3" state="hidden" r:id="rId3"/>
  </sheets>
  <definedNames>
    <definedName name="_xlnm.Print_Area" localSheetId="0">申請評估!$A$1:$H$38</definedName>
    <definedName name="_xlnm.Print_Area" localSheetId="1">重工紀錄!$A$1:$H$32</definedName>
  </definedNames>
  <calcPr calcId="162913"/>
</workbook>
</file>

<file path=xl/calcChain.xml><?xml version="1.0" encoding="utf-8"?>
<calcChain xmlns="http://schemas.openxmlformats.org/spreadsheetml/2006/main">
  <c r="F5" i="1" l="1"/>
  <c r="B3" i="2"/>
  <c r="F2" i="1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D2" i="2"/>
  <c r="B2" i="2"/>
  <c r="F19" i="1"/>
</calcChain>
</file>

<file path=xl/comments1.xml><?xml version="1.0" encoding="utf-8"?>
<comments xmlns="http://schemas.openxmlformats.org/spreadsheetml/2006/main">
  <authors>
    <author>系統</author>
  </authors>
  <commentList>
    <comment ref="H6" authorId="0" shapeId="0">
      <text>
        <r>
          <rPr>
            <sz val="11"/>
            <color theme="1"/>
            <rFont val="新細明體"/>
            <family val="2"/>
            <scheme val="minor"/>
          </rPr>
          <t>填寫本次不合格品數量（片/件/批），可依內部單位調整。</t>
        </r>
      </text>
    </comment>
    <comment ref="F17" authorId="0" shapeId="0">
      <text>
        <r>
          <rPr>
            <sz val="11"/>
            <color theme="1"/>
            <rFont val="新細明體"/>
            <family val="2"/>
            <scheme val="minor"/>
          </rPr>
          <t>工程部評估同一批次允許之最大重工次數。</t>
        </r>
      </text>
    </comment>
  </commentList>
</comments>
</file>

<file path=xl/sharedStrings.xml><?xml version="1.0" encoding="utf-8"?>
<sst xmlns="http://schemas.openxmlformats.org/spreadsheetml/2006/main" count="146" uniqueCount="123">
  <si>
    <t>重工申請與評估表（工程部／品管課／管理部）</t>
  </si>
  <si>
    <t>版次</t>
  </si>
  <si>
    <t>表單編號</t>
  </si>
  <si>
    <t>建檔日期</t>
  </si>
  <si>
    <t>1. 基本資訊（管理部）</t>
  </si>
  <si>
    <t>申請單位</t>
  </si>
  <si>
    <t>申請人</t>
  </si>
  <si>
    <t>申請日期</t>
  </si>
  <si>
    <t>工單/批號</t>
  </si>
  <si>
    <t>產品型號</t>
  </si>
  <si>
    <t>數量</t>
  </si>
  <si>
    <t>不良發現站別</t>
  </si>
  <si>
    <t>不良類型</t>
  </si>
  <si>
    <t>目前狀態</t>
  </si>
  <si>
    <t>Hold</t>
  </si>
  <si>
    <t>附件/照片/報告連結</t>
  </si>
  <si>
    <t>2. 處置建議（管理部）</t>
  </si>
  <si>
    <t>建議處置</t>
  </si>
  <si>
    <t>建議重工方式/站別</t>
  </si>
  <si>
    <t>需求完成日</t>
  </si>
  <si>
    <t>是否需客戶通報</t>
  </si>
  <si>
    <t>備註（含客戶要求/限制）</t>
  </si>
  <si>
    <t>3. 工程部評估（製程/重工方案）</t>
  </si>
  <si>
    <t>評估結論</t>
  </si>
  <si>
    <t>風險等級</t>
  </si>
  <si>
    <t>是否需更新文件</t>
  </si>
  <si>
    <t>是否需客戶同意</t>
  </si>
  <si>
    <t>需試作/驗證項目</t>
  </si>
  <si>
    <t>影響功能</t>
  </si>
  <si>
    <t>影響可靠性</t>
  </si>
  <si>
    <t>影響外觀</t>
  </si>
  <si>
    <t>影響交期</t>
  </si>
  <si>
    <t>評估日期</t>
  </si>
  <si>
    <t>重工流程/關鍵參數/限制（工程部填寫，包含站別、設備、參數、允收條件、最大次數、禁止事項）</t>
  </si>
  <si>
    <t>簽核日期</t>
  </si>
  <si>
    <t>4. 品管課評估（檢驗/放行）</t>
  </si>
  <si>
    <t>重工前檢驗需求（品管課填寫）</t>
  </si>
  <si>
    <t>重工後檢驗需求與抽樣計畫（含放行條件/加嚴規則）</t>
  </si>
  <si>
    <t>抽樣計畫</t>
  </si>
  <si>
    <t>放行判定</t>
  </si>
  <si>
    <t>備註</t>
  </si>
  <si>
    <t>5. 管理部流轉與結案（生產流程/排程/追蹤）</t>
  </si>
  <si>
    <t>排程確認</t>
  </si>
  <si>
    <t>重工工單號</t>
  </si>
  <si>
    <t>預計完成日</t>
  </si>
  <si>
    <t>重工開始日</t>
  </si>
  <si>
    <t>重工完成日</t>
  </si>
  <si>
    <t>最終結果</t>
  </si>
  <si>
    <t>最終處置</t>
  </si>
  <si>
    <t>CAPA/8D 編號</t>
  </si>
  <si>
    <t>結案日期</t>
  </si>
  <si>
    <t>結案說明（原因歸屬/改善措施摘要/後續追蹤）</t>
  </si>
  <si>
    <t>備註：本表單僅為申請/評估/放行與流轉之主表；詳細重工參數與每一步執行記錄請填寫「重工紀錄」工作表。</t>
  </si>
  <si>
    <t>重工執行紀錄（與「申請評估」表單配套使用）</t>
  </si>
  <si>
    <t>重工方案/文件編號</t>
  </si>
  <si>
    <t>填寫方式：每完成一個重工步驟/站別或關鍵檢驗，即新增一筆紀錄；參數/條件請完整記錄以利追溯。</t>
  </si>
  <si>
    <t>重工步驟紀錄</t>
  </si>
  <si>
    <t>序號</t>
  </si>
  <si>
    <t>日期</t>
  </si>
  <si>
    <t>站別</t>
  </si>
  <si>
    <t>設備/治具</t>
  </si>
  <si>
    <t>參數/條件（時間/溫度/藥液/功率/次數等）</t>
  </si>
  <si>
    <t>操作人</t>
  </si>
  <si>
    <t>檢驗項目/結果</t>
  </si>
  <si>
    <t>外觀</t>
  </si>
  <si>
    <t>重工</t>
  </si>
  <si>
    <t>尺寸/量測</t>
  </si>
  <si>
    <t>NG</t>
  </si>
  <si>
    <t>報廢</t>
  </si>
  <si>
    <t>污染/粒子</t>
  </si>
  <si>
    <t>Rework中</t>
  </si>
  <si>
    <t>讓步放行</t>
  </si>
  <si>
    <t>破片/裂痕</t>
  </si>
  <si>
    <t>已放行</t>
  </si>
  <si>
    <t>退回供應商</t>
  </si>
  <si>
    <t>AOI缺陷</t>
  </si>
  <si>
    <t>已報廢</t>
  </si>
  <si>
    <t>其他</t>
  </si>
  <si>
    <t>包裝/標籤</t>
  </si>
  <si>
    <t>是否</t>
  </si>
  <si>
    <t>工程評估結論</t>
  </si>
  <si>
    <t>是</t>
  </si>
  <si>
    <t>可重工</t>
  </si>
  <si>
    <t>低</t>
  </si>
  <si>
    <t>可</t>
  </si>
  <si>
    <t>否</t>
  </si>
  <si>
    <t>不可重工</t>
  </si>
  <si>
    <t>中</t>
  </si>
  <si>
    <t>不可</t>
  </si>
  <si>
    <t>需試作/驗證</t>
  </si>
  <si>
    <t>高</t>
  </si>
  <si>
    <t>待確認</t>
  </si>
  <si>
    <t>合格</t>
  </si>
  <si>
    <t>轉入正常製程</t>
  </si>
  <si>
    <t>100%檢驗</t>
  </si>
  <si>
    <t>不合格</t>
  </si>
  <si>
    <t>加嚴抽驗</t>
  </si>
  <si>
    <t>可放行</t>
  </si>
  <si>
    <t>部分合格</t>
  </si>
  <si>
    <t>讓步出貨</t>
  </si>
  <si>
    <t>一般抽驗</t>
  </si>
  <si>
    <t>需再評估</t>
  </si>
  <si>
    <t>退回客戶/供應商</t>
  </si>
  <si>
    <t>依客戶要求</t>
  </si>
  <si>
    <t>不可放行</t>
  </si>
  <si>
    <t>客戶代號</t>
    <phoneticPr fontId="8" type="noConversion"/>
  </si>
  <si>
    <t>管理部</t>
    <phoneticPr fontId="8" type="noConversion"/>
  </si>
  <si>
    <t>客戶是否同意</t>
    <phoneticPr fontId="8" type="noConversion"/>
  </si>
  <si>
    <t>工程部</t>
    <phoneticPr fontId="8" type="noConversion"/>
  </si>
  <si>
    <r>
      <rPr>
        <b/>
        <sz val="11"/>
        <rFont val="細明體"/>
        <family val="3"/>
        <charset val="136"/>
      </rPr>
      <t>不良描述（現象</t>
    </r>
    <r>
      <rPr>
        <b/>
        <sz val="11"/>
        <rFont val="Calibri"/>
        <family val="2"/>
      </rPr>
      <t>/</t>
    </r>
    <r>
      <rPr>
        <b/>
        <sz val="11"/>
        <rFont val="細明體"/>
        <family val="3"/>
        <charset val="136"/>
      </rPr>
      <t>判定依據</t>
    </r>
    <r>
      <rPr>
        <b/>
        <sz val="11"/>
        <rFont val="Calibri"/>
        <family val="2"/>
      </rPr>
      <t>/</t>
    </r>
    <r>
      <rPr>
        <b/>
        <sz val="11"/>
        <rFont val="細明體"/>
        <family val="3"/>
        <charset val="136"/>
      </rPr>
      <t>附件）</t>
    </r>
    <phoneticPr fontId="8" type="noConversion"/>
  </si>
  <si>
    <t>批號</t>
    <phoneticPr fontId="8" type="noConversion"/>
  </si>
  <si>
    <r>
      <rPr>
        <sz val="10"/>
        <rFont val="細明體"/>
        <family val="3"/>
        <charset val="136"/>
      </rPr>
      <t>填表說明：申請與流轉由「管理部」主責；製程</t>
    </r>
    <r>
      <rPr>
        <sz val="10"/>
        <rFont val="Calibri"/>
        <family val="2"/>
      </rPr>
      <t>/</t>
    </r>
    <r>
      <rPr>
        <sz val="10"/>
        <rFont val="細明體"/>
        <family val="3"/>
        <charset val="136"/>
      </rPr>
      <t>重工方案評估由「工程部」主責；檢驗與放行評估由「品管課」主責。</t>
    </r>
    <phoneticPr fontId="8" type="noConversion"/>
  </si>
  <si>
    <t>林佑翰</t>
    <phoneticPr fontId="8" type="noConversion"/>
  </si>
  <si>
    <t>品管課</t>
    <phoneticPr fontId="8" type="noConversion"/>
  </si>
  <si>
    <t>程鼎智</t>
    <phoneticPr fontId="8" type="noConversion"/>
  </si>
  <si>
    <t>MR11-07A</t>
    <phoneticPr fontId="8" type="noConversion"/>
  </si>
  <si>
    <t>A</t>
    <phoneticPr fontId="8" type="noConversion"/>
  </si>
  <si>
    <t>目前狀態</t>
    <phoneticPr fontId="8" type="noConversion"/>
  </si>
  <si>
    <t>客戶通知與否</t>
    <phoneticPr fontId="8" type="noConversion"/>
  </si>
  <si>
    <t>部門別</t>
    <phoneticPr fontId="8" type="noConversion"/>
  </si>
  <si>
    <t>生產課</t>
    <phoneticPr fontId="8" type="noConversion"/>
  </si>
  <si>
    <r>
      <rPr>
        <b/>
        <sz val="11"/>
        <rFont val="細明體"/>
        <family val="3"/>
        <charset val="136"/>
      </rPr>
      <t>允許重工次數</t>
    </r>
    <r>
      <rPr>
        <b/>
        <sz val="11"/>
        <rFont val="Calibri"/>
        <family val="2"/>
      </rPr>
      <t/>
    </r>
    <phoneticPr fontId="8" type="noConversion"/>
  </si>
  <si>
    <r>
      <rPr>
        <sz val="11"/>
        <rFont val="細明體"/>
        <family val="3"/>
        <charset val="136"/>
      </rPr>
      <t>隔離位置</t>
    </r>
    <r>
      <rPr>
        <sz val="11"/>
        <rFont val="Calibri"/>
        <family val="2"/>
      </rPr>
      <t>(Hold</t>
    </r>
    <r>
      <rPr>
        <sz val="11"/>
        <rFont val="細明體"/>
        <family val="3"/>
        <charset val="136"/>
      </rPr>
      <t>區</t>
    </r>
    <r>
      <rPr>
        <sz val="11"/>
        <rFont val="Calibri"/>
        <family val="2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</si>
</sst>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3" x14ac:knownFonts="1">
    <font>
      <sz val="11"/>
      <color theme="1"/>
      <name val="新細明體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sz val="11"/>
      <color rgb="FF008000"/>
      <name val="Calibri"/>
      <family val="2"/>
    </font>
    <font>
      <sz val="9"/>
      <name val="新細明體"/>
      <family val="3"/>
      <charset val="136"/>
      <scheme val="minor"/>
    </font>
    <font>
      <b/>
      <sz val="11"/>
      <name val="細明體"/>
      <family val="3"/>
      <charset val="136"/>
    </font>
    <font>
      <sz val="11"/>
      <name val="細明體"/>
      <family val="3"/>
      <charset val="136"/>
    </font>
    <font>
      <sz val="10"/>
      <name val="細明體"/>
      <family val="3"/>
      <charset val="136"/>
    </font>
    <font>
      <sz val="11"/>
      <color rgb="FF008000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2" xfId="0" applyFont="1" applyBorder="1"/>
    <xf numFmtId="0" fontId="2" fillId="3" borderId="6" xfId="0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76" fontId="4" fillId="0" borderId="5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showGridLines="0" tabSelected="1" workbookViewId="0">
      <pane ySplit="3" topLeftCell="A4" activePane="bottomLeft" state="frozen"/>
      <selection pane="bottomLeft" activeCell="H6" sqref="H6"/>
    </sheetView>
  </sheetViews>
  <sheetFormatPr defaultRowHeight="15.75" x14ac:dyDescent="0.25"/>
  <cols>
    <col min="1" max="1" width="16" customWidth="1"/>
    <col min="2" max="2" width="26" customWidth="1"/>
    <col min="3" max="3" width="20.85546875" bestFit="1" customWidth="1"/>
    <col min="4" max="4" width="26" customWidth="1"/>
    <col min="5" max="5" width="16" customWidth="1"/>
    <col min="6" max="6" width="26" customWidth="1"/>
    <col min="7" max="7" width="16" customWidth="1"/>
    <col min="8" max="8" width="26" customWidth="1"/>
  </cols>
  <sheetData>
    <row r="1" spans="1:8" ht="32.1" customHeight="1" x14ac:dyDescent="0.25">
      <c r="A1" s="18" t="s">
        <v>0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25">
      <c r="A2" s="19" t="s">
        <v>2</v>
      </c>
      <c r="B2" s="20" t="s">
        <v>115</v>
      </c>
      <c r="C2" s="19" t="s">
        <v>1</v>
      </c>
      <c r="D2" s="34" t="s">
        <v>116</v>
      </c>
      <c r="E2" s="19" t="s">
        <v>3</v>
      </c>
      <c r="F2" s="47">
        <f ca="1">TODAY()</f>
        <v>46014</v>
      </c>
      <c r="G2" s="47"/>
      <c r="H2" s="47"/>
    </row>
    <row r="3" spans="1:8" ht="26.1" customHeight="1" x14ac:dyDescent="0.25">
      <c r="A3" s="13" t="s">
        <v>111</v>
      </c>
      <c r="B3" s="14"/>
      <c r="C3" s="14"/>
      <c r="D3" s="14"/>
      <c r="E3" s="14"/>
      <c r="F3" s="14"/>
      <c r="G3" s="14"/>
      <c r="H3" s="14"/>
    </row>
    <row r="4" spans="1:8" ht="21.95" customHeight="1" x14ac:dyDescent="0.25">
      <c r="A4" s="22" t="s">
        <v>4</v>
      </c>
      <c r="B4" s="14"/>
      <c r="C4" s="14"/>
      <c r="D4" s="14"/>
      <c r="E4" s="14"/>
      <c r="F4" s="14"/>
      <c r="G4" s="14"/>
      <c r="H4" s="14"/>
    </row>
    <row r="5" spans="1:8" ht="20.100000000000001" customHeight="1" x14ac:dyDescent="0.25">
      <c r="A5" s="19" t="s">
        <v>5</v>
      </c>
      <c r="B5" s="20"/>
      <c r="C5" s="19" t="s">
        <v>6</v>
      </c>
      <c r="D5" s="20"/>
      <c r="E5" s="19" t="s">
        <v>7</v>
      </c>
      <c r="F5" s="47">
        <f ca="1">TODAY()</f>
        <v>46014</v>
      </c>
      <c r="G5" s="47"/>
      <c r="H5" s="47"/>
    </row>
    <row r="6" spans="1:8" ht="20.100000000000001" customHeight="1" x14ac:dyDescent="0.25">
      <c r="A6" s="33" t="s">
        <v>105</v>
      </c>
      <c r="B6" s="20"/>
      <c r="C6" s="23" t="s">
        <v>110</v>
      </c>
      <c r="D6" s="20"/>
      <c r="E6" s="19" t="s">
        <v>9</v>
      </c>
      <c r="F6" s="20"/>
      <c r="G6" s="19" t="s">
        <v>10</v>
      </c>
      <c r="H6" s="24"/>
    </row>
    <row r="7" spans="1:8" x14ac:dyDescent="0.25">
      <c r="A7" s="19" t="s">
        <v>11</v>
      </c>
      <c r="B7" s="20"/>
      <c r="C7" s="19" t="s">
        <v>12</v>
      </c>
      <c r="D7" s="25"/>
      <c r="E7" s="25"/>
      <c r="F7" s="25"/>
      <c r="G7" s="41" t="s">
        <v>117</v>
      </c>
      <c r="H7" s="20"/>
    </row>
    <row r="8" spans="1:8" ht="42" customHeight="1" x14ac:dyDescent="0.25">
      <c r="A8" s="27" t="s">
        <v>109</v>
      </c>
      <c r="B8" s="26"/>
      <c r="C8" s="26"/>
      <c r="D8" s="26"/>
      <c r="E8" s="26"/>
      <c r="F8" s="26"/>
      <c r="G8" s="26"/>
      <c r="H8" s="26"/>
    </row>
    <row r="9" spans="1:8" ht="42" customHeight="1" x14ac:dyDescent="0.25">
      <c r="A9" s="27"/>
      <c r="B9" s="26"/>
      <c r="C9" s="26"/>
      <c r="D9" s="26"/>
      <c r="E9" s="26"/>
      <c r="F9" s="26"/>
      <c r="G9" s="26"/>
      <c r="H9" s="26"/>
    </row>
    <row r="10" spans="1:8" ht="20.100000000000001" customHeight="1" x14ac:dyDescent="0.25">
      <c r="A10" s="27" t="s">
        <v>15</v>
      </c>
      <c r="B10" s="28"/>
      <c r="C10" s="28"/>
      <c r="D10" s="28"/>
      <c r="E10" s="28"/>
      <c r="F10" s="28"/>
      <c r="G10" s="28"/>
      <c r="H10" s="28"/>
    </row>
    <row r="11" spans="1:8" x14ac:dyDescent="0.25">
      <c r="A11" s="27"/>
      <c r="B11" s="28"/>
      <c r="C11" s="28"/>
      <c r="D11" s="28"/>
      <c r="E11" s="28"/>
      <c r="F11" s="28"/>
      <c r="G11" s="28"/>
      <c r="H11" s="28"/>
    </row>
    <row r="12" spans="1:8" ht="21.95" customHeight="1" x14ac:dyDescent="0.25">
      <c r="A12" s="22" t="s">
        <v>16</v>
      </c>
      <c r="B12" s="14"/>
      <c r="C12" s="14"/>
      <c r="D12" s="14"/>
      <c r="E12" s="14"/>
      <c r="F12" s="14"/>
      <c r="G12" s="14"/>
      <c r="H12" s="14"/>
    </row>
    <row r="13" spans="1:8" ht="20.100000000000001" customHeight="1" x14ac:dyDescent="0.25">
      <c r="A13" s="19" t="s">
        <v>17</v>
      </c>
      <c r="B13" s="20"/>
      <c r="C13" s="19" t="s">
        <v>18</v>
      </c>
      <c r="D13" s="20"/>
      <c r="E13" s="19" t="s">
        <v>19</v>
      </c>
      <c r="F13" s="29"/>
      <c r="G13" s="19" t="s">
        <v>20</v>
      </c>
      <c r="H13" s="20"/>
    </row>
    <row r="14" spans="1:8" ht="33.950000000000003" customHeight="1" x14ac:dyDescent="0.25">
      <c r="A14" s="27" t="s">
        <v>21</v>
      </c>
      <c r="B14" s="26"/>
      <c r="C14" s="26"/>
      <c r="D14" s="26"/>
      <c r="E14" s="26"/>
      <c r="F14" s="26"/>
      <c r="G14" s="26"/>
      <c r="H14" s="26"/>
    </row>
    <row r="15" spans="1:8" ht="33.950000000000003" customHeight="1" x14ac:dyDescent="0.25">
      <c r="A15" s="27"/>
      <c r="B15" s="26"/>
      <c r="C15" s="26"/>
      <c r="D15" s="26"/>
      <c r="E15" s="26"/>
      <c r="F15" s="26"/>
      <c r="G15" s="26"/>
      <c r="H15" s="26"/>
    </row>
    <row r="16" spans="1:8" ht="21.95" customHeight="1" x14ac:dyDescent="0.25">
      <c r="A16" s="22" t="s">
        <v>22</v>
      </c>
      <c r="B16" s="14"/>
      <c r="C16" s="14"/>
      <c r="D16" s="14"/>
      <c r="E16" s="14"/>
      <c r="F16" s="14"/>
      <c r="G16" s="14"/>
      <c r="H16" s="14"/>
    </row>
    <row r="17" spans="1:8" ht="20.100000000000001" customHeight="1" x14ac:dyDescent="0.25">
      <c r="A17" s="19" t="s">
        <v>23</v>
      </c>
      <c r="B17" s="36"/>
      <c r="C17" s="37"/>
      <c r="D17" s="38"/>
      <c r="E17" s="19" t="s">
        <v>121</v>
      </c>
      <c r="F17" s="24"/>
      <c r="G17" s="19" t="s">
        <v>25</v>
      </c>
      <c r="H17" s="20"/>
    </row>
    <row r="18" spans="1:8" ht="20.100000000000001" customHeight="1" x14ac:dyDescent="0.25">
      <c r="A18" s="19" t="s">
        <v>26</v>
      </c>
      <c r="B18" s="20"/>
      <c r="C18" s="19" t="s">
        <v>27</v>
      </c>
      <c r="D18" s="20"/>
      <c r="E18" s="19" t="s">
        <v>28</v>
      </c>
      <c r="F18" s="20"/>
      <c r="G18" s="19" t="s">
        <v>29</v>
      </c>
      <c r="H18" s="20"/>
    </row>
    <row r="19" spans="1:8" ht="20.100000000000001" customHeight="1" x14ac:dyDescent="0.25">
      <c r="A19" s="19" t="s">
        <v>30</v>
      </c>
      <c r="B19" s="20"/>
      <c r="C19" s="19" t="s">
        <v>31</v>
      </c>
      <c r="D19" s="20"/>
      <c r="E19" s="19" t="s">
        <v>32</v>
      </c>
      <c r="F19" s="43">
        <f ca="1">TODAY()</f>
        <v>46014</v>
      </c>
      <c r="G19" s="44"/>
      <c r="H19" s="52"/>
    </row>
    <row r="20" spans="1:8" ht="26.1" customHeight="1" x14ac:dyDescent="0.25">
      <c r="A20" s="30" t="s">
        <v>33</v>
      </c>
      <c r="B20" s="30"/>
      <c r="C20" s="30"/>
      <c r="D20" s="30"/>
      <c r="E20" s="30"/>
      <c r="F20" s="30"/>
      <c r="G20" s="30"/>
      <c r="H20" s="30"/>
    </row>
    <row r="21" spans="1:8" ht="20.100000000000001" customHeight="1" x14ac:dyDescent="0.25">
      <c r="A21" s="23" t="s">
        <v>108</v>
      </c>
      <c r="B21" s="20"/>
      <c r="C21" s="19" t="s">
        <v>34</v>
      </c>
      <c r="D21" s="29"/>
      <c r="E21" s="23" t="s">
        <v>107</v>
      </c>
      <c r="F21" s="36"/>
      <c r="G21" s="37"/>
      <c r="H21" s="38"/>
    </row>
    <row r="22" spans="1:8" ht="21.95" customHeight="1" x14ac:dyDescent="0.25">
      <c r="A22" s="22" t="s">
        <v>35</v>
      </c>
      <c r="B22" s="14"/>
      <c r="C22" s="14"/>
      <c r="D22" s="14"/>
      <c r="E22" s="14"/>
      <c r="F22" s="14"/>
      <c r="G22" s="14"/>
      <c r="H22" s="14"/>
    </row>
    <row r="23" spans="1:8" ht="20.100000000000001" customHeight="1" x14ac:dyDescent="0.25">
      <c r="A23" s="31" t="s">
        <v>36</v>
      </c>
      <c r="B23" s="31"/>
      <c r="C23" s="31"/>
      <c r="D23" s="31"/>
      <c r="E23" s="31"/>
      <c r="F23" s="31"/>
      <c r="G23" s="31"/>
      <c r="H23" s="31"/>
    </row>
    <row r="24" spans="1:8" ht="42" customHeight="1" x14ac:dyDescent="0.25">
      <c r="A24" s="26"/>
      <c r="B24" s="26"/>
      <c r="C24" s="26"/>
      <c r="D24" s="26"/>
      <c r="E24" s="26"/>
      <c r="F24" s="26"/>
      <c r="G24" s="26"/>
      <c r="H24" s="26"/>
    </row>
    <row r="25" spans="1:8" ht="42" customHeight="1" x14ac:dyDescent="0.25">
      <c r="A25" s="26"/>
      <c r="B25" s="26"/>
      <c r="C25" s="26"/>
      <c r="D25" s="26"/>
      <c r="E25" s="26"/>
      <c r="F25" s="26"/>
      <c r="G25" s="26"/>
      <c r="H25" s="26"/>
    </row>
    <row r="26" spans="1:8" ht="20.100000000000001" customHeight="1" x14ac:dyDescent="0.25">
      <c r="A26" s="31" t="s">
        <v>37</v>
      </c>
      <c r="B26" s="31"/>
      <c r="C26" s="31"/>
      <c r="D26" s="31"/>
      <c r="E26" s="31"/>
      <c r="F26" s="31"/>
      <c r="G26" s="31"/>
      <c r="H26" s="31"/>
    </row>
    <row r="27" spans="1:8" ht="42" customHeight="1" x14ac:dyDescent="0.25">
      <c r="A27" s="26"/>
      <c r="B27" s="26"/>
      <c r="C27" s="26"/>
      <c r="D27" s="26"/>
      <c r="E27" s="26"/>
      <c r="F27" s="26"/>
      <c r="G27" s="26"/>
      <c r="H27" s="26"/>
    </row>
    <row r="28" spans="1:8" ht="42" customHeight="1" x14ac:dyDescent="0.25">
      <c r="A28" s="26"/>
      <c r="B28" s="26"/>
      <c r="C28" s="26"/>
      <c r="D28" s="26"/>
      <c r="E28" s="26"/>
      <c r="F28" s="26"/>
      <c r="G28" s="26"/>
      <c r="H28" s="26"/>
    </row>
    <row r="29" spans="1:8" ht="20.100000000000001" customHeight="1" x14ac:dyDescent="0.25">
      <c r="A29" s="19" t="s">
        <v>38</v>
      </c>
      <c r="B29" s="20"/>
      <c r="C29" s="19" t="s">
        <v>39</v>
      </c>
      <c r="D29" s="20"/>
      <c r="E29" s="19" t="s">
        <v>32</v>
      </c>
      <c r="F29" s="36"/>
      <c r="G29" s="37"/>
      <c r="H29" s="38"/>
    </row>
    <row r="30" spans="1:8" ht="20.100000000000001" customHeight="1" x14ac:dyDescent="0.25">
      <c r="A30" s="23" t="s">
        <v>106</v>
      </c>
      <c r="B30" s="20"/>
      <c r="C30" s="19" t="s">
        <v>34</v>
      </c>
      <c r="D30" s="29"/>
      <c r="E30" s="19" t="s">
        <v>40</v>
      </c>
      <c r="F30" s="25"/>
      <c r="G30" s="25"/>
      <c r="H30" s="25"/>
    </row>
    <row r="31" spans="1:8" ht="21.95" customHeight="1" x14ac:dyDescent="0.25">
      <c r="A31" s="22" t="s">
        <v>41</v>
      </c>
      <c r="B31" s="14"/>
      <c r="C31" s="14"/>
      <c r="D31" s="14"/>
      <c r="E31" s="14"/>
      <c r="F31" s="14"/>
      <c r="G31" s="14"/>
      <c r="H31" s="14"/>
    </row>
    <row r="32" spans="1:8" ht="20.100000000000001" customHeight="1" x14ac:dyDescent="0.25">
      <c r="A32" s="51" t="s">
        <v>122</v>
      </c>
      <c r="B32" s="20"/>
      <c r="C32" s="19" t="s">
        <v>42</v>
      </c>
      <c r="D32" s="20"/>
      <c r="E32" s="19" t="s">
        <v>43</v>
      </c>
      <c r="F32" s="20"/>
      <c r="G32" s="19" t="s">
        <v>44</v>
      </c>
      <c r="H32" s="29"/>
    </row>
    <row r="33" spans="1:8" ht="20.100000000000001" customHeight="1" x14ac:dyDescent="0.25">
      <c r="A33" s="19" t="s">
        <v>45</v>
      </c>
      <c r="B33" s="29"/>
      <c r="C33" s="19" t="s">
        <v>46</v>
      </c>
      <c r="D33" s="29"/>
      <c r="E33" s="19" t="s">
        <v>47</v>
      </c>
      <c r="F33" s="20"/>
      <c r="G33" s="19" t="s">
        <v>48</v>
      </c>
      <c r="H33" s="20"/>
    </row>
    <row r="34" spans="1:8" ht="20.100000000000001" customHeight="1" x14ac:dyDescent="0.25">
      <c r="A34" s="19" t="s">
        <v>49</v>
      </c>
      <c r="B34" s="20"/>
      <c r="C34" s="33" t="s">
        <v>106</v>
      </c>
      <c r="D34" s="20"/>
      <c r="E34" s="19" t="s">
        <v>50</v>
      </c>
      <c r="F34" s="21"/>
      <c r="G34" s="33" t="s">
        <v>118</v>
      </c>
      <c r="H34" s="20"/>
    </row>
    <row r="35" spans="1:8" ht="20.100000000000001" customHeight="1" x14ac:dyDescent="0.25">
      <c r="A35" s="31" t="s">
        <v>51</v>
      </c>
      <c r="B35" s="31"/>
      <c r="C35" s="31"/>
      <c r="D35" s="31"/>
      <c r="E35" s="31"/>
      <c r="F35" s="31"/>
      <c r="G35" s="31"/>
      <c r="H35" s="31"/>
    </row>
    <row r="36" spans="1:8" ht="42" customHeight="1" x14ac:dyDescent="0.25">
      <c r="A36" s="26"/>
      <c r="B36" s="26"/>
      <c r="C36" s="26"/>
      <c r="D36" s="26"/>
      <c r="E36" s="26"/>
      <c r="F36" s="26"/>
      <c r="G36" s="26"/>
      <c r="H36" s="26"/>
    </row>
    <row r="37" spans="1:8" ht="42" customHeight="1" x14ac:dyDescent="0.25">
      <c r="A37" s="26"/>
      <c r="B37" s="26"/>
      <c r="C37" s="26"/>
      <c r="D37" s="26"/>
      <c r="E37" s="26"/>
      <c r="F37" s="26"/>
      <c r="G37" s="26"/>
      <c r="H37" s="26"/>
    </row>
    <row r="38" spans="1:8" ht="27.95" customHeight="1" x14ac:dyDescent="0.25">
      <c r="A38" s="32" t="s">
        <v>52</v>
      </c>
      <c r="B38" s="14"/>
      <c r="C38" s="14"/>
      <c r="D38" s="14"/>
      <c r="E38" s="14"/>
      <c r="F38" s="14"/>
      <c r="G38" s="14"/>
      <c r="H38" s="14"/>
    </row>
  </sheetData>
  <mergeCells count="29">
    <mergeCell ref="F2:H2"/>
    <mergeCell ref="F19:H19"/>
    <mergeCell ref="F21:H21"/>
    <mergeCell ref="A10:A11"/>
    <mergeCell ref="B10:H11"/>
    <mergeCell ref="D7:F7"/>
    <mergeCell ref="F5:H5"/>
    <mergeCell ref="A31:H31"/>
    <mergeCell ref="A14:A15"/>
    <mergeCell ref="A22:H22"/>
    <mergeCell ref="A12:H12"/>
    <mergeCell ref="F30:H30"/>
    <mergeCell ref="B17:D17"/>
    <mergeCell ref="F29:H29"/>
    <mergeCell ref="A1:H1"/>
    <mergeCell ref="A38:H38"/>
    <mergeCell ref="A27:H28"/>
    <mergeCell ref="A36:H37"/>
    <mergeCell ref="B14:H15"/>
    <mergeCell ref="A16:H16"/>
    <mergeCell ref="A3:H3"/>
    <mergeCell ref="B8:H9"/>
    <mergeCell ref="A35:H35"/>
    <mergeCell ref="A4:H4"/>
    <mergeCell ref="A24:H25"/>
    <mergeCell ref="A26:H26"/>
    <mergeCell ref="A20:H20"/>
    <mergeCell ref="A23:H23"/>
    <mergeCell ref="A8:A9"/>
  </mergeCells>
  <phoneticPr fontId="8" type="noConversion"/>
  <pageMargins left="0.3" right="0.3" top="0.4" bottom="0.4" header="0.2" footer="0.2"/>
  <pageSetup scale="6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errorTitle="輸入錯誤" error="請從下拉清單選擇有效值。" promptTitle="提示" prompt="請從清單選擇。">
          <x14:formula1>
            <xm:f>清單!$D$2:$D$6</xm:f>
          </x14:formula1>
          <xm:sqref>B13</xm:sqref>
        </x14:dataValidation>
        <x14:dataValidation type="list" allowBlank="1" showDropDown="1" errorTitle="輸入錯誤" error="請從下拉清單選擇有效值。" promptTitle="提示" prompt="請從清單選擇。">
          <x14:formula1>
            <xm:f>清單!$A$14:$A$15</xm:f>
          </x14:formula1>
          <xm:sqref>H17:H18</xm:sqref>
        </x14:dataValidation>
        <x14:dataValidation type="list" allowBlank="1" showDropDown="1" errorTitle="輸入錯誤" error="請從下拉清單選擇有效值。" promptTitle="提示" prompt="請從清單選擇。">
          <x14:formula1>
            <xm:f>清單!$D$14:$D$16</xm:f>
          </x14:formula1>
          <xm:sqref>D32</xm:sqref>
        </x14:dataValidation>
        <x14:dataValidation type="list" allowBlank="1" errorTitle="輸入錯誤" error="請從下拉清單選擇有效值。" promptTitle="提示" prompt="請從清單選擇。">
          <x14:formula1>
            <xm:f>清單!$A$26:$A$28</xm:f>
          </x14:formula1>
          <xm:sqref>F33</xm:sqref>
        </x14:dataValidation>
        <x14:dataValidation type="list" allowBlank="1" errorTitle="輸入錯誤" error="請從下拉清單選擇有效值。" promptTitle="提示" prompt="請從清單選擇。">
          <x14:formula1>
            <xm:f>清單!$B$26:$B$30</xm:f>
          </x14:formula1>
          <xm:sqref>H33</xm:sqref>
        </x14:dataValidation>
        <x14:dataValidation type="list" allowBlank="1" errorTitle="輸入錯誤" error="請從下拉清單選擇有效值。" promptTitle="提示" prompt="請從清單選擇。">
          <x14:formula1>
            <xm:f>清單!$C$26:$C$30</xm:f>
          </x14:formula1>
          <xm:sqref>B29</xm:sqref>
        </x14:dataValidation>
        <x14:dataValidation type="list" allowBlank="1" errorTitle="輸入錯誤" error="請從下拉清單選擇有效值。" promptTitle="提示" prompt="請從清單選擇。">
          <x14:formula1>
            <xm:f>清單!$C$2:$C$6</xm:f>
          </x14:formula1>
          <xm:sqref>H7</xm:sqref>
        </x14:dataValidation>
        <x14:dataValidation type="list" allowBlank="1" showInputMessage="1" showErrorMessage="1">
          <x14:formula1>
            <xm:f>清單!$A$2:$A$8</xm:f>
          </x14:formula1>
          <xm:sqref>D7:F7</xm:sqref>
        </x14:dataValidation>
        <x14:dataValidation type="list" allowBlank="1" errorTitle="輸入錯誤" error="請從下拉清單選擇有效值。" promptTitle="提示" prompt="請從清單選擇。">
          <x14:formula1>
            <xm:f>清單!$D$26:$D$28</xm:f>
          </x14:formula1>
          <xm:sqref>D29</xm:sqref>
        </x14:dataValidation>
        <x14:dataValidation type="list" allowBlank="1" showInputMessage="1" showErrorMessage="1">
          <x14:formula1>
            <xm:f>清單!$B$2:$B$5</xm:f>
          </x14:formula1>
          <xm:sqref>B5</xm:sqref>
        </x14:dataValidation>
        <x14:dataValidation type="list" allowBlank="1" errorTitle="輸入錯誤" error="請從下拉清單選擇有效值。" promptTitle="提示" prompt="請從清單選擇。">
          <x14:formula1>
            <xm:f>清單!$B$14:$B$16</xm:f>
          </x14:formula1>
          <xm:sqref>B17:D17</xm:sqref>
        </x14:dataValidation>
        <x14:dataValidation type="list" allowBlank="1" errorTitle="輸入錯誤" error="請從下拉清單選擇有效值。" promptTitle="提示" prompt="請從清單選擇。">
          <x14:formula1>
            <xm:f>清單!$A$14:$A$15</xm:f>
          </x14:formula1>
          <xm:sqref>B18:B19 D19 F18 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workbookViewId="0">
      <pane ySplit="6" topLeftCell="A7" activePane="bottomLeft" state="frozen"/>
      <selection pane="bottomLeft" activeCell="B2" sqref="B2"/>
    </sheetView>
  </sheetViews>
  <sheetFormatPr defaultRowHeight="15.75" x14ac:dyDescent="0.25"/>
  <cols>
    <col min="1" max="1" width="20.85546875" bestFit="1" customWidth="1"/>
    <col min="2" max="2" width="12" customWidth="1"/>
    <col min="3" max="3" width="14" customWidth="1"/>
    <col min="4" max="4" width="16" customWidth="1"/>
    <col min="5" max="5" width="36" customWidth="1"/>
    <col min="6" max="6" width="14" customWidth="1"/>
    <col min="7" max="7" width="20" customWidth="1"/>
    <col min="8" max="8" width="22" customWidth="1"/>
  </cols>
  <sheetData>
    <row r="1" spans="1:8" ht="30" customHeight="1" x14ac:dyDescent="0.25">
      <c r="A1" s="9" t="s">
        <v>53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4" t="s">
        <v>2</v>
      </c>
      <c r="B2" s="39" t="e">
        <f>申請評估!#REF!</f>
        <v>#REF!</v>
      </c>
      <c r="C2" s="1" t="s">
        <v>8</v>
      </c>
      <c r="D2" s="39">
        <f>申請評估!D6</f>
        <v>0</v>
      </c>
      <c r="E2" s="1" t="s">
        <v>9</v>
      </c>
      <c r="F2" s="39"/>
      <c r="G2" s="1" t="s">
        <v>10</v>
      </c>
      <c r="H2" s="40"/>
    </row>
    <row r="3" spans="1:8" ht="20.100000000000001" customHeight="1" x14ac:dyDescent="0.25">
      <c r="A3" s="1" t="s">
        <v>54</v>
      </c>
      <c r="B3" s="39" t="e">
        <f>申請評估!#REF!</f>
        <v>#REF!</v>
      </c>
      <c r="C3" s="17" t="s">
        <v>108</v>
      </c>
      <c r="D3" s="42" t="s">
        <v>112</v>
      </c>
      <c r="E3" s="17" t="s">
        <v>113</v>
      </c>
      <c r="F3" s="42" t="s">
        <v>114</v>
      </c>
      <c r="G3" s="1" t="s">
        <v>43</v>
      </c>
      <c r="H3" s="39"/>
    </row>
    <row r="4" spans="1:8" ht="24" customHeight="1" x14ac:dyDescent="0.25">
      <c r="A4" s="12" t="s">
        <v>55</v>
      </c>
      <c r="B4" s="10"/>
      <c r="C4" s="10"/>
      <c r="D4" s="10"/>
      <c r="E4" s="10"/>
      <c r="F4" s="10"/>
      <c r="G4" s="10"/>
      <c r="H4" s="10"/>
    </row>
    <row r="5" spans="1:8" ht="20.100000000000001" customHeight="1" x14ac:dyDescent="0.25">
      <c r="A5" s="11" t="s">
        <v>56</v>
      </c>
      <c r="B5" s="10"/>
      <c r="C5" s="10"/>
      <c r="D5" s="10"/>
      <c r="E5" s="10"/>
      <c r="F5" s="10"/>
      <c r="G5" s="10"/>
      <c r="H5" s="10"/>
    </row>
    <row r="6" spans="1:8" ht="33.950000000000003" customHeight="1" x14ac:dyDescent="0.25">
      <c r="A6" s="5" t="s">
        <v>57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63</v>
      </c>
      <c r="H6" s="5" t="s">
        <v>40</v>
      </c>
    </row>
    <row r="7" spans="1:8" ht="26.1" customHeight="1" x14ac:dyDescent="0.25">
      <c r="A7" s="6">
        <f t="shared" ref="A7:A31" si="0">ROW()-6</f>
        <v>1</v>
      </c>
      <c r="B7" s="7"/>
      <c r="C7" s="3"/>
      <c r="D7" s="3"/>
      <c r="E7" s="2"/>
      <c r="F7" s="3"/>
      <c r="G7" s="2"/>
      <c r="H7" s="2"/>
    </row>
    <row r="8" spans="1:8" ht="26.1" customHeight="1" x14ac:dyDescent="0.25">
      <c r="A8" s="6">
        <f t="shared" si="0"/>
        <v>2</v>
      </c>
      <c r="B8" s="7"/>
      <c r="C8" s="3"/>
      <c r="D8" s="3"/>
      <c r="E8" s="2"/>
      <c r="F8" s="3"/>
      <c r="G8" s="2"/>
      <c r="H8" s="2"/>
    </row>
    <row r="9" spans="1:8" ht="26.1" customHeight="1" x14ac:dyDescent="0.25">
      <c r="A9" s="6">
        <f t="shared" si="0"/>
        <v>3</v>
      </c>
      <c r="B9" s="7"/>
      <c r="C9" s="3"/>
      <c r="D9" s="3"/>
      <c r="E9" s="2"/>
      <c r="F9" s="3"/>
      <c r="G9" s="2"/>
      <c r="H9" s="2"/>
    </row>
    <row r="10" spans="1:8" ht="26.1" customHeight="1" x14ac:dyDescent="0.25">
      <c r="A10" s="6">
        <f t="shared" si="0"/>
        <v>4</v>
      </c>
      <c r="B10" s="7"/>
      <c r="C10" s="3"/>
      <c r="D10" s="3"/>
      <c r="E10" s="2"/>
      <c r="F10" s="3"/>
      <c r="G10" s="2"/>
      <c r="H10" s="2"/>
    </row>
    <row r="11" spans="1:8" ht="26.1" customHeight="1" x14ac:dyDescent="0.25">
      <c r="A11" s="6">
        <f t="shared" si="0"/>
        <v>5</v>
      </c>
      <c r="B11" s="7"/>
      <c r="C11" s="3"/>
      <c r="D11" s="3"/>
      <c r="E11" s="2"/>
      <c r="F11" s="3"/>
      <c r="G11" s="2"/>
      <c r="H11" s="2"/>
    </row>
    <row r="12" spans="1:8" ht="26.1" customHeight="1" x14ac:dyDescent="0.25">
      <c r="A12" s="6">
        <f t="shared" si="0"/>
        <v>6</v>
      </c>
      <c r="B12" s="7"/>
      <c r="C12" s="3"/>
      <c r="D12" s="3"/>
      <c r="E12" s="2"/>
      <c r="F12" s="3"/>
      <c r="G12" s="2"/>
      <c r="H12" s="2"/>
    </row>
    <row r="13" spans="1:8" ht="26.1" customHeight="1" x14ac:dyDescent="0.25">
      <c r="A13" s="6">
        <f t="shared" si="0"/>
        <v>7</v>
      </c>
      <c r="B13" s="7"/>
      <c r="C13" s="3"/>
      <c r="D13" s="3"/>
      <c r="E13" s="2"/>
      <c r="F13" s="3"/>
      <c r="G13" s="2"/>
      <c r="H13" s="2"/>
    </row>
    <row r="14" spans="1:8" ht="26.1" customHeight="1" x14ac:dyDescent="0.25">
      <c r="A14" s="6">
        <f t="shared" si="0"/>
        <v>8</v>
      </c>
      <c r="B14" s="7"/>
      <c r="C14" s="3"/>
      <c r="D14" s="3"/>
      <c r="E14" s="2"/>
      <c r="F14" s="3"/>
      <c r="G14" s="2"/>
      <c r="H14" s="2"/>
    </row>
    <row r="15" spans="1:8" ht="26.1" customHeight="1" x14ac:dyDescent="0.25">
      <c r="A15" s="6">
        <f t="shared" si="0"/>
        <v>9</v>
      </c>
      <c r="B15" s="7"/>
      <c r="C15" s="3"/>
      <c r="D15" s="3"/>
      <c r="E15" s="2"/>
      <c r="F15" s="3"/>
      <c r="G15" s="2"/>
      <c r="H15" s="2"/>
    </row>
    <row r="16" spans="1:8" ht="26.1" customHeight="1" x14ac:dyDescent="0.25">
      <c r="A16" s="6">
        <f t="shared" si="0"/>
        <v>10</v>
      </c>
      <c r="B16" s="7"/>
      <c r="C16" s="3"/>
      <c r="D16" s="3"/>
      <c r="E16" s="2"/>
      <c r="F16" s="3"/>
      <c r="G16" s="2"/>
      <c r="H16" s="2"/>
    </row>
    <row r="17" spans="1:8" ht="26.1" customHeight="1" x14ac:dyDescent="0.25">
      <c r="A17" s="6">
        <f t="shared" si="0"/>
        <v>11</v>
      </c>
      <c r="B17" s="7"/>
      <c r="C17" s="3"/>
      <c r="D17" s="3"/>
      <c r="E17" s="2"/>
      <c r="F17" s="3"/>
      <c r="G17" s="2"/>
      <c r="H17" s="2"/>
    </row>
    <row r="18" spans="1:8" ht="26.1" customHeight="1" x14ac:dyDescent="0.25">
      <c r="A18" s="6">
        <f t="shared" si="0"/>
        <v>12</v>
      </c>
      <c r="B18" s="7"/>
      <c r="C18" s="3"/>
      <c r="D18" s="3"/>
      <c r="E18" s="2"/>
      <c r="F18" s="3"/>
      <c r="G18" s="2"/>
      <c r="H18" s="2"/>
    </row>
    <row r="19" spans="1:8" ht="26.1" customHeight="1" x14ac:dyDescent="0.25">
      <c r="A19" s="6">
        <f t="shared" si="0"/>
        <v>13</v>
      </c>
      <c r="B19" s="7"/>
      <c r="C19" s="3"/>
      <c r="D19" s="3"/>
      <c r="E19" s="2"/>
      <c r="F19" s="3"/>
      <c r="G19" s="2"/>
      <c r="H19" s="2"/>
    </row>
    <row r="20" spans="1:8" ht="26.1" customHeight="1" x14ac:dyDescent="0.25">
      <c r="A20" s="6">
        <f t="shared" si="0"/>
        <v>14</v>
      </c>
      <c r="B20" s="7"/>
      <c r="C20" s="3"/>
      <c r="D20" s="3"/>
      <c r="E20" s="2"/>
      <c r="F20" s="3"/>
      <c r="G20" s="2"/>
      <c r="H20" s="2"/>
    </row>
    <row r="21" spans="1:8" ht="26.1" customHeight="1" x14ac:dyDescent="0.25">
      <c r="A21" s="6">
        <f t="shared" si="0"/>
        <v>15</v>
      </c>
      <c r="B21" s="7"/>
      <c r="C21" s="3"/>
      <c r="D21" s="3"/>
      <c r="E21" s="2"/>
      <c r="F21" s="3"/>
      <c r="G21" s="2"/>
      <c r="H21" s="2"/>
    </row>
    <row r="22" spans="1:8" ht="26.1" customHeight="1" x14ac:dyDescent="0.25">
      <c r="A22" s="6">
        <f t="shared" si="0"/>
        <v>16</v>
      </c>
      <c r="B22" s="7"/>
      <c r="C22" s="3"/>
      <c r="D22" s="3"/>
      <c r="E22" s="2"/>
      <c r="F22" s="3"/>
      <c r="G22" s="2"/>
      <c r="H22" s="2"/>
    </row>
    <row r="23" spans="1:8" ht="26.1" customHeight="1" x14ac:dyDescent="0.25">
      <c r="A23" s="6">
        <f t="shared" si="0"/>
        <v>17</v>
      </c>
      <c r="B23" s="7"/>
      <c r="C23" s="3"/>
      <c r="D23" s="3"/>
      <c r="E23" s="2"/>
      <c r="F23" s="3"/>
      <c r="G23" s="2"/>
      <c r="H23" s="2"/>
    </row>
    <row r="24" spans="1:8" ht="26.1" customHeight="1" x14ac:dyDescent="0.25">
      <c r="A24" s="6">
        <f t="shared" si="0"/>
        <v>18</v>
      </c>
      <c r="B24" s="7"/>
      <c r="C24" s="3"/>
      <c r="D24" s="3"/>
      <c r="E24" s="2"/>
      <c r="F24" s="3"/>
      <c r="G24" s="2"/>
      <c r="H24" s="2"/>
    </row>
    <row r="25" spans="1:8" ht="26.1" customHeight="1" x14ac:dyDescent="0.25">
      <c r="A25" s="6">
        <f t="shared" si="0"/>
        <v>19</v>
      </c>
      <c r="B25" s="7"/>
      <c r="C25" s="3"/>
      <c r="D25" s="3"/>
      <c r="E25" s="2"/>
      <c r="F25" s="3"/>
      <c r="G25" s="2"/>
      <c r="H25" s="2"/>
    </row>
    <row r="26" spans="1:8" ht="26.1" customHeight="1" x14ac:dyDescent="0.25">
      <c r="A26" s="6">
        <f t="shared" si="0"/>
        <v>20</v>
      </c>
      <c r="B26" s="7"/>
      <c r="C26" s="3"/>
      <c r="D26" s="3"/>
      <c r="E26" s="2"/>
      <c r="F26" s="3"/>
      <c r="G26" s="2"/>
      <c r="H26" s="2"/>
    </row>
    <row r="27" spans="1:8" ht="26.1" customHeight="1" x14ac:dyDescent="0.25">
      <c r="A27" s="6">
        <f t="shared" si="0"/>
        <v>21</v>
      </c>
      <c r="B27" s="7"/>
      <c r="C27" s="3"/>
      <c r="D27" s="3"/>
      <c r="E27" s="2"/>
      <c r="F27" s="3"/>
      <c r="G27" s="2"/>
      <c r="H27" s="2"/>
    </row>
    <row r="28" spans="1:8" ht="26.1" customHeight="1" x14ac:dyDescent="0.25">
      <c r="A28" s="6">
        <f t="shared" si="0"/>
        <v>22</v>
      </c>
      <c r="B28" s="7"/>
      <c r="C28" s="3"/>
      <c r="D28" s="3"/>
      <c r="E28" s="2"/>
      <c r="F28" s="3"/>
      <c r="G28" s="2"/>
      <c r="H28" s="2"/>
    </row>
    <row r="29" spans="1:8" ht="26.1" customHeight="1" x14ac:dyDescent="0.25">
      <c r="A29" s="6">
        <f t="shared" si="0"/>
        <v>23</v>
      </c>
      <c r="B29" s="7"/>
      <c r="C29" s="3"/>
      <c r="D29" s="3"/>
      <c r="E29" s="2"/>
      <c r="F29" s="3"/>
      <c r="G29" s="2"/>
      <c r="H29" s="2"/>
    </row>
    <row r="30" spans="1:8" ht="26.1" customHeight="1" x14ac:dyDescent="0.25">
      <c r="A30" s="6">
        <f t="shared" si="0"/>
        <v>24</v>
      </c>
      <c r="B30" s="7"/>
      <c r="C30" s="3"/>
      <c r="D30" s="3"/>
      <c r="E30" s="2"/>
      <c r="F30" s="3"/>
      <c r="G30" s="2"/>
      <c r="H30" s="2"/>
    </row>
    <row r="31" spans="1:8" ht="26.1" customHeight="1" x14ac:dyDescent="0.25">
      <c r="A31" s="6">
        <f t="shared" si="0"/>
        <v>25</v>
      </c>
      <c r="B31" s="7"/>
      <c r="C31" s="3"/>
      <c r="D31" s="3"/>
      <c r="E31" s="2"/>
      <c r="F31" s="3"/>
      <c r="G31" s="2"/>
      <c r="H31" s="2"/>
    </row>
  </sheetData>
  <mergeCells count="3">
    <mergeCell ref="A4:H4"/>
    <mergeCell ref="A5:H5"/>
    <mergeCell ref="A1:H1"/>
  </mergeCells>
  <phoneticPr fontId="8" type="noConversion"/>
  <pageMargins left="0.75" right="0.75" top="1" bottom="1" header="0.5" footer="0.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workbookViewId="0">
      <selection activeCell="A13" sqref="A13:D16"/>
    </sheetView>
  </sheetViews>
  <sheetFormatPr defaultRowHeight="15.75" x14ac:dyDescent="0.25"/>
  <cols>
    <col min="1" max="4" width="22" customWidth="1"/>
  </cols>
  <sheetData>
    <row r="1" spans="1:4" x14ac:dyDescent="0.25">
      <c r="A1" s="8" t="s">
        <v>12</v>
      </c>
      <c r="B1" s="48" t="s">
        <v>119</v>
      </c>
      <c r="C1" s="46" t="s">
        <v>13</v>
      </c>
      <c r="D1" s="8" t="s">
        <v>17</v>
      </c>
    </row>
    <row r="2" spans="1:4" x14ac:dyDescent="0.25">
      <c r="A2" s="49" t="s">
        <v>64</v>
      </c>
      <c r="B2" s="50" t="s">
        <v>106</v>
      </c>
      <c r="C2" s="45" t="s">
        <v>14</v>
      </c>
      <c r="D2" s="45" t="s">
        <v>65</v>
      </c>
    </row>
    <row r="3" spans="1:4" x14ac:dyDescent="0.25">
      <c r="A3" s="49" t="s">
        <v>66</v>
      </c>
      <c r="B3" s="50" t="s">
        <v>108</v>
      </c>
      <c r="C3" s="45" t="s">
        <v>67</v>
      </c>
      <c r="D3" s="45" t="s">
        <v>68</v>
      </c>
    </row>
    <row r="4" spans="1:4" x14ac:dyDescent="0.25">
      <c r="A4" s="49" t="s">
        <v>69</v>
      </c>
      <c r="B4" s="50" t="s">
        <v>113</v>
      </c>
      <c r="C4" s="45" t="s">
        <v>70</v>
      </c>
      <c r="D4" s="45" t="s">
        <v>71</v>
      </c>
    </row>
    <row r="5" spans="1:4" x14ac:dyDescent="0.25">
      <c r="A5" s="49" t="s">
        <v>72</v>
      </c>
      <c r="B5" s="16" t="s">
        <v>120</v>
      </c>
      <c r="C5" s="45" t="s">
        <v>73</v>
      </c>
      <c r="D5" s="45" t="s">
        <v>74</v>
      </c>
    </row>
    <row r="6" spans="1:4" x14ac:dyDescent="0.25">
      <c r="A6" s="49" t="s">
        <v>75</v>
      </c>
      <c r="B6" s="16"/>
      <c r="C6" s="45" t="s">
        <v>76</v>
      </c>
      <c r="D6" s="45" t="s">
        <v>77</v>
      </c>
    </row>
    <row r="7" spans="1:4" x14ac:dyDescent="0.25">
      <c r="A7" s="49" t="s">
        <v>78</v>
      </c>
      <c r="B7" s="16"/>
      <c r="C7" s="15"/>
      <c r="D7" s="15"/>
    </row>
    <row r="8" spans="1:4" x14ac:dyDescent="0.25">
      <c r="A8" s="49" t="s">
        <v>77</v>
      </c>
      <c r="B8" s="16"/>
      <c r="C8" s="15"/>
      <c r="D8" s="15"/>
    </row>
    <row r="13" spans="1:4" x14ac:dyDescent="0.25">
      <c r="A13" s="35" t="s">
        <v>79</v>
      </c>
      <c r="B13" s="35" t="s">
        <v>80</v>
      </c>
      <c r="C13" s="35" t="s">
        <v>24</v>
      </c>
      <c r="D13" s="35" t="s">
        <v>42</v>
      </c>
    </row>
    <row r="14" spans="1:4" x14ac:dyDescent="0.25">
      <c r="A14" s="49" t="s">
        <v>81</v>
      </c>
      <c r="B14" s="49" t="s">
        <v>82</v>
      </c>
      <c r="C14" s="49" t="s">
        <v>83</v>
      </c>
      <c r="D14" s="49" t="s">
        <v>84</v>
      </c>
    </row>
    <row r="15" spans="1:4" x14ac:dyDescent="0.25">
      <c r="A15" s="49" t="s">
        <v>85</v>
      </c>
      <c r="B15" s="49" t="s">
        <v>86</v>
      </c>
      <c r="C15" s="49" t="s">
        <v>87</v>
      </c>
      <c r="D15" s="49" t="s">
        <v>88</v>
      </c>
    </row>
    <row r="16" spans="1:4" x14ac:dyDescent="0.25">
      <c r="A16" s="16"/>
      <c r="B16" s="49" t="s">
        <v>89</v>
      </c>
      <c r="C16" s="49" t="s">
        <v>90</v>
      </c>
      <c r="D16" s="49" t="s">
        <v>91</v>
      </c>
    </row>
    <row r="25" spans="1:4" x14ac:dyDescent="0.25">
      <c r="A25" s="35" t="s">
        <v>47</v>
      </c>
      <c r="B25" s="35" t="s">
        <v>48</v>
      </c>
      <c r="C25" s="35" t="s">
        <v>38</v>
      </c>
      <c r="D25" s="35" t="s">
        <v>39</v>
      </c>
    </row>
    <row r="26" spans="1:4" x14ac:dyDescent="0.25">
      <c r="A26" s="49" t="s">
        <v>92</v>
      </c>
      <c r="B26" s="49" t="s">
        <v>93</v>
      </c>
      <c r="C26" s="49" t="s">
        <v>94</v>
      </c>
      <c r="D26" s="49" t="s">
        <v>97</v>
      </c>
    </row>
    <row r="27" spans="1:4" x14ac:dyDescent="0.25">
      <c r="A27" s="49" t="s">
        <v>95</v>
      </c>
      <c r="B27" s="49" t="s">
        <v>68</v>
      </c>
      <c r="C27" s="49" t="s">
        <v>96</v>
      </c>
      <c r="D27" s="49" t="s">
        <v>101</v>
      </c>
    </row>
    <row r="28" spans="1:4" x14ac:dyDescent="0.25">
      <c r="A28" s="49" t="s">
        <v>98</v>
      </c>
      <c r="B28" s="49" t="s">
        <v>99</v>
      </c>
      <c r="C28" s="49" t="s">
        <v>100</v>
      </c>
      <c r="D28" s="49" t="s">
        <v>104</v>
      </c>
    </row>
    <row r="29" spans="1:4" x14ac:dyDescent="0.25">
      <c r="A29" s="16"/>
      <c r="B29" s="49" t="s">
        <v>102</v>
      </c>
      <c r="C29" s="49" t="s">
        <v>103</v>
      </c>
      <c r="D29" s="16"/>
    </row>
    <row r="30" spans="1:4" x14ac:dyDescent="0.25">
      <c r="A30" s="16"/>
      <c r="B30" s="49" t="s">
        <v>77</v>
      </c>
      <c r="C30" s="49" t="s">
        <v>77</v>
      </c>
      <c r="D30" s="16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申請評估</vt:lpstr>
      <vt:lpstr>重工紀錄</vt:lpstr>
      <vt:lpstr>清單</vt:lpstr>
      <vt:lpstr>申請評估!Print_Area</vt:lpstr>
      <vt:lpstr>重工紀錄!Print_Area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2025-12-23T02:04:22Z</cp:lastPrinted>
  <dcterms:created xsi:type="dcterms:W3CDTF">2025-12-23T01:39:47Z</dcterms:created>
  <dcterms:modified xsi:type="dcterms:W3CDTF">2025-12-23T02:51:11Z</dcterms:modified>
</cp:coreProperties>
</file>