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5 量測資源管理程序\表單\"/>
    </mc:Choice>
  </mc:AlternateContent>
  <bookViews>
    <workbookView xWindow="0" yWindow="0" windowWidth="28800" windowHeight="11925" activeTab="1"/>
  </bookViews>
  <sheets>
    <sheet name="AOI" sheetId="5" r:id="rId1"/>
    <sheet name="TTV" sheetId="1" r:id="rId2"/>
  </sheets>
  <calcPr calcId="162913"/>
  <extLst>
    <ext uri="GoogleSheetsCustomDataVersion2">
      <go:sheetsCustomData xmlns:go="http://customooxmlschemas.google.com/" r:id="rId8" roundtripDataChecksum="Tw0BPs2Ipk0fX30JlmO4sEp0mceOR9Xb7fdGd7Z2PWg="/>
    </ext>
  </extLst>
</workbook>
</file>

<file path=xl/calcChain.xml><?xml version="1.0" encoding="utf-8"?>
<calcChain xmlns="http://schemas.openxmlformats.org/spreadsheetml/2006/main">
  <c r="E3" i="1" l="1"/>
  <c r="B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M4" i="5"/>
  <c r="M5" i="5"/>
  <c r="M6" i="5"/>
  <c r="M7" i="5"/>
  <c r="M3" i="5"/>
  <c r="L4" i="5"/>
  <c r="L5" i="5"/>
  <c r="L6" i="5"/>
  <c r="L7" i="5"/>
  <c r="L3" i="5"/>
  <c r="K3" i="5"/>
  <c r="K4" i="5"/>
  <c r="K5" i="5"/>
  <c r="K6" i="5"/>
  <c r="K7" i="5"/>
  <c r="C3" i="5"/>
  <c r="D3" i="5"/>
  <c r="D4" i="5"/>
  <c r="D5" i="5"/>
  <c r="D6" i="5"/>
  <c r="D7" i="5"/>
  <c r="D8" i="5"/>
  <c r="D9" i="5"/>
  <c r="D10" i="5"/>
  <c r="D11" i="5"/>
  <c r="D12" i="5"/>
  <c r="C4" i="5"/>
  <c r="C5" i="5"/>
  <c r="C6" i="5"/>
  <c r="C7" i="5"/>
  <c r="C8" i="5"/>
  <c r="C9" i="5"/>
  <c r="C10" i="5"/>
  <c r="C11" i="5"/>
  <c r="C12" i="5"/>
  <c r="B4" i="5"/>
  <c r="B5" i="5"/>
  <c r="B6" i="5"/>
  <c r="B7" i="5"/>
  <c r="B8" i="5"/>
  <c r="B9" i="5"/>
  <c r="B10" i="5"/>
  <c r="B11" i="5"/>
  <c r="B12" i="5"/>
  <c r="R23" i="5"/>
  <c r="Q23" i="5"/>
  <c r="R22" i="5"/>
  <c r="Q22" i="5"/>
  <c r="R21" i="5"/>
  <c r="Q21" i="5"/>
  <c r="R20" i="5"/>
  <c r="Q20" i="5"/>
  <c r="O25" i="5" s="1"/>
  <c r="R19" i="5"/>
  <c r="Q19" i="5"/>
  <c r="O27" i="5" s="1"/>
  <c r="Q19" i="1"/>
  <c r="R19" i="1"/>
  <c r="Q20" i="1"/>
  <c r="R20" i="1"/>
  <c r="Q21" i="1"/>
  <c r="R21" i="1"/>
  <c r="Q22" i="1"/>
  <c r="R22" i="1"/>
  <c r="Q23" i="1"/>
  <c r="R23" i="1"/>
  <c r="O25" i="1"/>
  <c r="O26" i="1"/>
  <c r="O27" i="1"/>
  <c r="J24" i="1"/>
  <c r="J25" i="1"/>
  <c r="J26" i="1"/>
  <c r="J27" i="1"/>
  <c r="J28" i="1"/>
  <c r="J29" i="1"/>
  <c r="J30" i="1"/>
  <c r="J31" i="1"/>
  <c r="J32" i="1"/>
  <c r="J3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13" i="1"/>
  <c r="J42" i="1"/>
  <c r="J41" i="1"/>
  <c r="J40" i="1"/>
  <c r="J39" i="1"/>
  <c r="J38" i="1"/>
  <c r="J37" i="1"/>
  <c r="J36" i="1"/>
  <c r="J35" i="1"/>
  <c r="J34" i="1"/>
  <c r="J23" i="1"/>
  <c r="J22" i="1"/>
  <c r="J21" i="1"/>
  <c r="J20" i="1"/>
  <c r="J19" i="1"/>
  <c r="J18" i="1"/>
  <c r="J17" i="1"/>
  <c r="J16" i="1"/>
  <c r="J15" i="1"/>
  <c r="J14" i="1"/>
  <c r="J13" i="1"/>
  <c r="M4" i="1"/>
  <c r="M5" i="1"/>
  <c r="M6" i="1"/>
  <c r="M7" i="1"/>
  <c r="M3" i="1"/>
  <c r="L4" i="1"/>
  <c r="L5" i="1"/>
  <c r="L6" i="1"/>
  <c r="L7" i="1"/>
  <c r="L3" i="1"/>
  <c r="K4" i="1"/>
  <c r="K5" i="1"/>
  <c r="K6" i="1"/>
  <c r="K7" i="1"/>
  <c r="K3" i="1"/>
  <c r="D4" i="1"/>
  <c r="D5" i="1"/>
  <c r="D6" i="1"/>
  <c r="D7" i="1"/>
  <c r="D8" i="1"/>
  <c r="D9" i="1"/>
  <c r="D10" i="1"/>
  <c r="D11" i="1"/>
  <c r="D12" i="1"/>
  <c r="D3" i="1"/>
  <c r="C4" i="1"/>
  <c r="C5" i="1"/>
  <c r="C6" i="1"/>
  <c r="C7" i="1"/>
  <c r="C8" i="1"/>
  <c r="C9" i="1"/>
  <c r="C10" i="1"/>
  <c r="C11" i="1"/>
  <c r="C12" i="1"/>
  <c r="C3" i="1"/>
  <c r="B4" i="1"/>
  <c r="B5" i="1"/>
  <c r="B6" i="1"/>
  <c r="B7" i="1"/>
  <c r="B8" i="1"/>
  <c r="B9" i="1"/>
  <c r="B10" i="1"/>
  <c r="B11" i="1"/>
  <c r="B12" i="1"/>
  <c r="B3" i="1"/>
  <c r="E3" i="5" l="1"/>
  <c r="E9" i="5"/>
  <c r="M27" i="5"/>
  <c r="M35" i="5"/>
  <c r="M13" i="5"/>
  <c r="M19" i="5"/>
  <c r="M24" i="5"/>
  <c r="F12" i="5"/>
  <c r="M20" i="5"/>
  <c r="M31" i="5"/>
  <c r="M39" i="5"/>
  <c r="E7" i="5"/>
  <c r="F11" i="5"/>
  <c r="M22" i="5"/>
  <c r="M26" i="5"/>
  <c r="F6" i="5"/>
  <c r="M17" i="5"/>
  <c r="N4" i="5"/>
  <c r="O4" i="5" s="1"/>
  <c r="P4" i="5" s="1"/>
  <c r="F9" i="5"/>
  <c r="E11" i="5"/>
  <c r="M16" i="5"/>
  <c r="M18" i="5"/>
  <c r="M23" i="5"/>
  <c r="M25" i="5"/>
  <c r="M30" i="5"/>
  <c r="M38" i="5"/>
  <c r="N3" i="5"/>
  <c r="O3" i="5" s="1"/>
  <c r="P3" i="5" s="1"/>
  <c r="M33" i="5"/>
  <c r="M41" i="5"/>
  <c r="F5" i="5"/>
  <c r="N7" i="5"/>
  <c r="O7" i="5" s="1"/>
  <c r="P7" i="5" s="1"/>
  <c r="E12" i="5"/>
  <c r="M14" i="5"/>
  <c r="M28" i="5"/>
  <c r="M36" i="5"/>
  <c r="F4" i="5"/>
  <c r="E5" i="5"/>
  <c r="N6" i="5"/>
  <c r="O6" i="5" s="1"/>
  <c r="P6" i="5" s="1"/>
  <c r="F10" i="5"/>
  <c r="M34" i="5"/>
  <c r="M42" i="5"/>
  <c r="F8" i="5"/>
  <c r="M29" i="5"/>
  <c r="M37" i="5"/>
  <c r="F3" i="5"/>
  <c r="N5" i="5"/>
  <c r="O5" i="5" s="1"/>
  <c r="P5" i="5" s="1"/>
  <c r="F7" i="5"/>
  <c r="M15" i="5"/>
  <c r="M21" i="5"/>
  <c r="M32" i="5"/>
  <c r="M40" i="5"/>
  <c r="O26" i="5"/>
  <c r="E8" i="5"/>
  <c r="E4" i="5"/>
  <c r="E6" i="5"/>
  <c r="E10" i="5"/>
  <c r="M18" i="1"/>
  <c r="M21" i="1"/>
  <c r="M29" i="1"/>
  <c r="M26" i="1"/>
  <c r="M34" i="1"/>
  <c r="M42" i="1"/>
  <c r="M38" i="1"/>
  <c r="M25" i="1"/>
  <c r="M33" i="1"/>
  <c r="M13" i="1"/>
  <c r="M27" i="1"/>
  <c r="M37" i="1"/>
  <c r="M14" i="1"/>
  <c r="M22" i="1"/>
  <c r="M15" i="1"/>
  <c r="M23" i="1"/>
  <c r="M31" i="1"/>
  <c r="M39" i="1"/>
  <c r="M17" i="1"/>
  <c r="M41" i="1"/>
  <c r="M19" i="1"/>
  <c r="M35" i="1"/>
  <c r="M30" i="1"/>
  <c r="M20" i="1"/>
  <c r="M28" i="1"/>
  <c r="M36" i="1"/>
  <c r="M16" i="1"/>
  <c r="M24" i="1"/>
  <c r="M32" i="1"/>
  <c r="M40" i="1"/>
  <c r="N7" i="1"/>
  <c r="O7" i="1" s="1"/>
  <c r="P7" i="1" s="1"/>
  <c r="N3" i="1"/>
  <c r="O3" i="1" s="1"/>
  <c r="P3" i="1" s="1"/>
  <c r="N4" i="1"/>
  <c r="O4" i="1" s="1"/>
  <c r="P4" i="1" s="1"/>
  <c r="E6" i="1"/>
  <c r="N6" i="1"/>
  <c r="O6" i="1" s="1"/>
  <c r="P6" i="1" s="1"/>
  <c r="F12" i="1"/>
  <c r="N5" i="1"/>
  <c r="O5" i="1" s="1"/>
  <c r="P5" i="1" s="1"/>
  <c r="E8" i="1"/>
  <c r="F7" i="1"/>
  <c r="F6" i="1"/>
  <c r="E12" i="1"/>
  <c r="F11" i="1"/>
  <c r="F4" i="1"/>
  <c r="F8" i="1"/>
  <c r="F10" i="1"/>
  <c r="E4" i="1"/>
  <c r="F9" i="1"/>
  <c r="F5" i="1"/>
  <c r="E10" i="1"/>
  <c r="E11" i="1"/>
  <c r="E5" i="1"/>
  <c r="E9" i="1"/>
  <c r="E7" i="1"/>
  <c r="F3" i="1"/>
  <c r="S4" i="5" l="1"/>
  <c r="S5" i="5" s="1"/>
  <c r="J45" i="5"/>
  <c r="F14" i="5"/>
  <c r="F15" i="5" s="1"/>
  <c r="J44" i="5"/>
  <c r="F16" i="5"/>
  <c r="J45" i="1"/>
  <c r="J44" i="1"/>
  <c r="S4" i="1"/>
  <c r="S5" i="1" s="1"/>
  <c r="F14" i="1"/>
  <c r="F15" i="1" s="1"/>
  <c r="F16" i="1"/>
  <c r="F17" i="5" l="1"/>
  <c r="F18" i="5" s="1"/>
  <c r="G18" i="5" s="1"/>
  <c r="J47" i="5"/>
  <c r="J46" i="5"/>
  <c r="J47" i="1"/>
  <c r="J46" i="1"/>
  <c r="F17" i="1"/>
  <c r="F18" i="1" s="1"/>
  <c r="G18" i="1" s="1"/>
</calcChain>
</file>

<file path=xl/sharedStrings.xml><?xml version="1.0" encoding="utf-8"?>
<sst xmlns="http://schemas.openxmlformats.org/spreadsheetml/2006/main" count="92" uniqueCount="38">
  <si>
    <t>Part</t>
  </si>
  <si>
    <t>Trial 1</t>
  </si>
  <si>
    <t>Trial 2</t>
  </si>
  <si>
    <t>Trial 3</t>
  </si>
  <si>
    <t>Average</t>
  </si>
  <si>
    <t>Range</t>
  </si>
  <si>
    <t>Remark</t>
  </si>
  <si>
    <t>Rbar</t>
  </si>
  <si>
    <t>EV (Equipment Variation)</t>
  </si>
  <si>
    <t>PV (Part-to-Part Variation)</t>
  </si>
  <si>
    <t>TV (Total Variation)</t>
  </si>
  <si>
    <t>%EV</t>
  </si>
  <si>
    <t>Sample</t>
  </si>
  <si>
    <t>Reference</t>
  </si>
  <si>
    <t>Meas 1</t>
  </si>
  <si>
    <t>Meas 2</t>
  </si>
  <si>
    <t>Meas 3</t>
  </si>
  <si>
    <t>Bias</t>
  </si>
  <si>
    <t>%Bias (vs Tol)</t>
  </si>
  <si>
    <t>Tolerance (um)</t>
  </si>
  <si>
    <t>Overall Avg Bias</t>
  </si>
  <si>
    <t>Overall %Bias</t>
  </si>
  <si>
    <t>Level</t>
  </si>
  <si>
    <t>Average Meas</t>
  </si>
  <si>
    <t>Slope (Bias vs Ref)</t>
  </si>
  <si>
    <t>Intercept</t>
  </si>
  <si>
    <t>R^2</t>
  </si>
  <si>
    <t>Date</t>
  </si>
  <si>
    <t>Mean of Avg</t>
  </si>
  <si>
    <t>Sigma of Avg</t>
  </si>
  <si>
    <t>UCL (Xbar)</t>
  </si>
  <si>
    <t>LCL (Xbar)</t>
  </si>
  <si>
    <t>Repeatability(TTV unit: um)</t>
    <phoneticPr fontId="2" type="noConversion"/>
  </si>
  <si>
    <t>Stability(TTV unit: um)</t>
    <phoneticPr fontId="2" type="noConversion"/>
  </si>
  <si>
    <t>Bias(TTV unit: um)</t>
    <phoneticPr fontId="2" type="noConversion"/>
  </si>
  <si>
    <t>03_Linearity</t>
  </si>
  <si>
    <t>σ</t>
  </si>
  <si>
    <t>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</si>
</sst>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9"/>
      <name val="Calibri"/>
      <family val="3"/>
      <charset val="136"/>
      <scheme val="minor"/>
    </font>
    <font>
      <sz val="16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5" fillId="0" borderId="2" xfId="0" applyFont="1" applyBorder="1" applyAlignment="1"/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27" bestFit="1" customWidth="1"/>
    <col min="2" max="4" width="8.7109375" customWidth="1"/>
    <col min="5" max="5" width="32.5703125" bestFit="1" customWidth="1"/>
    <col min="6" max="6" width="13.28515625" customWidth="1"/>
    <col min="7" max="7" width="19.7109375" bestFit="1" customWidth="1"/>
    <col min="8" max="8" width="8.7109375" customWidth="1"/>
    <col min="9" max="9" width="28.85546875" bestFit="1" customWidth="1"/>
    <col min="10" max="10" width="16.85546875" bestFit="1" customWidth="1"/>
    <col min="11" max="11" width="26.140625" bestFit="1" customWidth="1"/>
    <col min="12" max="12" width="18.28515625" bestFit="1" customWidth="1"/>
    <col min="13" max="15" width="8.7109375" customWidth="1"/>
    <col min="16" max="16" width="18.5703125" bestFit="1" customWidth="1"/>
    <col min="17" max="17" width="8.7109375" customWidth="1"/>
    <col min="18" max="18" width="18.5703125" bestFit="1" customWidth="1"/>
    <col min="19" max="19" width="8.7109375" customWidth="1"/>
    <col min="20" max="20" width="21.28515625" bestFit="1" customWidth="1"/>
    <col min="21" max="26" width="8.7109375" customWidth="1"/>
  </cols>
  <sheetData>
    <row r="1" spans="1:19" ht="21" x14ac:dyDescent="0.25">
      <c r="A1" s="11" t="s">
        <v>32</v>
      </c>
      <c r="B1" s="12"/>
      <c r="C1" s="13"/>
      <c r="I1" s="10" t="s">
        <v>34</v>
      </c>
      <c r="J1" s="10"/>
    </row>
    <row r="2" spans="1:19" ht="19.5" x14ac:dyDescent="0.3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I2" s="4" t="s">
        <v>12</v>
      </c>
      <c r="J2" s="4" t="s">
        <v>13</v>
      </c>
      <c r="K2" s="5" t="s">
        <v>14</v>
      </c>
      <c r="L2" s="5" t="s">
        <v>15</v>
      </c>
      <c r="M2" s="5" t="s">
        <v>16</v>
      </c>
      <c r="N2" s="5" t="s">
        <v>4</v>
      </c>
      <c r="O2" s="5" t="s">
        <v>17</v>
      </c>
      <c r="P2" s="5" t="s">
        <v>18</v>
      </c>
      <c r="Q2" s="5"/>
      <c r="R2" s="5" t="s">
        <v>19</v>
      </c>
      <c r="S2" s="5">
        <v>10</v>
      </c>
    </row>
    <row r="3" spans="1:19" ht="19.5" x14ac:dyDescent="0.3">
      <c r="A3" s="5">
        <v>1</v>
      </c>
      <c r="B3" s="6">
        <f ca="1">200 + NORMINV(RAND(),0,1)</f>
        <v>200.71666427052159</v>
      </c>
      <c r="C3" s="6">
        <f ca="1">200 + NORMINV(RAND(),0,1)</f>
        <v>200.92455416724044</v>
      </c>
      <c r="D3" s="6">
        <f ca="1">200 + NORMINV(RAND(),0,1)</f>
        <v>201.06547969901945</v>
      </c>
      <c r="E3" s="5">
        <f t="shared" ref="E3:E12" ca="1" si="0">AVERAGE(B3:D3)</f>
        <v>200.90223271226048</v>
      </c>
      <c r="F3" s="5">
        <f t="shared" ref="F3:F12" ca="1" si="1">MAX(B3:D3)-MIN(B3:D3)</f>
        <v>0.34881542849785774</v>
      </c>
      <c r="G3" s="5"/>
      <c r="I3" s="5">
        <v>1</v>
      </c>
      <c r="J3" s="5"/>
      <c r="K3" s="16">
        <f ca="1">200 + NORMINV(RAND(),0,1)</f>
        <v>200.41184639018772</v>
      </c>
      <c r="L3" s="16">
        <f ca="1">200 + NORMINV(RAND(),0,1)</f>
        <v>199.48601123715682</v>
      </c>
      <c r="M3" s="16">
        <f ca="1">200 + NORMINV(RAND(),0,1)</f>
        <v>200.07490822958036</v>
      </c>
      <c r="N3" s="5">
        <f t="shared" ref="N3:N7" ca="1" si="2">AVERAGE(K3:M3)</f>
        <v>199.9909219523083</v>
      </c>
      <c r="O3" s="5">
        <f t="shared" ref="O3:O7" ca="1" si="3">N3-J3</f>
        <v>199.9909219523083</v>
      </c>
      <c r="P3" s="5">
        <f ca="1">IF($S$2="","",ABS(O3)/$S$2)</f>
        <v>19.99909219523083</v>
      </c>
      <c r="Q3" s="5"/>
      <c r="R3" s="5"/>
      <c r="S3" s="5"/>
    </row>
    <row r="4" spans="1:19" ht="19.5" x14ac:dyDescent="0.3">
      <c r="A4" s="5">
        <v>2</v>
      </c>
      <c r="B4" s="6">
        <f t="shared" ref="B4:D12" ca="1" si="4">200 + NORMINV(RAND(),0,1)</f>
        <v>198.4220917779412</v>
      </c>
      <c r="C4" s="6">
        <f t="shared" ca="1" si="4"/>
        <v>199.52913258256064</v>
      </c>
      <c r="D4" s="6">
        <f t="shared" ca="1" si="4"/>
        <v>200.02664820952793</v>
      </c>
      <c r="E4" s="5">
        <f t="shared" ca="1" si="0"/>
        <v>199.32595752334328</v>
      </c>
      <c r="F4" s="5">
        <f t="shared" ca="1" si="1"/>
        <v>1.6045564315867296</v>
      </c>
      <c r="G4" s="5"/>
      <c r="I4" s="5">
        <v>2</v>
      </c>
      <c r="J4" s="5"/>
      <c r="K4" s="16">
        <f t="shared" ref="K4:M7" ca="1" si="5">200 + NORMINV(RAND(),0,1)</f>
        <v>200.2134296601034</v>
      </c>
      <c r="L4" s="16">
        <f t="shared" ca="1" si="5"/>
        <v>201.72030539698068</v>
      </c>
      <c r="M4" s="16">
        <f t="shared" ca="1" si="5"/>
        <v>200.85898905266512</v>
      </c>
      <c r="N4" s="5">
        <f t="shared" ca="1" si="2"/>
        <v>200.93090803658308</v>
      </c>
      <c r="O4" s="5">
        <f t="shared" ca="1" si="3"/>
        <v>200.93090803658308</v>
      </c>
      <c r="P4" s="5">
        <f ca="1">IF($S$2="","",ABS(O4)/$S$2)</f>
        <v>20.093090803658306</v>
      </c>
      <c r="Q4" s="5"/>
      <c r="R4" s="5" t="s">
        <v>20</v>
      </c>
      <c r="S4" s="5">
        <f ca="1">AVERAGE(O3:O7)</f>
        <v>200.47803400990819</v>
      </c>
    </row>
    <row r="5" spans="1:19" ht="19.5" x14ac:dyDescent="0.3">
      <c r="A5" s="5">
        <v>3</v>
      </c>
      <c r="B5" s="6">
        <f t="shared" ca="1" si="4"/>
        <v>199.06261706942664</v>
      </c>
      <c r="C5" s="6">
        <f t="shared" ca="1" si="4"/>
        <v>199.53664791410523</v>
      </c>
      <c r="D5" s="6">
        <f t="shared" ca="1" si="4"/>
        <v>198.26705237403377</v>
      </c>
      <c r="E5" s="5">
        <f t="shared" ca="1" si="0"/>
        <v>198.95543911918853</v>
      </c>
      <c r="F5" s="5">
        <f t="shared" ca="1" si="1"/>
        <v>1.2695955400714638</v>
      </c>
      <c r="G5" s="5"/>
      <c r="I5" s="5">
        <v>3</v>
      </c>
      <c r="J5" s="5"/>
      <c r="K5" s="16">
        <f t="shared" ca="1" si="5"/>
        <v>200.1273603007044</v>
      </c>
      <c r="L5" s="16">
        <f t="shared" ca="1" si="5"/>
        <v>201.51600174174897</v>
      </c>
      <c r="M5" s="16">
        <f t="shared" ca="1" si="5"/>
        <v>199.50597393829113</v>
      </c>
      <c r="N5" s="5">
        <f t="shared" ca="1" si="2"/>
        <v>200.38311199358148</v>
      </c>
      <c r="O5" s="5">
        <f t="shared" ca="1" si="3"/>
        <v>200.38311199358148</v>
      </c>
      <c r="P5" s="5">
        <f ca="1">IF($S$2="","",ABS(O5)/$S$2)</f>
        <v>20.038311199358148</v>
      </c>
      <c r="Q5" s="5"/>
      <c r="R5" s="5" t="s">
        <v>21</v>
      </c>
      <c r="S5" s="5">
        <f ca="1">IF($S$2="","",ABS(S4)/$S$2)</f>
        <v>20.047803400990819</v>
      </c>
    </row>
    <row r="6" spans="1:19" ht="19.5" x14ac:dyDescent="0.3">
      <c r="A6" s="5">
        <v>4</v>
      </c>
      <c r="B6" s="6">
        <f t="shared" ca="1" si="4"/>
        <v>201.05541432612642</v>
      </c>
      <c r="C6" s="6">
        <f t="shared" ca="1" si="4"/>
        <v>199.23158176065809</v>
      </c>
      <c r="D6" s="6">
        <f t="shared" ca="1" si="4"/>
        <v>198.7476669377053</v>
      </c>
      <c r="E6" s="5">
        <f t="shared" ca="1" si="0"/>
        <v>199.67822100816326</v>
      </c>
      <c r="F6" s="5">
        <f t="shared" ca="1" si="1"/>
        <v>2.3077473884211201</v>
      </c>
      <c r="G6" s="5"/>
      <c r="I6" s="5">
        <v>4</v>
      </c>
      <c r="J6" s="5"/>
      <c r="K6" s="16">
        <f t="shared" ca="1" si="5"/>
        <v>199.69722024543483</v>
      </c>
      <c r="L6" s="16">
        <f t="shared" ca="1" si="5"/>
        <v>202.40174922153037</v>
      </c>
      <c r="M6" s="16">
        <f t="shared" ca="1" si="5"/>
        <v>199.35573600035778</v>
      </c>
      <c r="N6" s="5">
        <f t="shared" ca="1" si="2"/>
        <v>200.48490182244097</v>
      </c>
      <c r="O6" s="5">
        <f t="shared" ca="1" si="3"/>
        <v>200.48490182244097</v>
      </c>
      <c r="P6" s="5">
        <f ca="1">IF($S$2="","",ABS(O6)/$S$2)</f>
        <v>20.048490182244098</v>
      </c>
      <c r="Q6" s="5"/>
      <c r="R6" s="5"/>
      <c r="S6" s="5"/>
    </row>
    <row r="7" spans="1:19" ht="19.5" x14ac:dyDescent="0.3">
      <c r="A7" s="5">
        <v>5</v>
      </c>
      <c r="B7" s="6">
        <f t="shared" ca="1" si="4"/>
        <v>201.49408671922686</v>
      </c>
      <c r="C7" s="6">
        <f t="shared" ca="1" si="4"/>
        <v>199.77351321804491</v>
      </c>
      <c r="D7" s="6">
        <f t="shared" ca="1" si="4"/>
        <v>202.31434734022596</v>
      </c>
      <c r="E7" s="5">
        <f t="shared" ca="1" si="0"/>
        <v>201.19398242583259</v>
      </c>
      <c r="F7" s="5">
        <f t="shared" ca="1" si="1"/>
        <v>2.5408341221810531</v>
      </c>
      <c r="G7" s="5"/>
      <c r="I7" s="5">
        <v>5</v>
      </c>
      <c r="J7" s="5"/>
      <c r="K7" s="16">
        <f t="shared" ca="1" si="5"/>
        <v>199.74506795422454</v>
      </c>
      <c r="L7" s="16">
        <f t="shared" ca="1" si="5"/>
        <v>200.68518066365704</v>
      </c>
      <c r="M7" s="16">
        <f t="shared" ca="1" si="5"/>
        <v>201.37073011599961</v>
      </c>
      <c r="N7" s="5">
        <f t="shared" ca="1" si="2"/>
        <v>200.6003262446271</v>
      </c>
      <c r="O7" s="5">
        <f t="shared" ca="1" si="3"/>
        <v>200.6003262446271</v>
      </c>
      <c r="P7" s="5">
        <f ca="1">IF($S$2="","",ABS(O7)/$S$2)</f>
        <v>20.060032624462711</v>
      </c>
      <c r="Q7" s="5"/>
      <c r="R7" s="5"/>
      <c r="S7" s="5"/>
    </row>
    <row r="8" spans="1:19" ht="19.5" x14ac:dyDescent="0.3">
      <c r="A8" s="5">
        <v>6</v>
      </c>
      <c r="B8" s="6">
        <f t="shared" ca="1" si="4"/>
        <v>200.01250330123625</v>
      </c>
      <c r="C8" s="6">
        <f t="shared" ca="1" si="4"/>
        <v>201.10644966434526</v>
      </c>
      <c r="D8" s="6">
        <f t="shared" ca="1" si="4"/>
        <v>198.97572925746735</v>
      </c>
      <c r="E8" s="5">
        <f t="shared" ca="1" si="0"/>
        <v>200.03156074101628</v>
      </c>
      <c r="F8" s="5">
        <f t="shared" ca="1" si="1"/>
        <v>2.1307204068779129</v>
      </c>
      <c r="G8" s="5"/>
    </row>
    <row r="9" spans="1:19" ht="19.5" x14ac:dyDescent="0.3">
      <c r="A9" s="5">
        <v>7</v>
      </c>
      <c r="B9" s="6">
        <f t="shared" ca="1" si="4"/>
        <v>200.1963049838223</v>
      </c>
      <c r="C9" s="6">
        <f t="shared" ca="1" si="4"/>
        <v>200.00654034013064</v>
      </c>
      <c r="D9" s="6">
        <f t="shared" ca="1" si="4"/>
        <v>200.83681605334866</v>
      </c>
      <c r="E9" s="5">
        <f t="shared" ca="1" si="0"/>
        <v>200.34655379243387</v>
      </c>
      <c r="F9" s="5">
        <f t="shared" ca="1" si="1"/>
        <v>0.83027571321801474</v>
      </c>
      <c r="G9" s="5"/>
    </row>
    <row r="10" spans="1:19" ht="19.5" x14ac:dyDescent="0.3">
      <c r="A10" s="5">
        <v>8</v>
      </c>
      <c r="B10" s="6">
        <f t="shared" ca="1" si="4"/>
        <v>199.46250843541873</v>
      </c>
      <c r="C10" s="6">
        <f t="shared" ca="1" si="4"/>
        <v>200.4237717634459</v>
      </c>
      <c r="D10" s="6">
        <f t="shared" ca="1" si="4"/>
        <v>200.01968962457809</v>
      </c>
      <c r="E10" s="5">
        <f t="shared" ca="1" si="0"/>
        <v>199.96865660781421</v>
      </c>
      <c r="F10" s="5">
        <f t="shared" ca="1" si="1"/>
        <v>0.96126332802717229</v>
      </c>
      <c r="G10" s="5"/>
    </row>
    <row r="11" spans="1:19" ht="19.5" x14ac:dyDescent="0.3">
      <c r="A11" s="5">
        <v>9</v>
      </c>
      <c r="B11" s="6">
        <f t="shared" ca="1" si="4"/>
        <v>198.93502612819969</v>
      </c>
      <c r="C11" s="6">
        <f t="shared" ca="1" si="4"/>
        <v>200.52421842335013</v>
      </c>
      <c r="D11" s="6">
        <f t="shared" ca="1" si="4"/>
        <v>201.44039248413941</v>
      </c>
      <c r="E11" s="5">
        <f t="shared" ca="1" si="0"/>
        <v>200.29987901189642</v>
      </c>
      <c r="F11" s="5">
        <f t="shared" ca="1" si="1"/>
        <v>2.5053663559397137</v>
      </c>
      <c r="G11" s="5"/>
      <c r="I11" s="14" t="s">
        <v>33</v>
      </c>
      <c r="J11" s="15"/>
    </row>
    <row r="12" spans="1:19" ht="19.5" x14ac:dyDescent="0.3">
      <c r="A12" s="7">
        <v>10</v>
      </c>
      <c r="B12" s="6">
        <f t="shared" ca="1" si="4"/>
        <v>200.57283614901809</v>
      </c>
      <c r="C12" s="6">
        <f t="shared" ca="1" si="4"/>
        <v>200.06108192721047</v>
      </c>
      <c r="D12" s="6">
        <f t="shared" ca="1" si="4"/>
        <v>202.02836924396732</v>
      </c>
      <c r="E12" s="7">
        <f t="shared" ca="1" si="0"/>
        <v>200.88742910673196</v>
      </c>
      <c r="F12" s="7">
        <f t="shared" ca="1" si="1"/>
        <v>1.9672873167568525</v>
      </c>
      <c r="G12" s="7"/>
      <c r="I12" s="9" t="s">
        <v>27</v>
      </c>
      <c r="J12" s="9" t="s">
        <v>14</v>
      </c>
      <c r="K12" s="9" t="s">
        <v>15</v>
      </c>
      <c r="L12" s="9" t="s">
        <v>16</v>
      </c>
      <c r="M12" s="9" t="s">
        <v>4</v>
      </c>
    </row>
    <row r="13" spans="1:19" ht="19.5" x14ac:dyDescent="0.3">
      <c r="A13" s="8"/>
      <c r="B13" s="3"/>
      <c r="C13" s="3"/>
      <c r="D13" s="8"/>
      <c r="E13" s="8"/>
      <c r="F13" s="8"/>
      <c r="G13" s="8"/>
      <c r="I13" s="9"/>
      <c r="J13" s="16">
        <f t="shared" ref="J13:L42" ca="1" si="6">200 + NORMINV(RAND(),0,1)</f>
        <v>200.13133118064334</v>
      </c>
      <c r="K13" s="16">
        <f t="shared" ca="1" si="6"/>
        <v>201.83011457464616</v>
      </c>
      <c r="L13" s="16">
        <f t="shared" ca="1" si="6"/>
        <v>200.71040906546702</v>
      </c>
      <c r="M13" s="9">
        <f t="shared" ref="M13:M42" ca="1" si="7">AVERAGE(J13:L13)</f>
        <v>200.89061827358549</v>
      </c>
    </row>
    <row r="14" spans="1:19" ht="19.5" x14ac:dyDescent="0.3">
      <c r="A14" s="4"/>
      <c r="B14" s="4"/>
      <c r="C14" s="4"/>
      <c r="D14" s="4"/>
      <c r="E14" s="4" t="s">
        <v>7</v>
      </c>
      <c r="F14" s="4">
        <f ca="1">AVERAGE(F3:F12)</f>
        <v>1.6466462031577891</v>
      </c>
      <c r="G14" s="4"/>
      <c r="I14" s="9"/>
      <c r="J14" s="16">
        <f t="shared" ca="1" si="6"/>
        <v>202.56189361812008</v>
      </c>
      <c r="K14" s="16">
        <f t="shared" ca="1" si="6"/>
        <v>200.45609864371289</v>
      </c>
      <c r="L14" s="16">
        <f t="shared" ca="1" si="6"/>
        <v>199.63625122653022</v>
      </c>
      <c r="M14" s="9">
        <f t="shared" ca="1" si="7"/>
        <v>200.88474782945443</v>
      </c>
    </row>
    <row r="15" spans="1:19" ht="19.5" x14ac:dyDescent="0.3">
      <c r="A15" s="5"/>
      <c r="B15" s="5"/>
      <c r="C15" s="5"/>
      <c r="D15" s="5"/>
      <c r="E15" s="5" t="s">
        <v>8</v>
      </c>
      <c r="F15" s="5">
        <f ca="1">F14/1.693</f>
        <v>0.97262032082562844</v>
      </c>
      <c r="G15" s="5"/>
      <c r="I15" s="9"/>
      <c r="J15" s="16">
        <f t="shared" ca="1" si="6"/>
        <v>199.68460181166083</v>
      </c>
      <c r="K15" s="16">
        <f t="shared" ca="1" si="6"/>
        <v>199.54799292019007</v>
      </c>
      <c r="L15" s="16">
        <f t="shared" ca="1" si="6"/>
        <v>199.91761919198711</v>
      </c>
      <c r="M15" s="9">
        <f t="shared" ca="1" si="7"/>
        <v>199.71673797461267</v>
      </c>
    </row>
    <row r="16" spans="1:19" ht="19.5" x14ac:dyDescent="0.3">
      <c r="A16" s="5"/>
      <c r="B16" s="5"/>
      <c r="C16" s="5"/>
      <c r="D16" s="5"/>
      <c r="E16" s="5" t="s">
        <v>9</v>
      </c>
      <c r="F16" s="5">
        <f ca="1">_xlfn.STDEV.S(E3:E12)*6</f>
        <v>4.3059745203942477</v>
      </c>
      <c r="G16" s="5"/>
      <c r="I16" s="9"/>
      <c r="J16" s="16">
        <f t="shared" ca="1" si="6"/>
        <v>200.44343972665439</v>
      </c>
      <c r="K16" s="16">
        <f t="shared" ca="1" si="6"/>
        <v>199.70633751539208</v>
      </c>
      <c r="L16" s="16">
        <f t="shared" ca="1" si="6"/>
        <v>200.56091355211973</v>
      </c>
      <c r="M16" s="9">
        <f t="shared" ca="1" si="7"/>
        <v>200.23689693138874</v>
      </c>
    </row>
    <row r="17" spans="1:21" ht="19.5" x14ac:dyDescent="0.3">
      <c r="A17" s="5"/>
      <c r="B17" s="5"/>
      <c r="C17" s="5"/>
      <c r="D17" s="5"/>
      <c r="E17" s="5" t="s">
        <v>10</v>
      </c>
      <c r="F17" s="5">
        <f ca="1">SQRT(F15^2+F16^2)</f>
        <v>4.4144543104179279</v>
      </c>
      <c r="G17" s="5"/>
      <c r="I17" s="9"/>
      <c r="J17" s="16">
        <f t="shared" ca="1" si="6"/>
        <v>200.33484217785681</v>
      </c>
      <c r="K17" s="16">
        <f t="shared" ca="1" si="6"/>
        <v>200.65994531753822</v>
      </c>
      <c r="L17" s="16">
        <f t="shared" ca="1" si="6"/>
        <v>198.55458747854024</v>
      </c>
      <c r="M17" s="9">
        <f t="shared" ca="1" si="7"/>
        <v>199.84979165797844</v>
      </c>
      <c r="N17" t="s">
        <v>35</v>
      </c>
    </row>
    <row r="18" spans="1:21" ht="15" customHeight="1" x14ac:dyDescent="0.3">
      <c r="A18" s="5"/>
      <c r="B18" s="5"/>
      <c r="C18" s="5"/>
      <c r="D18" s="5"/>
      <c r="E18" s="5" t="s">
        <v>11</v>
      </c>
      <c r="F18" s="5">
        <f ca="1">IF(F17=0,"",F15/F17)</f>
        <v>0.22032628552305664</v>
      </c>
      <c r="G18" s="5" t="str">
        <f ca="1">IF(F18="","",IF(F18&lt;0.1,"良好 (&lt;10%)",IF(F18&lt;0.3,"可用 (10~30%)","需改善 (&gt;30%)")))</f>
        <v>可用 (10~30%)</v>
      </c>
      <c r="I18" s="9"/>
      <c r="J18" s="16">
        <f t="shared" ca="1" si="6"/>
        <v>198.23130063463532</v>
      </c>
      <c r="K18" s="16">
        <f t="shared" ca="1" si="6"/>
        <v>200.12939346478385</v>
      </c>
      <c r="L18" s="16">
        <f t="shared" ca="1" si="6"/>
        <v>199.23608154486803</v>
      </c>
      <c r="M18" s="9">
        <f t="shared" ca="1" si="7"/>
        <v>199.1989252147624</v>
      </c>
      <c r="N18" s="1" t="s">
        <v>22</v>
      </c>
      <c r="O18" s="1" t="s">
        <v>13</v>
      </c>
      <c r="P18" s="1" t="s">
        <v>23</v>
      </c>
      <c r="Q18" s="1" t="s">
        <v>17</v>
      </c>
      <c r="R18" s="1" t="s">
        <v>18</v>
      </c>
      <c r="S18" s="1"/>
      <c r="T18" s="1" t="s">
        <v>19</v>
      </c>
      <c r="U18" s="1">
        <v>10</v>
      </c>
    </row>
    <row r="19" spans="1:21" ht="15" customHeight="1" x14ac:dyDescent="0.25">
      <c r="I19" s="9"/>
      <c r="J19" s="16">
        <f t="shared" ca="1" si="6"/>
        <v>199.77470604253509</v>
      </c>
      <c r="K19" s="16">
        <f t="shared" ca="1" si="6"/>
        <v>200.29197018983714</v>
      </c>
      <c r="L19" s="16">
        <f t="shared" ca="1" si="6"/>
        <v>199.09431346385469</v>
      </c>
      <c r="M19" s="9">
        <f t="shared" ca="1" si="7"/>
        <v>199.72032989874231</v>
      </c>
      <c r="N19" s="1">
        <v>1</v>
      </c>
      <c r="O19" s="1"/>
      <c r="P19" s="1"/>
      <c r="Q19" s="1">
        <f>P19-O19</f>
        <v>0</v>
      </c>
      <c r="R19" s="1">
        <f>IF($U$18="","",Q19/$U$18)</f>
        <v>0</v>
      </c>
      <c r="S19" s="1"/>
      <c r="T19" s="1"/>
      <c r="U19" s="1"/>
    </row>
    <row r="20" spans="1:21" ht="15" customHeight="1" x14ac:dyDescent="0.25">
      <c r="I20" s="9"/>
      <c r="J20" s="16">
        <f t="shared" ca="1" si="6"/>
        <v>197.8902215583156</v>
      </c>
      <c r="K20" s="16">
        <f t="shared" ca="1" si="6"/>
        <v>199.3132502918651</v>
      </c>
      <c r="L20" s="16">
        <f t="shared" ca="1" si="6"/>
        <v>199.81498574217008</v>
      </c>
      <c r="M20" s="9">
        <f t="shared" ca="1" si="7"/>
        <v>199.00615253078357</v>
      </c>
      <c r="N20" s="1">
        <v>2</v>
      </c>
      <c r="O20" s="1"/>
      <c r="P20" s="1"/>
      <c r="Q20" s="1">
        <f>P20-O20</f>
        <v>0</v>
      </c>
      <c r="R20" s="1">
        <f>IF($U$18="","",Q20/$U$18)</f>
        <v>0</v>
      </c>
      <c r="S20" s="1"/>
      <c r="T20" s="1"/>
      <c r="U20" s="1"/>
    </row>
    <row r="21" spans="1:21" ht="15.75" customHeight="1" x14ac:dyDescent="0.25">
      <c r="I21" s="9"/>
      <c r="J21" s="16">
        <f t="shared" ca="1" si="6"/>
        <v>200.55328403241191</v>
      </c>
      <c r="K21" s="16">
        <f t="shared" ca="1" si="6"/>
        <v>198.68245733264416</v>
      </c>
      <c r="L21" s="16">
        <f t="shared" ca="1" si="6"/>
        <v>199.07460480470789</v>
      </c>
      <c r="M21" s="9">
        <f t="shared" ca="1" si="7"/>
        <v>199.43678205658799</v>
      </c>
      <c r="N21" s="1">
        <v>3</v>
      </c>
      <c r="O21" s="1"/>
      <c r="P21" s="1"/>
      <c r="Q21" s="1">
        <f>P21-O21</f>
        <v>0</v>
      </c>
      <c r="R21" s="1">
        <f>IF($U$18="","",Q21/$U$18)</f>
        <v>0</v>
      </c>
      <c r="S21" s="1"/>
      <c r="T21" s="1"/>
      <c r="U21" s="1"/>
    </row>
    <row r="22" spans="1:21" ht="15.75" customHeight="1" x14ac:dyDescent="0.25">
      <c r="I22" s="9"/>
      <c r="J22" s="16">
        <f t="shared" ca="1" si="6"/>
        <v>200.30290861757658</v>
      </c>
      <c r="K22" s="16">
        <f t="shared" ca="1" si="6"/>
        <v>201.55351208955395</v>
      </c>
      <c r="L22" s="16">
        <f t="shared" ca="1" si="6"/>
        <v>198.88123784106779</v>
      </c>
      <c r="M22" s="9">
        <f t="shared" ca="1" si="7"/>
        <v>200.24588618273276</v>
      </c>
      <c r="N22" s="1">
        <v>4</v>
      </c>
      <c r="O22" s="1"/>
      <c r="P22" s="1"/>
      <c r="Q22" s="1">
        <f>P22-O22</f>
        <v>0</v>
      </c>
      <c r="R22" s="1">
        <f>IF($U$18="","",Q22/$U$18)</f>
        <v>0</v>
      </c>
      <c r="S22" s="1"/>
      <c r="T22" s="1"/>
      <c r="U22" s="1"/>
    </row>
    <row r="23" spans="1:21" ht="15.75" customHeight="1" x14ac:dyDescent="0.25">
      <c r="I23" s="9"/>
      <c r="J23" s="16">
        <f t="shared" ca="1" si="6"/>
        <v>198.48371236365546</v>
      </c>
      <c r="K23" s="16">
        <f t="shared" ca="1" si="6"/>
        <v>200.08957232723444</v>
      </c>
      <c r="L23" s="16">
        <f t="shared" ca="1" si="6"/>
        <v>200.00657652610997</v>
      </c>
      <c r="M23" s="9">
        <f t="shared" ca="1" si="7"/>
        <v>199.52662040566659</v>
      </c>
      <c r="N23" s="1">
        <v>5</v>
      </c>
      <c r="O23" s="1"/>
      <c r="P23" s="1"/>
      <c r="Q23" s="1">
        <f>P23-O23</f>
        <v>0</v>
      </c>
      <c r="R23" s="1">
        <f>IF($U$18="","",Q23/$U$18)</f>
        <v>0</v>
      </c>
      <c r="S23" s="1"/>
      <c r="T23" s="1"/>
      <c r="U23" s="1"/>
    </row>
    <row r="24" spans="1:21" ht="15.75" customHeight="1" x14ac:dyDescent="0.25">
      <c r="I24" s="9"/>
      <c r="J24" s="16">
        <f t="shared" ca="1" si="6"/>
        <v>200.86079516979129</v>
      </c>
      <c r="K24" s="16">
        <f t="shared" ca="1" si="6"/>
        <v>199.43551516862482</v>
      </c>
      <c r="L24" s="16">
        <f t="shared" ca="1" si="6"/>
        <v>199.9729033664008</v>
      </c>
      <c r="M24" s="9">
        <f ca="1">AVERAGE(J24:L24)</f>
        <v>200.08973790160564</v>
      </c>
    </row>
    <row r="25" spans="1:21" ht="15.75" customHeight="1" x14ac:dyDescent="0.25">
      <c r="I25" s="9"/>
      <c r="J25" s="16">
        <f t="shared" ca="1" si="6"/>
        <v>199.86137557607984</v>
      </c>
      <c r="K25" s="16">
        <f t="shared" ca="1" si="6"/>
        <v>198.15096955408191</v>
      </c>
      <c r="L25" s="16">
        <f t="shared" ca="1" si="6"/>
        <v>200.10445738733327</v>
      </c>
      <c r="M25" s="9">
        <f ca="1">AVERAGE(J25:L25)</f>
        <v>199.37226750583167</v>
      </c>
      <c r="N25" s="2" t="s">
        <v>24</v>
      </c>
      <c r="O25" s="2" t="str">
        <f>IF(COUNTA(O19:O23)*COUNTA(Q19:Q23)=0,"",SLOPE(Q19:Q23,O19:O23))</f>
        <v/>
      </c>
    </row>
    <row r="26" spans="1:21" ht="15.75" customHeight="1" x14ac:dyDescent="0.25">
      <c r="I26" s="9"/>
      <c r="J26" s="16">
        <f t="shared" ca="1" si="6"/>
        <v>201.46377622481657</v>
      </c>
      <c r="K26" s="16">
        <f t="shared" ca="1" si="6"/>
        <v>200.88902545347366</v>
      </c>
      <c r="L26" s="16">
        <f t="shared" ca="1" si="6"/>
        <v>200.38524478231199</v>
      </c>
      <c r="M26" s="9">
        <f ca="1">AVERAGE(J26:L26)</f>
        <v>200.91268215353406</v>
      </c>
      <c r="N26" s="2" t="s">
        <v>25</v>
      </c>
      <c r="O26" s="2" t="str">
        <f>IF(COUNTA(O19:O23)*COUNTA(Q19:Q23)=0,"",INTERCEPT(Q19:Q23,O19:O23))</f>
        <v/>
      </c>
    </row>
    <row r="27" spans="1:21" ht="15.75" customHeight="1" x14ac:dyDescent="0.25">
      <c r="I27" s="9"/>
      <c r="J27" s="16">
        <f t="shared" ca="1" si="6"/>
        <v>199.23722551630217</v>
      </c>
      <c r="K27" s="16">
        <f t="shared" ca="1" si="6"/>
        <v>198.62409777736337</v>
      </c>
      <c r="L27" s="16">
        <f t="shared" ca="1" si="6"/>
        <v>200.06163111888947</v>
      </c>
      <c r="M27" s="9">
        <f ca="1">AVERAGE(J27:L27)</f>
        <v>199.30765147085171</v>
      </c>
      <c r="N27" s="2" t="s">
        <v>26</v>
      </c>
      <c r="O27" s="2" t="str">
        <f>IF(COUNTA(O19:O23)*COUNTA(Q19:Q23)=0,"",RSQ(Q19:Q23,O19:O23))</f>
        <v/>
      </c>
    </row>
    <row r="28" spans="1:21" ht="15.75" customHeight="1" x14ac:dyDescent="0.25">
      <c r="I28" s="9"/>
      <c r="J28" s="16">
        <f t="shared" ca="1" si="6"/>
        <v>199.14447499494204</v>
      </c>
      <c r="K28" s="16">
        <f t="shared" ca="1" si="6"/>
        <v>198.75651605753168</v>
      </c>
      <c r="L28" s="16">
        <f t="shared" ca="1" si="6"/>
        <v>201.00865600321217</v>
      </c>
      <c r="M28" s="9">
        <f ca="1">AVERAGE(J28:L28)</f>
        <v>199.63654901856196</v>
      </c>
    </row>
    <row r="29" spans="1:21" ht="15.75" customHeight="1" x14ac:dyDescent="0.25">
      <c r="I29" s="9"/>
      <c r="J29" s="16">
        <f t="shared" ca="1" si="6"/>
        <v>199.94413256237743</v>
      </c>
      <c r="K29" s="16">
        <f t="shared" ca="1" si="6"/>
        <v>201.61831090164844</v>
      </c>
      <c r="L29" s="16">
        <f t="shared" ca="1" si="6"/>
        <v>201.6080919051891</v>
      </c>
      <c r="M29" s="9">
        <f ca="1">AVERAGE(J29:L29)</f>
        <v>201.05684512307167</v>
      </c>
    </row>
    <row r="30" spans="1:21" ht="15.75" customHeight="1" x14ac:dyDescent="0.25">
      <c r="I30" s="9"/>
      <c r="J30" s="16">
        <f t="shared" ca="1" si="6"/>
        <v>199.9652166725138</v>
      </c>
      <c r="K30" s="16">
        <f t="shared" ca="1" si="6"/>
        <v>201.67921268257385</v>
      </c>
      <c r="L30" s="16">
        <f t="shared" ca="1" si="6"/>
        <v>199.53556943576808</v>
      </c>
      <c r="M30" s="9">
        <f ca="1">AVERAGE(J30:L30)</f>
        <v>200.39333293028525</v>
      </c>
    </row>
    <row r="31" spans="1:21" ht="15.75" customHeight="1" x14ac:dyDescent="0.25">
      <c r="I31" s="9"/>
      <c r="J31" s="16">
        <f t="shared" ca="1" si="6"/>
        <v>197.81854377246347</v>
      </c>
      <c r="K31" s="16">
        <f t="shared" ca="1" si="6"/>
        <v>200.33726623100344</v>
      </c>
      <c r="L31" s="16">
        <f t="shared" ca="1" si="6"/>
        <v>200.01578064169084</v>
      </c>
      <c r="M31" s="9">
        <f ca="1">AVERAGE(J31:L31)</f>
        <v>199.39053021505256</v>
      </c>
    </row>
    <row r="32" spans="1:21" ht="15.75" customHeight="1" x14ac:dyDescent="0.25">
      <c r="I32" s="9"/>
      <c r="J32" s="16">
        <f t="shared" ca="1" si="6"/>
        <v>199.66054067173025</v>
      </c>
      <c r="K32" s="16">
        <f t="shared" ca="1" si="6"/>
        <v>202.33727153849003</v>
      </c>
      <c r="L32" s="16">
        <f t="shared" ca="1" si="6"/>
        <v>199.98602952111727</v>
      </c>
      <c r="M32" s="9">
        <f ca="1">AVERAGE(J32:L32)</f>
        <v>200.66128057711251</v>
      </c>
    </row>
    <row r="33" spans="9:13" ht="15.75" customHeight="1" x14ac:dyDescent="0.25">
      <c r="I33" s="9"/>
      <c r="J33" s="16">
        <f t="shared" ca="1" si="6"/>
        <v>199.87235766082165</v>
      </c>
      <c r="K33" s="16">
        <f t="shared" ca="1" si="6"/>
        <v>199.19630167698048</v>
      </c>
      <c r="L33" s="16">
        <f t="shared" ca="1" si="6"/>
        <v>200.11825954008404</v>
      </c>
      <c r="M33" s="9">
        <f ca="1">AVERAGE(J33:L33)</f>
        <v>199.72897295929542</v>
      </c>
    </row>
    <row r="34" spans="9:13" ht="15.75" customHeight="1" x14ac:dyDescent="0.25">
      <c r="I34" s="9"/>
      <c r="J34" s="16">
        <f t="shared" ca="1" si="6"/>
        <v>199.52872752119021</v>
      </c>
      <c r="K34" s="16">
        <f t="shared" ca="1" si="6"/>
        <v>201.96367276175513</v>
      </c>
      <c r="L34" s="16">
        <f t="shared" ca="1" si="6"/>
        <v>200.5806909029576</v>
      </c>
      <c r="M34" s="9">
        <f t="shared" ca="1" si="7"/>
        <v>200.691030395301</v>
      </c>
    </row>
    <row r="35" spans="9:13" ht="15.75" customHeight="1" x14ac:dyDescent="0.25">
      <c r="I35" s="9"/>
      <c r="J35" s="16">
        <f t="shared" ca="1" si="6"/>
        <v>200.01166371716198</v>
      </c>
      <c r="K35" s="16">
        <f t="shared" ca="1" si="6"/>
        <v>199.85567138482159</v>
      </c>
      <c r="L35" s="16">
        <f t="shared" ca="1" si="6"/>
        <v>199.74551273280346</v>
      </c>
      <c r="M35" s="9">
        <f t="shared" ca="1" si="7"/>
        <v>199.87094927826237</v>
      </c>
    </row>
    <row r="36" spans="9:13" ht="15.75" customHeight="1" x14ac:dyDescent="0.25">
      <c r="I36" s="9"/>
      <c r="J36" s="16">
        <f t="shared" ca="1" si="6"/>
        <v>199.04745540048472</v>
      </c>
      <c r="K36" s="16">
        <f t="shared" ca="1" si="6"/>
        <v>200.60699169602884</v>
      </c>
      <c r="L36" s="16">
        <f t="shared" ca="1" si="6"/>
        <v>198.95197275594577</v>
      </c>
      <c r="M36" s="9">
        <f t="shared" ca="1" si="7"/>
        <v>199.53547328415311</v>
      </c>
    </row>
    <row r="37" spans="9:13" ht="15.75" customHeight="1" x14ac:dyDescent="0.25">
      <c r="I37" s="9"/>
      <c r="J37" s="16">
        <f t="shared" ca="1" si="6"/>
        <v>199.75251367668261</v>
      </c>
      <c r="K37" s="16">
        <f t="shared" ca="1" si="6"/>
        <v>199.1154693480739</v>
      </c>
      <c r="L37" s="16">
        <f t="shared" ca="1" si="6"/>
        <v>198.97792712715011</v>
      </c>
      <c r="M37" s="9">
        <f t="shared" ca="1" si="7"/>
        <v>199.28197005063555</v>
      </c>
    </row>
    <row r="38" spans="9:13" ht="15.75" customHeight="1" x14ac:dyDescent="0.25">
      <c r="I38" s="9"/>
      <c r="J38" s="16">
        <f t="shared" ca="1" si="6"/>
        <v>198.31989460807424</v>
      </c>
      <c r="K38" s="16">
        <f t="shared" ca="1" si="6"/>
        <v>201.28436879836488</v>
      </c>
      <c r="L38" s="16">
        <f t="shared" ca="1" si="6"/>
        <v>198.52993232107846</v>
      </c>
      <c r="M38" s="9">
        <f t="shared" ca="1" si="7"/>
        <v>199.37806524250587</v>
      </c>
    </row>
    <row r="39" spans="9:13" ht="15.75" customHeight="1" x14ac:dyDescent="0.25">
      <c r="I39" s="9"/>
      <c r="J39" s="16">
        <f t="shared" ca="1" si="6"/>
        <v>197.30216673759742</v>
      </c>
      <c r="K39" s="16">
        <f t="shared" ca="1" si="6"/>
        <v>201.05234601504131</v>
      </c>
      <c r="L39" s="16">
        <f t="shared" ca="1" si="6"/>
        <v>200.72329163662124</v>
      </c>
      <c r="M39" s="9">
        <f t="shared" ca="1" si="7"/>
        <v>199.69260146308662</v>
      </c>
    </row>
    <row r="40" spans="9:13" ht="15.75" customHeight="1" x14ac:dyDescent="0.25">
      <c r="I40" s="9"/>
      <c r="J40" s="16">
        <f t="shared" ca="1" si="6"/>
        <v>199.9537557895413</v>
      </c>
      <c r="K40" s="16">
        <f t="shared" ca="1" si="6"/>
        <v>200.46717214515431</v>
      </c>
      <c r="L40" s="16">
        <f t="shared" ca="1" si="6"/>
        <v>199.45308190506256</v>
      </c>
      <c r="M40" s="9">
        <f t="shared" ca="1" si="7"/>
        <v>199.95800327991938</v>
      </c>
    </row>
    <row r="41" spans="9:13" ht="15.75" customHeight="1" x14ac:dyDescent="0.25">
      <c r="I41" s="9"/>
      <c r="J41" s="16">
        <f t="shared" ca="1" si="6"/>
        <v>198.48289405116168</v>
      </c>
      <c r="K41" s="16">
        <f t="shared" ca="1" si="6"/>
        <v>199.59536252696267</v>
      </c>
      <c r="L41" s="16">
        <f t="shared" ca="1" si="6"/>
        <v>199.16930951445283</v>
      </c>
      <c r="M41" s="9">
        <f t="shared" ca="1" si="7"/>
        <v>199.08252203085908</v>
      </c>
    </row>
    <row r="42" spans="9:13" ht="15.75" customHeight="1" x14ac:dyDescent="0.25">
      <c r="I42" s="9"/>
      <c r="J42" s="16">
        <f t="shared" ca="1" si="6"/>
        <v>200.02887917078525</v>
      </c>
      <c r="K42" s="16">
        <f t="shared" ca="1" si="6"/>
        <v>198.76289171375402</v>
      </c>
      <c r="L42" s="16">
        <f t="shared" ca="1" si="6"/>
        <v>200.50662419157831</v>
      </c>
      <c r="M42" s="9">
        <f t="shared" ca="1" si="7"/>
        <v>199.76613169203918</v>
      </c>
    </row>
    <row r="43" spans="9:13" ht="15.75" customHeight="1" x14ac:dyDescent="0.25">
      <c r="I43" s="9"/>
      <c r="J43" s="9"/>
      <c r="K43" s="9"/>
      <c r="L43" s="9"/>
      <c r="M43" s="9"/>
    </row>
    <row r="44" spans="9:13" ht="15.75" customHeight="1" x14ac:dyDescent="0.25">
      <c r="I44" s="9" t="s">
        <v>28</v>
      </c>
      <c r="J44" s="9">
        <f ca="1">AVERAGE(M13:M42)</f>
        <v>199.88400285094201</v>
      </c>
      <c r="K44" s="9"/>
      <c r="L44" s="9"/>
      <c r="M44" s="9"/>
    </row>
    <row r="45" spans="9:13" ht="15.75" customHeight="1" x14ac:dyDescent="0.25">
      <c r="I45" s="9" t="s">
        <v>29</v>
      </c>
      <c r="J45" s="9">
        <f ca="1">_xlfn.STDEV.S(M13:M42)</f>
        <v>0.59440167868622396</v>
      </c>
      <c r="K45" s="9"/>
      <c r="L45" s="9"/>
      <c r="M45" s="9"/>
    </row>
    <row r="46" spans="9:13" ht="15.75" customHeight="1" x14ac:dyDescent="0.25">
      <c r="I46" s="9" t="s">
        <v>30</v>
      </c>
      <c r="J46" s="9">
        <f ca="1">J44+3*J45</f>
        <v>201.66720788700067</v>
      </c>
      <c r="K46" s="9"/>
      <c r="L46" s="9"/>
      <c r="M46" s="9"/>
    </row>
    <row r="47" spans="9:13" ht="15.75" customHeight="1" x14ac:dyDescent="0.25">
      <c r="I47" s="9" t="s">
        <v>31</v>
      </c>
      <c r="J47" s="9">
        <f ca="1">J44-3*J45</f>
        <v>198.10079781488335</v>
      </c>
      <c r="K47" s="9"/>
      <c r="L47" s="9"/>
      <c r="M47" s="9"/>
    </row>
    <row r="48" spans="9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honeticPr fontId="2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E1" workbookViewId="0">
      <selection activeCell="F19" sqref="F19"/>
    </sheetView>
  </sheetViews>
  <sheetFormatPr defaultColWidth="14.42578125" defaultRowHeight="15" customHeight="1" x14ac:dyDescent="0.25"/>
  <cols>
    <col min="1" max="1" width="27" bestFit="1" customWidth="1"/>
    <col min="2" max="4" width="8.7109375" customWidth="1"/>
    <col min="5" max="5" width="32.5703125" bestFit="1" customWidth="1"/>
    <col min="6" max="6" width="13.28515625" customWidth="1"/>
    <col min="7" max="7" width="19.7109375" bestFit="1" customWidth="1"/>
    <col min="8" max="8" width="8.7109375" customWidth="1"/>
    <col min="9" max="9" width="28.85546875" bestFit="1" customWidth="1"/>
    <col min="10" max="10" width="16.85546875" bestFit="1" customWidth="1"/>
    <col min="11" max="11" width="26.140625" bestFit="1" customWidth="1"/>
    <col min="12" max="12" width="18.28515625" bestFit="1" customWidth="1"/>
    <col min="13" max="17" width="8.7109375" customWidth="1"/>
    <col min="18" max="18" width="18.5703125" bestFit="1" customWidth="1"/>
    <col min="19" max="19" width="8.7109375" customWidth="1"/>
    <col min="20" max="20" width="21.28515625" bestFit="1" customWidth="1"/>
    <col min="21" max="26" width="8.7109375" customWidth="1"/>
  </cols>
  <sheetData>
    <row r="1" spans="1:19" ht="21" x14ac:dyDescent="0.25">
      <c r="A1" s="11" t="s">
        <v>32</v>
      </c>
      <c r="B1" s="12"/>
      <c r="C1" s="13"/>
      <c r="I1" s="10" t="s">
        <v>34</v>
      </c>
      <c r="J1" s="10"/>
    </row>
    <row r="2" spans="1:19" ht="19.5" x14ac:dyDescent="0.3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I2" s="4" t="s">
        <v>12</v>
      </c>
      <c r="J2" s="4" t="s">
        <v>13</v>
      </c>
      <c r="K2" s="5" t="s">
        <v>14</v>
      </c>
      <c r="L2" s="5" t="s">
        <v>15</v>
      </c>
      <c r="M2" s="5" t="s">
        <v>16</v>
      </c>
      <c r="N2" s="5" t="s">
        <v>4</v>
      </c>
      <c r="O2" s="5" t="s">
        <v>17</v>
      </c>
      <c r="P2" s="5" t="s">
        <v>18</v>
      </c>
      <c r="Q2" s="5"/>
      <c r="R2" s="5" t="s">
        <v>19</v>
      </c>
      <c r="S2" s="5">
        <v>10</v>
      </c>
    </row>
    <row r="3" spans="1:19" ht="19.5" x14ac:dyDescent="0.3">
      <c r="A3" s="5">
        <v>1</v>
      </c>
      <c r="B3" s="6">
        <f ca="1">700 + NORMINV(RAND(),0,1)</f>
        <v>700.42649618088603</v>
      </c>
      <c r="C3" s="6">
        <f ca="1">700 + NORMINV(RAND(),0,1)</f>
        <v>699.89840994137558</v>
      </c>
      <c r="D3" s="6">
        <f ca="1">700 + NORMINV(RAND(),0,1)</f>
        <v>700.02563776000852</v>
      </c>
      <c r="E3" s="5">
        <f ca="1">700 + NORMINV(RAND(),0,1)</f>
        <v>699.32274385793858</v>
      </c>
      <c r="F3" s="5">
        <f t="shared" ref="F3:F12" ca="1" si="0">MAX(B3:D3)-MIN(B3:D3)</f>
        <v>0.52808623951045774</v>
      </c>
      <c r="G3" s="5"/>
      <c r="I3" s="5">
        <v>1</v>
      </c>
      <c r="J3" s="5"/>
      <c r="K3" s="5">
        <f ca="1">700 + NORMINV(RAND(),0,1)</f>
        <v>699.61468706459118</v>
      </c>
      <c r="L3" s="5">
        <f ca="1">700 + NORMINV(RAND(),0,1)</f>
        <v>699.19342812418347</v>
      </c>
      <c r="M3" s="5">
        <f ca="1">700 + NORMINV(RAND(),0,1)</f>
        <v>698.85353524062077</v>
      </c>
      <c r="N3" s="5">
        <f t="shared" ref="N3:N7" ca="1" si="1">AVERAGE(K3:M3)</f>
        <v>699.22055014313173</v>
      </c>
      <c r="O3" s="5">
        <f t="shared" ref="O3:O7" ca="1" si="2">N3-J3</f>
        <v>699.22055014313173</v>
      </c>
      <c r="P3" s="5">
        <f ca="1">IF($S$2="","",ABS(O3)/$S$2)</f>
        <v>69.922055014313173</v>
      </c>
      <c r="Q3" s="5"/>
      <c r="R3" s="5"/>
      <c r="S3" s="5"/>
    </row>
    <row r="4" spans="1:19" ht="19.5" x14ac:dyDescent="0.3">
      <c r="A4" s="5">
        <v>2</v>
      </c>
      <c r="B4" s="6">
        <f t="shared" ref="B4:D12" ca="1" si="3">700 + NORMINV(RAND(),0,1)</f>
        <v>700.02089255479143</v>
      </c>
      <c r="C4" s="6">
        <f t="shared" ca="1" si="3"/>
        <v>698.08663772749844</v>
      </c>
      <c r="D4" s="6">
        <f t="shared" ca="1" si="3"/>
        <v>701.64882145498939</v>
      </c>
      <c r="E4" s="5">
        <f t="shared" ref="E3:E12" ca="1" si="4">AVERAGE(B4:D4)</f>
        <v>699.91878391242642</v>
      </c>
      <c r="F4" s="5">
        <f t="shared" ca="1" si="0"/>
        <v>3.5621837274909467</v>
      </c>
      <c r="G4" s="5"/>
      <c r="I4" s="5">
        <v>2</v>
      </c>
      <c r="J4" s="5"/>
      <c r="K4" s="5">
        <f t="shared" ref="K4:M7" ca="1" si="5">700 + NORMINV(RAND(),0,1)</f>
        <v>700.64546236195645</v>
      </c>
      <c r="L4" s="5">
        <f t="shared" ca="1" si="5"/>
        <v>701.59174815752385</v>
      </c>
      <c r="M4" s="5">
        <f t="shared" ca="1" si="5"/>
        <v>699.6733857581105</v>
      </c>
      <c r="N4" s="5">
        <f t="shared" ca="1" si="1"/>
        <v>700.63686542586368</v>
      </c>
      <c r="O4" s="5">
        <f t="shared" ca="1" si="2"/>
        <v>700.63686542586368</v>
      </c>
      <c r="P4" s="5">
        <f ca="1">IF($S$2="","",ABS(O4)/$S$2)</f>
        <v>70.063686542586368</v>
      </c>
      <c r="Q4" s="5"/>
      <c r="R4" s="5" t="s">
        <v>20</v>
      </c>
      <c r="S4" s="5">
        <f ca="1">AVERAGE(O3:O7)</f>
        <v>699.89888776003352</v>
      </c>
    </row>
    <row r="5" spans="1:19" ht="19.5" x14ac:dyDescent="0.3">
      <c r="A5" s="5">
        <v>3</v>
      </c>
      <c r="B5" s="6">
        <f t="shared" ca="1" si="3"/>
        <v>700.63967503186643</v>
      </c>
      <c r="C5" s="6">
        <f t="shared" ca="1" si="3"/>
        <v>698.28282369570979</v>
      </c>
      <c r="D5" s="6">
        <f t="shared" ca="1" si="3"/>
        <v>701.51548759682487</v>
      </c>
      <c r="E5" s="5">
        <f t="shared" ca="1" si="4"/>
        <v>700.14599544146711</v>
      </c>
      <c r="F5" s="5">
        <f t="shared" ca="1" si="0"/>
        <v>3.2326639011150746</v>
      </c>
      <c r="G5" s="5"/>
      <c r="I5" s="5">
        <v>3</v>
      </c>
      <c r="J5" s="5"/>
      <c r="K5" s="5">
        <f t="shared" ca="1" si="5"/>
        <v>699.36360460140213</v>
      </c>
      <c r="L5" s="5">
        <f t="shared" ca="1" si="5"/>
        <v>699.35663701653493</v>
      </c>
      <c r="M5" s="5">
        <f t="shared" ca="1" si="5"/>
        <v>699.10129871776883</v>
      </c>
      <c r="N5" s="5">
        <f t="shared" ca="1" si="1"/>
        <v>699.27384677856855</v>
      </c>
      <c r="O5" s="5">
        <f t="shared" ca="1" si="2"/>
        <v>699.27384677856855</v>
      </c>
      <c r="P5" s="5">
        <f ca="1">IF($S$2="","",ABS(O5)/$S$2)</f>
        <v>69.92738467785685</v>
      </c>
      <c r="Q5" s="5"/>
      <c r="R5" s="5" t="s">
        <v>21</v>
      </c>
      <c r="S5" s="5">
        <f ca="1">IF($S$2="","",ABS(S4)/$S$2)</f>
        <v>69.989888776003355</v>
      </c>
    </row>
    <row r="6" spans="1:19" ht="19.5" x14ac:dyDescent="0.3">
      <c r="A6" s="5">
        <v>4</v>
      </c>
      <c r="B6" s="6">
        <f t="shared" ca="1" si="3"/>
        <v>700.99812461294266</v>
      </c>
      <c r="C6" s="6">
        <f t="shared" ca="1" si="3"/>
        <v>701.54971964747767</v>
      </c>
      <c r="D6" s="6">
        <f t="shared" ca="1" si="3"/>
        <v>699.83505958681405</v>
      </c>
      <c r="E6" s="5">
        <f t="shared" ca="1" si="4"/>
        <v>700.79430128241154</v>
      </c>
      <c r="F6" s="5">
        <f t="shared" ca="1" si="0"/>
        <v>1.7146600606636184</v>
      </c>
      <c r="G6" s="5"/>
      <c r="I6" s="5">
        <v>4</v>
      </c>
      <c r="J6" s="5"/>
      <c r="K6" s="5">
        <f t="shared" ca="1" si="5"/>
        <v>701.26030828442924</v>
      </c>
      <c r="L6" s="5">
        <f t="shared" ca="1" si="5"/>
        <v>698.95644156838216</v>
      </c>
      <c r="M6" s="5">
        <f t="shared" ca="1" si="5"/>
        <v>700.72790179589208</v>
      </c>
      <c r="N6" s="5">
        <f t="shared" ca="1" si="1"/>
        <v>700.3148838829012</v>
      </c>
      <c r="O6" s="5">
        <f t="shared" ca="1" si="2"/>
        <v>700.3148838829012</v>
      </c>
      <c r="P6" s="5">
        <f ca="1">IF($S$2="","",ABS(O6)/$S$2)</f>
        <v>70.031488388290114</v>
      </c>
      <c r="Q6" s="5"/>
      <c r="R6" s="5"/>
      <c r="S6" s="5"/>
    </row>
    <row r="7" spans="1:19" ht="19.5" x14ac:dyDescent="0.3">
      <c r="A7" s="5">
        <v>5</v>
      </c>
      <c r="B7" s="6">
        <f t="shared" ca="1" si="3"/>
        <v>698.31986032166526</v>
      </c>
      <c r="C7" s="6">
        <f t="shared" ca="1" si="3"/>
        <v>698.66241312578177</v>
      </c>
      <c r="D7" s="6">
        <f t="shared" ca="1" si="3"/>
        <v>698.14747789179182</v>
      </c>
      <c r="E7" s="5">
        <f t="shared" ca="1" si="4"/>
        <v>698.37658377974628</v>
      </c>
      <c r="F7" s="5">
        <f t="shared" ca="1" si="0"/>
        <v>0.51493523398994512</v>
      </c>
      <c r="G7" s="5"/>
      <c r="I7" s="5">
        <v>5</v>
      </c>
      <c r="J7" s="5"/>
      <c r="K7" s="5">
        <f t="shared" ca="1" si="5"/>
        <v>701.32803543998079</v>
      </c>
      <c r="L7" s="5">
        <f t="shared" ca="1" si="5"/>
        <v>698.55308862849097</v>
      </c>
      <c r="M7" s="5">
        <f t="shared" ca="1" si="5"/>
        <v>700.26375364063676</v>
      </c>
      <c r="N7" s="5">
        <f t="shared" ca="1" si="1"/>
        <v>700.04829256970288</v>
      </c>
      <c r="O7" s="5">
        <f t="shared" ca="1" si="2"/>
        <v>700.04829256970288</v>
      </c>
      <c r="P7" s="5">
        <f ca="1">IF($S$2="","",ABS(O7)/$S$2)</f>
        <v>70.004829256970282</v>
      </c>
      <c r="Q7" s="5"/>
      <c r="R7" s="5"/>
      <c r="S7" s="5"/>
    </row>
    <row r="8" spans="1:19" ht="19.5" x14ac:dyDescent="0.3">
      <c r="A8" s="5">
        <v>6</v>
      </c>
      <c r="B8" s="6">
        <f t="shared" ca="1" si="3"/>
        <v>700.3138886609845</v>
      </c>
      <c r="C8" s="6">
        <f t="shared" ca="1" si="3"/>
        <v>699.25763315204415</v>
      </c>
      <c r="D8" s="6">
        <f t="shared" ca="1" si="3"/>
        <v>699.34130337979479</v>
      </c>
      <c r="E8" s="5">
        <f t="shared" ca="1" si="4"/>
        <v>699.63760839760778</v>
      </c>
      <c r="F8" s="5">
        <f t="shared" ca="1" si="0"/>
        <v>1.0562555089403531</v>
      </c>
      <c r="G8" s="5"/>
    </row>
    <row r="9" spans="1:19" ht="19.5" x14ac:dyDescent="0.3">
      <c r="A9" s="5">
        <v>7</v>
      </c>
      <c r="B9" s="6">
        <f t="shared" ca="1" si="3"/>
        <v>700.30505753667057</v>
      </c>
      <c r="C9" s="6">
        <f t="shared" ca="1" si="3"/>
        <v>700.46516405911359</v>
      </c>
      <c r="D9" s="6">
        <f t="shared" ca="1" si="3"/>
        <v>700.72021357802896</v>
      </c>
      <c r="E9" s="5">
        <f t="shared" ca="1" si="4"/>
        <v>700.49681172460441</v>
      </c>
      <c r="F9" s="5">
        <f t="shared" ca="1" si="0"/>
        <v>0.41515604135838657</v>
      </c>
      <c r="G9" s="5"/>
    </row>
    <row r="10" spans="1:19" ht="19.5" x14ac:dyDescent="0.3">
      <c r="A10" s="5">
        <v>8</v>
      </c>
      <c r="B10" s="6">
        <f t="shared" ca="1" si="3"/>
        <v>700.94272331727063</v>
      </c>
      <c r="C10" s="6">
        <f t="shared" ca="1" si="3"/>
        <v>699.52647494889311</v>
      </c>
      <c r="D10" s="6">
        <f t="shared" ca="1" si="3"/>
        <v>699.10132426928078</v>
      </c>
      <c r="E10" s="5">
        <f t="shared" ca="1" si="4"/>
        <v>699.85684084514821</v>
      </c>
      <c r="F10" s="5">
        <f t="shared" ca="1" si="0"/>
        <v>1.841399047989853</v>
      </c>
      <c r="G10" s="5"/>
    </row>
    <row r="11" spans="1:19" ht="19.5" x14ac:dyDescent="0.3">
      <c r="A11" s="5">
        <v>9</v>
      </c>
      <c r="B11" s="6">
        <f t="shared" ca="1" si="3"/>
        <v>700.47557819580527</v>
      </c>
      <c r="C11" s="6">
        <f t="shared" ca="1" si="3"/>
        <v>699.14449725954466</v>
      </c>
      <c r="D11" s="6">
        <f t="shared" ca="1" si="3"/>
        <v>700.15904163365417</v>
      </c>
      <c r="E11" s="5">
        <f t="shared" ca="1" si="4"/>
        <v>699.92637236300141</v>
      </c>
      <c r="F11" s="5">
        <f t="shared" ca="1" si="0"/>
        <v>1.3310809362606051</v>
      </c>
      <c r="G11" s="5"/>
      <c r="I11" s="14" t="s">
        <v>33</v>
      </c>
      <c r="J11" s="15"/>
    </row>
    <row r="12" spans="1:19" ht="19.5" x14ac:dyDescent="0.3">
      <c r="A12" s="7">
        <v>10</v>
      </c>
      <c r="B12" s="6">
        <f t="shared" ca="1" si="3"/>
        <v>699.43336985296742</v>
      </c>
      <c r="C12" s="6">
        <f t="shared" ca="1" si="3"/>
        <v>700.08669671799839</v>
      </c>
      <c r="D12" s="6">
        <f t="shared" ca="1" si="3"/>
        <v>700.04955697247885</v>
      </c>
      <c r="E12" s="7">
        <f t="shared" ca="1" si="4"/>
        <v>699.85654118114826</v>
      </c>
      <c r="F12" s="7">
        <f t="shared" ca="1" si="0"/>
        <v>0.65332686503097648</v>
      </c>
      <c r="G12" s="7"/>
      <c r="I12" s="9" t="s">
        <v>27</v>
      </c>
      <c r="J12" s="9" t="s">
        <v>14</v>
      </c>
      <c r="K12" s="9" t="s">
        <v>15</v>
      </c>
      <c r="L12" s="9" t="s">
        <v>16</v>
      </c>
      <c r="M12" s="9" t="s">
        <v>4</v>
      </c>
    </row>
    <row r="13" spans="1:19" ht="19.5" x14ac:dyDescent="0.3">
      <c r="A13" s="8"/>
      <c r="B13" s="3"/>
      <c r="C13" s="3"/>
      <c r="D13" s="8"/>
      <c r="E13" s="8"/>
      <c r="F13" s="8"/>
      <c r="G13" s="8"/>
      <c r="I13" s="9"/>
      <c r="J13" s="9">
        <f ca="1">700 + NORMINV(RAND(),0,1)</f>
        <v>700.36198269078704</v>
      </c>
      <c r="K13" s="9">
        <f ca="1">700 + NORMINV(RAND(),0,1)</f>
        <v>700.99475080161801</v>
      </c>
      <c r="L13" s="9">
        <f ca="1">700 + NORMINV(RAND(),0,1)</f>
        <v>699.68297622448449</v>
      </c>
      <c r="M13" s="9">
        <f t="shared" ref="M13:M42" ca="1" si="6">AVERAGE(J13:L13)</f>
        <v>700.34656990562996</v>
      </c>
    </row>
    <row r="14" spans="1:19" ht="19.5" x14ac:dyDescent="0.3">
      <c r="A14" s="4"/>
      <c r="B14" s="4"/>
      <c r="C14" s="4"/>
      <c r="D14" s="4"/>
      <c r="E14" s="4" t="s">
        <v>7</v>
      </c>
      <c r="F14" s="4">
        <f ca="1">AVERAGE(F3:F12)</f>
        <v>1.4849747562350217</v>
      </c>
      <c r="G14" s="4"/>
      <c r="I14" s="9"/>
      <c r="J14" s="9">
        <f t="shared" ref="J14:L41" ca="1" si="7">700 + NORMINV(RAND(),0,1)</f>
        <v>701.828665388888</v>
      </c>
      <c r="K14" s="9">
        <f t="shared" ca="1" si="7"/>
        <v>698.61610587161306</v>
      </c>
      <c r="L14" s="9">
        <f t="shared" ca="1" si="7"/>
        <v>699.9326068212589</v>
      </c>
      <c r="M14" s="9">
        <f t="shared" ca="1" si="6"/>
        <v>700.12579269392006</v>
      </c>
    </row>
    <row r="15" spans="1:19" ht="19.5" x14ac:dyDescent="0.3">
      <c r="A15" s="5"/>
      <c r="B15" s="5"/>
      <c r="C15" s="5"/>
      <c r="D15" s="5"/>
      <c r="E15" s="5" t="s">
        <v>8</v>
      </c>
      <c r="F15" s="5">
        <f ca="1">F14/1.693</f>
        <v>0.87712625885116458</v>
      </c>
      <c r="G15" s="5"/>
      <c r="I15" s="9"/>
      <c r="J15" s="9">
        <f t="shared" ca="1" si="7"/>
        <v>698.67567988840756</v>
      </c>
      <c r="K15" s="9">
        <f t="shared" ca="1" si="7"/>
        <v>699.90905197403549</v>
      </c>
      <c r="L15" s="9">
        <f t="shared" ca="1" si="7"/>
        <v>700.65933341455673</v>
      </c>
      <c r="M15" s="9">
        <f t="shared" ca="1" si="6"/>
        <v>699.74802175899993</v>
      </c>
    </row>
    <row r="16" spans="1:19" ht="19.5" x14ac:dyDescent="0.3">
      <c r="A16" s="5"/>
      <c r="B16" s="5"/>
      <c r="C16" s="5"/>
      <c r="D16" s="5"/>
      <c r="E16" s="5" t="s">
        <v>9</v>
      </c>
      <c r="F16" s="5">
        <f ca="1">_xlfn.STDEV.S(E3:E12)*6</f>
        <v>3.9494804250256843</v>
      </c>
      <c r="G16" s="5"/>
      <c r="I16" s="9"/>
      <c r="J16" s="9">
        <f t="shared" ca="1" si="7"/>
        <v>698.19765996673721</v>
      </c>
      <c r="K16" s="9">
        <f t="shared" ca="1" si="7"/>
        <v>699.04397005896885</v>
      </c>
      <c r="L16" s="9">
        <f t="shared" ca="1" si="7"/>
        <v>700.41958273292221</v>
      </c>
      <c r="M16" s="9">
        <f t="shared" ca="1" si="6"/>
        <v>699.22040425287605</v>
      </c>
    </row>
    <row r="17" spans="1:21" ht="19.5" x14ac:dyDescent="0.3">
      <c r="A17" s="5"/>
      <c r="B17" s="5"/>
      <c r="C17" s="5"/>
      <c r="D17" s="5"/>
      <c r="E17" s="5" t="s">
        <v>10</v>
      </c>
      <c r="F17" s="5">
        <f ca="1">SQRT(F15^2+F16^2)</f>
        <v>4.0457071200999337</v>
      </c>
      <c r="G17" s="5"/>
      <c r="I17" s="9"/>
      <c r="J17" s="9">
        <f t="shared" ca="1" si="7"/>
        <v>702.37206935746656</v>
      </c>
      <c r="K17" s="9">
        <f t="shared" ca="1" si="7"/>
        <v>700.17518091138959</v>
      </c>
      <c r="L17" s="9">
        <f t="shared" ca="1" si="7"/>
        <v>700.74300261706526</v>
      </c>
      <c r="M17" s="9">
        <f t="shared" ca="1" si="6"/>
        <v>701.09675096197373</v>
      </c>
      <c r="N17" t="s">
        <v>35</v>
      </c>
    </row>
    <row r="18" spans="1:21" ht="15" customHeight="1" x14ac:dyDescent="0.3">
      <c r="A18" s="5"/>
      <c r="B18" s="5"/>
      <c r="C18" s="5"/>
      <c r="D18" s="5"/>
      <c r="E18" s="5" t="s">
        <v>11</v>
      </c>
      <c r="F18" s="5">
        <f ca="1">IF(F17=0,"",F15/F17)</f>
        <v>0.2168041909147142</v>
      </c>
      <c r="G18" s="5" t="str">
        <f ca="1">IF(F18="","",IF(F18&lt;0.1,"良好 (&lt;10%)",IF(F18&lt;0.3,"可用 (10~30%)","需改善 (&gt;30%)")))</f>
        <v>可用 (10~30%)</v>
      </c>
      <c r="I18" s="9"/>
      <c r="J18" s="9">
        <f t="shared" ca="1" si="7"/>
        <v>700.71941511967748</v>
      </c>
      <c r="K18" s="9">
        <f t="shared" ca="1" si="7"/>
        <v>701.31402449444658</v>
      </c>
      <c r="L18" s="9">
        <f t="shared" ca="1" si="7"/>
        <v>699.91118476712109</v>
      </c>
      <c r="M18" s="9">
        <f t="shared" ca="1" si="6"/>
        <v>700.64820812708183</v>
      </c>
      <c r="N18" s="1" t="s">
        <v>22</v>
      </c>
      <c r="O18" s="1" t="s">
        <v>13</v>
      </c>
      <c r="P18" s="1" t="s">
        <v>23</v>
      </c>
      <c r="Q18" s="1" t="s">
        <v>17</v>
      </c>
      <c r="R18" s="1" t="s">
        <v>18</v>
      </c>
      <c r="S18" s="1"/>
      <c r="T18" s="1" t="s">
        <v>19</v>
      </c>
      <c r="U18" s="1">
        <v>10</v>
      </c>
    </row>
    <row r="19" spans="1:21" ht="15" customHeight="1" x14ac:dyDescent="0.3">
      <c r="E19" s="5" t="s">
        <v>36</v>
      </c>
      <c r="F19" t="s">
        <v>37</v>
      </c>
      <c r="I19" s="9"/>
      <c r="J19" s="9">
        <f t="shared" ca="1" si="7"/>
        <v>698.57748928594629</v>
      </c>
      <c r="K19" s="9">
        <f t="shared" ca="1" si="7"/>
        <v>700.53116970931694</v>
      </c>
      <c r="L19" s="9">
        <f t="shared" ca="1" si="7"/>
        <v>699.39091789784186</v>
      </c>
      <c r="M19" s="9">
        <f t="shared" ca="1" si="6"/>
        <v>699.4998589643684</v>
      </c>
      <c r="N19" s="1">
        <v>1</v>
      </c>
      <c r="O19" s="1"/>
      <c r="P19" s="1"/>
      <c r="Q19" s="1">
        <f>P19-O19</f>
        <v>0</v>
      </c>
      <c r="R19" s="1">
        <f>IF($U$18="","",Q19/$U$18)</f>
        <v>0</v>
      </c>
      <c r="S19" s="1"/>
      <c r="T19" s="1"/>
      <c r="U19" s="1"/>
    </row>
    <row r="20" spans="1:21" ht="15" customHeight="1" x14ac:dyDescent="0.25">
      <c r="I20" s="9"/>
      <c r="J20" s="9">
        <f t="shared" ca="1" si="7"/>
        <v>698.78295384762748</v>
      </c>
      <c r="K20" s="9">
        <f t="shared" ca="1" si="7"/>
        <v>699.2526605797882</v>
      </c>
      <c r="L20" s="9">
        <f t="shared" ca="1" si="7"/>
        <v>701.37752598603129</v>
      </c>
      <c r="M20" s="9">
        <f t="shared" ca="1" si="6"/>
        <v>699.80438013781566</v>
      </c>
      <c r="N20" s="1">
        <v>2</v>
      </c>
      <c r="O20" s="1"/>
      <c r="P20" s="1"/>
      <c r="Q20" s="1">
        <f>P20-O20</f>
        <v>0</v>
      </c>
      <c r="R20" s="1">
        <f>IF($U$18="","",Q20/$U$18)</f>
        <v>0</v>
      </c>
      <c r="S20" s="1"/>
      <c r="T20" s="1"/>
      <c r="U20" s="1"/>
    </row>
    <row r="21" spans="1:21" ht="15.75" customHeight="1" x14ac:dyDescent="0.25">
      <c r="I21" s="9"/>
      <c r="J21" s="9">
        <f t="shared" ca="1" si="7"/>
        <v>700.91376720773121</v>
      </c>
      <c r="K21" s="9">
        <f t="shared" ca="1" si="7"/>
        <v>701.5671019071242</v>
      </c>
      <c r="L21" s="9">
        <f t="shared" ca="1" si="7"/>
        <v>700.56626711160379</v>
      </c>
      <c r="M21" s="9">
        <f t="shared" ca="1" si="6"/>
        <v>701.01571207548648</v>
      </c>
      <c r="N21" s="1">
        <v>3</v>
      </c>
      <c r="O21" s="1"/>
      <c r="P21" s="1"/>
      <c r="Q21" s="1">
        <f>P21-O21</f>
        <v>0</v>
      </c>
      <c r="R21" s="1">
        <f>IF($U$18="","",Q21/$U$18)</f>
        <v>0</v>
      </c>
      <c r="S21" s="1"/>
      <c r="T21" s="1"/>
      <c r="U21" s="1"/>
    </row>
    <row r="22" spans="1:21" ht="15.75" customHeight="1" x14ac:dyDescent="0.25">
      <c r="I22" s="9"/>
      <c r="J22" s="9">
        <f t="shared" ca="1" si="7"/>
        <v>702.26883494402898</v>
      </c>
      <c r="K22" s="9">
        <f t="shared" ca="1" si="7"/>
        <v>698.06215230614407</v>
      </c>
      <c r="L22" s="9">
        <f t="shared" ca="1" si="7"/>
        <v>700.30229588163377</v>
      </c>
      <c r="M22" s="9">
        <f t="shared" ca="1" si="6"/>
        <v>700.21109437726898</v>
      </c>
      <c r="N22" s="1">
        <v>4</v>
      </c>
      <c r="O22" s="1"/>
      <c r="P22" s="1"/>
      <c r="Q22" s="1">
        <f>P22-O22</f>
        <v>0</v>
      </c>
      <c r="R22" s="1">
        <f>IF($U$18="","",Q22/$U$18)</f>
        <v>0</v>
      </c>
      <c r="S22" s="1"/>
      <c r="T22" s="1"/>
      <c r="U22" s="1"/>
    </row>
    <row r="23" spans="1:21" ht="15.75" customHeight="1" x14ac:dyDescent="0.25">
      <c r="I23" s="9"/>
      <c r="J23" s="9">
        <f t="shared" ca="1" si="7"/>
        <v>701.12285224535617</v>
      </c>
      <c r="K23" s="9">
        <f t="shared" ca="1" si="7"/>
        <v>700.96742001727819</v>
      </c>
      <c r="L23" s="9">
        <f t="shared" ca="1" si="7"/>
        <v>699.55824869934543</v>
      </c>
      <c r="M23" s="9">
        <f t="shared" ca="1" si="6"/>
        <v>700.54950698732648</v>
      </c>
      <c r="N23" s="1">
        <v>5</v>
      </c>
      <c r="O23" s="1"/>
      <c r="P23" s="1"/>
      <c r="Q23" s="1">
        <f>P23-O23</f>
        <v>0</v>
      </c>
      <c r="R23" s="1">
        <f>IF($U$18="","",Q23/$U$18)</f>
        <v>0</v>
      </c>
      <c r="S23" s="1"/>
      <c r="T23" s="1"/>
      <c r="U23" s="1"/>
    </row>
    <row r="24" spans="1:21" ht="15.75" customHeight="1" x14ac:dyDescent="0.25">
      <c r="I24" s="9"/>
      <c r="J24" s="9">
        <f t="shared" ca="1" si="7"/>
        <v>702.37097995402166</v>
      </c>
      <c r="K24" s="9">
        <f t="shared" ca="1" si="7"/>
        <v>700.10806500323247</v>
      </c>
      <c r="L24" s="9">
        <f t="shared" ca="1" si="7"/>
        <v>700.98351012237583</v>
      </c>
      <c r="M24" s="9">
        <f ca="1">AVERAGE(J24:L24)</f>
        <v>701.15418502654336</v>
      </c>
    </row>
    <row r="25" spans="1:21" ht="15.75" customHeight="1" x14ac:dyDescent="0.25">
      <c r="I25" s="9"/>
      <c r="J25" s="9">
        <f t="shared" ca="1" si="7"/>
        <v>701.32974560934213</v>
      </c>
      <c r="K25" s="9">
        <f t="shared" ca="1" si="7"/>
        <v>700.91646327971455</v>
      </c>
      <c r="L25" s="9">
        <f t="shared" ca="1" si="7"/>
        <v>699.34475504672423</v>
      </c>
      <c r="M25" s="9">
        <f ca="1">AVERAGE(J25:L25)</f>
        <v>700.53032131192685</v>
      </c>
      <c r="N25" s="2" t="s">
        <v>24</v>
      </c>
      <c r="O25" s="2" t="str">
        <f>IF(COUNTA(O19:O23)*COUNTA(Q19:Q23)=0,"",SLOPE(Q19:Q23,O19:O23))</f>
        <v/>
      </c>
    </row>
    <row r="26" spans="1:21" ht="15.75" customHeight="1" x14ac:dyDescent="0.25">
      <c r="I26" s="9"/>
      <c r="J26" s="9">
        <f t="shared" ca="1" si="7"/>
        <v>699.63231616180042</v>
      </c>
      <c r="K26" s="9">
        <f t="shared" ca="1" si="7"/>
        <v>701.65638090605182</v>
      </c>
      <c r="L26" s="9">
        <f t="shared" ca="1" si="7"/>
        <v>700.07386894570539</v>
      </c>
      <c r="M26" s="9">
        <f ca="1">AVERAGE(J26:L26)</f>
        <v>700.45418867118588</v>
      </c>
      <c r="N26" s="2" t="s">
        <v>25</v>
      </c>
      <c r="O26" s="2" t="str">
        <f>IF(COUNTA(O19:O23)*COUNTA(Q19:Q23)=0,"",INTERCEPT(Q19:Q23,O19:O23))</f>
        <v/>
      </c>
    </row>
    <row r="27" spans="1:21" ht="15.75" customHeight="1" x14ac:dyDescent="0.25">
      <c r="I27" s="9"/>
      <c r="J27" s="9">
        <f t="shared" ca="1" si="7"/>
        <v>699.96031184664616</v>
      </c>
      <c r="K27" s="9">
        <f t="shared" ca="1" si="7"/>
        <v>701.24448371204198</v>
      </c>
      <c r="L27" s="9">
        <f t="shared" ca="1" si="7"/>
        <v>701.12250104540863</v>
      </c>
      <c r="M27" s="9">
        <f ca="1">AVERAGE(J27:L27)</f>
        <v>700.77576553469896</v>
      </c>
      <c r="N27" s="2" t="s">
        <v>26</v>
      </c>
      <c r="O27" s="2" t="str">
        <f>IF(COUNTA(O19:O23)*COUNTA(Q19:Q23)=0,"",RSQ(Q19:Q23,O19:O23))</f>
        <v/>
      </c>
    </row>
    <row r="28" spans="1:21" ht="15.75" customHeight="1" x14ac:dyDescent="0.25">
      <c r="I28" s="9"/>
      <c r="J28" s="9">
        <f t="shared" ca="1" si="7"/>
        <v>700.20965904913544</v>
      </c>
      <c r="K28" s="9">
        <f t="shared" ca="1" si="7"/>
        <v>699.79548031826448</v>
      </c>
      <c r="L28" s="9">
        <f t="shared" ca="1" si="7"/>
        <v>699.00962092647524</v>
      </c>
      <c r="M28" s="9">
        <f ca="1">AVERAGE(J28:L28)</f>
        <v>699.67158676462498</v>
      </c>
    </row>
    <row r="29" spans="1:21" ht="15.75" customHeight="1" x14ac:dyDescent="0.25">
      <c r="I29" s="9"/>
      <c r="J29" s="9">
        <f t="shared" ca="1" si="7"/>
        <v>697.64558744504041</v>
      </c>
      <c r="K29" s="9">
        <f t="shared" ca="1" si="7"/>
        <v>699.05325485196988</v>
      </c>
      <c r="L29" s="9">
        <f t="shared" ca="1" si="7"/>
        <v>701.21887107849489</v>
      </c>
      <c r="M29" s="9">
        <f ca="1">AVERAGE(J29:L29)</f>
        <v>699.30590445850169</v>
      </c>
    </row>
    <row r="30" spans="1:21" ht="15.75" customHeight="1" x14ac:dyDescent="0.25">
      <c r="I30" s="9"/>
      <c r="J30" s="9">
        <f t="shared" ca="1" si="7"/>
        <v>698.01931855380838</v>
      </c>
      <c r="K30" s="9">
        <f t="shared" ca="1" si="7"/>
        <v>700.05239447929557</v>
      </c>
      <c r="L30" s="9">
        <f t="shared" ca="1" si="7"/>
        <v>702.08014367534111</v>
      </c>
      <c r="M30" s="9">
        <f ca="1">AVERAGE(J30:L30)</f>
        <v>700.05061890281502</v>
      </c>
    </row>
    <row r="31" spans="1:21" ht="15.75" customHeight="1" x14ac:dyDescent="0.25">
      <c r="I31" s="9"/>
      <c r="J31" s="9">
        <f t="shared" ca="1" si="7"/>
        <v>702.23651280709737</v>
      </c>
      <c r="K31" s="9">
        <f t="shared" ca="1" si="7"/>
        <v>701.20870000402101</v>
      </c>
      <c r="L31" s="9">
        <f t="shared" ca="1" si="7"/>
        <v>700.51743109154859</v>
      </c>
      <c r="M31" s="9">
        <f ca="1">AVERAGE(J31:L31)</f>
        <v>701.32088130088903</v>
      </c>
    </row>
    <row r="32" spans="1:21" ht="15.75" customHeight="1" x14ac:dyDescent="0.25">
      <c r="I32" s="9"/>
      <c r="J32" s="9">
        <f t="shared" ca="1" si="7"/>
        <v>701.39317013976893</v>
      </c>
      <c r="K32" s="9">
        <f t="shared" ca="1" si="7"/>
        <v>700.24010388010686</v>
      </c>
      <c r="L32" s="9">
        <f t="shared" ca="1" si="7"/>
        <v>701.50029755324226</v>
      </c>
      <c r="M32" s="9">
        <f ca="1">AVERAGE(J32:L32)</f>
        <v>701.04452385770617</v>
      </c>
    </row>
    <row r="33" spans="9:13" ht="15.75" customHeight="1" x14ac:dyDescent="0.25">
      <c r="I33" s="9"/>
      <c r="J33" s="9">
        <f t="shared" ca="1" si="7"/>
        <v>699.80438125434057</v>
      </c>
      <c r="K33" s="9">
        <f t="shared" ca="1" si="7"/>
        <v>700.66471975095988</v>
      </c>
      <c r="L33" s="9">
        <f t="shared" ca="1" si="7"/>
        <v>701.58688828159256</v>
      </c>
      <c r="M33" s="9">
        <f ca="1">AVERAGE(J33:L33)</f>
        <v>700.68532976229778</v>
      </c>
    </row>
    <row r="34" spans="9:13" ht="15.75" customHeight="1" x14ac:dyDescent="0.25">
      <c r="I34" s="9"/>
      <c r="J34" s="9">
        <f t="shared" ca="1" si="7"/>
        <v>698.58538517869215</v>
      </c>
      <c r="K34" s="9">
        <f t="shared" ca="1" si="7"/>
        <v>699.13323483589841</v>
      </c>
      <c r="L34" s="9">
        <f t="shared" ca="1" si="7"/>
        <v>700.55972974744907</v>
      </c>
      <c r="M34" s="9">
        <f t="shared" ca="1" si="6"/>
        <v>699.42611658734666</v>
      </c>
    </row>
    <row r="35" spans="9:13" ht="15.75" customHeight="1" x14ac:dyDescent="0.25">
      <c r="I35" s="9"/>
      <c r="J35" s="9">
        <f t="shared" ca="1" si="7"/>
        <v>699.30657212541678</v>
      </c>
      <c r="K35" s="9">
        <f t="shared" ca="1" si="7"/>
        <v>701.43062177518937</v>
      </c>
      <c r="L35" s="9">
        <f t="shared" ca="1" si="7"/>
        <v>700.47533011485007</v>
      </c>
      <c r="M35" s="9">
        <f t="shared" ca="1" si="6"/>
        <v>700.40417467181885</v>
      </c>
    </row>
    <row r="36" spans="9:13" ht="15.75" customHeight="1" x14ac:dyDescent="0.25">
      <c r="I36" s="9"/>
      <c r="J36" s="9">
        <f t="shared" ca="1" si="7"/>
        <v>700.93410461277585</v>
      </c>
      <c r="K36" s="9">
        <f t="shared" ca="1" si="7"/>
        <v>700.47783833646122</v>
      </c>
      <c r="L36" s="9">
        <f t="shared" ca="1" si="7"/>
        <v>699.91553568485256</v>
      </c>
      <c r="M36" s="9">
        <f t="shared" ca="1" si="6"/>
        <v>700.44249287802995</v>
      </c>
    </row>
    <row r="37" spans="9:13" ht="15.75" customHeight="1" x14ac:dyDescent="0.25">
      <c r="I37" s="9"/>
      <c r="J37" s="9">
        <f t="shared" ca="1" si="7"/>
        <v>699.03335285698677</v>
      </c>
      <c r="K37" s="9">
        <f t="shared" ca="1" si="7"/>
        <v>700.1356859389366</v>
      </c>
      <c r="L37" s="9">
        <f t="shared" ca="1" si="7"/>
        <v>701.16091309551507</v>
      </c>
      <c r="M37" s="9">
        <f t="shared" ca="1" si="6"/>
        <v>700.10998396381274</v>
      </c>
    </row>
    <row r="38" spans="9:13" ht="15.75" customHeight="1" x14ac:dyDescent="0.25">
      <c r="I38" s="9"/>
      <c r="J38" s="9">
        <f t="shared" ca="1" si="7"/>
        <v>699.28557789829881</v>
      </c>
      <c r="K38" s="9">
        <f t="shared" ca="1" si="7"/>
        <v>700.43818160639864</v>
      </c>
      <c r="L38" s="9">
        <f t="shared" ca="1" si="7"/>
        <v>701.28773692914103</v>
      </c>
      <c r="M38" s="9">
        <f t="shared" ca="1" si="6"/>
        <v>700.3371654779462</v>
      </c>
    </row>
    <row r="39" spans="9:13" ht="15.75" customHeight="1" x14ac:dyDescent="0.25">
      <c r="I39" s="9"/>
      <c r="J39" s="9">
        <f t="shared" ca="1" si="7"/>
        <v>699.75780361642501</v>
      </c>
      <c r="K39" s="9">
        <f t="shared" ca="1" si="7"/>
        <v>699.36684366428426</v>
      </c>
      <c r="L39" s="9">
        <f t="shared" ca="1" si="7"/>
        <v>700.83664284722579</v>
      </c>
      <c r="M39" s="9">
        <f t="shared" ca="1" si="6"/>
        <v>699.98709670931169</v>
      </c>
    </row>
    <row r="40" spans="9:13" ht="15.75" customHeight="1" x14ac:dyDescent="0.25">
      <c r="I40" s="9"/>
      <c r="J40" s="9">
        <f t="shared" ca="1" si="7"/>
        <v>699.59272276684362</v>
      </c>
      <c r="K40" s="9">
        <f t="shared" ca="1" si="7"/>
        <v>698.51929455452682</v>
      </c>
      <c r="L40" s="9">
        <f t="shared" ca="1" si="7"/>
        <v>699.63714529776519</v>
      </c>
      <c r="M40" s="9">
        <f t="shared" ca="1" si="6"/>
        <v>699.24972087304513</v>
      </c>
    </row>
    <row r="41" spans="9:13" ht="15.75" customHeight="1" x14ac:dyDescent="0.25">
      <c r="I41" s="9"/>
      <c r="J41" s="9">
        <f t="shared" ca="1" si="7"/>
        <v>701.94989232950866</v>
      </c>
      <c r="K41" s="9">
        <f t="shared" ca="1" si="7"/>
        <v>700.47971220652744</v>
      </c>
      <c r="L41" s="9">
        <f t="shared" ca="1" si="7"/>
        <v>700.69737082469226</v>
      </c>
      <c r="M41" s="9">
        <f t="shared" ca="1" si="6"/>
        <v>701.04232512024282</v>
      </c>
    </row>
    <row r="42" spans="9:13" ht="15.75" customHeight="1" x14ac:dyDescent="0.25">
      <c r="I42" s="9"/>
      <c r="J42" s="9">
        <f ca="1">700 + NORMINV(RAND(),0,1)</f>
        <v>700.48443997252355</v>
      </c>
      <c r="K42" s="9">
        <f t="shared" ref="K42:L42" ca="1" si="8">700 + NORMINV(RAND(),0,1)</f>
        <v>700.76421921812414</v>
      </c>
      <c r="L42" s="9">
        <f t="shared" ca="1" si="8"/>
        <v>701.74903848565384</v>
      </c>
      <c r="M42" s="9">
        <f t="shared" ca="1" si="6"/>
        <v>700.99923255876718</v>
      </c>
    </row>
    <row r="43" spans="9:13" ht="15.75" customHeight="1" x14ac:dyDescent="0.25">
      <c r="I43" s="9"/>
      <c r="J43" s="9"/>
      <c r="K43" s="9"/>
      <c r="L43" s="9"/>
      <c r="M43" s="9"/>
    </row>
    <row r="44" spans="9:13" ht="15.75" customHeight="1" x14ac:dyDescent="0.25">
      <c r="I44" s="9" t="s">
        <v>28</v>
      </c>
      <c r="J44" s="9">
        <f ca="1">AVERAGE(M13:M42)</f>
        <v>700.3085971558088</v>
      </c>
      <c r="K44" s="9"/>
      <c r="L44" s="9"/>
      <c r="M44" s="9"/>
    </row>
    <row r="45" spans="9:13" ht="15.75" customHeight="1" x14ac:dyDescent="0.25">
      <c r="I45" s="9" t="s">
        <v>29</v>
      </c>
      <c r="J45" s="9">
        <f ca="1">_xlfn.STDEV.S(M13:M42)</f>
        <v>0.61647602807865942</v>
      </c>
      <c r="K45" s="9"/>
      <c r="L45" s="9"/>
      <c r="M45" s="9"/>
    </row>
    <row r="46" spans="9:13" ht="15.75" customHeight="1" x14ac:dyDescent="0.25">
      <c r="I46" s="9" t="s">
        <v>30</v>
      </c>
      <c r="J46" s="9">
        <f ca="1">J44+3*J45</f>
        <v>702.15802524004482</v>
      </c>
      <c r="K46" s="9"/>
      <c r="L46" s="9"/>
      <c r="M46" s="9"/>
    </row>
    <row r="47" spans="9:13" ht="15.75" customHeight="1" x14ac:dyDescent="0.25">
      <c r="I47" s="9" t="s">
        <v>31</v>
      </c>
      <c r="J47" s="9">
        <f ca="1">J44-3*J45</f>
        <v>698.45916907157277</v>
      </c>
      <c r="K47" s="9"/>
      <c r="L47" s="9"/>
      <c r="M47" s="9"/>
    </row>
    <row r="48" spans="9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honeticPr fontId="2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AOI</vt:lpstr>
      <vt:lpstr>TTV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2025-12-05T12:17:37Z</dcterms:created>
  <dcterms:modified xsi:type="dcterms:W3CDTF">2025-12-12T04:15:36Z</dcterms:modified>
</cp:coreProperties>
</file>