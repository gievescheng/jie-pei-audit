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55" activeTab="3"/>
  </bookViews>
  <sheets>
    <sheet name="首頁" sheetId="2" r:id="rId1"/>
    <sheet name="12吋玻璃晶圓" sheetId="7" r:id="rId2"/>
    <sheet name="BL3798" sheetId="3" r:id="rId3"/>
    <sheet name="BL900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" l="1"/>
  <c r="K7" i="7" l="1"/>
  <c r="E4" i="2" s="1"/>
  <c r="K5" i="7"/>
  <c r="D4" i="2" s="1"/>
  <c r="K3" i="7"/>
  <c r="C4" i="2" s="1"/>
  <c r="I3" i="4"/>
  <c r="I5" i="4" s="1"/>
  <c r="H5" i="2" s="1"/>
  <c r="K9" i="7" l="1"/>
  <c r="J5" i="3"/>
  <c r="H4" i="2" s="1"/>
</calcChain>
</file>

<file path=xl/sharedStrings.xml><?xml version="1.0" encoding="utf-8"?>
<sst xmlns="http://schemas.openxmlformats.org/spreadsheetml/2006/main" count="44" uniqueCount="30">
  <si>
    <t>品名</t>
    <phoneticPr fontId="6" type="noConversion"/>
  </si>
  <si>
    <t>重量KG</t>
    <phoneticPr fontId="6" type="noConversion"/>
  </si>
  <si>
    <t>明細</t>
    <phoneticPr fontId="6" type="noConversion"/>
  </si>
  <si>
    <t>庫存表</t>
    <phoneticPr fontId="6" type="noConversion"/>
  </si>
  <si>
    <t>批號</t>
    <phoneticPr fontId="6" type="noConversion"/>
  </si>
  <si>
    <t>期初庫存</t>
    <phoneticPr fontId="6" type="noConversion"/>
  </si>
  <si>
    <t>日期</t>
    <phoneticPr fontId="6" type="noConversion"/>
  </si>
  <si>
    <t>結餘</t>
    <phoneticPr fontId="6" type="noConversion"/>
  </si>
  <si>
    <t>入庫</t>
    <phoneticPr fontId="6" type="noConversion"/>
  </si>
  <si>
    <t>出庫</t>
    <phoneticPr fontId="6" type="noConversion"/>
  </si>
  <si>
    <t>合計</t>
    <phoneticPr fontId="6" type="noConversion"/>
  </si>
  <si>
    <t>BL3798</t>
    <phoneticPr fontId="6" type="noConversion"/>
  </si>
  <si>
    <t>客供料</t>
    <phoneticPr fontId="6" type="noConversion"/>
  </si>
  <si>
    <t>美光</t>
    <phoneticPr fontId="6" type="noConversion"/>
  </si>
  <si>
    <t>NG品</t>
    <phoneticPr fontId="6" type="noConversion"/>
  </si>
  <si>
    <t>12吋玻璃晶圓</t>
    <phoneticPr fontId="6" type="noConversion"/>
  </si>
  <si>
    <t>成品</t>
    <phoneticPr fontId="6" type="noConversion"/>
  </si>
  <si>
    <t>BL900</t>
    <phoneticPr fontId="6" type="noConversion"/>
  </si>
  <si>
    <t>客戶名稱</t>
    <phoneticPr fontId="6" type="noConversion"/>
  </si>
  <si>
    <t>零件名稱</t>
    <phoneticPr fontId="6" type="noConversion"/>
  </si>
  <si>
    <t>來料</t>
    <phoneticPr fontId="6" type="noConversion"/>
  </si>
  <si>
    <t>數量</t>
    <phoneticPr fontId="6" type="noConversion"/>
  </si>
  <si>
    <t>12吋玻璃晶圓</t>
    <phoneticPr fontId="6" type="noConversion"/>
  </si>
  <si>
    <t>成品入庫</t>
    <phoneticPr fontId="6" type="noConversion"/>
  </si>
  <si>
    <t>成品出庫</t>
    <phoneticPr fontId="6" type="noConversion"/>
  </si>
  <si>
    <t>NG品入庫</t>
    <phoneticPr fontId="6" type="noConversion"/>
  </si>
  <si>
    <r>
      <t>N</t>
    </r>
    <r>
      <rPr>
        <sz val="12"/>
        <color theme="1"/>
        <rFont val="新細明體"/>
        <family val="2"/>
        <charset val="136"/>
        <scheme val="minor"/>
      </rPr>
      <t>G品</t>
    </r>
    <r>
      <rPr>
        <sz val="12"/>
        <color theme="1"/>
        <rFont val="新細明體"/>
        <family val="2"/>
        <charset val="136"/>
        <scheme val="minor"/>
      </rPr>
      <t>出庫</t>
    </r>
    <phoneticPr fontId="6" type="noConversion"/>
  </si>
  <si>
    <t>來料入庫</t>
    <phoneticPr fontId="6" type="noConversion"/>
  </si>
  <si>
    <t>來料出庫</t>
    <phoneticPr fontId="6" type="noConversion"/>
  </si>
  <si>
    <t>原料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</si>
</sst>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11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2"/>
      <color theme="10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0" fontId="4" fillId="0" borderId="0"/>
    <xf numFmtId="0" fontId="2" fillId="0" borderId="0">
      <alignment vertical="center"/>
    </xf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Fill="1"/>
    <xf numFmtId="0" fontId="9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4" fillId="2" borderId="0" xfId="2" applyFill="1"/>
    <xf numFmtId="0" fontId="4" fillId="0" borderId="1" xfId="2" applyBorder="1" applyAlignment="1">
      <alignment horizontal="left" vertical="center"/>
    </xf>
    <xf numFmtId="0" fontId="4" fillId="0" borderId="1" xfId="2" applyBorder="1" applyAlignment="1">
      <alignment horizontal="center" vertical="center"/>
    </xf>
    <xf numFmtId="0" fontId="4" fillId="0" borderId="1" xfId="2" applyBorder="1"/>
    <xf numFmtId="176" fontId="4" fillId="0" borderId="1" xfId="2" applyNumberFormat="1" applyBorder="1" applyAlignment="1">
      <alignment horizontal="center"/>
    </xf>
    <xf numFmtId="0" fontId="4" fillId="0" borderId="1" xfId="2" applyBorder="1" applyAlignment="1">
      <alignment horizontal="center"/>
    </xf>
    <xf numFmtId="0" fontId="4" fillId="0" borderId="0" xfId="2"/>
    <xf numFmtId="0" fontId="4" fillId="3" borderId="3" xfId="2" applyFont="1" applyFill="1" applyBorder="1" applyAlignment="1">
      <alignment horizontal="center"/>
    </xf>
    <xf numFmtId="0" fontId="4" fillId="3" borderId="3" xfId="2" applyFont="1" applyFill="1" applyBorder="1"/>
    <xf numFmtId="0" fontId="4" fillId="0" borderId="3" xfId="2" applyFont="1" applyBorder="1" applyAlignment="1">
      <alignment horizontal="center"/>
    </xf>
    <xf numFmtId="0" fontId="4" fillId="0" borderId="3" xfId="2" applyFont="1" applyBorder="1"/>
    <xf numFmtId="0" fontId="4" fillId="2" borderId="5" xfId="2" applyFill="1" applyBorder="1" applyAlignment="1">
      <alignment horizontal="center"/>
    </xf>
    <xf numFmtId="0" fontId="4" fillId="2" borderId="7" xfId="2" applyFill="1" applyBorder="1"/>
    <xf numFmtId="0" fontId="4" fillId="2" borderId="1" xfId="2" applyFill="1" applyBorder="1"/>
    <xf numFmtId="0" fontId="4" fillId="0" borderId="0" xfId="2" applyAlignment="1">
      <alignment vertical="center"/>
    </xf>
    <xf numFmtId="0" fontId="0" fillId="0" borderId="0" xfId="0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2" applyFont="1" applyBorder="1"/>
    <xf numFmtId="0" fontId="0" fillId="0" borderId="1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4" fillId="0" borderId="2" xfId="2" applyBorder="1" applyAlignment="1">
      <alignment horizontal="center" vertical="center"/>
    </xf>
    <xf numFmtId="0" fontId="4" fillId="0" borderId="8" xfId="2" applyBorder="1" applyAlignment="1">
      <alignment horizontal="center" vertical="center"/>
    </xf>
    <xf numFmtId="0" fontId="4" fillId="0" borderId="2" xfId="2" applyBorder="1" applyAlignment="1"/>
    <xf numFmtId="0" fontId="4" fillId="0" borderId="4" xfId="2" applyBorder="1" applyAlignment="1"/>
    <xf numFmtId="0" fontId="4" fillId="0" borderId="4" xfId="2" applyBorder="1" applyAlignment="1">
      <alignment horizontal="center" vertical="center"/>
    </xf>
    <xf numFmtId="0" fontId="4" fillId="2" borderId="5" xfId="2" applyFill="1" applyBorder="1" applyAlignment="1">
      <alignment horizontal="center"/>
    </xf>
    <xf numFmtId="0" fontId="4" fillId="2" borderId="6" xfId="2" applyFill="1" applyBorder="1" applyAlignment="1">
      <alignment horizontal="center"/>
    </xf>
  </cellXfs>
  <cellStyles count="4">
    <cellStyle name="一般" xfId="0" builtinId="0"/>
    <cellStyle name="一般 2" xfId="2"/>
    <cellStyle name="一般 3" xfId="3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zoomScale="145" zoomScaleNormal="145" workbookViewId="0">
      <selection activeCell="K9" sqref="K9"/>
    </sheetView>
  </sheetViews>
  <sheetFormatPr defaultRowHeight="15.75" x14ac:dyDescent="0.25"/>
  <cols>
    <col min="1" max="1" width="10.5703125" style="2" customWidth="1"/>
    <col min="2" max="2" width="14.42578125" style="2" customWidth="1"/>
    <col min="3" max="3" width="9.140625" style="2"/>
    <col min="4" max="4" width="10.28515625" style="2" bestFit="1" customWidth="1"/>
    <col min="5" max="6" width="9.140625" style="2"/>
    <col min="7" max="7" width="13.28515625" customWidth="1"/>
    <col min="8" max="8" width="12.42578125" style="2" customWidth="1"/>
  </cols>
  <sheetData>
    <row r="1" spans="1:12" x14ac:dyDescent="0.25">
      <c r="A1" s="24" t="s">
        <v>12</v>
      </c>
      <c r="B1" s="24"/>
      <c r="G1" s="22" t="s">
        <v>29</v>
      </c>
      <c r="H1" s="21"/>
    </row>
    <row r="2" spans="1:12" x14ac:dyDescent="0.25">
      <c r="A2" s="1"/>
      <c r="B2" s="1"/>
      <c r="C2" s="27" t="s">
        <v>21</v>
      </c>
      <c r="D2" s="27"/>
      <c r="E2" s="27"/>
      <c r="F2" s="22"/>
      <c r="G2" s="21"/>
      <c r="H2" s="21"/>
    </row>
    <row r="3" spans="1:12" ht="20.25" customHeight="1" x14ac:dyDescent="0.25">
      <c r="A3" s="23" t="s">
        <v>18</v>
      </c>
      <c r="B3" s="23" t="s">
        <v>19</v>
      </c>
      <c r="C3" s="23" t="s">
        <v>20</v>
      </c>
      <c r="D3" s="23" t="s">
        <v>16</v>
      </c>
      <c r="E3" s="23" t="s">
        <v>14</v>
      </c>
      <c r="F3" s="22"/>
      <c r="G3" s="23" t="s">
        <v>0</v>
      </c>
      <c r="H3" s="23" t="s">
        <v>1</v>
      </c>
    </row>
    <row r="4" spans="1:12" x14ac:dyDescent="0.25">
      <c r="A4" s="1" t="s">
        <v>13</v>
      </c>
      <c r="B4" s="1" t="s">
        <v>15</v>
      </c>
      <c r="C4" s="1">
        <f>'12吋玻璃晶圓'!K3</f>
        <v>150</v>
      </c>
      <c r="D4" s="1">
        <f>'12吋玻璃晶圓'!K5</f>
        <v>33</v>
      </c>
      <c r="E4" s="1">
        <f>'12吋玻璃晶圓'!K7</f>
        <v>292</v>
      </c>
      <c r="G4" s="1" t="s">
        <v>11</v>
      </c>
      <c r="H4" s="1">
        <f>'BL3798'!J5</f>
        <v>160</v>
      </c>
    </row>
    <row r="5" spans="1:12" x14ac:dyDescent="0.25">
      <c r="G5" s="1" t="s">
        <v>17</v>
      </c>
      <c r="H5" s="1">
        <f>'BL900'!I5</f>
        <v>5</v>
      </c>
    </row>
    <row r="6" spans="1:12" x14ac:dyDescent="0.25">
      <c r="G6" s="26"/>
      <c r="H6" s="1"/>
      <c r="I6" s="3"/>
      <c r="J6" s="3"/>
      <c r="K6" s="3"/>
      <c r="L6" s="3"/>
    </row>
    <row r="7" spans="1:12" x14ac:dyDescent="0.25">
      <c r="G7" s="1"/>
      <c r="H7" s="1"/>
    </row>
    <row r="12" spans="1:12" x14ac:dyDescent="0.25">
      <c r="G12" s="3"/>
    </row>
  </sheetData>
  <mergeCells count="1">
    <mergeCell ref="C2:E2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xSplit="3" ySplit="8" topLeftCell="D9" activePane="bottomRight" state="frozen"/>
      <selection activeCell="E7" sqref="E7"/>
      <selection pane="topRight" activeCell="E7" sqref="E7"/>
      <selection pane="bottomLeft" activeCell="E7" sqref="E7"/>
      <selection pane="bottomRight" activeCell="D3" sqref="D3:F4"/>
    </sheetView>
  </sheetViews>
  <sheetFormatPr defaultColWidth="11" defaultRowHeight="16.5" x14ac:dyDescent="0.25"/>
  <cols>
    <col min="1" max="1" width="20.140625" style="20" customWidth="1"/>
    <col min="2" max="2" width="11.7109375" style="12" customWidth="1"/>
    <col min="3" max="16384" width="11" style="12"/>
  </cols>
  <sheetData>
    <row r="1" spans="1:11" s="6" customFormat="1" ht="29.25" customHeight="1" x14ac:dyDescent="0.25">
      <c r="A1" s="4" t="s">
        <v>22</v>
      </c>
      <c r="B1" s="5"/>
    </row>
    <row r="2" spans="1:11" x14ac:dyDescent="0.25">
      <c r="A2" s="7"/>
      <c r="B2" s="9" t="s">
        <v>6</v>
      </c>
      <c r="C2" s="10">
        <v>45968</v>
      </c>
      <c r="D2" s="10">
        <v>45971</v>
      </c>
      <c r="E2" s="10">
        <v>45973</v>
      </c>
      <c r="F2" s="10">
        <v>45974</v>
      </c>
      <c r="G2" s="10">
        <v>45975</v>
      </c>
      <c r="H2" s="10"/>
      <c r="I2" s="10"/>
      <c r="J2" s="10"/>
      <c r="K2" s="11" t="s">
        <v>7</v>
      </c>
    </row>
    <row r="3" spans="1:11" x14ac:dyDescent="0.25">
      <c r="A3" s="28"/>
      <c r="B3" s="25" t="s">
        <v>27</v>
      </c>
      <c r="C3" s="13">
        <v>675</v>
      </c>
      <c r="D3" s="13"/>
      <c r="E3" s="13"/>
      <c r="F3" s="13"/>
      <c r="G3" s="13"/>
      <c r="H3" s="13"/>
      <c r="I3" s="13"/>
      <c r="J3" s="13"/>
      <c r="K3" s="30">
        <f>IF(ISERROR(SUM(A3,C3:J3)-SUM(C4:J4)),"",SUM(A3,C3:J3)-SUM(C4:J4))</f>
        <v>150</v>
      </c>
    </row>
    <row r="4" spans="1:11" x14ac:dyDescent="0.25">
      <c r="A4" s="29"/>
      <c r="B4" s="25" t="s">
        <v>28</v>
      </c>
      <c r="C4" s="15"/>
      <c r="D4" s="15">
        <v>300</v>
      </c>
      <c r="E4" s="15">
        <v>100</v>
      </c>
      <c r="F4" s="15">
        <v>125</v>
      </c>
      <c r="G4" s="15"/>
      <c r="H4" s="15"/>
      <c r="I4" s="15"/>
      <c r="J4" s="15"/>
      <c r="K4" s="31"/>
    </row>
    <row r="5" spans="1:11" x14ac:dyDescent="0.25">
      <c r="A5" s="28"/>
      <c r="B5" s="25" t="s">
        <v>23</v>
      </c>
      <c r="C5" s="13"/>
      <c r="D5" s="13"/>
      <c r="E5" s="13"/>
      <c r="F5" s="13">
        <v>233</v>
      </c>
      <c r="G5" s="13"/>
      <c r="H5" s="13"/>
      <c r="I5" s="13"/>
      <c r="J5" s="13"/>
      <c r="K5" s="30">
        <f>IF(ISERROR(SUM(A5,C5:J5)-SUM(C6:J6)),"",SUM(A5,C5:J5)-SUM(C6:J6))</f>
        <v>33</v>
      </c>
    </row>
    <row r="6" spans="1:11" x14ac:dyDescent="0.25">
      <c r="A6" s="29"/>
      <c r="B6" s="25" t="s">
        <v>24</v>
      </c>
      <c r="C6" s="15"/>
      <c r="D6" s="15"/>
      <c r="E6" s="15"/>
      <c r="F6" s="15"/>
      <c r="G6" s="15">
        <v>200</v>
      </c>
      <c r="H6" s="15"/>
      <c r="I6" s="15"/>
      <c r="J6" s="15"/>
      <c r="K6" s="31"/>
    </row>
    <row r="7" spans="1:11" x14ac:dyDescent="0.25">
      <c r="A7" s="28"/>
      <c r="B7" s="25" t="s">
        <v>25</v>
      </c>
      <c r="C7" s="13"/>
      <c r="D7" s="13"/>
      <c r="E7" s="13"/>
      <c r="F7" s="13">
        <v>292</v>
      </c>
      <c r="G7" s="13"/>
      <c r="H7" s="13"/>
      <c r="I7" s="13"/>
      <c r="J7" s="13"/>
      <c r="K7" s="30">
        <f>IF(ISERROR(SUM(A7,C7:J7)-SUM(C8:J8)),"",SUM(A7,C7:J7)-SUM(C8:J8))</f>
        <v>292</v>
      </c>
    </row>
    <row r="8" spans="1:11" x14ac:dyDescent="0.25">
      <c r="A8" s="29"/>
      <c r="B8" s="25" t="s">
        <v>26</v>
      </c>
      <c r="C8" s="15"/>
      <c r="D8" s="15"/>
      <c r="E8" s="15"/>
      <c r="F8" s="15"/>
      <c r="G8" s="15"/>
      <c r="H8" s="15"/>
      <c r="I8" s="15"/>
      <c r="J8" s="15"/>
      <c r="K8" s="31"/>
    </row>
    <row r="9" spans="1:11" x14ac:dyDescent="0.25">
      <c r="A9" s="17" t="s">
        <v>10</v>
      </c>
      <c r="B9" s="18"/>
      <c r="C9" s="18"/>
      <c r="D9" s="18"/>
      <c r="E9" s="18"/>
      <c r="F9" s="18"/>
      <c r="G9" s="18"/>
      <c r="H9" s="18"/>
      <c r="I9" s="18"/>
      <c r="J9" s="18"/>
      <c r="K9" s="19">
        <f>SUM(K3:K8)</f>
        <v>475</v>
      </c>
    </row>
  </sheetData>
  <mergeCells count="6">
    <mergeCell ref="A3:A4"/>
    <mergeCell ref="K3:K4"/>
    <mergeCell ref="A7:A8"/>
    <mergeCell ref="K7:K8"/>
    <mergeCell ref="A5:A6"/>
    <mergeCell ref="K5:K6"/>
  </mergeCells>
  <phoneticPr fontId="6" type="noConversion"/>
  <hyperlinks>
    <hyperlink ref="A1" location="首頁!A1" display="BL200"/>
  </hyperlinks>
  <pageMargins left="0.7" right="0.7" top="0.75" bottom="0.75" header="0.3" footer="0.3"/>
  <pageSetup paperSize="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xSplit="6" ySplit="4" topLeftCell="G5" activePane="bottomRight" state="frozen"/>
      <selection activeCell="E7" sqref="E7"/>
      <selection pane="topRight" activeCell="E7" sqref="E7"/>
      <selection pane="bottomLeft" activeCell="E7" sqref="E7"/>
      <selection pane="bottomRight" activeCell="J10" sqref="J10"/>
    </sheetView>
  </sheetViews>
  <sheetFormatPr defaultColWidth="11" defaultRowHeight="16.5" x14ac:dyDescent="0.25"/>
  <cols>
    <col min="1" max="1" width="15.85546875" style="20" customWidth="1"/>
    <col min="2" max="2" width="11" style="20"/>
    <col min="3" max="16384" width="11" style="12"/>
  </cols>
  <sheetData>
    <row r="1" spans="1:10" s="6" customFormat="1" ht="29.25" customHeight="1" x14ac:dyDescent="0.25">
      <c r="A1" s="4" t="s">
        <v>11</v>
      </c>
      <c r="B1" s="4" t="s">
        <v>2</v>
      </c>
      <c r="C1" s="5" t="s">
        <v>3</v>
      </c>
    </row>
    <row r="2" spans="1:10" x14ac:dyDescent="0.25">
      <c r="A2" s="7" t="s">
        <v>4</v>
      </c>
      <c r="B2" s="8" t="s">
        <v>5</v>
      </c>
      <c r="C2" s="9" t="s">
        <v>6</v>
      </c>
      <c r="D2" s="10">
        <v>45905</v>
      </c>
      <c r="E2" s="10">
        <v>45908</v>
      </c>
      <c r="F2" s="10">
        <v>45971</v>
      </c>
      <c r="G2" s="10">
        <v>45971</v>
      </c>
      <c r="H2" s="10">
        <v>45973</v>
      </c>
      <c r="I2" s="9"/>
      <c r="J2" s="11" t="s">
        <v>7</v>
      </c>
    </row>
    <row r="3" spans="1:10" x14ac:dyDescent="0.25">
      <c r="A3" s="28"/>
      <c r="B3" s="28"/>
      <c r="C3" s="9" t="s">
        <v>8</v>
      </c>
      <c r="D3" s="13">
        <v>630</v>
      </c>
      <c r="E3" s="13"/>
      <c r="F3" s="13">
        <v>300</v>
      </c>
      <c r="G3" s="13"/>
      <c r="H3" s="13"/>
      <c r="I3" s="14"/>
      <c r="J3" s="30">
        <f>IF(ISERROR(SUM(B3,D3:I3)-SUM(D4:I4)),"",SUM(B3,D3:I3)-SUM(D4:I4))</f>
        <v>160</v>
      </c>
    </row>
    <row r="4" spans="1:10" x14ac:dyDescent="0.25">
      <c r="A4" s="32"/>
      <c r="B4" s="32"/>
      <c r="C4" s="9" t="s">
        <v>9</v>
      </c>
      <c r="D4" s="15"/>
      <c r="E4" s="15">
        <v>630</v>
      </c>
      <c r="F4" s="15"/>
      <c r="G4" s="15">
        <v>80</v>
      </c>
      <c r="H4" s="15">
        <v>60</v>
      </c>
      <c r="I4" s="16"/>
      <c r="J4" s="31"/>
    </row>
    <row r="5" spans="1:10" x14ac:dyDescent="0.25">
      <c r="A5" s="33" t="s">
        <v>10</v>
      </c>
      <c r="B5" s="34"/>
      <c r="C5" s="18"/>
      <c r="D5" s="18"/>
      <c r="E5" s="18"/>
      <c r="F5" s="18"/>
      <c r="G5" s="18"/>
      <c r="H5" s="18"/>
      <c r="I5" s="18"/>
      <c r="J5" s="19">
        <f>SUM(J3:J4)</f>
        <v>160</v>
      </c>
    </row>
  </sheetData>
  <mergeCells count="4">
    <mergeCell ref="A3:A4"/>
    <mergeCell ref="B3:B4"/>
    <mergeCell ref="J3:J4"/>
    <mergeCell ref="A5:B5"/>
  </mergeCells>
  <phoneticPr fontId="6" type="noConversion"/>
  <hyperlinks>
    <hyperlink ref="A1" location="首頁!A1" display="BL200"/>
    <hyperlink ref="C1" location="庫存表!A1" display="庫存表"/>
    <hyperlink ref="B1" location="銷貨明細!A1" display="明細"/>
  </hyperlinks>
  <pageMargins left="0.7" right="0.7" top="0.75" bottom="0.75" header="0.3" footer="0.3"/>
  <pageSetup paperSize="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pane xSplit="5" ySplit="4" topLeftCell="F5" activePane="bottomRight" state="frozen"/>
      <selection activeCell="E7" sqref="E7"/>
      <selection pane="topRight" activeCell="E7" sqref="E7"/>
      <selection pane="bottomLeft" activeCell="E7" sqref="E7"/>
      <selection pane="bottomRight" activeCell="I2" sqref="I2:I5"/>
    </sheetView>
  </sheetViews>
  <sheetFormatPr defaultColWidth="11" defaultRowHeight="16.5" x14ac:dyDescent="0.25"/>
  <cols>
    <col min="1" max="1" width="15.85546875" style="20" customWidth="1"/>
    <col min="2" max="2" width="11" style="20"/>
    <col min="3" max="16384" width="11" style="12"/>
  </cols>
  <sheetData>
    <row r="1" spans="1:9" s="6" customFormat="1" ht="29.25" customHeight="1" x14ac:dyDescent="0.25">
      <c r="A1" s="4" t="s">
        <v>17</v>
      </c>
      <c r="B1" s="4" t="s">
        <v>2</v>
      </c>
      <c r="C1" s="5" t="s">
        <v>3</v>
      </c>
    </row>
    <row r="2" spans="1:9" x14ac:dyDescent="0.25">
      <c r="A2" s="7" t="s">
        <v>4</v>
      </c>
      <c r="B2" s="8" t="s">
        <v>5</v>
      </c>
      <c r="C2" s="9" t="s">
        <v>6</v>
      </c>
      <c r="D2" s="10">
        <v>45971</v>
      </c>
      <c r="E2" s="10">
        <v>45971</v>
      </c>
      <c r="F2" s="10">
        <v>45973</v>
      </c>
      <c r="G2" s="11"/>
      <c r="H2" s="9"/>
      <c r="I2" s="11" t="s">
        <v>7</v>
      </c>
    </row>
    <row r="3" spans="1:9" x14ac:dyDescent="0.25">
      <c r="A3" s="28"/>
      <c r="B3" s="28"/>
      <c r="C3" s="9" t="s">
        <v>8</v>
      </c>
      <c r="D3" s="13">
        <v>20</v>
      </c>
      <c r="E3" s="13"/>
      <c r="F3" s="13"/>
      <c r="G3" s="13"/>
      <c r="H3" s="14"/>
      <c r="I3" s="30">
        <f>IF(ISERROR(SUM(B3,D3:H3)-SUM(D4:H4)),"",SUM(B3,D3:H3)-SUM(D4:H4))</f>
        <v>5</v>
      </c>
    </row>
    <row r="4" spans="1:9" x14ac:dyDescent="0.25">
      <c r="A4" s="32"/>
      <c r="B4" s="32"/>
      <c r="C4" s="9" t="s">
        <v>9</v>
      </c>
      <c r="D4" s="15"/>
      <c r="E4" s="15">
        <v>10</v>
      </c>
      <c r="F4" s="15">
        <v>5</v>
      </c>
      <c r="G4" s="15"/>
      <c r="H4" s="16"/>
      <c r="I4" s="31"/>
    </row>
    <row r="5" spans="1:9" x14ac:dyDescent="0.25">
      <c r="A5" s="33" t="s">
        <v>10</v>
      </c>
      <c r="B5" s="34"/>
      <c r="C5" s="18"/>
      <c r="D5" s="18"/>
      <c r="E5" s="18"/>
      <c r="F5" s="18"/>
      <c r="G5" s="18"/>
      <c r="H5" s="18"/>
      <c r="I5" s="19">
        <f>SUM(I3:I4)</f>
        <v>5</v>
      </c>
    </row>
  </sheetData>
  <mergeCells count="4">
    <mergeCell ref="A3:A4"/>
    <mergeCell ref="B3:B4"/>
    <mergeCell ref="I3:I4"/>
    <mergeCell ref="A5:B5"/>
  </mergeCells>
  <phoneticPr fontId="6" type="noConversion"/>
  <hyperlinks>
    <hyperlink ref="A1" location="首頁!A1" display="BL200"/>
    <hyperlink ref="C1" location="庫存表!A1" display="庫存表"/>
    <hyperlink ref="B1" location="銷貨明細!A1" display="明細"/>
  </hyperlinks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首頁</vt:lpstr>
      <vt:lpstr>12吋玻璃晶圓</vt:lpstr>
      <vt:lpstr>BL3798</vt:lpstr>
      <vt:lpstr>BL900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2025-11-25T08:34:49Z</dcterms:modified>
</cp:coreProperties>
</file>