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記錄\"/>
    </mc:Choice>
  </mc:AlternateContent>
  <bookViews>
    <workbookView xWindow="0" yWindow="0" windowWidth="28800" windowHeight="11925" firstSheet="16" activeTab="22"/>
  </bookViews>
  <sheets>
    <sheet name="2025年07月17日" sheetId="2" r:id="rId1"/>
    <sheet name="2025年07月18日" sheetId="3" r:id="rId2"/>
    <sheet name="C0012025.11.10" sheetId="7" r:id="rId3"/>
    <sheet name="C0012025 .11.12" sheetId="8" r:id="rId4"/>
    <sheet name="C0012025 .11.13" sheetId="9" r:id="rId5"/>
    <sheet name="C0012025 .11.27" sheetId="14" r:id="rId6"/>
    <sheet name="C0012025 .12.10" sheetId="15" r:id="rId7"/>
    <sheet name="C0012025 .12.17" sheetId="16" r:id="rId8"/>
    <sheet name="C0012026 .01.05" sheetId="10" r:id="rId9"/>
    <sheet name="C0012026 .01. 06" sheetId="11" r:id="rId10"/>
    <sheet name="C0012026 .01. 07" sheetId="12" r:id="rId11"/>
    <sheet name="C0012026 .01.08" sheetId="13" r:id="rId12"/>
    <sheet name="C0012026 .01.09" sheetId="17" r:id="rId13"/>
    <sheet name="C0012026 .01.10" sheetId="18" r:id="rId14"/>
    <sheet name="C0012026 .01.12" sheetId="19" r:id="rId15"/>
    <sheet name="C0012026 .01.21" sheetId="20" r:id="rId16"/>
    <sheet name="C0012026 .01.22" sheetId="21" r:id="rId17"/>
    <sheet name="C0012026 .01.23" sheetId="22" r:id="rId18"/>
    <sheet name="C0012026 .01.26" sheetId="23" r:id="rId19"/>
    <sheet name="C0012026 .01.27" sheetId="24" r:id="rId20"/>
    <sheet name="C0012026 .01.28" sheetId="25" r:id="rId21"/>
    <sheet name="C0012026 .01.29" sheetId="26" r:id="rId22"/>
    <sheet name="C0012026 .01.29 " sheetId="27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0" l="1"/>
  <c r="E6" i="7" l="1"/>
  <c r="E5" i="7"/>
</calcChain>
</file>

<file path=xl/sharedStrings.xml><?xml version="1.0" encoding="utf-8"?>
<sst xmlns="http://schemas.openxmlformats.org/spreadsheetml/2006/main" count="653" uniqueCount="50">
  <si>
    <t>潔沛企業有限公司</t>
    <phoneticPr fontId="2" type="noConversion"/>
  </si>
  <si>
    <t>入庫單</t>
    <phoneticPr fontId="2" type="noConversion"/>
  </si>
  <si>
    <t>申請部門</t>
    <phoneticPr fontId="2" type="noConversion"/>
  </si>
  <si>
    <t>申請人員</t>
    <phoneticPr fontId="2" type="noConversion"/>
  </si>
  <si>
    <t>日期：</t>
    <phoneticPr fontId="2" type="noConversion"/>
  </si>
  <si>
    <t>項次</t>
    <phoneticPr fontId="2" type="noConversion"/>
  </si>
  <si>
    <t>訂單編號</t>
    <phoneticPr fontId="2" type="noConversion"/>
  </si>
  <si>
    <t>產品名稱</t>
    <phoneticPr fontId="2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</si>
  <si>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2" type="noConversion"/>
  </si>
  <si>
    <t>數量</t>
    <phoneticPr fontId="2" type="noConversion"/>
  </si>
  <si>
    <t>單位</t>
    <phoneticPr fontId="2" type="noConversion"/>
  </si>
  <si>
    <t>備註</t>
    <phoneticPr fontId="2" type="noConversion"/>
  </si>
  <si>
    <t>核准：</t>
    <phoneticPr fontId="2" type="noConversion"/>
  </si>
  <si>
    <t>管理部</t>
    <phoneticPr fontId="2" type="noConversion"/>
  </si>
  <si>
    <t>資材課</t>
    <phoneticPr fontId="2" type="noConversion"/>
  </si>
  <si>
    <t xml:space="preserve"> </t>
    <phoneticPr fontId="2" type="noConversion"/>
  </si>
  <si>
    <t>資材課</t>
  </si>
  <si>
    <t>蔡有為</t>
    <phoneticPr fontId="2" type="noConversion"/>
  </si>
  <si>
    <t>12"基板委外代工清洗</t>
    <phoneticPr fontId="2" type="noConversion"/>
  </si>
  <si>
    <t xml:space="preserve">12Ø/700um </t>
    <phoneticPr fontId="2" type="noConversion"/>
  </si>
  <si>
    <t>LT01-2251004513</t>
  </si>
  <si>
    <t>片</t>
    <phoneticPr fontId="2" type="noConversion"/>
  </si>
  <si>
    <t>日期：2025/11/12</t>
    <phoneticPr fontId="2" type="noConversion"/>
  </si>
  <si>
    <t>日期：2025/11/13</t>
    <phoneticPr fontId="2" type="noConversion"/>
  </si>
  <si>
    <t>RECYCLE GLASS NEG ABC-1 (JEPE)</t>
  </si>
  <si>
    <t>12吋</t>
    <phoneticPr fontId="2" type="noConversion"/>
  </si>
  <si>
    <t>良品</t>
    <phoneticPr fontId="2" type="noConversion"/>
  </si>
  <si>
    <t>不良品</t>
    <phoneticPr fontId="2" type="noConversion"/>
  </si>
  <si>
    <t>美光玻璃</t>
    <phoneticPr fontId="2" type="noConversion"/>
  </si>
  <si>
    <t>日期：2026/01/05</t>
    <phoneticPr fontId="2" type="noConversion"/>
  </si>
  <si>
    <t>日期：2026/01/06</t>
    <phoneticPr fontId="2" type="noConversion"/>
  </si>
  <si>
    <t>不用清洗</t>
    <phoneticPr fontId="2" type="noConversion"/>
  </si>
  <si>
    <t>日期：2026/01/07</t>
    <phoneticPr fontId="2" type="noConversion"/>
  </si>
  <si>
    <t>日期：2026/01/08</t>
    <phoneticPr fontId="2" type="noConversion"/>
  </si>
  <si>
    <t>不良品</t>
    <phoneticPr fontId="2" type="noConversion"/>
  </si>
  <si>
    <t>良品</t>
    <phoneticPr fontId="2" type="noConversion"/>
  </si>
  <si>
    <t>日期：2025/11/27</t>
    <phoneticPr fontId="2" type="noConversion"/>
  </si>
  <si>
    <t>日期：2025/12/10</t>
    <phoneticPr fontId="2" type="noConversion"/>
  </si>
  <si>
    <t>日期：2025/12/17</t>
    <phoneticPr fontId="2" type="noConversion"/>
  </si>
  <si>
    <t>日期：2026/01/09</t>
    <phoneticPr fontId="2" type="noConversion"/>
  </si>
  <si>
    <t>日期：2026/01/10</t>
    <phoneticPr fontId="2" type="noConversion"/>
  </si>
  <si>
    <t>日期：2026/01/12</t>
    <phoneticPr fontId="2" type="noConversion"/>
  </si>
  <si>
    <t>日期：2026/01/21</t>
    <phoneticPr fontId="2" type="noConversion"/>
  </si>
  <si>
    <t>可清洗</t>
    <phoneticPr fontId="2" type="noConversion"/>
  </si>
  <si>
    <t>日期：2026/01/22</t>
    <phoneticPr fontId="2" type="noConversion"/>
  </si>
  <si>
    <t>日期：2026/01/23</t>
    <phoneticPr fontId="2" type="noConversion"/>
  </si>
  <si>
    <t>日期：2026/01/26</t>
    <phoneticPr fontId="2" type="noConversion"/>
  </si>
  <si>
    <t>日期：2026/01/27</t>
    <phoneticPr fontId="2" type="noConversion"/>
  </si>
  <si>
    <t>日期：2026/01/28</t>
    <phoneticPr fontId="2" type="noConversion"/>
  </si>
  <si>
    <t>日期：2026/01/29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</si>
</sst>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4">
    <font>
      <sz val="12"/>
      <color theme="1"/>
      <name val="新細明體"/>
      <family val="2"/>
      <charset val="136"/>
      <scheme val="minor"/>
    </font>
    <font>
      <b/>
      <sz val="20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000080"/>
      <name val="PMingLiu"/>
      <family val="1"/>
      <charset val="136"/>
    </font>
    <font>
      <b/>
      <sz val="12"/>
      <color rgb="FF000080"/>
      <name val="新細明體"/>
      <family val="1"/>
      <charset val="136"/>
    </font>
    <font>
      <b/>
      <sz val="12"/>
      <color rgb="FF000080"/>
      <name val="新細明體"/>
      <family val="1"/>
      <charset val="134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  <font>
      <sz val="12"/>
      <name val="標楷體"/>
      <family val="4"/>
      <charset val="136"/>
    </font>
    <font>
      <sz val="12"/>
      <color rgb="FF222222"/>
      <name val="Arial"/>
      <family val="2"/>
    </font>
    <font>
      <sz val="12"/>
      <color rgb="FF222222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2" fillId="6" borderId="0" xfId="0" applyFont="1" applyFill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00650" y="40671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(001)A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00650" y="40671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</a:t>
          </a:r>
          <a:r>
            <a:rPr lang="en-US" altLang="zh-TW" sz="1100"/>
            <a:t>2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200650" y="40671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(001)A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53D824E-01F1-420E-8296-13DF6EFBE61D}"/>
            </a:ext>
          </a:extLst>
        </xdr:cNvPr>
        <xdr:cNvSpPr/>
      </xdr:nvSpPr>
      <xdr:spPr>
        <a:xfrm>
          <a:off x="4911725" y="4311650"/>
          <a:ext cx="2404533" cy="23706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(002)A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4911725" y="4311650"/>
          <a:ext cx="2404533" cy="23706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(003)A</a:t>
          </a:r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44291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</a:t>
          </a:r>
          <a:r>
            <a:rPr lang="en-US" altLang="zh-TW" sz="1100"/>
            <a:t>4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47910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</a:t>
          </a:r>
          <a:r>
            <a:rPr lang="en-US" altLang="zh-TW" sz="1100"/>
            <a:t>5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44291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</a:t>
          </a:r>
          <a:r>
            <a:rPr lang="en-US" altLang="zh-TW" sz="1100"/>
            <a:t>6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44291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</a:t>
          </a:r>
          <a:r>
            <a:rPr lang="en-US" altLang="zh-TW" sz="1100"/>
            <a:t>7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47910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</a:t>
          </a:r>
          <a:r>
            <a:rPr lang="en-US" altLang="zh-TW" sz="1100"/>
            <a:t>8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1530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(00</a:t>
          </a:r>
          <a:r>
            <a:rPr lang="en-US" altLang="zh-TW" sz="1100"/>
            <a:t>9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1530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10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1530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11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1530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12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1530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13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1530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14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47910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15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5149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16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5149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17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5149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18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5149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</a:t>
          </a:r>
          <a:r>
            <a:rPr lang="en-US" altLang="zh-TW" sz="1100"/>
            <a:t>19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5149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(020)A</a:t>
          </a:r>
          <a:endParaRPr lang="zh-TW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133350</xdr:rowOff>
    </xdr:from>
    <xdr:to>
      <xdr:col>6</xdr:col>
      <xdr:colOff>758825</xdr:colOff>
      <xdr:row>16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C14DC2-F3E9-40BB-8F92-74AD3CF284AE}"/>
            </a:ext>
          </a:extLst>
        </xdr:cNvPr>
        <xdr:cNvSpPr/>
      </xdr:nvSpPr>
      <xdr:spPr>
        <a:xfrm>
          <a:off x="5200650" y="55149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</a:t>
          </a:r>
          <a:r>
            <a:rPr lang="en-US" altLang="zh-TW" sz="1100"/>
            <a:t>14</a:t>
          </a:r>
          <a:r>
            <a:rPr lang="en-US" altLang="zh-CN" sz="1100"/>
            <a:t>-0</a:t>
          </a:r>
          <a:r>
            <a:rPr lang="en-US" altLang="zh-TW" sz="1100"/>
            <a:t>2</a:t>
          </a:r>
          <a:r>
            <a:rPr lang="en-US" altLang="zh-CN" sz="1100"/>
            <a:t>(020)A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6" sqref="E6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>
      <c r="A3" s="2" t="s">
        <v>2</v>
      </c>
      <c r="B3" s="2" t="s">
        <v>16</v>
      </c>
      <c r="C3" s="2" t="s">
        <v>3</v>
      </c>
      <c r="D3" s="4" t="s">
        <v>17</v>
      </c>
      <c r="E3" s="3" t="s">
        <v>4</v>
      </c>
      <c r="F3" s="24">
        <v>45855</v>
      </c>
      <c r="G3" s="21"/>
    </row>
    <row r="4" spans="1:7">
      <c r="A4" s="2" t="s">
        <v>5</v>
      </c>
      <c r="B4" s="4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33">
      <c r="A5" s="4">
        <v>1</v>
      </c>
      <c r="B5" s="2" t="s">
        <v>20</v>
      </c>
      <c r="C5" s="13" t="s">
        <v>18</v>
      </c>
      <c r="D5" s="13" t="s">
        <v>19</v>
      </c>
      <c r="E5" s="13">
        <v>50</v>
      </c>
      <c r="F5" s="13" t="s">
        <v>21</v>
      </c>
      <c r="G5" s="9"/>
    </row>
    <row r="6" spans="1:7">
      <c r="A6" s="2"/>
      <c r="B6" s="2"/>
      <c r="C6" s="10"/>
      <c r="D6" s="10"/>
      <c r="E6" s="11"/>
      <c r="F6" s="11"/>
      <c r="G6" s="7"/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5" sqref="B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>
      <c r="A3" s="2" t="s">
        <v>2</v>
      </c>
      <c r="B3" s="2" t="s">
        <v>16</v>
      </c>
      <c r="C3" s="2" t="s">
        <v>3</v>
      </c>
      <c r="D3" s="4" t="s">
        <v>17</v>
      </c>
      <c r="E3" s="3" t="s">
        <v>4</v>
      </c>
      <c r="F3" s="24">
        <v>45856</v>
      </c>
      <c r="G3" s="21"/>
    </row>
    <row r="4" spans="1:7">
      <c r="A4" s="2" t="s">
        <v>5</v>
      </c>
      <c r="B4" s="4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33">
      <c r="A5" s="4">
        <v>1</v>
      </c>
      <c r="B5" s="2" t="s">
        <v>20</v>
      </c>
      <c r="C5" s="13" t="s">
        <v>18</v>
      </c>
      <c r="D5" s="13" t="s">
        <v>19</v>
      </c>
      <c r="E5" s="13">
        <v>50</v>
      </c>
      <c r="F5" s="13" t="s">
        <v>21</v>
      </c>
      <c r="G5" s="9"/>
    </row>
    <row r="6" spans="1:7">
      <c r="A6" s="2"/>
      <c r="B6" s="2"/>
      <c r="C6" s="10"/>
      <c r="D6" s="10"/>
      <c r="E6" s="11"/>
      <c r="F6" s="11"/>
      <c r="G6" s="7"/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5" sqref="A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5.125" style="1" bestFit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" t="s">
        <v>16</v>
      </c>
      <c r="C3" s="2" t="s">
        <v>3</v>
      </c>
      <c r="D3" s="4" t="s">
        <v>17</v>
      </c>
      <c r="E3" s="25" t="s">
        <v>23</v>
      </c>
      <c r="F3" s="26"/>
      <c r="G3" s="27"/>
    </row>
    <row r="4" spans="1:7">
      <c r="A4" s="2" t="s">
        <v>5</v>
      </c>
      <c r="B4" s="4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>
      <c r="A5" s="4">
        <v>1</v>
      </c>
      <c r="B5" s="4">
        <v>4515994888</v>
      </c>
      <c r="C5" s="17" t="s">
        <v>28</v>
      </c>
      <c r="D5" s="13" t="s">
        <v>25</v>
      </c>
      <c r="E5" s="13">
        <f>227+6</f>
        <v>233</v>
      </c>
      <c r="F5" s="13" t="s">
        <v>21</v>
      </c>
      <c r="G5" s="9" t="s">
        <v>26</v>
      </c>
    </row>
    <row r="6" spans="1:7">
      <c r="A6" s="14">
        <v>2</v>
      </c>
      <c r="B6" s="14">
        <v>4515994888</v>
      </c>
      <c r="C6" s="17" t="s">
        <v>28</v>
      </c>
      <c r="D6" s="13" t="s">
        <v>25</v>
      </c>
      <c r="E6" s="13">
        <f>285+7</f>
        <v>292</v>
      </c>
      <c r="F6" s="13" t="s">
        <v>21</v>
      </c>
      <c r="G6" s="7" t="s">
        <v>27</v>
      </c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A14:B14"/>
    <mergeCell ref="C14:D14"/>
    <mergeCell ref="E14:G14"/>
    <mergeCell ref="E3:G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F6" sqref="F6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" t="s">
        <v>16</v>
      </c>
      <c r="C3" s="2" t="s">
        <v>3</v>
      </c>
      <c r="D3" s="4" t="s">
        <v>17</v>
      </c>
      <c r="E3" s="25" t="s">
        <v>22</v>
      </c>
      <c r="F3" s="26"/>
      <c r="G3" s="27"/>
    </row>
    <row r="4" spans="1:7">
      <c r="A4" s="2" t="s">
        <v>5</v>
      </c>
      <c r="B4" s="4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4">
        <v>1</v>
      </c>
      <c r="B5" s="4">
        <v>4515994888</v>
      </c>
      <c r="C5" s="19" t="s">
        <v>24</v>
      </c>
      <c r="D5" s="13" t="s">
        <v>25</v>
      </c>
      <c r="E5" s="13">
        <v>94</v>
      </c>
      <c r="F5" s="13" t="s">
        <v>21</v>
      </c>
      <c r="G5" s="9" t="s">
        <v>35</v>
      </c>
    </row>
    <row r="6" spans="1:7" ht="45">
      <c r="A6" s="16">
        <v>2</v>
      </c>
      <c r="B6" s="16">
        <v>4515994888</v>
      </c>
      <c r="C6" s="19" t="s">
        <v>24</v>
      </c>
      <c r="D6" s="13" t="s">
        <v>25</v>
      </c>
      <c r="E6" s="13">
        <v>6</v>
      </c>
      <c r="F6" s="13" t="s">
        <v>21</v>
      </c>
      <c r="G6" s="7" t="s">
        <v>34</v>
      </c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F5" sqref="F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" t="s">
        <v>16</v>
      </c>
      <c r="C3" s="2" t="s">
        <v>3</v>
      </c>
      <c r="D3" s="4" t="s">
        <v>17</v>
      </c>
      <c r="E3" s="25" t="s">
        <v>23</v>
      </c>
      <c r="F3" s="26"/>
      <c r="G3" s="27"/>
    </row>
    <row r="4" spans="1:7">
      <c r="A4" s="2" t="s">
        <v>5</v>
      </c>
      <c r="B4" s="4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4">
        <v>1</v>
      </c>
      <c r="B5" s="4">
        <v>4515994888</v>
      </c>
      <c r="C5" s="15" t="s">
        <v>24</v>
      </c>
      <c r="D5" s="13" t="s">
        <v>25</v>
      </c>
      <c r="E5" s="13">
        <v>72</v>
      </c>
      <c r="F5" s="13" t="s">
        <v>21</v>
      </c>
      <c r="G5" s="9"/>
    </row>
    <row r="6" spans="1:7">
      <c r="A6" s="2"/>
      <c r="B6" s="2"/>
      <c r="C6" s="10"/>
      <c r="D6" s="10"/>
      <c r="E6" s="11"/>
      <c r="F6" s="11"/>
      <c r="G6" s="7"/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6" sqref="C6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" t="s">
        <v>16</v>
      </c>
      <c r="C3" s="2" t="s">
        <v>3</v>
      </c>
      <c r="D3" s="16" t="s">
        <v>17</v>
      </c>
      <c r="E3" s="25" t="s">
        <v>36</v>
      </c>
      <c r="F3" s="26"/>
      <c r="G3" s="27"/>
    </row>
    <row r="4" spans="1:7">
      <c r="A4" s="2" t="s">
        <v>5</v>
      </c>
      <c r="B4" s="16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6">
        <v>1</v>
      </c>
      <c r="B5" s="16"/>
      <c r="C5" s="19" t="s">
        <v>24</v>
      </c>
      <c r="D5" s="13" t="s">
        <v>25</v>
      </c>
      <c r="E5" s="13">
        <v>20</v>
      </c>
      <c r="F5" s="13" t="s">
        <v>21</v>
      </c>
      <c r="G5" s="9"/>
    </row>
    <row r="6" spans="1:7" ht="45">
      <c r="A6" s="16">
        <v>2</v>
      </c>
      <c r="B6" s="2"/>
      <c r="C6" s="19" t="s">
        <v>24</v>
      </c>
      <c r="D6" s="13" t="s">
        <v>25</v>
      </c>
      <c r="E6" s="13">
        <v>5</v>
      </c>
      <c r="F6" s="13" t="s">
        <v>21</v>
      </c>
      <c r="G6" s="7"/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4" sqref="E4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" t="s">
        <v>16</v>
      </c>
      <c r="C3" s="2" t="s">
        <v>3</v>
      </c>
      <c r="D3" s="16" t="s">
        <v>17</v>
      </c>
      <c r="E3" s="25" t="s">
        <v>37</v>
      </c>
      <c r="F3" s="26"/>
      <c r="G3" s="27"/>
    </row>
    <row r="4" spans="1:7">
      <c r="A4" s="2" t="s">
        <v>5</v>
      </c>
      <c r="B4" s="16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6">
        <v>1</v>
      </c>
      <c r="B5" s="16"/>
      <c r="C5" s="19" t="s">
        <v>24</v>
      </c>
      <c r="D5" s="13" t="s">
        <v>25</v>
      </c>
      <c r="E5" s="13">
        <v>25</v>
      </c>
      <c r="F5" s="13" t="s">
        <v>21</v>
      </c>
      <c r="G5" s="9"/>
    </row>
    <row r="6" spans="1:7">
      <c r="A6" s="16"/>
      <c r="B6" s="2"/>
      <c r="C6" s="19"/>
      <c r="D6" s="13"/>
      <c r="E6" s="13"/>
      <c r="F6" s="13"/>
      <c r="G6" s="7"/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4" sqref="E4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" t="s">
        <v>16</v>
      </c>
      <c r="C3" s="2" t="s">
        <v>3</v>
      </c>
      <c r="D3" s="16" t="s">
        <v>17</v>
      </c>
      <c r="E3" s="25" t="s">
        <v>38</v>
      </c>
      <c r="F3" s="26"/>
      <c r="G3" s="27"/>
    </row>
    <row r="4" spans="1:7">
      <c r="A4" s="2" t="s">
        <v>5</v>
      </c>
      <c r="B4" s="16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6">
        <v>1</v>
      </c>
      <c r="B5" s="16"/>
      <c r="C5" s="19" t="s">
        <v>24</v>
      </c>
      <c r="D5" s="13" t="s">
        <v>25</v>
      </c>
      <c r="E5" s="13">
        <v>25</v>
      </c>
      <c r="F5" s="13" t="s">
        <v>21</v>
      </c>
      <c r="G5" s="9"/>
    </row>
    <row r="6" spans="1:7">
      <c r="A6" s="16"/>
      <c r="B6" s="2"/>
      <c r="C6" s="19"/>
      <c r="D6" s="13"/>
      <c r="E6" s="13"/>
      <c r="F6" s="13"/>
      <c r="G6" s="7"/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6" sqref="E6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16" t="s">
        <v>16</v>
      </c>
      <c r="C3" s="2" t="s">
        <v>3</v>
      </c>
      <c r="D3" s="16" t="s">
        <v>17</v>
      </c>
      <c r="E3" s="25" t="s">
        <v>29</v>
      </c>
      <c r="F3" s="26"/>
      <c r="G3" s="27"/>
    </row>
    <row r="4" spans="1:7">
      <c r="A4" s="2" t="s">
        <v>5</v>
      </c>
      <c r="B4" s="16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6">
        <v>1</v>
      </c>
      <c r="B5" s="16">
        <v>4516243668</v>
      </c>
      <c r="C5" s="15" t="s">
        <v>24</v>
      </c>
      <c r="D5" s="13" t="s">
        <v>25</v>
      </c>
      <c r="E5" s="13">
        <f>150-11</f>
        <v>139</v>
      </c>
      <c r="F5" s="13" t="s">
        <v>21</v>
      </c>
      <c r="G5" s="9" t="s">
        <v>26</v>
      </c>
    </row>
    <row r="6" spans="1:7" ht="45">
      <c r="A6" s="16">
        <v>2</v>
      </c>
      <c r="B6" s="16">
        <v>4516243668</v>
      </c>
      <c r="C6" s="19" t="s">
        <v>24</v>
      </c>
      <c r="D6" s="13" t="s">
        <v>25</v>
      </c>
      <c r="E6" s="13">
        <v>11</v>
      </c>
      <c r="F6" s="13" t="s">
        <v>21</v>
      </c>
      <c r="G6" s="7" t="s">
        <v>27</v>
      </c>
    </row>
    <row r="7" spans="1:7">
      <c r="A7" s="2"/>
      <c r="B7" s="2"/>
      <c r="C7" s="7"/>
      <c r="D7" s="7"/>
      <c r="E7" s="11"/>
      <c r="F7" s="11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I15" sqref="I1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16" t="s">
        <v>16</v>
      </c>
      <c r="C3" s="2" t="s">
        <v>3</v>
      </c>
      <c r="D3" s="16" t="s">
        <v>17</v>
      </c>
      <c r="E3" s="25" t="s">
        <v>30</v>
      </c>
      <c r="F3" s="26"/>
      <c r="G3" s="27"/>
    </row>
    <row r="4" spans="1:7">
      <c r="A4" s="2" t="s">
        <v>5</v>
      </c>
      <c r="B4" s="16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6">
        <v>1</v>
      </c>
      <c r="B5" s="16">
        <v>4516243668</v>
      </c>
      <c r="C5" s="15" t="s">
        <v>24</v>
      </c>
      <c r="D5" s="13" t="s">
        <v>25</v>
      </c>
      <c r="E5" s="13">
        <v>199</v>
      </c>
      <c r="F5" s="13" t="s">
        <v>21</v>
      </c>
      <c r="G5" s="9" t="s">
        <v>26</v>
      </c>
    </row>
    <row r="6" spans="1:7" ht="45">
      <c r="A6" s="16">
        <v>2</v>
      </c>
      <c r="B6" s="16">
        <v>4516243668</v>
      </c>
      <c r="C6" s="19" t="s">
        <v>24</v>
      </c>
      <c r="D6" s="13" t="s">
        <v>25</v>
      </c>
      <c r="E6" s="13">
        <v>13</v>
      </c>
      <c r="F6" s="13" t="s">
        <v>21</v>
      </c>
      <c r="G6" s="7" t="s">
        <v>27</v>
      </c>
    </row>
    <row r="7" spans="1:7" ht="45">
      <c r="A7" s="16">
        <v>3</v>
      </c>
      <c r="B7" s="16">
        <v>4516243668</v>
      </c>
      <c r="C7" s="19" t="s">
        <v>24</v>
      </c>
      <c r="D7" s="13" t="s">
        <v>25</v>
      </c>
      <c r="E7" s="13">
        <v>38</v>
      </c>
      <c r="F7" s="13" t="s">
        <v>21</v>
      </c>
      <c r="G7" s="12" t="s">
        <v>31</v>
      </c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I15" sqref="I1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16" t="s">
        <v>16</v>
      </c>
      <c r="C3" s="2" t="s">
        <v>3</v>
      </c>
      <c r="D3" s="16" t="s">
        <v>17</v>
      </c>
      <c r="E3" s="25" t="s">
        <v>32</v>
      </c>
      <c r="F3" s="26"/>
      <c r="G3" s="27"/>
    </row>
    <row r="4" spans="1:7">
      <c r="A4" s="2" t="s">
        <v>5</v>
      </c>
      <c r="B4" s="16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6">
        <v>1</v>
      </c>
      <c r="B5" s="16">
        <v>4516243668</v>
      </c>
      <c r="C5" s="15" t="s">
        <v>24</v>
      </c>
      <c r="D5" s="13" t="s">
        <v>25</v>
      </c>
      <c r="E5" s="13">
        <v>150</v>
      </c>
      <c r="F5" s="13" t="s">
        <v>21</v>
      </c>
      <c r="G5" s="9" t="s">
        <v>26</v>
      </c>
    </row>
    <row r="6" spans="1:7" ht="45">
      <c r="A6" s="16">
        <v>2</v>
      </c>
      <c r="B6" s="16">
        <v>4516243668</v>
      </c>
      <c r="C6" s="19" t="s">
        <v>24</v>
      </c>
      <c r="D6" s="13" t="s">
        <v>25</v>
      </c>
      <c r="E6" s="13">
        <v>10</v>
      </c>
      <c r="F6" s="13" t="s">
        <v>21</v>
      </c>
      <c r="G6" s="7" t="s">
        <v>27</v>
      </c>
    </row>
    <row r="7" spans="1:7" ht="45">
      <c r="A7" s="16">
        <v>3</v>
      </c>
      <c r="B7" s="16">
        <v>4516243668</v>
      </c>
      <c r="C7" s="19" t="s">
        <v>24</v>
      </c>
      <c r="D7" s="13" t="s">
        <v>25</v>
      </c>
      <c r="E7" s="13">
        <v>115</v>
      </c>
      <c r="F7" s="13" t="s">
        <v>21</v>
      </c>
      <c r="G7" s="12" t="s">
        <v>31</v>
      </c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I14" sqref="I14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16" t="s">
        <v>16</v>
      </c>
      <c r="C3" s="2" t="s">
        <v>3</v>
      </c>
      <c r="D3" s="16" t="s">
        <v>17</v>
      </c>
      <c r="E3" s="25" t="s">
        <v>33</v>
      </c>
      <c r="F3" s="26"/>
      <c r="G3" s="27"/>
    </row>
    <row r="4" spans="1:7">
      <c r="A4" s="2" t="s">
        <v>5</v>
      </c>
      <c r="B4" s="16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6">
        <v>1</v>
      </c>
      <c r="B5" s="16">
        <v>4516243668</v>
      </c>
      <c r="C5" s="15" t="s">
        <v>24</v>
      </c>
      <c r="D5" s="13" t="s">
        <v>25</v>
      </c>
      <c r="E5" s="13">
        <v>181</v>
      </c>
      <c r="F5" s="13" t="s">
        <v>21</v>
      </c>
      <c r="G5" s="9" t="s">
        <v>26</v>
      </c>
    </row>
    <row r="6" spans="1:7" ht="45">
      <c r="A6" s="16">
        <v>2</v>
      </c>
      <c r="B6" s="16">
        <v>4516243668</v>
      </c>
      <c r="C6" s="19" t="s">
        <v>24</v>
      </c>
      <c r="D6" s="13" t="s">
        <v>25</v>
      </c>
      <c r="E6" s="13">
        <v>10</v>
      </c>
      <c r="F6" s="13" t="s">
        <v>21</v>
      </c>
      <c r="G6" s="7" t="s">
        <v>27</v>
      </c>
    </row>
    <row r="7" spans="1:7" ht="45">
      <c r="A7" s="16">
        <v>3</v>
      </c>
      <c r="B7" s="16">
        <v>4516243668</v>
      </c>
      <c r="C7" s="19" t="s">
        <v>24</v>
      </c>
      <c r="D7" s="13" t="s">
        <v>25</v>
      </c>
      <c r="E7" s="13">
        <v>119</v>
      </c>
      <c r="F7" s="13" t="s">
        <v>21</v>
      </c>
      <c r="G7" s="12" t="s">
        <v>31</v>
      </c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4" sqref="E4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18" t="s">
        <v>16</v>
      </c>
      <c r="C3" s="2" t="s">
        <v>3</v>
      </c>
      <c r="D3" s="18" t="s">
        <v>17</v>
      </c>
      <c r="E3" s="25" t="s">
        <v>39</v>
      </c>
      <c r="F3" s="26"/>
      <c r="G3" s="27"/>
    </row>
    <row r="4" spans="1:7">
      <c r="A4" s="2" t="s">
        <v>5</v>
      </c>
      <c r="B4" s="18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18">
        <v>1</v>
      </c>
      <c r="B5" s="18">
        <v>4516243668</v>
      </c>
      <c r="C5" s="15" t="s">
        <v>24</v>
      </c>
      <c r="D5" s="13" t="s">
        <v>25</v>
      </c>
      <c r="E5" s="13">
        <v>181</v>
      </c>
      <c r="F5" s="13" t="s">
        <v>21</v>
      </c>
      <c r="G5" s="9" t="s">
        <v>26</v>
      </c>
    </row>
    <row r="6" spans="1:7" ht="45">
      <c r="A6" s="18">
        <v>2</v>
      </c>
      <c r="B6" s="18">
        <v>4516243668</v>
      </c>
      <c r="C6" s="19" t="s">
        <v>24</v>
      </c>
      <c r="D6" s="13" t="s">
        <v>25</v>
      </c>
      <c r="E6" s="13">
        <v>10</v>
      </c>
      <c r="F6" s="13" t="s">
        <v>21</v>
      </c>
      <c r="G6" s="7" t="s">
        <v>27</v>
      </c>
    </row>
    <row r="7" spans="1:7" ht="45">
      <c r="A7" s="18">
        <v>3</v>
      </c>
      <c r="B7" s="18">
        <v>4516243668</v>
      </c>
      <c r="C7" s="19" t="s">
        <v>24</v>
      </c>
      <c r="D7" s="13" t="s">
        <v>25</v>
      </c>
      <c r="E7" s="13">
        <v>119</v>
      </c>
      <c r="F7" s="13" t="s">
        <v>21</v>
      </c>
      <c r="G7" s="12" t="s">
        <v>31</v>
      </c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6" sqref="E6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40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110</v>
      </c>
      <c r="F5" s="13" t="s">
        <v>21</v>
      </c>
      <c r="G5" s="9" t="s">
        <v>26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8</v>
      </c>
      <c r="F6" s="13" t="s">
        <v>21</v>
      </c>
      <c r="G6" s="7" t="s">
        <v>27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82</v>
      </c>
      <c r="F7" s="13" t="s">
        <v>21</v>
      </c>
      <c r="G7" s="12" t="s">
        <v>31</v>
      </c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5" sqref="C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41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110</v>
      </c>
      <c r="F5" s="13" t="s">
        <v>21</v>
      </c>
      <c r="G5" s="9" t="s">
        <v>26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8</v>
      </c>
      <c r="F6" s="13" t="s">
        <v>21</v>
      </c>
      <c r="G6" s="7" t="s">
        <v>27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82</v>
      </c>
      <c r="F7" s="13" t="s">
        <v>21</v>
      </c>
      <c r="G7" s="12" t="s">
        <v>31</v>
      </c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G6" sqref="G6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42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225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13</v>
      </c>
      <c r="F6" s="13" t="s">
        <v>21</v>
      </c>
      <c r="G6" s="7" t="s">
        <v>26</v>
      </c>
    </row>
    <row r="7" spans="1:7">
      <c r="A7" s="20"/>
      <c r="B7" s="20"/>
      <c r="C7" s="19"/>
      <c r="D7" s="13"/>
      <c r="E7" s="13"/>
      <c r="F7" s="13"/>
      <c r="G7" s="12"/>
    </row>
    <row r="8" spans="1:7">
      <c r="A8" s="2"/>
      <c r="B8" s="2"/>
      <c r="C8" s="10"/>
      <c r="D8" s="10"/>
      <c r="E8" s="8"/>
      <c r="F8" s="8"/>
      <c r="G8" s="9"/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8" sqref="A8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44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458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142</v>
      </c>
      <c r="F6" s="13" t="s">
        <v>21</v>
      </c>
      <c r="G6" s="7" t="s">
        <v>31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296</v>
      </c>
      <c r="F7" s="13" t="s">
        <v>21</v>
      </c>
      <c r="G7" s="12" t="s">
        <v>26</v>
      </c>
    </row>
    <row r="8" spans="1:7" ht="45">
      <c r="A8" s="20">
        <v>4</v>
      </c>
      <c r="B8" s="20">
        <v>4516243668</v>
      </c>
      <c r="C8" s="19" t="s">
        <v>24</v>
      </c>
      <c r="D8" s="13" t="s">
        <v>25</v>
      </c>
      <c r="E8" s="13">
        <v>52</v>
      </c>
      <c r="F8" s="13" t="s">
        <v>21</v>
      </c>
      <c r="G8" s="9" t="s">
        <v>27</v>
      </c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8" sqref="E8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45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375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75</v>
      </c>
      <c r="F6" s="13" t="s">
        <v>21</v>
      </c>
      <c r="G6" s="7" t="s">
        <v>31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110</v>
      </c>
      <c r="F7" s="13" t="s">
        <v>21</v>
      </c>
      <c r="G7" s="12" t="s">
        <v>26</v>
      </c>
    </row>
    <row r="8" spans="1:7" ht="45">
      <c r="A8" s="20">
        <v>4</v>
      </c>
      <c r="B8" s="20">
        <v>4516243668</v>
      </c>
      <c r="C8" s="19" t="s">
        <v>24</v>
      </c>
      <c r="D8" s="13" t="s">
        <v>25</v>
      </c>
      <c r="E8" s="13">
        <v>30</v>
      </c>
      <c r="F8" s="13" t="s">
        <v>21</v>
      </c>
      <c r="G8" s="9" t="s">
        <v>27</v>
      </c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I15" sqref="I15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46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338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112</v>
      </c>
      <c r="F6" s="13" t="s">
        <v>21</v>
      </c>
      <c r="G6" s="7" t="s">
        <v>31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249</v>
      </c>
      <c r="F7" s="13" t="s">
        <v>21</v>
      </c>
      <c r="G7" s="12" t="s">
        <v>26</v>
      </c>
    </row>
    <row r="8" spans="1:7" ht="45">
      <c r="A8" s="20">
        <v>4</v>
      </c>
      <c r="B8" s="20">
        <v>4516243668</v>
      </c>
      <c r="C8" s="19" t="s">
        <v>24</v>
      </c>
      <c r="D8" s="13" t="s">
        <v>25</v>
      </c>
      <c r="E8" s="13">
        <v>75</v>
      </c>
      <c r="F8" s="13" t="s">
        <v>21</v>
      </c>
      <c r="G8" s="9" t="s">
        <v>27</v>
      </c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9" sqref="E9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47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94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56</v>
      </c>
      <c r="F6" s="13" t="s">
        <v>21</v>
      </c>
      <c r="G6" s="7" t="s">
        <v>31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316</v>
      </c>
      <c r="F7" s="13" t="s">
        <v>21</v>
      </c>
      <c r="G7" s="12" t="s">
        <v>26</v>
      </c>
    </row>
    <row r="8" spans="1:7" ht="45">
      <c r="A8" s="20">
        <v>4</v>
      </c>
      <c r="B8" s="20">
        <v>4516243668</v>
      </c>
      <c r="C8" s="19" t="s">
        <v>24</v>
      </c>
      <c r="D8" s="13" t="s">
        <v>25</v>
      </c>
      <c r="E8" s="13">
        <v>21</v>
      </c>
      <c r="F8" s="13" t="s">
        <v>21</v>
      </c>
      <c r="G8" s="9" t="s">
        <v>27</v>
      </c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8" sqref="E8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48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75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25</v>
      </c>
      <c r="F6" s="13" t="s">
        <v>21</v>
      </c>
      <c r="G6" s="7" t="s">
        <v>31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333</v>
      </c>
      <c r="F7" s="13" t="s">
        <v>21</v>
      </c>
      <c r="G7" s="12" t="s">
        <v>26</v>
      </c>
    </row>
    <row r="8" spans="1:7" ht="45">
      <c r="A8" s="20">
        <v>4</v>
      </c>
      <c r="B8" s="20">
        <v>4516243668</v>
      </c>
      <c r="C8" s="19" t="s">
        <v>24</v>
      </c>
      <c r="D8" s="13" t="s">
        <v>25</v>
      </c>
      <c r="E8" s="13">
        <v>8</v>
      </c>
      <c r="F8" s="13" t="s">
        <v>21</v>
      </c>
      <c r="G8" s="9" t="s">
        <v>27</v>
      </c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I16" sqref="I16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49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121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29</v>
      </c>
      <c r="F6" s="13" t="s">
        <v>21</v>
      </c>
      <c r="G6" s="7" t="s">
        <v>31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>
        <v>296</v>
      </c>
      <c r="F7" s="13" t="s">
        <v>21</v>
      </c>
      <c r="G7" s="12" t="s">
        <v>26</v>
      </c>
    </row>
    <row r="8" spans="1:7" ht="45">
      <c r="A8" s="20">
        <v>4</v>
      </c>
      <c r="B8" s="20">
        <v>4516243668</v>
      </c>
      <c r="C8" s="19" t="s">
        <v>24</v>
      </c>
      <c r="D8" s="13" t="s">
        <v>25</v>
      </c>
      <c r="E8" s="13">
        <v>30</v>
      </c>
      <c r="F8" s="13" t="s">
        <v>21</v>
      </c>
      <c r="G8" s="9" t="s">
        <v>27</v>
      </c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7" sqref="E7:E8"/>
    </sheetView>
  </sheetViews>
  <sheetFormatPr defaultColWidth="11" defaultRowHeight="16.5"/>
  <cols>
    <col min="1" max="1" width="10" style="1" bestFit="1" customWidth="1"/>
    <col min="2" max="2" width="22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22" t="s">
        <v>0</v>
      </c>
      <c r="B1" s="22"/>
      <c r="C1" s="22"/>
      <c r="D1" s="22"/>
      <c r="E1" s="22"/>
      <c r="F1" s="22"/>
      <c r="G1" s="22"/>
    </row>
    <row r="2" spans="1:7" ht="21" customHeight="1">
      <c r="A2" s="23" t="s">
        <v>1</v>
      </c>
      <c r="B2" s="23"/>
      <c r="C2" s="23"/>
      <c r="D2" s="23"/>
      <c r="E2" s="23"/>
      <c r="F2" s="23"/>
      <c r="G2" s="23"/>
    </row>
    <row r="3" spans="1:7" ht="33.4" customHeight="1">
      <c r="A3" s="2" t="s">
        <v>2</v>
      </c>
      <c r="B3" s="20" t="s">
        <v>16</v>
      </c>
      <c r="C3" s="2" t="s">
        <v>3</v>
      </c>
      <c r="D3" s="20" t="s">
        <v>17</v>
      </c>
      <c r="E3" s="25" t="s">
        <v>49</v>
      </c>
      <c r="F3" s="26"/>
      <c r="G3" s="27"/>
    </row>
    <row r="4" spans="1:7">
      <c r="A4" s="2" t="s">
        <v>5</v>
      </c>
      <c r="B4" s="20" t="s">
        <v>6</v>
      </c>
      <c r="C4" s="5" t="s">
        <v>7</v>
      </c>
      <c r="D4" s="6" t="s">
        <v>8</v>
      </c>
      <c r="E4" s="5" t="s">
        <v>9</v>
      </c>
      <c r="F4" s="6" t="s">
        <v>10</v>
      </c>
      <c r="G4" s="6" t="s">
        <v>11</v>
      </c>
    </row>
    <row r="5" spans="1:7" ht="45">
      <c r="A5" s="20">
        <v>1</v>
      </c>
      <c r="B5" s="20">
        <v>4516243668</v>
      </c>
      <c r="C5" s="15" t="s">
        <v>24</v>
      </c>
      <c r="D5" s="13" t="s">
        <v>25</v>
      </c>
      <c r="E5" s="13">
        <v>155</v>
      </c>
      <c r="F5" s="13" t="s">
        <v>21</v>
      </c>
      <c r="G5" s="9" t="s">
        <v>43</v>
      </c>
    </row>
    <row r="6" spans="1:7" ht="45">
      <c r="A6" s="20">
        <v>2</v>
      </c>
      <c r="B6" s="20">
        <v>4516243668</v>
      </c>
      <c r="C6" s="19" t="s">
        <v>24</v>
      </c>
      <c r="D6" s="13" t="s">
        <v>25</v>
      </c>
      <c r="E6" s="13">
        <v>295</v>
      </c>
      <c r="F6" s="13" t="s">
        <v>21</v>
      </c>
      <c r="G6" s="7" t="s">
        <v>31</v>
      </c>
    </row>
    <row r="7" spans="1:7" ht="45">
      <c r="A7" s="20">
        <v>3</v>
      </c>
      <c r="B7" s="20">
        <v>4516243668</v>
      </c>
      <c r="C7" s="19" t="s">
        <v>24</v>
      </c>
      <c r="D7" s="13" t="s">
        <v>25</v>
      </c>
      <c r="E7" s="13"/>
      <c r="F7" s="13" t="s">
        <v>21</v>
      </c>
      <c r="G7" s="12" t="s">
        <v>26</v>
      </c>
    </row>
    <row r="8" spans="1:7" ht="45">
      <c r="A8" s="20">
        <v>4</v>
      </c>
      <c r="B8" s="20">
        <v>4516243668</v>
      </c>
      <c r="C8" s="19" t="s">
        <v>24</v>
      </c>
      <c r="D8" s="13" t="s">
        <v>25</v>
      </c>
      <c r="E8" s="13"/>
      <c r="F8" s="13" t="s">
        <v>21</v>
      </c>
      <c r="G8" s="9" t="s">
        <v>27</v>
      </c>
    </row>
    <row r="9" spans="1:7">
      <c r="A9" s="2"/>
      <c r="B9" s="2"/>
      <c r="C9" s="10"/>
      <c r="D9" s="10"/>
      <c r="E9" s="11"/>
      <c r="F9" s="11"/>
      <c r="G9" s="7"/>
    </row>
    <row r="10" spans="1:7">
      <c r="A10" s="2"/>
      <c r="B10" s="2"/>
      <c r="C10" s="7"/>
      <c r="D10" s="7"/>
      <c r="E10" s="11"/>
      <c r="F10" s="11"/>
      <c r="G10" s="12"/>
    </row>
    <row r="11" spans="1:7">
      <c r="A11" s="2"/>
      <c r="B11" s="2"/>
      <c r="C11" s="10"/>
      <c r="D11" s="10"/>
      <c r="E11" s="8"/>
      <c r="F11" s="8"/>
      <c r="G11" s="9"/>
    </row>
    <row r="12" spans="1:7">
      <c r="A12" s="2"/>
      <c r="B12" s="2"/>
      <c r="C12" s="9"/>
      <c r="D12" s="9"/>
      <c r="E12" s="11"/>
      <c r="F12" s="11"/>
      <c r="G12" s="7"/>
    </row>
    <row r="13" spans="1:7">
      <c r="A13" s="2"/>
      <c r="B13" s="2"/>
      <c r="C13" s="9"/>
      <c r="D13" s="9"/>
      <c r="E13" s="11"/>
      <c r="F13" s="11"/>
      <c r="G13" s="12"/>
    </row>
    <row r="14" spans="1:7">
      <c r="A14" s="21" t="s">
        <v>12</v>
      </c>
      <c r="B14" s="21"/>
      <c r="C14" s="21" t="s">
        <v>13</v>
      </c>
      <c r="D14" s="21"/>
      <c r="E14" s="21" t="s">
        <v>14</v>
      </c>
      <c r="F14" s="21"/>
      <c r="G14" s="21"/>
    </row>
    <row r="15" spans="1:7" ht="47.1" customHeight="1">
      <c r="A15" s="21"/>
      <c r="B15" s="21"/>
      <c r="C15" s="21"/>
      <c r="D15" s="21"/>
      <c r="E15" s="21" t="s">
        <v>15</v>
      </c>
      <c r="F15" s="21"/>
      <c r="G15" s="21"/>
    </row>
  </sheetData>
  <mergeCells count="9">
    <mergeCell ref="A15:B15"/>
    <mergeCell ref="C15:D15"/>
    <mergeCell ref="E15:G15"/>
    <mergeCell ref="A1:G1"/>
    <mergeCell ref="A2:G2"/>
    <mergeCell ref="E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2025年07月17日</vt:lpstr>
      <vt:lpstr>2025年07月18日</vt:lpstr>
      <vt:lpstr>C0012025.11.10</vt:lpstr>
      <vt:lpstr>C0012025 .11.12</vt:lpstr>
      <vt:lpstr>C0012025 .11.13</vt:lpstr>
      <vt:lpstr>C0012025 .11.27</vt:lpstr>
      <vt:lpstr>C0012025 .12.10</vt:lpstr>
      <vt:lpstr>C0012025 .12.17</vt:lpstr>
      <vt:lpstr>C0012026 .01.05</vt:lpstr>
      <vt:lpstr>C0012026 .01. 06</vt:lpstr>
      <vt:lpstr>C0012026 .01. 07</vt:lpstr>
      <vt:lpstr>C0012026 .01.08</vt:lpstr>
      <vt:lpstr>C0012026 .01.09</vt:lpstr>
      <vt:lpstr>C0012026 .01.10</vt:lpstr>
      <vt:lpstr>C0012026 .01.12</vt:lpstr>
      <vt:lpstr>C0012026 .01.21</vt:lpstr>
      <vt:lpstr>C0012026 .01.22</vt:lpstr>
      <vt:lpstr>C0012026 .01.23</vt:lpstr>
      <vt:lpstr>C0012026 .01.26</vt:lpstr>
      <vt:lpstr>C0012026 .01.27</vt:lpstr>
      <vt:lpstr>C0012026 .01.28</vt:lpstr>
      <vt:lpstr>C0012026 .01.29</vt:lpstr>
      <vt:lpstr>C0012026 .01.29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2026-02-03T05:19:48Z</cp:lastPrinted>
  <dcterms:created xsi:type="dcterms:W3CDTF">2025-09-12T03:33:16Z</dcterms:created>
  <dcterms:modified xsi:type="dcterms:W3CDTF">2026-02-03T08:34:30Z</dcterms:modified>
</cp:coreProperties>
</file>