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2 品質檢驗管理程序\記錄\"/>
    </mc:Choice>
  </mc:AlternateContent>
  <bookViews>
    <workbookView xWindow="0" yWindow="0" windowWidth="28770" windowHeight="11895"/>
  </bookViews>
  <sheets>
    <sheet name="MR12-03(001)A_Template" sheetId="5" r:id="rId1"/>
    <sheet name="AOI_u_Laney" sheetId="2" r:id="rId2"/>
    <sheet name="Thickness_XbarR" sheetId="3" r:id="rId3"/>
    <sheet name="TTV_IMR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" i="2" l="1"/>
  <c r="M3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10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42" i="2"/>
  <c r="M43" i="2"/>
  <c r="M44" i="2"/>
  <c r="M45" i="2"/>
  <c r="M46" i="2"/>
  <c r="M47" i="2"/>
  <c r="M48" i="2"/>
  <c r="M49" i="2"/>
  <c r="M41" i="2"/>
  <c r="M38" i="2"/>
  <c r="M35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10" i="2"/>
  <c r="I6" i="2"/>
  <c r="D209" i="2"/>
  <c r="D208" i="2"/>
  <c r="D207" i="2"/>
  <c r="G206" i="2"/>
  <c r="D206" i="2"/>
  <c r="D205" i="2"/>
  <c r="D204" i="2"/>
  <c r="D203" i="2"/>
  <c r="D202" i="2"/>
  <c r="H202" i="2" s="1"/>
  <c r="D201" i="2"/>
  <c r="D200" i="2"/>
  <c r="D199" i="2"/>
  <c r="H198" i="2"/>
  <c r="D198" i="2"/>
  <c r="D197" i="2"/>
  <c r="D196" i="2"/>
  <c r="D195" i="2"/>
  <c r="K194" i="2"/>
  <c r="G194" i="2"/>
  <c r="F194" i="2"/>
  <c r="D194" i="2"/>
  <c r="D193" i="2"/>
  <c r="D192" i="2"/>
  <c r="E191" i="2"/>
  <c r="D191" i="2"/>
  <c r="G190" i="2"/>
  <c r="D190" i="2"/>
  <c r="D189" i="2"/>
  <c r="D188" i="2"/>
  <c r="D187" i="2"/>
  <c r="H187" i="2" s="1"/>
  <c r="D186" i="2"/>
  <c r="D185" i="2"/>
  <c r="D184" i="2"/>
  <c r="D183" i="2"/>
  <c r="H183" i="2" s="1"/>
  <c r="K182" i="2"/>
  <c r="D182" i="2"/>
  <c r="D181" i="2"/>
  <c r="D180" i="2"/>
  <c r="D179" i="2"/>
  <c r="H179" i="2" s="1"/>
  <c r="K178" i="2"/>
  <c r="D178" i="2"/>
  <c r="D177" i="2"/>
  <c r="D176" i="2"/>
  <c r="G175" i="2"/>
  <c r="F175" i="2"/>
  <c r="E175" i="2"/>
  <c r="D175" i="2"/>
  <c r="D174" i="2"/>
  <c r="D173" i="2"/>
  <c r="D172" i="2"/>
  <c r="D171" i="2"/>
  <c r="H171" i="2" s="1"/>
  <c r="D170" i="2"/>
  <c r="D169" i="2"/>
  <c r="D168" i="2"/>
  <c r="D167" i="2"/>
  <c r="H167" i="2" s="1"/>
  <c r="D166" i="2"/>
  <c r="D165" i="2"/>
  <c r="D164" i="2"/>
  <c r="K163" i="2"/>
  <c r="D163" i="2"/>
  <c r="D162" i="2"/>
  <c r="D161" i="2"/>
  <c r="D160" i="2"/>
  <c r="H159" i="2"/>
  <c r="G159" i="2"/>
  <c r="D159" i="2"/>
  <c r="D158" i="2"/>
  <c r="D157" i="2"/>
  <c r="G156" i="2"/>
  <c r="F156" i="2"/>
  <c r="D156" i="2"/>
  <c r="D155" i="2"/>
  <c r="D154" i="2"/>
  <c r="D153" i="2"/>
  <c r="E152" i="2"/>
  <c r="D152" i="2"/>
  <c r="D151" i="2"/>
  <c r="D150" i="2"/>
  <c r="D149" i="2"/>
  <c r="D148" i="2"/>
  <c r="K147" i="2"/>
  <c r="D147" i="2"/>
  <c r="D146" i="2"/>
  <c r="D145" i="2"/>
  <c r="K144" i="2"/>
  <c r="D144" i="2"/>
  <c r="H144" i="2" s="1"/>
  <c r="D143" i="2"/>
  <c r="D142" i="2"/>
  <c r="D141" i="2"/>
  <c r="H141" i="2" s="1"/>
  <c r="D140" i="2"/>
  <c r="D139" i="2"/>
  <c r="D138" i="2"/>
  <c r="K137" i="2"/>
  <c r="D137" i="2"/>
  <c r="D136" i="2"/>
  <c r="D135" i="2"/>
  <c r="H134" i="2"/>
  <c r="D134" i="2"/>
  <c r="D133" i="2"/>
  <c r="D132" i="2"/>
  <c r="D131" i="2"/>
  <c r="H131" i="2" s="1"/>
  <c r="K130" i="2"/>
  <c r="H130" i="2"/>
  <c r="D130" i="2"/>
  <c r="D129" i="2"/>
  <c r="D128" i="2"/>
  <c r="H127" i="2"/>
  <c r="G127" i="2"/>
  <c r="D127" i="2"/>
  <c r="D126" i="2"/>
  <c r="D125" i="2"/>
  <c r="H124" i="2"/>
  <c r="G124" i="2"/>
  <c r="F124" i="2"/>
  <c r="D124" i="2"/>
  <c r="D123" i="2"/>
  <c r="D122" i="2"/>
  <c r="H121" i="2"/>
  <c r="G121" i="2"/>
  <c r="D121" i="2"/>
  <c r="D120" i="2"/>
  <c r="D119" i="2"/>
  <c r="H118" i="2"/>
  <c r="D118" i="2"/>
  <c r="D117" i="2"/>
  <c r="D116" i="2"/>
  <c r="D115" i="2"/>
  <c r="K114" i="2"/>
  <c r="D114" i="2"/>
  <c r="D113" i="2"/>
  <c r="D112" i="2"/>
  <c r="H112" i="2" s="1"/>
  <c r="D111" i="2"/>
  <c r="D110" i="2"/>
  <c r="D109" i="2"/>
  <c r="H109" i="2" s="1"/>
  <c r="K108" i="2"/>
  <c r="D108" i="2"/>
  <c r="D107" i="2"/>
  <c r="D106" i="2"/>
  <c r="H106" i="2" s="1"/>
  <c r="D105" i="2"/>
  <c r="D104" i="2"/>
  <c r="D103" i="2"/>
  <c r="H103" i="2" s="1"/>
  <c r="D102" i="2"/>
  <c r="D101" i="2"/>
  <c r="D100" i="2"/>
  <c r="D99" i="2"/>
  <c r="D98" i="2"/>
  <c r="D97" i="2"/>
  <c r="D96" i="2"/>
  <c r="D95" i="2"/>
  <c r="E94" i="2"/>
  <c r="D94" i="2"/>
  <c r="D93" i="2"/>
  <c r="D92" i="2"/>
  <c r="G91" i="2"/>
  <c r="F91" i="2"/>
  <c r="E91" i="2"/>
  <c r="D91" i="2"/>
  <c r="D90" i="2"/>
  <c r="D89" i="2"/>
  <c r="H88" i="2"/>
  <c r="D88" i="2"/>
  <c r="D87" i="2"/>
  <c r="H86" i="2"/>
  <c r="D86" i="2"/>
  <c r="D85" i="2"/>
  <c r="D84" i="2"/>
  <c r="D83" i="2"/>
  <c r="H83" i="2" s="1"/>
  <c r="D82" i="2"/>
  <c r="D81" i="2"/>
  <c r="K80" i="2"/>
  <c r="D80" i="2"/>
  <c r="D79" i="2"/>
  <c r="D78" i="2"/>
  <c r="D77" i="2"/>
  <c r="D76" i="2"/>
  <c r="G75" i="2"/>
  <c r="F75" i="2"/>
  <c r="E75" i="2"/>
  <c r="D75" i="2"/>
  <c r="D74" i="2"/>
  <c r="H73" i="2"/>
  <c r="G73" i="2"/>
  <c r="D73" i="2"/>
  <c r="D72" i="2"/>
  <c r="D71" i="2"/>
  <c r="H71" i="2" s="1"/>
  <c r="H70" i="2"/>
  <c r="D70" i="2"/>
  <c r="E69" i="2"/>
  <c r="D69" i="2"/>
  <c r="D68" i="2"/>
  <c r="H68" i="2" s="1"/>
  <c r="K67" i="2"/>
  <c r="D67" i="2"/>
  <c r="F66" i="2"/>
  <c r="E66" i="2"/>
  <c r="D66" i="2"/>
  <c r="D65" i="2"/>
  <c r="K64" i="2"/>
  <c r="D64" i="2"/>
  <c r="H64" i="2" s="1"/>
  <c r="G63" i="2"/>
  <c r="F63" i="2"/>
  <c r="E63" i="2"/>
  <c r="D63" i="2"/>
  <c r="D62" i="2"/>
  <c r="K61" i="2"/>
  <c r="D61" i="2"/>
  <c r="H61" i="2" s="1"/>
  <c r="H60" i="2"/>
  <c r="G60" i="2"/>
  <c r="F60" i="2"/>
  <c r="D60" i="2"/>
  <c r="D59" i="2"/>
  <c r="D58" i="2"/>
  <c r="H58" i="2" s="1"/>
  <c r="H57" i="2"/>
  <c r="G57" i="2"/>
  <c r="D57" i="2"/>
  <c r="D56" i="2"/>
  <c r="D55" i="2"/>
  <c r="H55" i="2" s="1"/>
  <c r="H54" i="2"/>
  <c r="D54" i="2"/>
  <c r="E53" i="2"/>
  <c r="D53" i="2"/>
  <c r="D52" i="2"/>
  <c r="H52" i="2" s="1"/>
  <c r="K51" i="2"/>
  <c r="H51" i="2"/>
  <c r="D51" i="2"/>
  <c r="F50" i="2"/>
  <c r="E50" i="2"/>
  <c r="D50" i="2"/>
  <c r="D49" i="2"/>
  <c r="K48" i="2"/>
  <c r="D48" i="2"/>
  <c r="H48" i="2" s="1"/>
  <c r="G47" i="2"/>
  <c r="F47" i="2"/>
  <c r="E47" i="2"/>
  <c r="D47" i="2"/>
  <c r="D46" i="2"/>
  <c r="K45" i="2"/>
  <c r="D45" i="2"/>
  <c r="H45" i="2" s="1"/>
  <c r="H44" i="2"/>
  <c r="G44" i="2"/>
  <c r="F44" i="2"/>
  <c r="E44" i="2"/>
  <c r="D44" i="2"/>
  <c r="D43" i="2"/>
  <c r="K42" i="2"/>
  <c r="D42" i="2"/>
  <c r="H42" i="2" s="1"/>
  <c r="H41" i="2"/>
  <c r="G41" i="2"/>
  <c r="F41" i="2"/>
  <c r="D41" i="2"/>
  <c r="D40" i="2"/>
  <c r="D39" i="2"/>
  <c r="H39" i="2" s="1"/>
  <c r="H38" i="2"/>
  <c r="G38" i="2"/>
  <c r="D38" i="2"/>
  <c r="E37" i="2"/>
  <c r="D37" i="2"/>
  <c r="D36" i="2"/>
  <c r="H36" i="2" s="1"/>
  <c r="K35" i="2"/>
  <c r="H35" i="2"/>
  <c r="D35" i="2"/>
  <c r="F34" i="2"/>
  <c r="E34" i="2"/>
  <c r="D34" i="2"/>
  <c r="D33" i="2"/>
  <c r="K32" i="2"/>
  <c r="D32" i="2"/>
  <c r="H32" i="2" s="1"/>
  <c r="G31" i="2"/>
  <c r="F31" i="2"/>
  <c r="E31" i="2"/>
  <c r="D31" i="2"/>
  <c r="D30" i="2"/>
  <c r="K29" i="2"/>
  <c r="D29" i="2"/>
  <c r="H29" i="2" s="1"/>
  <c r="H28" i="2"/>
  <c r="G28" i="2"/>
  <c r="F28" i="2"/>
  <c r="E28" i="2"/>
  <c r="D28" i="2"/>
  <c r="D27" i="2"/>
  <c r="K26" i="2"/>
  <c r="D26" i="2"/>
  <c r="H26" i="2" s="1"/>
  <c r="H25" i="2"/>
  <c r="G25" i="2"/>
  <c r="F25" i="2"/>
  <c r="D25" i="2"/>
  <c r="E24" i="2"/>
  <c r="D24" i="2"/>
  <c r="D23" i="2"/>
  <c r="H23" i="2" s="1"/>
  <c r="K22" i="2"/>
  <c r="H22" i="2"/>
  <c r="G22" i="2"/>
  <c r="D22" i="2"/>
  <c r="F21" i="2"/>
  <c r="E21" i="2"/>
  <c r="D21" i="2"/>
  <c r="D20" i="2"/>
  <c r="K19" i="2"/>
  <c r="H19" i="2"/>
  <c r="D19" i="2"/>
  <c r="G18" i="2"/>
  <c r="F18" i="2"/>
  <c r="E18" i="2"/>
  <c r="D18" i="2"/>
  <c r="D17" i="2"/>
  <c r="K16" i="2"/>
  <c r="D16" i="2"/>
  <c r="H16" i="2" s="1"/>
  <c r="G15" i="2"/>
  <c r="F15" i="2"/>
  <c r="E15" i="2"/>
  <c r="D15" i="2"/>
  <c r="D14" i="2"/>
  <c r="K13" i="2"/>
  <c r="D13" i="2"/>
  <c r="H13" i="2" s="1"/>
  <c r="H12" i="2"/>
  <c r="G12" i="2"/>
  <c r="F12" i="2"/>
  <c r="E12" i="2"/>
  <c r="D12" i="2"/>
  <c r="E11" i="2"/>
  <c r="D11" i="2"/>
  <c r="K10" i="2"/>
  <c r="D10" i="2"/>
  <c r="H10" i="2" s="1"/>
  <c r="I172" i="2"/>
  <c r="F6" i="2"/>
  <c r="F207" i="2" s="1"/>
  <c r="I198" i="2" l="1"/>
  <c r="J48" i="2"/>
  <c r="I83" i="2"/>
  <c r="I73" i="2"/>
  <c r="I22" i="2"/>
  <c r="J144" i="2"/>
  <c r="I54" i="2"/>
  <c r="I67" i="2"/>
  <c r="J13" i="2"/>
  <c r="J22" i="2"/>
  <c r="J32" i="2"/>
  <c r="I115" i="2"/>
  <c r="L32" i="2"/>
  <c r="I38" i="2"/>
  <c r="L48" i="2"/>
  <c r="J54" i="2"/>
  <c r="L61" i="2"/>
  <c r="J67" i="2"/>
  <c r="J83" i="2"/>
  <c r="L105" i="2"/>
  <c r="I134" i="2"/>
  <c r="J198" i="2"/>
  <c r="L13" i="2"/>
  <c r="J38" i="2"/>
  <c r="L23" i="2"/>
  <c r="J117" i="2"/>
  <c r="I19" i="2"/>
  <c r="L39" i="2"/>
  <c r="J85" i="2"/>
  <c r="I179" i="2"/>
  <c r="J19" i="2"/>
  <c r="J29" i="2"/>
  <c r="J45" i="2"/>
  <c r="I137" i="2"/>
  <c r="I127" i="2"/>
  <c r="J137" i="2"/>
  <c r="L147" i="2"/>
  <c r="L202" i="2"/>
  <c r="L10" i="2"/>
  <c r="L19" i="2"/>
  <c r="L29" i="2"/>
  <c r="L45" i="2"/>
  <c r="I57" i="2"/>
  <c r="I35" i="2"/>
  <c r="I51" i="2"/>
  <c r="J64" i="2"/>
  <c r="I70" i="2"/>
  <c r="L159" i="2"/>
  <c r="J182" i="2"/>
  <c r="I16" i="2"/>
  <c r="J35" i="2"/>
  <c r="J51" i="2"/>
  <c r="L58" i="2"/>
  <c r="J70" i="2"/>
  <c r="J111" i="2"/>
  <c r="J16" i="2"/>
  <c r="I25" i="2"/>
  <c r="I41" i="2"/>
  <c r="L64" i="2"/>
  <c r="J80" i="2"/>
  <c r="I88" i="2"/>
  <c r="L111" i="2"/>
  <c r="J140" i="2"/>
  <c r="L16" i="2"/>
  <c r="L80" i="2"/>
  <c r="L26" i="2"/>
  <c r="L42" i="2"/>
  <c r="L102" i="2"/>
  <c r="I163" i="2"/>
  <c r="I32" i="2"/>
  <c r="I48" i="2"/>
  <c r="J163" i="2"/>
  <c r="H94" i="2"/>
  <c r="G54" i="2"/>
  <c r="L55" i="2"/>
  <c r="F57" i="2"/>
  <c r="K58" i="2"/>
  <c r="E60" i="2"/>
  <c r="J61" i="2"/>
  <c r="I64" i="2"/>
  <c r="H67" i="2"/>
  <c r="G70" i="2"/>
  <c r="L71" i="2"/>
  <c r="F73" i="2"/>
  <c r="L77" i="2"/>
  <c r="H80" i="2"/>
  <c r="K82" i="2"/>
  <c r="I85" i="2"/>
  <c r="G88" i="2"/>
  <c r="L96" i="2"/>
  <c r="L99" i="2"/>
  <c r="K102" i="2"/>
  <c r="K105" i="2"/>
  <c r="J108" i="2"/>
  <c r="I111" i="2"/>
  <c r="I114" i="2"/>
  <c r="H117" i="2"/>
  <c r="I120" i="2"/>
  <c r="F127" i="2"/>
  <c r="G130" i="2"/>
  <c r="J133" i="2"/>
  <c r="H137" i="2"/>
  <c r="I140" i="2"/>
  <c r="L143" i="2"/>
  <c r="J147" i="2"/>
  <c r="H155" i="2"/>
  <c r="F159" i="2"/>
  <c r="H163" i="2"/>
  <c r="K166" i="2"/>
  <c r="G178" i="2"/>
  <c r="I182" i="2"/>
  <c r="L186" i="2"/>
  <c r="E194" i="2"/>
  <c r="H97" i="2"/>
  <c r="J25" i="2"/>
  <c r="I28" i="2"/>
  <c r="H31" i="2"/>
  <c r="G34" i="2"/>
  <c r="L35" i="2"/>
  <c r="F37" i="2"/>
  <c r="K38" i="2"/>
  <c r="E40" i="2"/>
  <c r="J41" i="2"/>
  <c r="I44" i="2"/>
  <c r="H47" i="2"/>
  <c r="G50" i="2"/>
  <c r="L51" i="2"/>
  <c r="F53" i="2"/>
  <c r="K54" i="2"/>
  <c r="E56" i="2"/>
  <c r="J57" i="2"/>
  <c r="I60" i="2"/>
  <c r="H63" i="2"/>
  <c r="G66" i="2"/>
  <c r="L67" i="2"/>
  <c r="F69" i="2"/>
  <c r="K70" i="2"/>
  <c r="E72" i="2"/>
  <c r="J73" i="2"/>
  <c r="H75" i="2"/>
  <c r="E78" i="2"/>
  <c r="K83" i="2"/>
  <c r="I86" i="2"/>
  <c r="G89" i="2"/>
  <c r="H91" i="2"/>
  <c r="G94" i="2"/>
  <c r="F97" i="2"/>
  <c r="E100" i="2"/>
  <c r="L106" i="2"/>
  <c r="K109" i="2"/>
  <c r="J112" i="2"/>
  <c r="J115" i="2"/>
  <c r="I118" i="2"/>
  <c r="I121" i="2"/>
  <c r="I124" i="2"/>
  <c r="L127" i="2"/>
  <c r="I131" i="2"/>
  <c r="J134" i="2"/>
  <c r="K141" i="2"/>
  <c r="L144" i="2"/>
  <c r="E148" i="2"/>
  <c r="I152" i="2"/>
  <c r="H156" i="2"/>
  <c r="H160" i="2"/>
  <c r="L163" i="2"/>
  <c r="H168" i="2"/>
  <c r="F172" i="2"/>
  <c r="H175" i="2"/>
  <c r="J179" i="2"/>
  <c r="F191" i="2"/>
  <c r="K198" i="2"/>
  <c r="J12" i="2"/>
  <c r="I15" i="2"/>
  <c r="H18" i="2"/>
  <c r="G21" i="2"/>
  <c r="L22" i="2"/>
  <c r="F24" i="2"/>
  <c r="K25" i="2"/>
  <c r="E27" i="2"/>
  <c r="J28" i="2"/>
  <c r="I31" i="2"/>
  <c r="H34" i="2"/>
  <c r="G37" i="2"/>
  <c r="L38" i="2"/>
  <c r="F40" i="2"/>
  <c r="K41" i="2"/>
  <c r="E43" i="2"/>
  <c r="J44" i="2"/>
  <c r="I47" i="2"/>
  <c r="H50" i="2"/>
  <c r="G53" i="2"/>
  <c r="L54" i="2"/>
  <c r="F56" i="2"/>
  <c r="K57" i="2"/>
  <c r="E59" i="2"/>
  <c r="J60" i="2"/>
  <c r="I63" i="2"/>
  <c r="H66" i="2"/>
  <c r="G69" i="2"/>
  <c r="L70" i="2"/>
  <c r="F72" i="2"/>
  <c r="K73" i="2"/>
  <c r="F78" i="2"/>
  <c r="L83" i="2"/>
  <c r="J86" i="2"/>
  <c r="H89" i="2"/>
  <c r="L109" i="2"/>
  <c r="K112" i="2"/>
  <c r="K115" i="2"/>
  <c r="J118" i="2"/>
  <c r="J121" i="2"/>
  <c r="J124" i="2"/>
  <c r="H128" i="2"/>
  <c r="J131" i="2"/>
  <c r="K134" i="2"/>
  <c r="H138" i="2"/>
  <c r="L141" i="2"/>
  <c r="I156" i="2"/>
  <c r="J160" i="2"/>
  <c r="E168" i="2"/>
  <c r="G172" i="2"/>
  <c r="L175" i="2"/>
  <c r="K179" i="2"/>
  <c r="G191" i="2"/>
  <c r="I195" i="2"/>
  <c r="H199" i="2"/>
  <c r="E207" i="2"/>
  <c r="H15" i="2"/>
  <c r="F11" i="2"/>
  <c r="K12" i="2"/>
  <c r="E14" i="2"/>
  <c r="J15" i="2"/>
  <c r="I18" i="2"/>
  <c r="H21" i="2"/>
  <c r="G24" i="2"/>
  <c r="L25" i="2"/>
  <c r="F27" i="2"/>
  <c r="K28" i="2"/>
  <c r="E30" i="2"/>
  <c r="J31" i="2"/>
  <c r="I34" i="2"/>
  <c r="H37" i="2"/>
  <c r="G40" i="2"/>
  <c r="L41" i="2"/>
  <c r="F43" i="2"/>
  <c r="K44" i="2"/>
  <c r="E46" i="2"/>
  <c r="J47" i="2"/>
  <c r="I50" i="2"/>
  <c r="H53" i="2"/>
  <c r="G56" i="2"/>
  <c r="L57" i="2"/>
  <c r="F59" i="2"/>
  <c r="K60" i="2"/>
  <c r="E62" i="2"/>
  <c r="J63" i="2"/>
  <c r="I66" i="2"/>
  <c r="H69" i="2"/>
  <c r="G72" i="2"/>
  <c r="L73" i="2"/>
  <c r="F76" i="2"/>
  <c r="G78" i="2"/>
  <c r="H81" i="2"/>
  <c r="K86" i="2"/>
  <c r="I89" i="2"/>
  <c r="F92" i="2"/>
  <c r="E95" i="2"/>
  <c r="E98" i="2"/>
  <c r="H104" i="2"/>
  <c r="L112" i="2"/>
  <c r="L115" i="2"/>
  <c r="K118" i="2"/>
  <c r="K121" i="2"/>
  <c r="J128" i="2"/>
  <c r="K131" i="2"/>
  <c r="L134" i="2"/>
  <c r="L138" i="2"/>
  <c r="H149" i="2"/>
  <c r="G153" i="2"/>
  <c r="K160" i="2"/>
  <c r="E164" i="2"/>
  <c r="I168" i="2"/>
  <c r="H172" i="2"/>
  <c r="H176" i="2"/>
  <c r="L179" i="2"/>
  <c r="H184" i="2"/>
  <c r="F188" i="2"/>
  <c r="H191" i="2"/>
  <c r="J195" i="2"/>
  <c r="H203" i="2"/>
  <c r="J205" i="2"/>
  <c r="E204" i="2"/>
  <c r="K202" i="2"/>
  <c r="F201" i="2"/>
  <c r="L199" i="2"/>
  <c r="G198" i="2"/>
  <c r="H195" i="2"/>
  <c r="J189" i="2"/>
  <c r="E188" i="2"/>
  <c r="K186" i="2"/>
  <c r="F185" i="2"/>
  <c r="L183" i="2"/>
  <c r="G182" i="2"/>
  <c r="J173" i="2"/>
  <c r="E172" i="2"/>
  <c r="K170" i="2"/>
  <c r="F169" i="2"/>
  <c r="L167" i="2"/>
  <c r="G166" i="2"/>
  <c r="J157" i="2"/>
  <c r="E156" i="2"/>
  <c r="K154" i="2"/>
  <c r="F153" i="2"/>
  <c r="L151" i="2"/>
  <c r="G150" i="2"/>
  <c r="J141" i="2"/>
  <c r="E140" i="2"/>
  <c r="K138" i="2"/>
  <c r="F137" i="2"/>
  <c r="L135" i="2"/>
  <c r="G134" i="2"/>
  <c r="J125" i="2"/>
  <c r="E124" i="2"/>
  <c r="K122" i="2"/>
  <c r="F121" i="2"/>
  <c r="L119" i="2"/>
  <c r="G118" i="2"/>
  <c r="H115" i="2"/>
  <c r="J109" i="2"/>
  <c r="E108" i="2"/>
  <c r="K106" i="2"/>
  <c r="F105" i="2"/>
  <c r="L103" i="2"/>
  <c r="G102" i="2"/>
  <c r="J93" i="2"/>
  <c r="E92" i="2"/>
  <c r="K90" i="2"/>
  <c r="F89" i="2"/>
  <c r="L87" i="2"/>
  <c r="G86" i="2"/>
  <c r="J77" i="2"/>
  <c r="E76" i="2"/>
  <c r="K74" i="2"/>
  <c r="J202" i="2"/>
  <c r="E201" i="2"/>
  <c r="K199" i="2"/>
  <c r="F198" i="2"/>
  <c r="L196" i="2"/>
  <c r="G195" i="2"/>
  <c r="J186" i="2"/>
  <c r="E185" i="2"/>
  <c r="K183" i="2"/>
  <c r="F182" i="2"/>
  <c r="L180" i="2"/>
  <c r="G179" i="2"/>
  <c r="J170" i="2"/>
  <c r="E169" i="2"/>
  <c r="K167" i="2"/>
  <c r="F166" i="2"/>
  <c r="L164" i="2"/>
  <c r="G163" i="2"/>
  <c r="J154" i="2"/>
  <c r="E153" i="2"/>
  <c r="K151" i="2"/>
  <c r="F150" i="2"/>
  <c r="L148" i="2"/>
  <c r="G147" i="2"/>
  <c r="J138" i="2"/>
  <c r="E137" i="2"/>
  <c r="K135" i="2"/>
  <c r="F134" i="2"/>
  <c r="L132" i="2"/>
  <c r="G131" i="2"/>
  <c r="J122" i="2"/>
  <c r="E121" i="2"/>
  <c r="K119" i="2"/>
  <c r="F118" i="2"/>
  <c r="L116" i="2"/>
  <c r="G115" i="2"/>
  <c r="J106" i="2"/>
  <c r="E105" i="2"/>
  <c r="K103" i="2"/>
  <c r="F102" i="2"/>
  <c r="L100" i="2"/>
  <c r="G99" i="2"/>
  <c r="J90" i="2"/>
  <c r="E89" i="2"/>
  <c r="K87" i="2"/>
  <c r="F86" i="2"/>
  <c r="L84" i="2"/>
  <c r="G83" i="2"/>
  <c r="J74" i="2"/>
  <c r="L209" i="2"/>
  <c r="G208" i="2"/>
  <c r="J199" i="2"/>
  <c r="E198" i="2"/>
  <c r="K196" i="2"/>
  <c r="F195" i="2"/>
  <c r="L193" i="2"/>
  <c r="G192" i="2"/>
  <c r="J183" i="2"/>
  <c r="E182" i="2"/>
  <c r="K180" i="2"/>
  <c r="F179" i="2"/>
  <c r="L177" i="2"/>
  <c r="G176" i="2"/>
  <c r="H173" i="2"/>
  <c r="J167" i="2"/>
  <c r="E166" i="2"/>
  <c r="K164" i="2"/>
  <c r="F163" i="2"/>
  <c r="L161" i="2"/>
  <c r="G160" i="2"/>
  <c r="J151" i="2"/>
  <c r="E150" i="2"/>
  <c r="K148" i="2"/>
  <c r="F147" i="2"/>
  <c r="L145" i="2"/>
  <c r="G144" i="2"/>
  <c r="J135" i="2"/>
  <c r="E134" i="2"/>
  <c r="K132" i="2"/>
  <c r="F131" i="2"/>
  <c r="L129" i="2"/>
  <c r="G128" i="2"/>
  <c r="J119" i="2"/>
  <c r="E118" i="2"/>
  <c r="K116" i="2"/>
  <c r="F115" i="2"/>
  <c r="L113" i="2"/>
  <c r="G112" i="2"/>
  <c r="J103" i="2"/>
  <c r="E102" i="2"/>
  <c r="K100" i="2"/>
  <c r="F99" i="2"/>
  <c r="L97" i="2"/>
  <c r="G96" i="2"/>
  <c r="J87" i="2"/>
  <c r="E86" i="2"/>
  <c r="K84" i="2"/>
  <c r="F83" i="2"/>
  <c r="L81" i="2"/>
  <c r="G80" i="2"/>
  <c r="K209" i="2"/>
  <c r="F208" i="2"/>
  <c r="L206" i="2"/>
  <c r="G205" i="2"/>
  <c r="J196" i="2"/>
  <c r="E195" i="2"/>
  <c r="K193" i="2"/>
  <c r="F192" i="2"/>
  <c r="L190" i="2"/>
  <c r="G189" i="2"/>
  <c r="J180" i="2"/>
  <c r="E179" i="2"/>
  <c r="K177" i="2"/>
  <c r="F176" i="2"/>
  <c r="L174" i="2"/>
  <c r="G173" i="2"/>
  <c r="J164" i="2"/>
  <c r="E163" i="2"/>
  <c r="K161" i="2"/>
  <c r="F160" i="2"/>
  <c r="L158" i="2"/>
  <c r="G157" i="2"/>
  <c r="J148" i="2"/>
  <c r="E147" i="2"/>
  <c r="K145" i="2"/>
  <c r="F144" i="2"/>
  <c r="L142" i="2"/>
  <c r="G141" i="2"/>
  <c r="J132" i="2"/>
  <c r="E131" i="2"/>
  <c r="K129" i="2"/>
  <c r="F128" i="2"/>
  <c r="L126" i="2"/>
  <c r="G125" i="2"/>
  <c r="J116" i="2"/>
  <c r="E115" i="2"/>
  <c r="K113" i="2"/>
  <c r="F112" i="2"/>
  <c r="L110" i="2"/>
  <c r="G109" i="2"/>
  <c r="J100" i="2"/>
  <c r="E99" i="2"/>
  <c r="K97" i="2"/>
  <c r="F96" i="2"/>
  <c r="L94" i="2"/>
  <c r="G93" i="2"/>
  <c r="J84" i="2"/>
  <c r="E83" i="2"/>
  <c r="K81" i="2"/>
  <c r="F80" i="2"/>
  <c r="L78" i="2"/>
  <c r="G77" i="2"/>
  <c r="J209" i="2"/>
  <c r="E208" i="2"/>
  <c r="K206" i="2"/>
  <c r="F205" i="2"/>
  <c r="L203" i="2"/>
  <c r="G202" i="2"/>
  <c r="J193" i="2"/>
  <c r="E192" i="2"/>
  <c r="K190" i="2"/>
  <c r="F189" i="2"/>
  <c r="L187" i="2"/>
  <c r="G186" i="2"/>
  <c r="J177" i="2"/>
  <c r="E176" i="2"/>
  <c r="K174" i="2"/>
  <c r="F173" i="2"/>
  <c r="L171" i="2"/>
  <c r="G170" i="2"/>
  <c r="J161" i="2"/>
  <c r="E160" i="2"/>
  <c r="K158" i="2"/>
  <c r="F157" i="2"/>
  <c r="L155" i="2"/>
  <c r="G154" i="2"/>
  <c r="J145" i="2"/>
  <c r="E144" i="2"/>
  <c r="K142" i="2"/>
  <c r="F141" i="2"/>
  <c r="L139" i="2"/>
  <c r="G138" i="2"/>
  <c r="J129" i="2"/>
  <c r="E128" i="2"/>
  <c r="K126" i="2"/>
  <c r="F125" i="2"/>
  <c r="L123" i="2"/>
  <c r="G122" i="2"/>
  <c r="J113" i="2"/>
  <c r="E112" i="2"/>
  <c r="K110" i="2"/>
  <c r="F109" i="2"/>
  <c r="L107" i="2"/>
  <c r="G106" i="2"/>
  <c r="J97" i="2"/>
  <c r="E96" i="2"/>
  <c r="K94" i="2"/>
  <c r="F93" i="2"/>
  <c r="L91" i="2"/>
  <c r="G90" i="2"/>
  <c r="J81" i="2"/>
  <c r="E80" i="2"/>
  <c r="K78" i="2"/>
  <c r="F77" i="2"/>
  <c r="L75" i="2"/>
  <c r="J206" i="2"/>
  <c r="E205" i="2"/>
  <c r="K203" i="2"/>
  <c r="F202" i="2"/>
  <c r="L200" i="2"/>
  <c r="G199" i="2"/>
  <c r="J190" i="2"/>
  <c r="E189" i="2"/>
  <c r="K187" i="2"/>
  <c r="F186" i="2"/>
  <c r="L184" i="2"/>
  <c r="G183" i="2"/>
  <c r="J174" i="2"/>
  <c r="E173" i="2"/>
  <c r="K171" i="2"/>
  <c r="F170" i="2"/>
  <c r="L168" i="2"/>
  <c r="G167" i="2"/>
  <c r="J158" i="2"/>
  <c r="E157" i="2"/>
  <c r="K155" i="2"/>
  <c r="F154" i="2"/>
  <c r="L152" i="2"/>
  <c r="G151" i="2"/>
  <c r="J142" i="2"/>
  <c r="E141" i="2"/>
  <c r="K139" i="2"/>
  <c r="F138" i="2"/>
  <c r="L136" i="2"/>
  <c r="G135" i="2"/>
  <c r="J126" i="2"/>
  <c r="E125" i="2"/>
  <c r="K123" i="2"/>
  <c r="F122" i="2"/>
  <c r="L120" i="2"/>
  <c r="G119" i="2"/>
  <c r="J110" i="2"/>
  <c r="E109" i="2"/>
  <c r="K107" i="2"/>
  <c r="F106" i="2"/>
  <c r="L104" i="2"/>
  <c r="G103" i="2"/>
  <c r="J94" i="2"/>
  <c r="E93" i="2"/>
  <c r="K91" i="2"/>
  <c r="F90" i="2"/>
  <c r="L88" i="2"/>
  <c r="G87" i="2"/>
  <c r="J78" i="2"/>
  <c r="E77" i="2"/>
  <c r="K75" i="2"/>
  <c r="F74" i="2"/>
  <c r="J203" i="2"/>
  <c r="E202" i="2"/>
  <c r="K200" i="2"/>
  <c r="F199" i="2"/>
  <c r="L197" i="2"/>
  <c r="G196" i="2"/>
  <c r="J187" i="2"/>
  <c r="E186" i="2"/>
  <c r="K184" i="2"/>
  <c r="F183" i="2"/>
  <c r="L181" i="2"/>
  <c r="G180" i="2"/>
  <c r="J171" i="2"/>
  <c r="E170" i="2"/>
  <c r="K168" i="2"/>
  <c r="F167" i="2"/>
  <c r="L165" i="2"/>
  <c r="G164" i="2"/>
  <c r="J155" i="2"/>
  <c r="E154" i="2"/>
  <c r="K152" i="2"/>
  <c r="F151" i="2"/>
  <c r="L149" i="2"/>
  <c r="G148" i="2"/>
  <c r="J139" i="2"/>
  <c r="E138" i="2"/>
  <c r="K136" i="2"/>
  <c r="F135" i="2"/>
  <c r="L133" i="2"/>
  <c r="G132" i="2"/>
  <c r="J123" i="2"/>
  <c r="E122" i="2"/>
  <c r="K120" i="2"/>
  <c r="F119" i="2"/>
  <c r="L117" i="2"/>
  <c r="G116" i="2"/>
  <c r="J107" i="2"/>
  <c r="E106" i="2"/>
  <c r="K104" i="2"/>
  <c r="F103" i="2"/>
  <c r="L101" i="2"/>
  <c r="G100" i="2"/>
  <c r="J91" i="2"/>
  <c r="E90" i="2"/>
  <c r="K88" i="2"/>
  <c r="F87" i="2"/>
  <c r="L85" i="2"/>
  <c r="G84" i="2"/>
  <c r="J75" i="2"/>
  <c r="E74" i="2"/>
  <c r="G209" i="2"/>
  <c r="J200" i="2"/>
  <c r="E199" i="2"/>
  <c r="K197" i="2"/>
  <c r="F196" i="2"/>
  <c r="L194" i="2"/>
  <c r="G193" i="2"/>
  <c r="J184" i="2"/>
  <c r="E183" i="2"/>
  <c r="K181" i="2"/>
  <c r="F180" i="2"/>
  <c r="L178" i="2"/>
  <c r="G177" i="2"/>
  <c r="J168" i="2"/>
  <c r="E167" i="2"/>
  <c r="K165" i="2"/>
  <c r="F164" i="2"/>
  <c r="L162" i="2"/>
  <c r="G161" i="2"/>
  <c r="J152" i="2"/>
  <c r="E151" i="2"/>
  <c r="K149" i="2"/>
  <c r="F148" i="2"/>
  <c r="L146" i="2"/>
  <c r="G145" i="2"/>
  <c r="J136" i="2"/>
  <c r="E135" i="2"/>
  <c r="K133" i="2"/>
  <c r="F132" i="2"/>
  <c r="L130" i="2"/>
  <c r="G129" i="2"/>
  <c r="J120" i="2"/>
  <c r="E119" i="2"/>
  <c r="K117" i="2"/>
  <c r="F116" i="2"/>
  <c r="L114" i="2"/>
  <c r="G113" i="2"/>
  <c r="J104" i="2"/>
  <c r="E103" i="2"/>
  <c r="K101" i="2"/>
  <c r="F100" i="2"/>
  <c r="L98" i="2"/>
  <c r="G97" i="2"/>
  <c r="J88" i="2"/>
  <c r="E87" i="2"/>
  <c r="K85" i="2"/>
  <c r="F84" i="2"/>
  <c r="L82" i="2"/>
  <c r="G81" i="2"/>
  <c r="F209" i="2"/>
  <c r="E209" i="2"/>
  <c r="K207" i="2"/>
  <c r="F206" i="2"/>
  <c r="L204" i="2"/>
  <c r="G203" i="2"/>
  <c r="J194" i="2"/>
  <c r="E193" i="2"/>
  <c r="K191" i="2"/>
  <c r="F190" i="2"/>
  <c r="L188" i="2"/>
  <c r="G187" i="2"/>
  <c r="J178" i="2"/>
  <c r="E177" i="2"/>
  <c r="K175" i="2"/>
  <c r="F174" i="2"/>
  <c r="L172" i="2"/>
  <c r="G171" i="2"/>
  <c r="J162" i="2"/>
  <c r="E161" i="2"/>
  <c r="K159" i="2"/>
  <c r="F158" i="2"/>
  <c r="L156" i="2"/>
  <c r="G155" i="2"/>
  <c r="J146" i="2"/>
  <c r="E145" i="2"/>
  <c r="K143" i="2"/>
  <c r="F142" i="2"/>
  <c r="L140" i="2"/>
  <c r="G139" i="2"/>
  <c r="J130" i="2"/>
  <c r="E129" i="2"/>
  <c r="K127" i="2"/>
  <c r="F126" i="2"/>
  <c r="L124" i="2"/>
  <c r="G123" i="2"/>
  <c r="J114" i="2"/>
  <c r="E113" i="2"/>
  <c r="K111" i="2"/>
  <c r="F110" i="2"/>
  <c r="L108" i="2"/>
  <c r="G107" i="2"/>
  <c r="J98" i="2"/>
  <c r="E97" i="2"/>
  <c r="K95" i="2"/>
  <c r="F94" i="2"/>
  <c r="L92" i="2"/>
  <c r="J207" i="2"/>
  <c r="E206" i="2"/>
  <c r="K204" i="2"/>
  <c r="F203" i="2"/>
  <c r="L201" i="2"/>
  <c r="G200" i="2"/>
  <c r="J191" i="2"/>
  <c r="E190" i="2"/>
  <c r="K188" i="2"/>
  <c r="F187" i="2"/>
  <c r="L185" i="2"/>
  <c r="G184" i="2"/>
  <c r="J175" i="2"/>
  <c r="E174" i="2"/>
  <c r="K172" i="2"/>
  <c r="F171" i="2"/>
  <c r="L169" i="2"/>
  <c r="G168" i="2"/>
  <c r="J159" i="2"/>
  <c r="E158" i="2"/>
  <c r="K156" i="2"/>
  <c r="F155" i="2"/>
  <c r="L153" i="2"/>
  <c r="G152" i="2"/>
  <c r="J143" i="2"/>
  <c r="E142" i="2"/>
  <c r="K140" i="2"/>
  <c r="F139" i="2"/>
  <c r="L137" i="2"/>
  <c r="G136" i="2"/>
  <c r="J127" i="2"/>
  <c r="E126" i="2"/>
  <c r="K124" i="2"/>
  <c r="F123" i="2"/>
  <c r="J204" i="2"/>
  <c r="E203" i="2"/>
  <c r="K201" i="2"/>
  <c r="F200" i="2"/>
  <c r="L198" i="2"/>
  <c r="G197" i="2"/>
  <c r="J188" i="2"/>
  <c r="E187" i="2"/>
  <c r="K185" i="2"/>
  <c r="F184" i="2"/>
  <c r="L182" i="2"/>
  <c r="G181" i="2"/>
  <c r="J172" i="2"/>
  <c r="E171" i="2"/>
  <c r="K169" i="2"/>
  <c r="F168" i="2"/>
  <c r="L166" i="2"/>
  <c r="G165" i="2"/>
  <c r="J156" i="2"/>
  <c r="E155" i="2"/>
  <c r="K153" i="2"/>
  <c r="F152" i="2"/>
  <c r="L150" i="2"/>
  <c r="G149" i="2"/>
  <c r="G11" i="2"/>
  <c r="L12" i="2"/>
  <c r="F14" i="2"/>
  <c r="K15" i="2"/>
  <c r="E17" i="2"/>
  <c r="J18" i="2"/>
  <c r="I21" i="2"/>
  <c r="H24" i="2"/>
  <c r="G27" i="2"/>
  <c r="L28" i="2"/>
  <c r="F30" i="2"/>
  <c r="K31" i="2"/>
  <c r="E33" i="2"/>
  <c r="J34" i="2"/>
  <c r="I37" i="2"/>
  <c r="H40" i="2"/>
  <c r="G43" i="2"/>
  <c r="L44" i="2"/>
  <c r="F46" i="2"/>
  <c r="K47" i="2"/>
  <c r="E49" i="2"/>
  <c r="J50" i="2"/>
  <c r="I53" i="2"/>
  <c r="H56" i="2"/>
  <c r="G59" i="2"/>
  <c r="L60" i="2"/>
  <c r="F62" i="2"/>
  <c r="K63" i="2"/>
  <c r="E65" i="2"/>
  <c r="J66" i="2"/>
  <c r="I69" i="2"/>
  <c r="H72" i="2"/>
  <c r="G76" i="2"/>
  <c r="E81" i="2"/>
  <c r="L86" i="2"/>
  <c r="J89" i="2"/>
  <c r="G92" i="2"/>
  <c r="F95" i="2"/>
  <c r="F98" i="2"/>
  <c r="E101" i="2"/>
  <c r="E104" i="2"/>
  <c r="L118" i="2"/>
  <c r="L121" i="2"/>
  <c r="H125" i="2"/>
  <c r="K128" i="2"/>
  <c r="L131" i="2"/>
  <c r="H135" i="2"/>
  <c r="E149" i="2"/>
  <c r="H153" i="2"/>
  <c r="H157" i="2"/>
  <c r="L160" i="2"/>
  <c r="J176" i="2"/>
  <c r="E184" i="2"/>
  <c r="G188" i="2"/>
  <c r="L191" i="2"/>
  <c r="K195" i="2"/>
  <c r="G207" i="2"/>
  <c r="H152" i="2"/>
  <c r="I208" i="2"/>
  <c r="I192" i="2"/>
  <c r="I176" i="2"/>
  <c r="I160" i="2"/>
  <c r="I144" i="2"/>
  <c r="I128" i="2"/>
  <c r="I112" i="2"/>
  <c r="I96" i="2"/>
  <c r="I80" i="2"/>
  <c r="I205" i="2"/>
  <c r="I189" i="2"/>
  <c r="I173" i="2"/>
  <c r="I157" i="2"/>
  <c r="I141" i="2"/>
  <c r="I125" i="2"/>
  <c r="I109" i="2"/>
  <c r="I93" i="2"/>
  <c r="I77" i="2"/>
  <c r="I202" i="2"/>
  <c r="I186" i="2"/>
  <c r="I170" i="2"/>
  <c r="I154" i="2"/>
  <c r="I138" i="2"/>
  <c r="I122" i="2"/>
  <c r="I106" i="2"/>
  <c r="I90" i="2"/>
  <c r="I199" i="2"/>
  <c r="I183" i="2"/>
  <c r="I167" i="2"/>
  <c r="I151" i="2"/>
  <c r="I135" i="2"/>
  <c r="I119" i="2"/>
  <c r="I103" i="2"/>
  <c r="I87" i="2"/>
  <c r="I196" i="2"/>
  <c r="I180" i="2"/>
  <c r="I164" i="2"/>
  <c r="I148" i="2"/>
  <c r="I132" i="2"/>
  <c r="I116" i="2"/>
  <c r="I100" i="2"/>
  <c r="I84" i="2"/>
  <c r="I209" i="2"/>
  <c r="I193" i="2"/>
  <c r="I177" i="2"/>
  <c r="I161" i="2"/>
  <c r="I145" i="2"/>
  <c r="I129" i="2"/>
  <c r="I113" i="2"/>
  <c r="I97" i="2"/>
  <c r="I81" i="2"/>
  <c r="I206" i="2"/>
  <c r="I190" i="2"/>
  <c r="I174" i="2"/>
  <c r="I158" i="2"/>
  <c r="I142" i="2"/>
  <c r="I126" i="2"/>
  <c r="I110" i="2"/>
  <c r="I94" i="2"/>
  <c r="I78" i="2"/>
  <c r="I203" i="2"/>
  <c r="I187" i="2"/>
  <c r="I171" i="2"/>
  <c r="I155" i="2"/>
  <c r="I139" i="2"/>
  <c r="I123" i="2"/>
  <c r="I107" i="2"/>
  <c r="I91" i="2"/>
  <c r="I75" i="2"/>
  <c r="I197" i="2"/>
  <c r="I181" i="2"/>
  <c r="I165" i="2"/>
  <c r="I149" i="2"/>
  <c r="I133" i="2"/>
  <c r="I117" i="2"/>
  <c r="I101" i="2"/>
  <c r="I194" i="2"/>
  <c r="I178" i="2"/>
  <c r="I162" i="2"/>
  <c r="I146" i="2"/>
  <c r="I130" i="2"/>
  <c r="I207" i="2"/>
  <c r="I191" i="2"/>
  <c r="I175" i="2"/>
  <c r="I159" i="2"/>
  <c r="H11" i="2"/>
  <c r="G14" i="2"/>
  <c r="L15" i="2"/>
  <c r="F17" i="2"/>
  <c r="K18" i="2"/>
  <c r="E20" i="2"/>
  <c r="J21" i="2"/>
  <c r="I24" i="2"/>
  <c r="H27" i="2"/>
  <c r="G30" i="2"/>
  <c r="L31" i="2"/>
  <c r="F33" i="2"/>
  <c r="K34" i="2"/>
  <c r="E36" i="2"/>
  <c r="J37" i="2"/>
  <c r="I40" i="2"/>
  <c r="H43" i="2"/>
  <c r="G46" i="2"/>
  <c r="L47" i="2"/>
  <c r="F49" i="2"/>
  <c r="K50" i="2"/>
  <c r="E52" i="2"/>
  <c r="J53" i="2"/>
  <c r="I56" i="2"/>
  <c r="H59" i="2"/>
  <c r="G62" i="2"/>
  <c r="L63" i="2"/>
  <c r="F65" i="2"/>
  <c r="K66" i="2"/>
  <c r="E68" i="2"/>
  <c r="J69" i="2"/>
  <c r="I72" i="2"/>
  <c r="H76" i="2"/>
  <c r="E79" i="2"/>
  <c r="F81" i="2"/>
  <c r="H84" i="2"/>
  <c r="K89" i="2"/>
  <c r="H92" i="2"/>
  <c r="G95" i="2"/>
  <c r="G98" i="2"/>
  <c r="F101" i="2"/>
  <c r="F104" i="2"/>
  <c r="E107" i="2"/>
  <c r="H110" i="2"/>
  <c r="K125" i="2"/>
  <c r="L128" i="2"/>
  <c r="H142" i="2"/>
  <c r="F145" i="2"/>
  <c r="F149" i="2"/>
  <c r="I153" i="2"/>
  <c r="K157" i="2"/>
  <c r="H165" i="2"/>
  <c r="G169" i="2"/>
  <c r="K176" i="2"/>
  <c r="E180" i="2"/>
  <c r="I184" i="2"/>
  <c r="H188" i="2"/>
  <c r="H192" i="2"/>
  <c r="L195" i="2"/>
  <c r="H200" i="2"/>
  <c r="F204" i="2"/>
  <c r="H207" i="2"/>
  <c r="I11" i="2"/>
  <c r="H14" i="2"/>
  <c r="G17" i="2"/>
  <c r="L18" i="2"/>
  <c r="F20" i="2"/>
  <c r="K21" i="2"/>
  <c r="E23" i="2"/>
  <c r="J24" i="2"/>
  <c r="I27" i="2"/>
  <c r="H30" i="2"/>
  <c r="G33" i="2"/>
  <c r="L34" i="2"/>
  <c r="F36" i="2"/>
  <c r="K37" i="2"/>
  <c r="E39" i="2"/>
  <c r="M39" i="2" s="1"/>
  <c r="J40" i="2"/>
  <c r="I43" i="2"/>
  <c r="H46" i="2"/>
  <c r="G49" i="2"/>
  <c r="L50" i="2"/>
  <c r="F52" i="2"/>
  <c r="K53" i="2"/>
  <c r="E55" i="2"/>
  <c r="J56" i="2"/>
  <c r="I59" i="2"/>
  <c r="H62" i="2"/>
  <c r="G65" i="2"/>
  <c r="L66" i="2"/>
  <c r="F68" i="2"/>
  <c r="K69" i="2"/>
  <c r="E71" i="2"/>
  <c r="J72" i="2"/>
  <c r="I76" i="2"/>
  <c r="F79" i="2"/>
  <c r="E84" i="2"/>
  <c r="L89" i="2"/>
  <c r="I92" i="2"/>
  <c r="H95" i="2"/>
  <c r="H98" i="2"/>
  <c r="G101" i="2"/>
  <c r="G104" i="2"/>
  <c r="F107" i="2"/>
  <c r="E110" i="2"/>
  <c r="H113" i="2"/>
  <c r="H119" i="2"/>
  <c r="H122" i="2"/>
  <c r="L125" i="2"/>
  <c r="G142" i="2"/>
  <c r="H146" i="2"/>
  <c r="J149" i="2"/>
  <c r="J153" i="2"/>
  <c r="L157" i="2"/>
  <c r="E165" i="2"/>
  <c r="H169" i="2"/>
  <c r="L176" i="2"/>
  <c r="I188" i="2"/>
  <c r="J192" i="2"/>
  <c r="E200" i="2"/>
  <c r="G204" i="2"/>
  <c r="L207" i="2"/>
  <c r="E10" i="2"/>
  <c r="J11" i="2"/>
  <c r="I14" i="2"/>
  <c r="H17" i="2"/>
  <c r="G20" i="2"/>
  <c r="L21" i="2"/>
  <c r="F23" i="2"/>
  <c r="K24" i="2"/>
  <c r="E26" i="2"/>
  <c r="J27" i="2"/>
  <c r="I30" i="2"/>
  <c r="H33" i="2"/>
  <c r="G36" i="2"/>
  <c r="L37" i="2"/>
  <c r="F39" i="2"/>
  <c r="K40" i="2"/>
  <c r="E42" i="2"/>
  <c r="J43" i="2"/>
  <c r="I46" i="2"/>
  <c r="H49" i="2"/>
  <c r="G52" i="2"/>
  <c r="L53" i="2"/>
  <c r="F55" i="2"/>
  <c r="K56" i="2"/>
  <c r="E58" i="2"/>
  <c r="J59" i="2"/>
  <c r="I62" i="2"/>
  <c r="H65" i="2"/>
  <c r="G68" i="2"/>
  <c r="L69" i="2"/>
  <c r="F71" i="2"/>
  <c r="K72" i="2"/>
  <c r="G74" i="2"/>
  <c r="J76" i="2"/>
  <c r="G79" i="2"/>
  <c r="E82" i="2"/>
  <c r="H87" i="2"/>
  <c r="J92" i="2"/>
  <c r="I95" i="2"/>
  <c r="I98" i="2"/>
  <c r="H101" i="2"/>
  <c r="I104" i="2"/>
  <c r="H107" i="2"/>
  <c r="G110" i="2"/>
  <c r="F113" i="2"/>
  <c r="E116" i="2"/>
  <c r="L122" i="2"/>
  <c r="E132" i="2"/>
  <c r="H136" i="2"/>
  <c r="E139" i="2"/>
  <c r="E146" i="2"/>
  <c r="F161" i="2"/>
  <c r="F165" i="2"/>
  <c r="I169" i="2"/>
  <c r="K173" i="2"/>
  <c r="H181" i="2"/>
  <c r="G185" i="2"/>
  <c r="K192" i="2"/>
  <c r="E196" i="2"/>
  <c r="I200" i="2"/>
  <c r="H204" i="2"/>
  <c r="H208" i="2"/>
  <c r="H78" i="2"/>
  <c r="F10" i="2"/>
  <c r="K11" i="2"/>
  <c r="E13" i="2"/>
  <c r="J14" i="2"/>
  <c r="I17" i="2"/>
  <c r="H20" i="2"/>
  <c r="G23" i="2"/>
  <c r="L24" i="2"/>
  <c r="F26" i="2"/>
  <c r="K27" i="2"/>
  <c r="E29" i="2"/>
  <c r="J30" i="2"/>
  <c r="I33" i="2"/>
  <c r="G39" i="2"/>
  <c r="L40" i="2"/>
  <c r="F42" i="2"/>
  <c r="K43" i="2"/>
  <c r="E45" i="2"/>
  <c r="J46" i="2"/>
  <c r="I49" i="2"/>
  <c r="G55" i="2"/>
  <c r="L56" i="2"/>
  <c r="F58" i="2"/>
  <c r="K59" i="2"/>
  <c r="E61" i="2"/>
  <c r="J62" i="2"/>
  <c r="I65" i="2"/>
  <c r="G71" i="2"/>
  <c r="L72" i="2"/>
  <c r="H74" i="2"/>
  <c r="K76" i="2"/>
  <c r="H79" i="2"/>
  <c r="F82" i="2"/>
  <c r="K92" i="2"/>
  <c r="J95" i="2"/>
  <c r="K98" i="2"/>
  <c r="J101" i="2"/>
  <c r="E136" i="2"/>
  <c r="H139" i="2"/>
  <c r="E143" i="2"/>
  <c r="F146" i="2"/>
  <c r="H150" i="2"/>
  <c r="H154" i="2"/>
  <c r="H162" i="2"/>
  <c r="J165" i="2"/>
  <c r="J169" i="2"/>
  <c r="L173" i="2"/>
  <c r="E181" i="2"/>
  <c r="H185" i="2"/>
  <c r="H189" i="2"/>
  <c r="L192" i="2"/>
  <c r="I204" i="2"/>
  <c r="J208" i="2"/>
  <c r="G10" i="2"/>
  <c r="L11" i="2"/>
  <c r="F13" i="2"/>
  <c r="K14" i="2"/>
  <c r="E16" i="2"/>
  <c r="J17" i="2"/>
  <c r="I20" i="2"/>
  <c r="G26" i="2"/>
  <c r="L27" i="2"/>
  <c r="F29" i="2"/>
  <c r="K30" i="2"/>
  <c r="E32" i="2"/>
  <c r="J33" i="2"/>
  <c r="I36" i="2"/>
  <c r="M40" i="2"/>
  <c r="G42" i="2"/>
  <c r="L43" i="2"/>
  <c r="F45" i="2"/>
  <c r="K46" i="2"/>
  <c r="E48" i="2"/>
  <c r="J49" i="2"/>
  <c r="I52" i="2"/>
  <c r="G58" i="2"/>
  <c r="L59" i="2"/>
  <c r="F61" i="2"/>
  <c r="K62" i="2"/>
  <c r="E64" i="2"/>
  <c r="J65" i="2"/>
  <c r="I68" i="2"/>
  <c r="I74" i="2"/>
  <c r="L76" i="2"/>
  <c r="I79" i="2"/>
  <c r="G82" i="2"/>
  <c r="E85" i="2"/>
  <c r="H90" i="2"/>
  <c r="L95" i="2"/>
  <c r="H99" i="2"/>
  <c r="G105" i="2"/>
  <c r="F108" i="2"/>
  <c r="E111" i="2"/>
  <c r="E114" i="2"/>
  <c r="H120" i="2"/>
  <c r="H126" i="2"/>
  <c r="F129" i="2"/>
  <c r="H133" i="2"/>
  <c r="F136" i="2"/>
  <c r="F143" i="2"/>
  <c r="G146" i="2"/>
  <c r="I150" i="2"/>
  <c r="L154" i="2"/>
  <c r="E162" i="2"/>
  <c r="F177" i="2"/>
  <c r="F181" i="2"/>
  <c r="I185" i="2"/>
  <c r="K189" i="2"/>
  <c r="H197" i="2"/>
  <c r="G201" i="2"/>
  <c r="K208" i="2"/>
  <c r="G13" i="2"/>
  <c r="L14" i="2"/>
  <c r="F16" i="2"/>
  <c r="K17" i="2"/>
  <c r="E19" i="2"/>
  <c r="J20" i="2"/>
  <c r="I23" i="2"/>
  <c r="G29" i="2"/>
  <c r="L30" i="2"/>
  <c r="F32" i="2"/>
  <c r="K33" i="2"/>
  <c r="E35" i="2"/>
  <c r="J36" i="2"/>
  <c r="I39" i="2"/>
  <c r="G45" i="2"/>
  <c r="L46" i="2"/>
  <c r="F48" i="2"/>
  <c r="K49" i="2"/>
  <c r="E51" i="2"/>
  <c r="J52" i="2"/>
  <c r="I55" i="2"/>
  <c r="G61" i="2"/>
  <c r="L62" i="2"/>
  <c r="F64" i="2"/>
  <c r="K65" i="2"/>
  <c r="E67" i="2"/>
  <c r="J68" i="2"/>
  <c r="I71" i="2"/>
  <c r="L74" i="2"/>
  <c r="J79" i="2"/>
  <c r="H82" i="2"/>
  <c r="F85" i="2"/>
  <c r="L90" i="2"/>
  <c r="H93" i="2"/>
  <c r="H96" i="2"/>
  <c r="I99" i="2"/>
  <c r="H102" i="2"/>
  <c r="H105" i="2"/>
  <c r="G108" i="2"/>
  <c r="F111" i="2"/>
  <c r="F114" i="2"/>
  <c r="E117" i="2"/>
  <c r="E120" i="2"/>
  <c r="G126" i="2"/>
  <c r="E133" i="2"/>
  <c r="I136" i="2"/>
  <c r="F140" i="2"/>
  <c r="G143" i="2"/>
  <c r="K146" i="2"/>
  <c r="J150" i="2"/>
  <c r="G158" i="2"/>
  <c r="F162" i="2"/>
  <c r="H166" i="2"/>
  <c r="H170" i="2"/>
  <c r="H178" i="2"/>
  <c r="J181" i="2"/>
  <c r="J185" i="2"/>
  <c r="L189" i="2"/>
  <c r="E197" i="2"/>
  <c r="H201" i="2"/>
  <c r="H205" i="2"/>
  <c r="L208" i="2"/>
  <c r="I10" i="2"/>
  <c r="G16" i="2"/>
  <c r="L17" i="2"/>
  <c r="F19" i="2"/>
  <c r="K20" i="2"/>
  <c r="E22" i="2"/>
  <c r="J23" i="2"/>
  <c r="I26" i="2"/>
  <c r="G32" i="2"/>
  <c r="L33" i="2"/>
  <c r="F35" i="2"/>
  <c r="K36" i="2"/>
  <c r="E38" i="2"/>
  <c r="J39" i="2"/>
  <c r="I42" i="2"/>
  <c r="G48" i="2"/>
  <c r="L49" i="2"/>
  <c r="F51" i="2"/>
  <c r="K52" i="2"/>
  <c r="E54" i="2"/>
  <c r="J55" i="2"/>
  <c r="I58" i="2"/>
  <c r="G64" i="2"/>
  <c r="L65" i="2"/>
  <c r="F67" i="2"/>
  <c r="K68" i="2"/>
  <c r="E70" i="2"/>
  <c r="J71" i="2"/>
  <c r="H77" i="2"/>
  <c r="K79" i="2"/>
  <c r="I82" i="2"/>
  <c r="G85" i="2"/>
  <c r="E88" i="2"/>
  <c r="K93" i="2"/>
  <c r="J96" i="2"/>
  <c r="J99" i="2"/>
  <c r="I102" i="2"/>
  <c r="I105" i="2"/>
  <c r="H108" i="2"/>
  <c r="G111" i="2"/>
  <c r="G114" i="2"/>
  <c r="F117" i="2"/>
  <c r="F120" i="2"/>
  <c r="E123" i="2"/>
  <c r="E130" i="2"/>
  <c r="F133" i="2"/>
  <c r="G140" i="2"/>
  <c r="H143" i="2"/>
  <c r="H147" i="2"/>
  <c r="K150" i="2"/>
  <c r="G162" i="2"/>
  <c r="I166" i="2"/>
  <c r="L170" i="2"/>
  <c r="E178" i="2"/>
  <c r="F193" i="2"/>
  <c r="F197" i="2"/>
  <c r="I201" i="2"/>
  <c r="K205" i="2"/>
  <c r="I12" i="2"/>
  <c r="J10" i="2"/>
  <c r="I13" i="2"/>
  <c r="G19" i="2"/>
  <c r="L20" i="2"/>
  <c r="F22" i="2"/>
  <c r="K23" i="2"/>
  <c r="E25" i="2"/>
  <c r="J26" i="2"/>
  <c r="I29" i="2"/>
  <c r="G35" i="2"/>
  <c r="L36" i="2"/>
  <c r="F38" i="2"/>
  <c r="K39" i="2"/>
  <c r="E41" i="2"/>
  <c r="J42" i="2"/>
  <c r="I45" i="2"/>
  <c r="G51" i="2"/>
  <c r="L52" i="2"/>
  <c r="F54" i="2"/>
  <c r="K55" i="2"/>
  <c r="E57" i="2"/>
  <c r="J58" i="2"/>
  <c r="I61" i="2"/>
  <c r="G67" i="2"/>
  <c r="L68" i="2"/>
  <c r="F70" i="2"/>
  <c r="K71" i="2"/>
  <c r="E73" i="2"/>
  <c r="K77" i="2"/>
  <c r="L79" i="2"/>
  <c r="J82" i="2"/>
  <c r="H85" i="2"/>
  <c r="F88" i="2"/>
  <c r="L93" i="2"/>
  <c r="K96" i="2"/>
  <c r="K99" i="2"/>
  <c r="J102" i="2"/>
  <c r="J105" i="2"/>
  <c r="I108" i="2"/>
  <c r="H111" i="2"/>
  <c r="H114" i="2"/>
  <c r="G117" i="2"/>
  <c r="G120" i="2"/>
  <c r="H123" i="2"/>
  <c r="E127" i="2"/>
  <c r="F130" i="2"/>
  <c r="G133" i="2"/>
  <c r="G137" i="2"/>
  <c r="H140" i="2"/>
  <c r="I143" i="2"/>
  <c r="I147" i="2"/>
  <c r="H151" i="2"/>
  <c r="E159" i="2"/>
  <c r="K162" i="2"/>
  <c r="J166" i="2"/>
  <c r="G174" i="2"/>
  <c r="F178" i="2"/>
  <c r="H182" i="2"/>
  <c r="H186" i="2"/>
  <c r="H194" i="2"/>
  <c r="J197" i="2"/>
  <c r="J201" i="2"/>
  <c r="L205" i="2"/>
  <c r="H158" i="2"/>
  <c r="H174" i="2"/>
  <c r="H190" i="2"/>
  <c r="H206" i="2"/>
  <c r="H129" i="2"/>
  <c r="H145" i="2"/>
  <c r="H161" i="2"/>
  <c r="H177" i="2"/>
  <c r="H193" i="2"/>
  <c r="H209" i="2"/>
  <c r="H100" i="2"/>
  <c r="H116" i="2"/>
  <c r="H132" i="2"/>
  <c r="H148" i="2"/>
  <c r="H164" i="2"/>
  <c r="H180" i="2"/>
  <c r="H196" i="2"/>
</calcChain>
</file>

<file path=xl/sharedStrings.xml><?xml version="1.0" encoding="utf-8"?>
<sst xmlns="http://schemas.openxmlformats.org/spreadsheetml/2006/main" count="139" uniqueCount="111">
  <si>
    <t>製程管制（SPC）日常紀錄暨稽核表單</t>
  </si>
  <si>
    <t>表單編號：MR12-03(001)A</t>
  </si>
  <si>
    <t>版本：A</t>
  </si>
  <si>
    <t>生效日：2025-12-01</t>
    <phoneticPr fontId="5" type="noConversion"/>
  </si>
  <si>
    <t>頁次：1 / 1</t>
  </si>
  <si>
    <t>一、基本資訊</t>
  </si>
  <si>
    <t>產品/料號：</t>
    <phoneticPr fontId="5" type="noConversion"/>
  </si>
  <si>
    <t>製程站點/步驟：洗淨後品檢</t>
    <phoneticPr fontId="5" type="noConversion"/>
  </si>
  <si>
    <t>機台編號：JE-01、JE-02</t>
    <phoneticPr fontId="5" type="noConversion"/>
  </si>
  <si>
    <t>Recipe/條件：產品參數001/ Wafer12”-2L4P</t>
    <phoneticPr fontId="5" type="noConversion"/>
  </si>
  <si>
    <t>CTQ項目/量測特性：詳總結報告</t>
    <phoneticPr fontId="5" type="noConversion"/>
  </si>
  <si>
    <t>量測單位：品管課</t>
    <phoneticPr fontId="5" type="noConversion"/>
  </si>
  <si>
    <t>量測設備/治具：AOI、TTV</t>
    <phoneticPr fontId="5" type="noConversion"/>
  </si>
  <si>
    <t>量測頻率：全檢</t>
    <phoneticPr fontId="5" type="noConversion"/>
  </si>
  <si>
    <t>規格 LSL：詳總結報告</t>
    <phoneticPr fontId="5" type="noConversion"/>
  </si>
  <si>
    <t>規格 USL：詳總結報告</t>
    <phoneticPr fontId="5" type="noConversion"/>
  </si>
  <si>
    <t>目標值(可選)：詳總結報告</t>
    <phoneticPr fontId="5" type="noConversion"/>
  </si>
  <si>
    <t>抽樣計畫(每次n)：全檢</t>
    <phoneticPr fontId="5" type="noConversion"/>
  </si>
  <si>
    <t>管制圖類型：詳總結報告</t>
    <phoneticPr fontId="5" type="noConversion"/>
  </si>
  <si>
    <t>備註：</t>
    <phoneticPr fontId="5" type="noConversion"/>
  </si>
  <si>
    <t>二、SPC設定與能力目標（稽核重點）</t>
  </si>
  <si>
    <r>
      <t>異常判定規則：</t>
    </r>
    <r>
      <rPr>
        <sz val="11"/>
        <color theme="1"/>
        <rFont val="細明體"/>
        <family val="3"/>
      </rPr>
      <t>■</t>
    </r>
    <r>
      <rPr>
        <sz val="11"/>
        <color theme="1"/>
        <rFont val="新細明體"/>
        <family val="2"/>
        <scheme val="minor"/>
      </rPr>
      <t xml:space="preserve"> 超出UCL/LCL  ■ 連續趨勢  ■連續同側  □ 其他：______________</t>
    </r>
    <phoneticPr fontId="5" type="noConversion"/>
  </si>
  <si>
    <r>
      <t xml:space="preserve">B. </t>
    </r>
    <r>
      <rPr>
        <b/>
        <sz val="11"/>
        <rFont val="Microsoft JhengHei"/>
        <family val="2"/>
        <charset val="136"/>
      </rPr>
      <t>本次執行之</t>
    </r>
    <r>
      <rPr>
        <b/>
        <sz val="11"/>
        <rFont val="Calibri"/>
        <family val="2"/>
      </rPr>
      <t xml:space="preserve"> SPC </t>
    </r>
    <r>
      <rPr>
        <b/>
        <sz val="11"/>
        <rFont val="Microsoft JhengHei"/>
        <family val="2"/>
        <charset val="136"/>
      </rPr>
      <t>項目（勾選</t>
    </r>
    <r>
      <rPr>
        <b/>
        <sz val="11"/>
        <rFont val="Calibri"/>
        <family val="2"/>
      </rPr>
      <t>/</t>
    </r>
    <r>
      <rPr>
        <b/>
        <sz val="11"/>
        <rFont val="Microsoft JhengHei"/>
        <family val="2"/>
        <charset val="136"/>
      </rPr>
      <t>填寫）</t>
    </r>
    <phoneticPr fontId="5" type="noConversion"/>
  </si>
  <si>
    <r>
      <rPr>
        <sz val="11"/>
        <color rgb="FF000000"/>
        <rFont val="Segoe UI Symbol"/>
        <family val="2"/>
      </rPr>
      <t>☑</t>
    </r>
    <r>
      <rPr>
        <sz val="11"/>
        <color rgb="FF000000"/>
        <rFont val="PMingLiU"/>
        <family val="1"/>
        <charset val="136"/>
      </rPr>
      <t xml:space="preserve"> AOI </t>
    </r>
    <r>
      <rPr>
        <sz val="11"/>
        <color rgb="FF000000"/>
        <rFont val="Segoe UI Symbol"/>
        <family val="2"/>
      </rPr>
      <t>☑</t>
    </r>
    <r>
      <rPr>
        <sz val="11"/>
        <color rgb="FF000000"/>
        <rFont val="Calibri"/>
        <family val="2"/>
      </rPr>
      <t xml:space="preserve"> TTV </t>
    </r>
    <r>
      <rPr>
        <sz val="11"/>
        <color rgb="FF000000"/>
        <rFont val="Segoe UI Symbol"/>
        <family val="2"/>
      </rPr>
      <t>☑</t>
    </r>
    <r>
      <rPr>
        <sz val="11"/>
        <color rgb="FF000000"/>
        <rFont val="Calibri"/>
        <family val="2"/>
      </rPr>
      <t xml:space="preserve"> Thickness</t>
    </r>
    <phoneticPr fontId="5" type="noConversion"/>
  </si>
  <si>
    <t>三、佐證附件</t>
    <phoneticPr fontId="5" type="noConversion"/>
  </si>
  <si>
    <t>■ 管制圖（u/u′/X̄-R/I-MR）  ■ 原始量測資料  □ 異常處置/8D或CAPA   □ 其他：__________</t>
    <phoneticPr fontId="5" type="noConversion"/>
  </si>
  <si>
    <t>備註：本表單用於日常SPC紀錄與稽核佐證。建議每一CTQ項目建立一本表單（或一個檔案），並與最新版管制圖報告一併保存。</t>
  </si>
  <si>
    <t>SPC Summary (Updated: AOI dynamic u + Laney u′)</t>
    <phoneticPr fontId="5" type="noConversion"/>
  </si>
  <si>
    <t>量測設備</t>
    <phoneticPr fontId="5" type="noConversion"/>
  </si>
  <si>
    <t>Chart Type</t>
  </si>
  <si>
    <t>n</t>
  </si>
  <si>
    <t>LSL</t>
  </si>
  <si>
    <t>USL</t>
  </si>
  <si>
    <t>Mean</t>
  </si>
  <si>
    <r>
      <rPr>
        <b/>
        <sz val="11"/>
        <rFont val="Calibri"/>
        <family val="2"/>
      </rPr>
      <t>σ</t>
    </r>
    <r>
      <rPr>
        <b/>
        <sz val="11"/>
        <rFont val="新細明體"/>
        <family val="1"/>
        <charset val="136"/>
      </rPr>
      <t>w(within)</t>
    </r>
    <phoneticPr fontId="5" type="noConversion"/>
  </si>
  <si>
    <t>σ(overall)</t>
  </si>
  <si>
    <t>Cp</t>
    <phoneticPr fontId="5" type="noConversion"/>
  </si>
  <si>
    <t>Cpk</t>
  </si>
  <si>
    <t>OOS 超規</t>
    <phoneticPr fontId="5" type="noConversion"/>
  </si>
  <si>
    <t>判定(OOC)</t>
  </si>
  <si>
    <t>AOI</t>
  </si>
  <si>
    <t>c/u + Laney u′</t>
  </si>
  <si>
    <t>□Y ■N</t>
    <phoneticPr fontId="5" type="noConversion"/>
  </si>
  <si>
    <t>X̄–R</t>
  </si>
  <si>
    <t>695(um)</t>
    <phoneticPr fontId="5" type="noConversion"/>
  </si>
  <si>
    <t>705(um)</t>
    <phoneticPr fontId="5" type="noConversion"/>
  </si>
  <si>
    <t>TTV</t>
    <phoneticPr fontId="5" type="noConversion"/>
  </si>
  <si>
    <t>I–MR</t>
  </si>
  <si>
    <t>0(um)</t>
    <phoneticPr fontId="5" type="noConversion"/>
  </si>
  <si>
    <t>1(um)</t>
    <phoneticPr fontId="5" type="noConversion"/>
  </si>
  <si>
    <t>AOI - Dynamic u Chart + Laney u′ (Editable n_i)</t>
  </si>
  <si>
    <t>Settings</t>
  </si>
  <si>
    <t>c Chart Quick Stats</t>
  </si>
  <si>
    <t>Capability LSL</t>
  </si>
  <si>
    <t>c̄</t>
  </si>
  <si>
    <t>Capability USL</t>
  </si>
  <si>
    <t>UCL(c)</t>
  </si>
  <si>
    <t>Instruction</t>
  </si>
  <si>
    <t>在資料表欄位 n_i 填入每筆樣本之檢測機會數/面積/視野數；u、UCL/LCL與Laney u′會自動更新。</t>
  </si>
  <si>
    <t>ubar</t>
  </si>
  <si>
    <t>sigma_z (Laney)</t>
  </si>
  <si>
    <t>LCL(c)</t>
  </si>
  <si>
    <t>Sample</t>
  </si>
  <si>
    <t>c (count)</t>
  </si>
  <si>
    <t>n_i</t>
  </si>
  <si>
    <t>u</t>
  </si>
  <si>
    <t>UCL(u)</t>
  </si>
  <si>
    <t>CL(u)</t>
  </si>
  <si>
    <t>LCL(u)</t>
  </si>
  <si>
    <t>z</t>
  </si>
  <si>
    <t>sigma_z</t>
  </si>
  <si>
    <t>UCL(u′)</t>
  </si>
  <si>
    <t>CL(u′)</t>
  </si>
  <si>
    <t>LCL(u′)</t>
  </si>
  <si>
    <t>OOC(u)</t>
  </si>
  <si>
    <t>OOC(u′)</t>
  </si>
  <si>
    <t>Thickness - X̄–R Control Charts + Capability</t>
  </si>
  <si>
    <t>Limits / Constants</t>
  </si>
  <si>
    <t>X̄̄</t>
  </si>
  <si>
    <t>R̄</t>
  </si>
  <si>
    <t>Subgroup n</t>
  </si>
  <si>
    <t>UCLx</t>
  </si>
  <si>
    <t>Subgroups k</t>
  </si>
  <si>
    <t>LCLx</t>
  </si>
  <si>
    <t>UCLr</t>
  </si>
  <si>
    <t>Subgroup</t>
  </si>
  <si>
    <t>X̄</t>
  </si>
  <si>
    <t>R</t>
  </si>
  <si>
    <t>CLx</t>
  </si>
  <si>
    <t>CLr</t>
  </si>
  <si>
    <t>LCLr</t>
  </si>
  <si>
    <t>Capability Summary</t>
  </si>
  <si>
    <t>σw</t>
  </si>
  <si>
    <t>σ</t>
  </si>
  <si>
    <t>Cp</t>
  </si>
  <si>
    <t>Pp</t>
  </si>
  <si>
    <t>Ppk</t>
  </si>
  <si>
    <t>OOS</t>
  </si>
  <si>
    <t>TTV - I–MR Control Charts + Capability</t>
  </si>
  <si>
    <t>TTV</t>
  </si>
  <si>
    <t>UCL(I)</t>
  </si>
  <si>
    <t>CL(I)</t>
  </si>
  <si>
    <t>LCL(I)</t>
  </si>
  <si>
    <t>CL(MR)</t>
  </si>
  <si>
    <t>LCL(MR)</t>
  </si>
  <si>
    <t>Thickness</t>
    <phoneticPr fontId="5" type="noConversion"/>
  </si>
  <si>
    <t>填表人(品管課)：____________  日期：</t>
    <phoneticPr fontId="5" type="noConversion"/>
  </si>
  <si>
    <t>審核人(管理部)：____________  日期：</t>
    <phoneticPr fontId="5" type="noConversion"/>
  </si>
  <si>
    <t>核准(協理)：____________  日期：</t>
    <phoneticPr fontId="5" type="noConversion"/>
  </si>
  <si>
    <r>
      <t>Cp</t>
    </r>
    <r>
      <rPr>
        <b/>
        <sz val="11"/>
        <color theme="1"/>
        <rFont val="Adobe Myungjo Std M"/>
        <family val="1"/>
        <charset val="128"/>
      </rPr>
      <t>≥</t>
    </r>
    <r>
      <rPr>
        <b/>
        <sz val="11"/>
        <color theme="1"/>
        <rFont val="PMingLiU"/>
        <family val="1"/>
        <charset val="136"/>
      </rPr>
      <t xml:space="preserve"> 1.67</t>
    </r>
    <phoneticPr fontId="5" type="noConversion"/>
  </si>
  <si>
    <r>
      <t xml:space="preserve">Cpk </t>
    </r>
    <r>
      <rPr>
        <b/>
        <sz val="11"/>
        <color theme="1"/>
        <rFont val="Adobe Myungjo Std M"/>
        <family val="1"/>
        <charset val="128"/>
      </rPr>
      <t>≥</t>
    </r>
    <r>
      <rPr>
        <b/>
        <sz val="11"/>
        <color theme="1"/>
        <rFont val="PMingLiU"/>
        <family val="1"/>
        <charset val="136"/>
      </rPr>
      <t xml:space="preserve"> 1.67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</si>
</sst>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0.00_ "/>
  </numFmts>
  <fonts count="16">
    <font>
      <sz val="11"/>
      <color theme="1"/>
      <name val="新細明體"/>
      <family val="2"/>
      <scheme val="minor"/>
    </font>
    <font>
      <b/>
      <sz val="16"/>
      <name val="新細明體"/>
      <family val="1"/>
      <charset val="136"/>
    </font>
    <font>
      <b/>
      <sz val="11"/>
      <name val="新細明體"/>
      <family val="1"/>
      <charset val="136"/>
    </font>
    <font>
      <b/>
      <sz val="13"/>
      <name val="新細明體"/>
      <family val="1"/>
      <charset val="136"/>
    </font>
    <font>
      <b/>
      <sz val="12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PMingLiU"/>
      <family val="1"/>
      <charset val="136"/>
    </font>
    <font>
      <sz val="11"/>
      <color theme="1"/>
      <name val="細明體"/>
      <family val="3"/>
    </font>
    <font>
      <b/>
      <sz val="11"/>
      <name val="Calibri"/>
      <family val="2"/>
    </font>
    <font>
      <b/>
      <sz val="11"/>
      <name val="Microsoft JhengHei"/>
      <family val="2"/>
      <charset val="136"/>
    </font>
    <font>
      <sz val="11"/>
      <color rgb="FF000000"/>
      <name val="Segoe UI Symbol"/>
      <family val="2"/>
    </font>
    <font>
      <sz val="11"/>
      <color rgb="FF000000"/>
      <name val="PMingLiU"/>
      <family val="1"/>
      <charset val="136"/>
    </font>
    <font>
      <sz val="11"/>
      <color rgb="FF000000"/>
      <name val="新細明體"/>
      <family val="2"/>
    </font>
    <font>
      <sz val="11"/>
      <color rgb="FF000000"/>
      <name val="Calibri"/>
      <family val="2"/>
    </font>
    <font>
      <b/>
      <sz val="11"/>
      <name val="新細明體"/>
      <family val="2"/>
    </font>
    <font>
      <b/>
      <sz val="11"/>
      <color theme="1"/>
      <name val="Adobe Myungjo Std M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2F2F2"/>
        <bgColor rgb="FF000000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/>
    <xf numFmtId="0" fontId="2" fillId="0" borderId="0" xfId="0" applyFont="1"/>
    <xf numFmtId="176" fontId="0" fillId="0" borderId="0" xfId="0" applyNumberFormat="1"/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77" fontId="0" fillId="0" borderId="3" xfId="0" applyNumberFormat="1" applyBorder="1" applyAlignment="1">
      <alignment horizontal="center" vertical="center" wrapText="1"/>
    </xf>
    <xf numFmtId="177" fontId="0" fillId="0" borderId="7" xfId="0" applyNumberFormat="1" applyBorder="1" applyAlignment="1">
      <alignment horizontal="center" vertical="center" wrapText="1"/>
    </xf>
    <xf numFmtId="177" fontId="0" fillId="0" borderId="9" xfId="0" applyNumberFormat="1" applyBorder="1" applyAlignment="1">
      <alignment horizontal="center" vertical="center" wrapText="1"/>
    </xf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2" fillId="0" borderId="1" xfId="0" applyFont="1" applyBorder="1" applyAlignment="1"/>
    <xf numFmtId="0" fontId="2" fillId="4" borderId="1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1" fillId="3" borderId="1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8" fillId="5" borderId="4" xfId="0" applyFont="1" applyFill="1" applyBorder="1" applyAlignment="1">
      <alignment horizontal="left" vertical="top" wrapText="1"/>
    </xf>
    <xf numFmtId="0" fontId="8" fillId="5" borderId="0" xfId="0" applyFont="1" applyFill="1" applyBorder="1" applyAlignment="1">
      <alignment horizontal="left" vertical="top" wrapText="1"/>
    </xf>
    <xf numFmtId="0" fontId="8" fillId="5" borderId="5" xfId="0" applyFont="1" applyFill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Laney u′ Chart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AOI_u_Laney!$D$9</c:f>
              <c:strCache>
                <c:ptCount val="1"/>
                <c:pt idx="0">
                  <c:v>u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AOI_u_Laney!$D$10:$D$209</c:f>
              <c:numCache>
                <c:formatCode>0.0000</c:formatCode>
                <c:ptCount val="200"/>
                <c:pt idx="0">
                  <c:v>275</c:v>
                </c:pt>
                <c:pt idx="1">
                  <c:v>124</c:v>
                </c:pt>
                <c:pt idx="2">
                  <c:v>147</c:v>
                </c:pt>
                <c:pt idx="3">
                  <c:v>146</c:v>
                </c:pt>
                <c:pt idx="4">
                  <c:v>172</c:v>
                </c:pt>
                <c:pt idx="5">
                  <c:v>158</c:v>
                </c:pt>
                <c:pt idx="6">
                  <c:v>162</c:v>
                </c:pt>
                <c:pt idx="7">
                  <c:v>162</c:v>
                </c:pt>
                <c:pt idx="8">
                  <c:v>203</c:v>
                </c:pt>
                <c:pt idx="9">
                  <c:v>239</c:v>
                </c:pt>
                <c:pt idx="10">
                  <c:v>228</c:v>
                </c:pt>
                <c:pt idx="11">
                  <c:v>210</c:v>
                </c:pt>
                <c:pt idx="12">
                  <c:v>206</c:v>
                </c:pt>
                <c:pt idx="13">
                  <c:v>221</c:v>
                </c:pt>
                <c:pt idx="14">
                  <c:v>214</c:v>
                </c:pt>
                <c:pt idx="15">
                  <c:v>242</c:v>
                </c:pt>
                <c:pt idx="16">
                  <c:v>247</c:v>
                </c:pt>
                <c:pt idx="17">
                  <c:v>252</c:v>
                </c:pt>
                <c:pt idx="18">
                  <c:v>298</c:v>
                </c:pt>
                <c:pt idx="19">
                  <c:v>260</c:v>
                </c:pt>
                <c:pt idx="20">
                  <c:v>79</c:v>
                </c:pt>
                <c:pt idx="21">
                  <c:v>71</c:v>
                </c:pt>
                <c:pt idx="22">
                  <c:v>86</c:v>
                </c:pt>
                <c:pt idx="23">
                  <c:v>70</c:v>
                </c:pt>
                <c:pt idx="24">
                  <c:v>77</c:v>
                </c:pt>
                <c:pt idx="25">
                  <c:v>158</c:v>
                </c:pt>
                <c:pt idx="26">
                  <c:v>78</c:v>
                </c:pt>
                <c:pt idx="27">
                  <c:v>70</c:v>
                </c:pt>
                <c:pt idx="28">
                  <c:v>172</c:v>
                </c:pt>
                <c:pt idx="29">
                  <c:v>188</c:v>
                </c:pt>
                <c:pt idx="30">
                  <c:v>225</c:v>
                </c:pt>
                <c:pt idx="31">
                  <c:v>138</c:v>
                </c:pt>
                <c:pt idx="32">
                  <c:v>136</c:v>
                </c:pt>
                <c:pt idx="33">
                  <c:v>135</c:v>
                </c:pt>
                <c:pt idx="34">
                  <c:v>118</c:v>
                </c:pt>
                <c:pt idx="35">
                  <c:v>160</c:v>
                </c:pt>
                <c:pt idx="36">
                  <c:v>125</c:v>
                </c:pt>
                <c:pt idx="37">
                  <c:v>154</c:v>
                </c:pt>
                <c:pt idx="38">
                  <c:v>129</c:v>
                </c:pt>
                <c:pt idx="39">
                  <c:v>167</c:v>
                </c:pt>
                <c:pt idx="40">
                  <c:v>63</c:v>
                </c:pt>
                <c:pt idx="41">
                  <c:v>110</c:v>
                </c:pt>
                <c:pt idx="42">
                  <c:v>150</c:v>
                </c:pt>
                <c:pt idx="43">
                  <c:v>150</c:v>
                </c:pt>
                <c:pt idx="44">
                  <c:v>134</c:v>
                </c:pt>
                <c:pt idx="45">
                  <c:v>147</c:v>
                </c:pt>
                <c:pt idx="46">
                  <c:v>136</c:v>
                </c:pt>
                <c:pt idx="47">
                  <c:v>185</c:v>
                </c:pt>
                <c:pt idx="48">
                  <c:v>183</c:v>
                </c:pt>
                <c:pt idx="49">
                  <c:v>230</c:v>
                </c:pt>
                <c:pt idx="50">
                  <c:v>30</c:v>
                </c:pt>
                <c:pt idx="51">
                  <c:v>237</c:v>
                </c:pt>
                <c:pt idx="52">
                  <c:v>228</c:v>
                </c:pt>
                <c:pt idx="53">
                  <c:v>226</c:v>
                </c:pt>
                <c:pt idx="54">
                  <c:v>235</c:v>
                </c:pt>
                <c:pt idx="55">
                  <c:v>68</c:v>
                </c:pt>
                <c:pt idx="56">
                  <c:v>71</c:v>
                </c:pt>
                <c:pt idx="57">
                  <c:v>67</c:v>
                </c:pt>
                <c:pt idx="58">
                  <c:v>67</c:v>
                </c:pt>
                <c:pt idx="59">
                  <c:v>101</c:v>
                </c:pt>
                <c:pt idx="60">
                  <c:v>97</c:v>
                </c:pt>
                <c:pt idx="61">
                  <c:v>124</c:v>
                </c:pt>
                <c:pt idx="62">
                  <c:v>148</c:v>
                </c:pt>
                <c:pt idx="63">
                  <c:v>141</c:v>
                </c:pt>
                <c:pt idx="64">
                  <c:v>105</c:v>
                </c:pt>
                <c:pt idx="65">
                  <c:v>204</c:v>
                </c:pt>
                <c:pt idx="66">
                  <c:v>146</c:v>
                </c:pt>
                <c:pt idx="67">
                  <c:v>62</c:v>
                </c:pt>
                <c:pt idx="68">
                  <c:v>64</c:v>
                </c:pt>
                <c:pt idx="69">
                  <c:v>248</c:v>
                </c:pt>
                <c:pt idx="70">
                  <c:v>259</c:v>
                </c:pt>
                <c:pt idx="71">
                  <c:v>46</c:v>
                </c:pt>
                <c:pt idx="72">
                  <c:v>118</c:v>
                </c:pt>
                <c:pt idx="73">
                  <c:v>124</c:v>
                </c:pt>
                <c:pt idx="74">
                  <c:v>146</c:v>
                </c:pt>
                <c:pt idx="75">
                  <c:v>30</c:v>
                </c:pt>
                <c:pt idx="76">
                  <c:v>237</c:v>
                </c:pt>
                <c:pt idx="77">
                  <c:v>228</c:v>
                </c:pt>
                <c:pt idx="78">
                  <c:v>226</c:v>
                </c:pt>
                <c:pt idx="79">
                  <c:v>235</c:v>
                </c:pt>
                <c:pt idx="80">
                  <c:v>68</c:v>
                </c:pt>
                <c:pt idx="81">
                  <c:v>71</c:v>
                </c:pt>
                <c:pt idx="82">
                  <c:v>67</c:v>
                </c:pt>
                <c:pt idx="83">
                  <c:v>67</c:v>
                </c:pt>
                <c:pt idx="84">
                  <c:v>101</c:v>
                </c:pt>
                <c:pt idx="85">
                  <c:v>97</c:v>
                </c:pt>
                <c:pt idx="86">
                  <c:v>124</c:v>
                </c:pt>
                <c:pt idx="87">
                  <c:v>148</c:v>
                </c:pt>
                <c:pt idx="88">
                  <c:v>141</c:v>
                </c:pt>
                <c:pt idx="89">
                  <c:v>105</c:v>
                </c:pt>
                <c:pt idx="90">
                  <c:v>204</c:v>
                </c:pt>
                <c:pt idx="91">
                  <c:v>146</c:v>
                </c:pt>
                <c:pt idx="92">
                  <c:v>62</c:v>
                </c:pt>
                <c:pt idx="93">
                  <c:v>64</c:v>
                </c:pt>
                <c:pt idx="94">
                  <c:v>248</c:v>
                </c:pt>
                <c:pt idx="95">
                  <c:v>259</c:v>
                </c:pt>
                <c:pt idx="96">
                  <c:v>46</c:v>
                </c:pt>
                <c:pt idx="97">
                  <c:v>118</c:v>
                </c:pt>
                <c:pt idx="98">
                  <c:v>124</c:v>
                </c:pt>
                <c:pt idx="99">
                  <c:v>146</c:v>
                </c:pt>
                <c:pt idx="100">
                  <c:v>37</c:v>
                </c:pt>
                <c:pt idx="101">
                  <c:v>212</c:v>
                </c:pt>
                <c:pt idx="102">
                  <c:v>210</c:v>
                </c:pt>
                <c:pt idx="103">
                  <c:v>170</c:v>
                </c:pt>
                <c:pt idx="104">
                  <c:v>167</c:v>
                </c:pt>
                <c:pt idx="105">
                  <c:v>172</c:v>
                </c:pt>
                <c:pt idx="106">
                  <c:v>204</c:v>
                </c:pt>
                <c:pt idx="107">
                  <c:v>209</c:v>
                </c:pt>
                <c:pt idx="108">
                  <c:v>250</c:v>
                </c:pt>
                <c:pt idx="109">
                  <c:v>88</c:v>
                </c:pt>
                <c:pt idx="110">
                  <c:v>161</c:v>
                </c:pt>
                <c:pt idx="111">
                  <c:v>208</c:v>
                </c:pt>
                <c:pt idx="112">
                  <c:v>210</c:v>
                </c:pt>
                <c:pt idx="113">
                  <c:v>266</c:v>
                </c:pt>
                <c:pt idx="114">
                  <c:v>130</c:v>
                </c:pt>
                <c:pt idx="115">
                  <c:v>163</c:v>
                </c:pt>
                <c:pt idx="116">
                  <c:v>160</c:v>
                </c:pt>
                <c:pt idx="117">
                  <c:v>128</c:v>
                </c:pt>
                <c:pt idx="118">
                  <c:v>226</c:v>
                </c:pt>
                <c:pt idx="119">
                  <c:v>180</c:v>
                </c:pt>
                <c:pt idx="120">
                  <c:v>206</c:v>
                </c:pt>
                <c:pt idx="121">
                  <c:v>233</c:v>
                </c:pt>
                <c:pt idx="122">
                  <c:v>41</c:v>
                </c:pt>
                <c:pt idx="123">
                  <c:v>264</c:v>
                </c:pt>
                <c:pt idx="124">
                  <c:v>117</c:v>
                </c:pt>
                <c:pt idx="125">
                  <c:v>58</c:v>
                </c:pt>
                <c:pt idx="126">
                  <c:v>79</c:v>
                </c:pt>
                <c:pt idx="127">
                  <c:v>140</c:v>
                </c:pt>
                <c:pt idx="128">
                  <c:v>71</c:v>
                </c:pt>
                <c:pt idx="129">
                  <c:v>107</c:v>
                </c:pt>
                <c:pt idx="130">
                  <c:v>102</c:v>
                </c:pt>
                <c:pt idx="131">
                  <c:v>86</c:v>
                </c:pt>
                <c:pt idx="132">
                  <c:v>96</c:v>
                </c:pt>
                <c:pt idx="133">
                  <c:v>43</c:v>
                </c:pt>
                <c:pt idx="134">
                  <c:v>32</c:v>
                </c:pt>
                <c:pt idx="135">
                  <c:v>51</c:v>
                </c:pt>
                <c:pt idx="136">
                  <c:v>51</c:v>
                </c:pt>
                <c:pt idx="137">
                  <c:v>43</c:v>
                </c:pt>
                <c:pt idx="138">
                  <c:v>66</c:v>
                </c:pt>
                <c:pt idx="139">
                  <c:v>86</c:v>
                </c:pt>
                <c:pt idx="140">
                  <c:v>74</c:v>
                </c:pt>
                <c:pt idx="141">
                  <c:v>94</c:v>
                </c:pt>
                <c:pt idx="142">
                  <c:v>88</c:v>
                </c:pt>
                <c:pt idx="143">
                  <c:v>115</c:v>
                </c:pt>
                <c:pt idx="144">
                  <c:v>99</c:v>
                </c:pt>
                <c:pt idx="145">
                  <c:v>110</c:v>
                </c:pt>
                <c:pt idx="146">
                  <c:v>89</c:v>
                </c:pt>
                <c:pt idx="147">
                  <c:v>102</c:v>
                </c:pt>
                <c:pt idx="148">
                  <c:v>114</c:v>
                </c:pt>
                <c:pt idx="149">
                  <c:v>100</c:v>
                </c:pt>
                <c:pt idx="150">
                  <c:v>83</c:v>
                </c:pt>
                <c:pt idx="151">
                  <c:v>116</c:v>
                </c:pt>
                <c:pt idx="152">
                  <c:v>142</c:v>
                </c:pt>
                <c:pt idx="153">
                  <c:v>202</c:v>
                </c:pt>
                <c:pt idx="154">
                  <c:v>115</c:v>
                </c:pt>
                <c:pt idx="155">
                  <c:v>138</c:v>
                </c:pt>
                <c:pt idx="156">
                  <c:v>226</c:v>
                </c:pt>
                <c:pt idx="157">
                  <c:v>48</c:v>
                </c:pt>
                <c:pt idx="158">
                  <c:v>62</c:v>
                </c:pt>
                <c:pt idx="159">
                  <c:v>139</c:v>
                </c:pt>
                <c:pt idx="160">
                  <c:v>183</c:v>
                </c:pt>
                <c:pt idx="161">
                  <c:v>207</c:v>
                </c:pt>
                <c:pt idx="162">
                  <c:v>193</c:v>
                </c:pt>
                <c:pt idx="163">
                  <c:v>229</c:v>
                </c:pt>
                <c:pt idx="164">
                  <c:v>177</c:v>
                </c:pt>
                <c:pt idx="165">
                  <c:v>51</c:v>
                </c:pt>
                <c:pt idx="166">
                  <c:v>59</c:v>
                </c:pt>
                <c:pt idx="167">
                  <c:v>72</c:v>
                </c:pt>
                <c:pt idx="168">
                  <c:v>86</c:v>
                </c:pt>
                <c:pt idx="169">
                  <c:v>93</c:v>
                </c:pt>
                <c:pt idx="170">
                  <c:v>112</c:v>
                </c:pt>
                <c:pt idx="171">
                  <c:v>90</c:v>
                </c:pt>
                <c:pt idx="172">
                  <c:v>98</c:v>
                </c:pt>
                <c:pt idx="173">
                  <c:v>138</c:v>
                </c:pt>
                <c:pt idx="174">
                  <c:v>132</c:v>
                </c:pt>
                <c:pt idx="175">
                  <c:v>111</c:v>
                </c:pt>
                <c:pt idx="176">
                  <c:v>176</c:v>
                </c:pt>
                <c:pt idx="177">
                  <c:v>165</c:v>
                </c:pt>
                <c:pt idx="178">
                  <c:v>156</c:v>
                </c:pt>
                <c:pt idx="179">
                  <c:v>170</c:v>
                </c:pt>
                <c:pt idx="180">
                  <c:v>154</c:v>
                </c:pt>
                <c:pt idx="181">
                  <c:v>189</c:v>
                </c:pt>
                <c:pt idx="182">
                  <c:v>149</c:v>
                </c:pt>
                <c:pt idx="183">
                  <c:v>208</c:v>
                </c:pt>
                <c:pt idx="184">
                  <c:v>203</c:v>
                </c:pt>
                <c:pt idx="185">
                  <c:v>205</c:v>
                </c:pt>
                <c:pt idx="186">
                  <c:v>233</c:v>
                </c:pt>
                <c:pt idx="187">
                  <c:v>60</c:v>
                </c:pt>
                <c:pt idx="188">
                  <c:v>46</c:v>
                </c:pt>
                <c:pt idx="189">
                  <c:v>50</c:v>
                </c:pt>
                <c:pt idx="190">
                  <c:v>72</c:v>
                </c:pt>
                <c:pt idx="191">
                  <c:v>40</c:v>
                </c:pt>
                <c:pt idx="192">
                  <c:v>36</c:v>
                </c:pt>
                <c:pt idx="193">
                  <c:v>79</c:v>
                </c:pt>
                <c:pt idx="194">
                  <c:v>43</c:v>
                </c:pt>
                <c:pt idx="195">
                  <c:v>63</c:v>
                </c:pt>
                <c:pt idx="196">
                  <c:v>81</c:v>
                </c:pt>
                <c:pt idx="197">
                  <c:v>83</c:v>
                </c:pt>
                <c:pt idx="198">
                  <c:v>80</c:v>
                </c:pt>
                <c:pt idx="199">
                  <c:v>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447-42AF-AD24-C470C6F7058D}"/>
            </c:ext>
          </c:extLst>
        </c:ser>
        <c:ser>
          <c:idx val="1"/>
          <c:order val="1"/>
          <c:tx>
            <c:strRef>
              <c:f>AOI_u_Laney!$J$9</c:f>
              <c:strCache>
                <c:ptCount val="1"/>
                <c:pt idx="0">
                  <c:v>UCL(u′)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AOI_u_Laney!$J$10:$J$209</c:f>
              <c:numCache>
                <c:formatCode>0.0000</c:formatCode>
                <c:ptCount val="200"/>
                <c:pt idx="0">
                  <c:v>333.57398388174158</c:v>
                </c:pt>
                <c:pt idx="1">
                  <c:v>333.57398388174158</c:v>
                </c:pt>
                <c:pt idx="2">
                  <c:v>333.57398388174158</c:v>
                </c:pt>
                <c:pt idx="3">
                  <c:v>333.57398388174158</c:v>
                </c:pt>
                <c:pt idx="4">
                  <c:v>333.57398388174158</c:v>
                </c:pt>
                <c:pt idx="5">
                  <c:v>333.57398388174158</c:v>
                </c:pt>
                <c:pt idx="6">
                  <c:v>333.57398388174158</c:v>
                </c:pt>
                <c:pt idx="7">
                  <c:v>333.57398388174158</c:v>
                </c:pt>
                <c:pt idx="8">
                  <c:v>333.57398388174158</c:v>
                </c:pt>
                <c:pt idx="9">
                  <c:v>333.57398388174158</c:v>
                </c:pt>
                <c:pt idx="10">
                  <c:v>333.57398388174158</c:v>
                </c:pt>
                <c:pt idx="11">
                  <c:v>333.57398388174158</c:v>
                </c:pt>
                <c:pt idx="12">
                  <c:v>333.57398388174158</c:v>
                </c:pt>
                <c:pt idx="13">
                  <c:v>333.57398388174158</c:v>
                </c:pt>
                <c:pt idx="14">
                  <c:v>333.57398388174158</c:v>
                </c:pt>
                <c:pt idx="15">
                  <c:v>333.57398388174158</c:v>
                </c:pt>
                <c:pt idx="16">
                  <c:v>333.57398388174158</c:v>
                </c:pt>
                <c:pt idx="17">
                  <c:v>333.57398388174158</c:v>
                </c:pt>
                <c:pt idx="18">
                  <c:v>333.57398388174158</c:v>
                </c:pt>
                <c:pt idx="19">
                  <c:v>333.57398388174158</c:v>
                </c:pt>
                <c:pt idx="20">
                  <c:v>333.57398388174158</c:v>
                </c:pt>
                <c:pt idx="21">
                  <c:v>333.57398388174158</c:v>
                </c:pt>
                <c:pt idx="22">
                  <c:v>333.57398388174158</c:v>
                </c:pt>
                <c:pt idx="23">
                  <c:v>333.57398388174158</c:v>
                </c:pt>
                <c:pt idx="24">
                  <c:v>333.57398388174158</c:v>
                </c:pt>
                <c:pt idx="25">
                  <c:v>333.57398388174158</c:v>
                </c:pt>
                <c:pt idx="26">
                  <c:v>333.57398388174158</c:v>
                </c:pt>
                <c:pt idx="27">
                  <c:v>333.57398388174158</c:v>
                </c:pt>
                <c:pt idx="28">
                  <c:v>333.57398388174158</c:v>
                </c:pt>
                <c:pt idx="29">
                  <c:v>333.57398388174158</c:v>
                </c:pt>
                <c:pt idx="30">
                  <c:v>333.57398388174158</c:v>
                </c:pt>
                <c:pt idx="31">
                  <c:v>333.57398388174158</c:v>
                </c:pt>
                <c:pt idx="32">
                  <c:v>333.57398388174158</c:v>
                </c:pt>
                <c:pt idx="33">
                  <c:v>333.57398388174158</c:v>
                </c:pt>
                <c:pt idx="34">
                  <c:v>333.57398388174158</c:v>
                </c:pt>
                <c:pt idx="35">
                  <c:v>333.57398388174158</c:v>
                </c:pt>
                <c:pt idx="36">
                  <c:v>333.57398388174158</c:v>
                </c:pt>
                <c:pt idx="37">
                  <c:v>333.57398388174158</c:v>
                </c:pt>
                <c:pt idx="38">
                  <c:v>333.57398388174158</c:v>
                </c:pt>
                <c:pt idx="39">
                  <c:v>333.57398388174158</c:v>
                </c:pt>
                <c:pt idx="40">
                  <c:v>333.57398388174158</c:v>
                </c:pt>
                <c:pt idx="41">
                  <c:v>333.57398388174158</c:v>
                </c:pt>
                <c:pt idx="42">
                  <c:v>333.57398388174158</c:v>
                </c:pt>
                <c:pt idx="43">
                  <c:v>333.57398388174158</c:v>
                </c:pt>
                <c:pt idx="44">
                  <c:v>333.57398388174158</c:v>
                </c:pt>
                <c:pt idx="45">
                  <c:v>333.57398388174158</c:v>
                </c:pt>
                <c:pt idx="46">
                  <c:v>333.57398388174158</c:v>
                </c:pt>
                <c:pt idx="47">
                  <c:v>333.57398388174158</c:v>
                </c:pt>
                <c:pt idx="48">
                  <c:v>333.57398388174158</c:v>
                </c:pt>
                <c:pt idx="49">
                  <c:v>333.57398388174158</c:v>
                </c:pt>
                <c:pt idx="50">
                  <c:v>333.57398388174158</c:v>
                </c:pt>
                <c:pt idx="51">
                  <c:v>333.57398388174158</c:v>
                </c:pt>
                <c:pt idx="52">
                  <c:v>333.57398388174158</c:v>
                </c:pt>
                <c:pt idx="53">
                  <c:v>333.57398388174158</c:v>
                </c:pt>
                <c:pt idx="54">
                  <c:v>333.57398388174158</c:v>
                </c:pt>
                <c:pt idx="55">
                  <c:v>333.57398388174158</c:v>
                </c:pt>
                <c:pt idx="56">
                  <c:v>333.57398388174158</c:v>
                </c:pt>
                <c:pt idx="57">
                  <c:v>333.57398388174158</c:v>
                </c:pt>
                <c:pt idx="58">
                  <c:v>333.57398388174158</c:v>
                </c:pt>
                <c:pt idx="59">
                  <c:v>333.57398388174158</c:v>
                </c:pt>
                <c:pt idx="60">
                  <c:v>333.57398388174158</c:v>
                </c:pt>
                <c:pt idx="61">
                  <c:v>333.57398388174158</c:v>
                </c:pt>
                <c:pt idx="62">
                  <c:v>333.57398388174158</c:v>
                </c:pt>
                <c:pt idx="63">
                  <c:v>333.57398388174158</c:v>
                </c:pt>
                <c:pt idx="64">
                  <c:v>333.57398388174158</c:v>
                </c:pt>
                <c:pt idx="65">
                  <c:v>333.57398388174158</c:v>
                </c:pt>
                <c:pt idx="66">
                  <c:v>333.57398388174158</c:v>
                </c:pt>
                <c:pt idx="67">
                  <c:v>333.57398388174158</c:v>
                </c:pt>
                <c:pt idx="68">
                  <c:v>333.57398388174158</c:v>
                </c:pt>
                <c:pt idx="69">
                  <c:v>333.57398388174158</c:v>
                </c:pt>
                <c:pt idx="70">
                  <c:v>333.57398388174158</c:v>
                </c:pt>
                <c:pt idx="71">
                  <c:v>333.57398388174158</c:v>
                </c:pt>
                <c:pt idx="72">
                  <c:v>333.57398388174158</c:v>
                </c:pt>
                <c:pt idx="73">
                  <c:v>333.57398388174158</c:v>
                </c:pt>
                <c:pt idx="74">
                  <c:v>333.57398388174158</c:v>
                </c:pt>
                <c:pt idx="75">
                  <c:v>333.57398388174158</c:v>
                </c:pt>
                <c:pt idx="76">
                  <c:v>333.57398388174158</c:v>
                </c:pt>
                <c:pt idx="77">
                  <c:v>333.57398388174158</c:v>
                </c:pt>
                <c:pt idx="78">
                  <c:v>333.57398388174158</c:v>
                </c:pt>
                <c:pt idx="79">
                  <c:v>333.57398388174158</c:v>
                </c:pt>
                <c:pt idx="80">
                  <c:v>333.57398388174158</c:v>
                </c:pt>
                <c:pt idx="81">
                  <c:v>333.57398388174158</c:v>
                </c:pt>
                <c:pt idx="82">
                  <c:v>333.57398388174158</c:v>
                </c:pt>
                <c:pt idx="83">
                  <c:v>333.57398388174158</c:v>
                </c:pt>
                <c:pt idx="84">
                  <c:v>333.57398388174158</c:v>
                </c:pt>
                <c:pt idx="85">
                  <c:v>333.57398388174158</c:v>
                </c:pt>
                <c:pt idx="86">
                  <c:v>333.57398388174158</c:v>
                </c:pt>
                <c:pt idx="87">
                  <c:v>333.57398388174158</c:v>
                </c:pt>
                <c:pt idx="88">
                  <c:v>333.57398388174158</c:v>
                </c:pt>
                <c:pt idx="89">
                  <c:v>333.57398388174158</c:v>
                </c:pt>
                <c:pt idx="90">
                  <c:v>333.57398388174158</c:v>
                </c:pt>
                <c:pt idx="91">
                  <c:v>333.57398388174158</c:v>
                </c:pt>
                <c:pt idx="92">
                  <c:v>333.57398388174158</c:v>
                </c:pt>
                <c:pt idx="93">
                  <c:v>333.57398388174158</c:v>
                </c:pt>
                <c:pt idx="94">
                  <c:v>333.57398388174158</c:v>
                </c:pt>
                <c:pt idx="95">
                  <c:v>333.57398388174158</c:v>
                </c:pt>
                <c:pt idx="96">
                  <c:v>333.57398388174158</c:v>
                </c:pt>
                <c:pt idx="97">
                  <c:v>333.57398388174158</c:v>
                </c:pt>
                <c:pt idx="98">
                  <c:v>333.57398388174158</c:v>
                </c:pt>
                <c:pt idx="99">
                  <c:v>333.57398388174158</c:v>
                </c:pt>
                <c:pt idx="100">
                  <c:v>333.57398388174158</c:v>
                </c:pt>
                <c:pt idx="101">
                  <c:v>333.57398388174158</c:v>
                </c:pt>
                <c:pt idx="102">
                  <c:v>333.57398388174158</c:v>
                </c:pt>
                <c:pt idx="103">
                  <c:v>333.57398388174158</c:v>
                </c:pt>
                <c:pt idx="104">
                  <c:v>333.57398388174158</c:v>
                </c:pt>
                <c:pt idx="105">
                  <c:v>333.57398388174158</c:v>
                </c:pt>
                <c:pt idx="106">
                  <c:v>333.57398388174158</c:v>
                </c:pt>
                <c:pt idx="107">
                  <c:v>333.57398388174158</c:v>
                </c:pt>
                <c:pt idx="108">
                  <c:v>333.57398388174158</c:v>
                </c:pt>
                <c:pt idx="109">
                  <c:v>333.57398388174158</c:v>
                </c:pt>
                <c:pt idx="110">
                  <c:v>333.57398388174158</c:v>
                </c:pt>
                <c:pt idx="111">
                  <c:v>333.57398388174158</c:v>
                </c:pt>
                <c:pt idx="112">
                  <c:v>333.57398388174158</c:v>
                </c:pt>
                <c:pt idx="113">
                  <c:v>333.57398388174158</c:v>
                </c:pt>
                <c:pt idx="114">
                  <c:v>333.57398388174158</c:v>
                </c:pt>
                <c:pt idx="115">
                  <c:v>333.57398388174158</c:v>
                </c:pt>
                <c:pt idx="116">
                  <c:v>333.57398388174158</c:v>
                </c:pt>
                <c:pt idx="117">
                  <c:v>333.57398388174158</c:v>
                </c:pt>
                <c:pt idx="118">
                  <c:v>333.57398388174158</c:v>
                </c:pt>
                <c:pt idx="119">
                  <c:v>333.57398388174158</c:v>
                </c:pt>
                <c:pt idx="120">
                  <c:v>333.57398388174158</c:v>
                </c:pt>
                <c:pt idx="121">
                  <c:v>333.57398388174158</c:v>
                </c:pt>
                <c:pt idx="122">
                  <c:v>333.57398388174158</c:v>
                </c:pt>
                <c:pt idx="123">
                  <c:v>333.57398388174158</c:v>
                </c:pt>
                <c:pt idx="124">
                  <c:v>333.57398388174158</c:v>
                </c:pt>
                <c:pt idx="125">
                  <c:v>333.57398388174158</c:v>
                </c:pt>
                <c:pt idx="126">
                  <c:v>333.57398388174158</c:v>
                </c:pt>
                <c:pt idx="127">
                  <c:v>333.57398388174158</c:v>
                </c:pt>
                <c:pt idx="128">
                  <c:v>333.57398388174158</c:v>
                </c:pt>
                <c:pt idx="129">
                  <c:v>333.57398388174158</c:v>
                </c:pt>
                <c:pt idx="130">
                  <c:v>333.57398388174158</c:v>
                </c:pt>
                <c:pt idx="131">
                  <c:v>333.57398388174158</c:v>
                </c:pt>
                <c:pt idx="132">
                  <c:v>333.57398388174158</c:v>
                </c:pt>
                <c:pt idx="133">
                  <c:v>333.57398388174158</c:v>
                </c:pt>
                <c:pt idx="134">
                  <c:v>333.57398388174158</c:v>
                </c:pt>
                <c:pt idx="135">
                  <c:v>333.57398388174158</c:v>
                </c:pt>
                <c:pt idx="136">
                  <c:v>333.57398388174158</c:v>
                </c:pt>
                <c:pt idx="137">
                  <c:v>333.57398388174158</c:v>
                </c:pt>
                <c:pt idx="138">
                  <c:v>333.57398388174158</c:v>
                </c:pt>
                <c:pt idx="139">
                  <c:v>333.57398388174158</c:v>
                </c:pt>
                <c:pt idx="140">
                  <c:v>333.57398388174158</c:v>
                </c:pt>
                <c:pt idx="141">
                  <c:v>333.57398388174158</c:v>
                </c:pt>
                <c:pt idx="142">
                  <c:v>333.57398388174158</c:v>
                </c:pt>
                <c:pt idx="143">
                  <c:v>333.57398388174158</c:v>
                </c:pt>
                <c:pt idx="144">
                  <c:v>333.57398388174158</c:v>
                </c:pt>
                <c:pt idx="145">
                  <c:v>333.57398388174158</c:v>
                </c:pt>
                <c:pt idx="146">
                  <c:v>333.57398388174158</c:v>
                </c:pt>
                <c:pt idx="147">
                  <c:v>333.57398388174158</c:v>
                </c:pt>
                <c:pt idx="148">
                  <c:v>333.57398388174158</c:v>
                </c:pt>
                <c:pt idx="149">
                  <c:v>333.57398388174158</c:v>
                </c:pt>
                <c:pt idx="150">
                  <c:v>333.57398388174158</c:v>
                </c:pt>
                <c:pt idx="151">
                  <c:v>333.57398388174158</c:v>
                </c:pt>
                <c:pt idx="152">
                  <c:v>333.57398388174158</c:v>
                </c:pt>
                <c:pt idx="153">
                  <c:v>333.57398388174158</c:v>
                </c:pt>
                <c:pt idx="154">
                  <c:v>333.57398388174158</c:v>
                </c:pt>
                <c:pt idx="155">
                  <c:v>333.57398388174158</c:v>
                </c:pt>
                <c:pt idx="156">
                  <c:v>333.57398388174158</c:v>
                </c:pt>
                <c:pt idx="157">
                  <c:v>333.57398388174158</c:v>
                </c:pt>
                <c:pt idx="158">
                  <c:v>333.57398388174158</c:v>
                </c:pt>
                <c:pt idx="159">
                  <c:v>333.57398388174158</c:v>
                </c:pt>
                <c:pt idx="160">
                  <c:v>333.57398388174158</c:v>
                </c:pt>
                <c:pt idx="161">
                  <c:v>333.57398388174158</c:v>
                </c:pt>
                <c:pt idx="162">
                  <c:v>333.57398388174158</c:v>
                </c:pt>
                <c:pt idx="163">
                  <c:v>333.57398388174158</c:v>
                </c:pt>
                <c:pt idx="164">
                  <c:v>333.57398388174158</c:v>
                </c:pt>
                <c:pt idx="165">
                  <c:v>333.57398388174158</c:v>
                </c:pt>
                <c:pt idx="166">
                  <c:v>333.57398388174158</c:v>
                </c:pt>
                <c:pt idx="167">
                  <c:v>333.57398388174158</c:v>
                </c:pt>
                <c:pt idx="168">
                  <c:v>333.57398388174158</c:v>
                </c:pt>
                <c:pt idx="169">
                  <c:v>333.57398388174158</c:v>
                </c:pt>
                <c:pt idx="170">
                  <c:v>333.57398388174158</c:v>
                </c:pt>
                <c:pt idx="171">
                  <c:v>333.57398388174158</c:v>
                </c:pt>
                <c:pt idx="172">
                  <c:v>333.57398388174158</c:v>
                </c:pt>
                <c:pt idx="173">
                  <c:v>333.57398388174158</c:v>
                </c:pt>
                <c:pt idx="174">
                  <c:v>333.57398388174158</c:v>
                </c:pt>
                <c:pt idx="175">
                  <c:v>333.57398388174158</c:v>
                </c:pt>
                <c:pt idx="176">
                  <c:v>333.57398388174158</c:v>
                </c:pt>
                <c:pt idx="177">
                  <c:v>333.57398388174158</c:v>
                </c:pt>
                <c:pt idx="178">
                  <c:v>333.57398388174158</c:v>
                </c:pt>
                <c:pt idx="179">
                  <c:v>333.57398388174158</c:v>
                </c:pt>
                <c:pt idx="180">
                  <c:v>333.57398388174158</c:v>
                </c:pt>
                <c:pt idx="181">
                  <c:v>333.57398388174158</c:v>
                </c:pt>
                <c:pt idx="182">
                  <c:v>333.57398388174158</c:v>
                </c:pt>
                <c:pt idx="183">
                  <c:v>333.57398388174158</c:v>
                </c:pt>
                <c:pt idx="184">
                  <c:v>333.57398388174158</c:v>
                </c:pt>
                <c:pt idx="185">
                  <c:v>333.57398388174158</c:v>
                </c:pt>
                <c:pt idx="186">
                  <c:v>333.57398388174158</c:v>
                </c:pt>
                <c:pt idx="187">
                  <c:v>333.57398388174158</c:v>
                </c:pt>
                <c:pt idx="188">
                  <c:v>333.57398388174158</c:v>
                </c:pt>
                <c:pt idx="189">
                  <c:v>333.57398388174158</c:v>
                </c:pt>
                <c:pt idx="190">
                  <c:v>333.57398388174158</c:v>
                </c:pt>
                <c:pt idx="191">
                  <c:v>333.57398388174158</c:v>
                </c:pt>
                <c:pt idx="192">
                  <c:v>333.57398388174158</c:v>
                </c:pt>
                <c:pt idx="193">
                  <c:v>333.57398388174158</c:v>
                </c:pt>
                <c:pt idx="194">
                  <c:v>333.57398388174158</c:v>
                </c:pt>
                <c:pt idx="195">
                  <c:v>333.57398388174158</c:v>
                </c:pt>
                <c:pt idx="196">
                  <c:v>333.57398388174158</c:v>
                </c:pt>
                <c:pt idx="197">
                  <c:v>333.57398388174158</c:v>
                </c:pt>
                <c:pt idx="198">
                  <c:v>333.57398388174158</c:v>
                </c:pt>
                <c:pt idx="199">
                  <c:v>333.57398388174158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447-42AF-AD24-C470C6F7058D}"/>
            </c:ext>
          </c:extLst>
        </c:ser>
        <c:ser>
          <c:idx val="2"/>
          <c:order val="2"/>
          <c:tx>
            <c:strRef>
              <c:f>AOI_u_Laney!$K$9</c:f>
              <c:strCache>
                <c:ptCount val="1"/>
                <c:pt idx="0">
                  <c:v>CL(u′)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AOI_u_Laney!$K$10:$K$209</c:f>
              <c:numCache>
                <c:formatCode>0.0000</c:formatCode>
                <c:ptCount val="200"/>
                <c:pt idx="0">
                  <c:v>137.75</c:v>
                </c:pt>
                <c:pt idx="1">
                  <c:v>137.75</c:v>
                </c:pt>
                <c:pt idx="2">
                  <c:v>137.75</c:v>
                </c:pt>
                <c:pt idx="3">
                  <c:v>137.75</c:v>
                </c:pt>
                <c:pt idx="4">
                  <c:v>137.75</c:v>
                </c:pt>
                <c:pt idx="5">
                  <c:v>137.75</c:v>
                </c:pt>
                <c:pt idx="6">
                  <c:v>137.75</c:v>
                </c:pt>
                <c:pt idx="7">
                  <c:v>137.75</c:v>
                </c:pt>
                <c:pt idx="8">
                  <c:v>137.75</c:v>
                </c:pt>
                <c:pt idx="9">
                  <c:v>137.75</c:v>
                </c:pt>
                <c:pt idx="10">
                  <c:v>137.75</c:v>
                </c:pt>
                <c:pt idx="11">
                  <c:v>137.75</c:v>
                </c:pt>
                <c:pt idx="12">
                  <c:v>137.75</c:v>
                </c:pt>
                <c:pt idx="13">
                  <c:v>137.75</c:v>
                </c:pt>
                <c:pt idx="14">
                  <c:v>137.75</c:v>
                </c:pt>
                <c:pt idx="15">
                  <c:v>137.75</c:v>
                </c:pt>
                <c:pt idx="16">
                  <c:v>137.75</c:v>
                </c:pt>
                <c:pt idx="17">
                  <c:v>137.75</c:v>
                </c:pt>
                <c:pt idx="18">
                  <c:v>137.75</c:v>
                </c:pt>
                <c:pt idx="19">
                  <c:v>137.75</c:v>
                </c:pt>
                <c:pt idx="20">
                  <c:v>137.75</c:v>
                </c:pt>
                <c:pt idx="21">
                  <c:v>137.75</c:v>
                </c:pt>
                <c:pt idx="22">
                  <c:v>137.75</c:v>
                </c:pt>
                <c:pt idx="23">
                  <c:v>137.75</c:v>
                </c:pt>
                <c:pt idx="24">
                  <c:v>137.75</c:v>
                </c:pt>
                <c:pt idx="25">
                  <c:v>137.75</c:v>
                </c:pt>
                <c:pt idx="26">
                  <c:v>137.75</c:v>
                </c:pt>
                <c:pt idx="27">
                  <c:v>137.75</c:v>
                </c:pt>
                <c:pt idx="28">
                  <c:v>137.75</c:v>
                </c:pt>
                <c:pt idx="29">
                  <c:v>137.75</c:v>
                </c:pt>
                <c:pt idx="30">
                  <c:v>137.75</c:v>
                </c:pt>
                <c:pt idx="31">
                  <c:v>137.75</c:v>
                </c:pt>
                <c:pt idx="32">
                  <c:v>137.75</c:v>
                </c:pt>
                <c:pt idx="33">
                  <c:v>137.75</c:v>
                </c:pt>
                <c:pt idx="34">
                  <c:v>137.75</c:v>
                </c:pt>
                <c:pt idx="35">
                  <c:v>137.75</c:v>
                </c:pt>
                <c:pt idx="36">
                  <c:v>137.75</c:v>
                </c:pt>
                <c:pt idx="37">
                  <c:v>137.75</c:v>
                </c:pt>
                <c:pt idx="38">
                  <c:v>137.75</c:v>
                </c:pt>
                <c:pt idx="39">
                  <c:v>137.75</c:v>
                </c:pt>
                <c:pt idx="40">
                  <c:v>137.75</c:v>
                </c:pt>
                <c:pt idx="41">
                  <c:v>137.75</c:v>
                </c:pt>
                <c:pt idx="42">
                  <c:v>137.75</c:v>
                </c:pt>
                <c:pt idx="43">
                  <c:v>137.75</c:v>
                </c:pt>
                <c:pt idx="44">
                  <c:v>137.75</c:v>
                </c:pt>
                <c:pt idx="45">
                  <c:v>137.75</c:v>
                </c:pt>
                <c:pt idx="46">
                  <c:v>137.75</c:v>
                </c:pt>
                <c:pt idx="47">
                  <c:v>137.75</c:v>
                </c:pt>
                <c:pt idx="48">
                  <c:v>137.75</c:v>
                </c:pt>
                <c:pt idx="49">
                  <c:v>137.75</c:v>
                </c:pt>
                <c:pt idx="50">
                  <c:v>137.75</c:v>
                </c:pt>
                <c:pt idx="51">
                  <c:v>137.75</c:v>
                </c:pt>
                <c:pt idx="52">
                  <c:v>137.75</c:v>
                </c:pt>
                <c:pt idx="53">
                  <c:v>137.75</c:v>
                </c:pt>
                <c:pt idx="54">
                  <c:v>137.75</c:v>
                </c:pt>
                <c:pt idx="55">
                  <c:v>137.75</c:v>
                </c:pt>
                <c:pt idx="56">
                  <c:v>137.75</c:v>
                </c:pt>
                <c:pt idx="57">
                  <c:v>137.75</c:v>
                </c:pt>
                <c:pt idx="58">
                  <c:v>137.75</c:v>
                </c:pt>
                <c:pt idx="59">
                  <c:v>137.75</c:v>
                </c:pt>
                <c:pt idx="60">
                  <c:v>137.75</c:v>
                </c:pt>
                <c:pt idx="61">
                  <c:v>137.75</c:v>
                </c:pt>
                <c:pt idx="62">
                  <c:v>137.75</c:v>
                </c:pt>
                <c:pt idx="63">
                  <c:v>137.75</c:v>
                </c:pt>
                <c:pt idx="64">
                  <c:v>137.75</c:v>
                </c:pt>
                <c:pt idx="65">
                  <c:v>137.75</c:v>
                </c:pt>
                <c:pt idx="66">
                  <c:v>137.75</c:v>
                </c:pt>
                <c:pt idx="67">
                  <c:v>137.75</c:v>
                </c:pt>
                <c:pt idx="68">
                  <c:v>137.75</c:v>
                </c:pt>
                <c:pt idx="69">
                  <c:v>137.75</c:v>
                </c:pt>
                <c:pt idx="70">
                  <c:v>137.75</c:v>
                </c:pt>
                <c:pt idx="71">
                  <c:v>137.75</c:v>
                </c:pt>
                <c:pt idx="72">
                  <c:v>137.75</c:v>
                </c:pt>
                <c:pt idx="73">
                  <c:v>137.75</c:v>
                </c:pt>
                <c:pt idx="74">
                  <c:v>137.75</c:v>
                </c:pt>
                <c:pt idx="75">
                  <c:v>137.75</c:v>
                </c:pt>
                <c:pt idx="76">
                  <c:v>137.75</c:v>
                </c:pt>
                <c:pt idx="77">
                  <c:v>137.75</c:v>
                </c:pt>
                <c:pt idx="78">
                  <c:v>137.75</c:v>
                </c:pt>
                <c:pt idx="79">
                  <c:v>137.75</c:v>
                </c:pt>
                <c:pt idx="80">
                  <c:v>137.75</c:v>
                </c:pt>
                <c:pt idx="81">
                  <c:v>137.75</c:v>
                </c:pt>
                <c:pt idx="82">
                  <c:v>137.75</c:v>
                </c:pt>
                <c:pt idx="83">
                  <c:v>137.75</c:v>
                </c:pt>
                <c:pt idx="84">
                  <c:v>137.75</c:v>
                </c:pt>
                <c:pt idx="85">
                  <c:v>137.75</c:v>
                </c:pt>
                <c:pt idx="86">
                  <c:v>137.75</c:v>
                </c:pt>
                <c:pt idx="87">
                  <c:v>137.75</c:v>
                </c:pt>
                <c:pt idx="88">
                  <c:v>137.75</c:v>
                </c:pt>
                <c:pt idx="89">
                  <c:v>137.75</c:v>
                </c:pt>
                <c:pt idx="90">
                  <c:v>137.75</c:v>
                </c:pt>
                <c:pt idx="91">
                  <c:v>137.75</c:v>
                </c:pt>
                <c:pt idx="92">
                  <c:v>137.75</c:v>
                </c:pt>
                <c:pt idx="93">
                  <c:v>137.75</c:v>
                </c:pt>
                <c:pt idx="94">
                  <c:v>137.75</c:v>
                </c:pt>
                <c:pt idx="95">
                  <c:v>137.75</c:v>
                </c:pt>
                <c:pt idx="96">
                  <c:v>137.75</c:v>
                </c:pt>
                <c:pt idx="97">
                  <c:v>137.75</c:v>
                </c:pt>
                <c:pt idx="98">
                  <c:v>137.75</c:v>
                </c:pt>
                <c:pt idx="99">
                  <c:v>137.75</c:v>
                </c:pt>
                <c:pt idx="100">
                  <c:v>137.75</c:v>
                </c:pt>
                <c:pt idx="101">
                  <c:v>137.75</c:v>
                </c:pt>
                <c:pt idx="102">
                  <c:v>137.75</c:v>
                </c:pt>
                <c:pt idx="103">
                  <c:v>137.75</c:v>
                </c:pt>
                <c:pt idx="104">
                  <c:v>137.75</c:v>
                </c:pt>
                <c:pt idx="105">
                  <c:v>137.75</c:v>
                </c:pt>
                <c:pt idx="106">
                  <c:v>137.75</c:v>
                </c:pt>
                <c:pt idx="107">
                  <c:v>137.75</c:v>
                </c:pt>
                <c:pt idx="108">
                  <c:v>137.75</c:v>
                </c:pt>
                <c:pt idx="109">
                  <c:v>137.75</c:v>
                </c:pt>
                <c:pt idx="110">
                  <c:v>137.75</c:v>
                </c:pt>
                <c:pt idx="111">
                  <c:v>137.75</c:v>
                </c:pt>
                <c:pt idx="112">
                  <c:v>137.75</c:v>
                </c:pt>
                <c:pt idx="113">
                  <c:v>137.75</c:v>
                </c:pt>
                <c:pt idx="114">
                  <c:v>137.75</c:v>
                </c:pt>
                <c:pt idx="115">
                  <c:v>137.75</c:v>
                </c:pt>
                <c:pt idx="116">
                  <c:v>137.75</c:v>
                </c:pt>
                <c:pt idx="117">
                  <c:v>137.75</c:v>
                </c:pt>
                <c:pt idx="118">
                  <c:v>137.75</c:v>
                </c:pt>
                <c:pt idx="119">
                  <c:v>137.75</c:v>
                </c:pt>
                <c:pt idx="120">
                  <c:v>137.75</c:v>
                </c:pt>
                <c:pt idx="121">
                  <c:v>137.75</c:v>
                </c:pt>
                <c:pt idx="122">
                  <c:v>137.75</c:v>
                </c:pt>
                <c:pt idx="123">
                  <c:v>137.75</c:v>
                </c:pt>
                <c:pt idx="124">
                  <c:v>137.75</c:v>
                </c:pt>
                <c:pt idx="125">
                  <c:v>137.75</c:v>
                </c:pt>
                <c:pt idx="126">
                  <c:v>137.75</c:v>
                </c:pt>
                <c:pt idx="127">
                  <c:v>137.75</c:v>
                </c:pt>
                <c:pt idx="128">
                  <c:v>137.75</c:v>
                </c:pt>
                <c:pt idx="129">
                  <c:v>137.75</c:v>
                </c:pt>
                <c:pt idx="130">
                  <c:v>137.75</c:v>
                </c:pt>
                <c:pt idx="131">
                  <c:v>137.75</c:v>
                </c:pt>
                <c:pt idx="132">
                  <c:v>137.75</c:v>
                </c:pt>
                <c:pt idx="133">
                  <c:v>137.75</c:v>
                </c:pt>
                <c:pt idx="134">
                  <c:v>137.75</c:v>
                </c:pt>
                <c:pt idx="135">
                  <c:v>137.75</c:v>
                </c:pt>
                <c:pt idx="136">
                  <c:v>137.75</c:v>
                </c:pt>
                <c:pt idx="137">
                  <c:v>137.75</c:v>
                </c:pt>
                <c:pt idx="138">
                  <c:v>137.75</c:v>
                </c:pt>
                <c:pt idx="139">
                  <c:v>137.75</c:v>
                </c:pt>
                <c:pt idx="140">
                  <c:v>137.75</c:v>
                </c:pt>
                <c:pt idx="141">
                  <c:v>137.75</c:v>
                </c:pt>
                <c:pt idx="142">
                  <c:v>137.75</c:v>
                </c:pt>
                <c:pt idx="143">
                  <c:v>137.75</c:v>
                </c:pt>
                <c:pt idx="144">
                  <c:v>137.75</c:v>
                </c:pt>
                <c:pt idx="145">
                  <c:v>137.75</c:v>
                </c:pt>
                <c:pt idx="146">
                  <c:v>137.75</c:v>
                </c:pt>
                <c:pt idx="147">
                  <c:v>137.75</c:v>
                </c:pt>
                <c:pt idx="148">
                  <c:v>137.75</c:v>
                </c:pt>
                <c:pt idx="149">
                  <c:v>137.75</c:v>
                </c:pt>
                <c:pt idx="150">
                  <c:v>137.75</c:v>
                </c:pt>
                <c:pt idx="151">
                  <c:v>137.75</c:v>
                </c:pt>
                <c:pt idx="152">
                  <c:v>137.75</c:v>
                </c:pt>
                <c:pt idx="153">
                  <c:v>137.75</c:v>
                </c:pt>
                <c:pt idx="154">
                  <c:v>137.75</c:v>
                </c:pt>
                <c:pt idx="155">
                  <c:v>137.75</c:v>
                </c:pt>
                <c:pt idx="156">
                  <c:v>137.75</c:v>
                </c:pt>
                <c:pt idx="157">
                  <c:v>137.75</c:v>
                </c:pt>
                <c:pt idx="158">
                  <c:v>137.75</c:v>
                </c:pt>
                <c:pt idx="159">
                  <c:v>137.75</c:v>
                </c:pt>
                <c:pt idx="160">
                  <c:v>137.75</c:v>
                </c:pt>
                <c:pt idx="161">
                  <c:v>137.75</c:v>
                </c:pt>
                <c:pt idx="162">
                  <c:v>137.75</c:v>
                </c:pt>
                <c:pt idx="163">
                  <c:v>137.75</c:v>
                </c:pt>
                <c:pt idx="164">
                  <c:v>137.75</c:v>
                </c:pt>
                <c:pt idx="165">
                  <c:v>137.75</c:v>
                </c:pt>
                <c:pt idx="166">
                  <c:v>137.75</c:v>
                </c:pt>
                <c:pt idx="167">
                  <c:v>137.75</c:v>
                </c:pt>
                <c:pt idx="168">
                  <c:v>137.75</c:v>
                </c:pt>
                <c:pt idx="169">
                  <c:v>137.75</c:v>
                </c:pt>
                <c:pt idx="170">
                  <c:v>137.75</c:v>
                </c:pt>
                <c:pt idx="171">
                  <c:v>137.75</c:v>
                </c:pt>
                <c:pt idx="172">
                  <c:v>137.75</c:v>
                </c:pt>
                <c:pt idx="173">
                  <c:v>137.75</c:v>
                </c:pt>
                <c:pt idx="174">
                  <c:v>137.75</c:v>
                </c:pt>
                <c:pt idx="175">
                  <c:v>137.75</c:v>
                </c:pt>
                <c:pt idx="176">
                  <c:v>137.75</c:v>
                </c:pt>
                <c:pt idx="177">
                  <c:v>137.75</c:v>
                </c:pt>
                <c:pt idx="178">
                  <c:v>137.75</c:v>
                </c:pt>
                <c:pt idx="179">
                  <c:v>137.75</c:v>
                </c:pt>
                <c:pt idx="180">
                  <c:v>137.75</c:v>
                </c:pt>
                <c:pt idx="181">
                  <c:v>137.75</c:v>
                </c:pt>
                <c:pt idx="182">
                  <c:v>137.75</c:v>
                </c:pt>
                <c:pt idx="183">
                  <c:v>137.75</c:v>
                </c:pt>
                <c:pt idx="184">
                  <c:v>137.75</c:v>
                </c:pt>
                <c:pt idx="185">
                  <c:v>137.75</c:v>
                </c:pt>
                <c:pt idx="186">
                  <c:v>137.75</c:v>
                </c:pt>
                <c:pt idx="187">
                  <c:v>137.75</c:v>
                </c:pt>
                <c:pt idx="188">
                  <c:v>137.75</c:v>
                </c:pt>
                <c:pt idx="189">
                  <c:v>137.75</c:v>
                </c:pt>
                <c:pt idx="190">
                  <c:v>137.75</c:v>
                </c:pt>
                <c:pt idx="191">
                  <c:v>137.75</c:v>
                </c:pt>
                <c:pt idx="192">
                  <c:v>137.75</c:v>
                </c:pt>
                <c:pt idx="193">
                  <c:v>137.75</c:v>
                </c:pt>
                <c:pt idx="194">
                  <c:v>137.75</c:v>
                </c:pt>
                <c:pt idx="195">
                  <c:v>137.75</c:v>
                </c:pt>
                <c:pt idx="196">
                  <c:v>137.75</c:v>
                </c:pt>
                <c:pt idx="197">
                  <c:v>137.75</c:v>
                </c:pt>
                <c:pt idx="198">
                  <c:v>137.75</c:v>
                </c:pt>
                <c:pt idx="199">
                  <c:v>137.75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447-42AF-AD24-C470C6F7058D}"/>
            </c:ext>
          </c:extLst>
        </c:ser>
        <c:ser>
          <c:idx val="3"/>
          <c:order val="3"/>
          <c:tx>
            <c:strRef>
              <c:f>AOI_u_Laney!$L$9</c:f>
              <c:strCache>
                <c:ptCount val="1"/>
                <c:pt idx="0">
                  <c:v>LCL(u′)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AOI_u_Laney!$L$10:$L$209</c:f>
              <c:numCache>
                <c:formatCode>0.0000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447-42AF-AD24-C470C6F70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Traditional u Chart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AOI_u_Laney!$D$9</c:f>
              <c:strCache>
                <c:ptCount val="1"/>
                <c:pt idx="0">
                  <c:v>u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AOI_u_Laney!$D$10:$D$209</c:f>
              <c:numCache>
                <c:formatCode>0.0000</c:formatCode>
                <c:ptCount val="200"/>
                <c:pt idx="0">
                  <c:v>275</c:v>
                </c:pt>
                <c:pt idx="1">
                  <c:v>124</c:v>
                </c:pt>
                <c:pt idx="2">
                  <c:v>147</c:v>
                </c:pt>
                <c:pt idx="3">
                  <c:v>146</c:v>
                </c:pt>
                <c:pt idx="4">
                  <c:v>172</c:v>
                </c:pt>
                <c:pt idx="5">
                  <c:v>158</c:v>
                </c:pt>
                <c:pt idx="6">
                  <c:v>162</c:v>
                </c:pt>
                <c:pt idx="7">
                  <c:v>162</c:v>
                </c:pt>
                <c:pt idx="8">
                  <c:v>203</c:v>
                </c:pt>
                <c:pt idx="9">
                  <c:v>239</c:v>
                </c:pt>
                <c:pt idx="10">
                  <c:v>228</c:v>
                </c:pt>
                <c:pt idx="11">
                  <c:v>210</c:v>
                </c:pt>
                <c:pt idx="12">
                  <c:v>206</c:v>
                </c:pt>
                <c:pt idx="13">
                  <c:v>221</c:v>
                </c:pt>
                <c:pt idx="14">
                  <c:v>214</c:v>
                </c:pt>
                <c:pt idx="15">
                  <c:v>242</c:v>
                </c:pt>
                <c:pt idx="16">
                  <c:v>247</c:v>
                </c:pt>
                <c:pt idx="17">
                  <c:v>252</c:v>
                </c:pt>
                <c:pt idx="18">
                  <c:v>298</c:v>
                </c:pt>
                <c:pt idx="19">
                  <c:v>260</c:v>
                </c:pt>
                <c:pt idx="20">
                  <c:v>79</c:v>
                </c:pt>
                <c:pt idx="21">
                  <c:v>71</c:v>
                </c:pt>
                <c:pt idx="22">
                  <c:v>86</c:v>
                </c:pt>
                <c:pt idx="23">
                  <c:v>70</c:v>
                </c:pt>
                <c:pt idx="24">
                  <c:v>77</c:v>
                </c:pt>
                <c:pt idx="25">
                  <c:v>158</c:v>
                </c:pt>
                <c:pt idx="26">
                  <c:v>78</c:v>
                </c:pt>
                <c:pt idx="27">
                  <c:v>70</c:v>
                </c:pt>
                <c:pt idx="28">
                  <c:v>172</c:v>
                </c:pt>
                <c:pt idx="29">
                  <c:v>188</c:v>
                </c:pt>
                <c:pt idx="30">
                  <c:v>225</c:v>
                </c:pt>
                <c:pt idx="31">
                  <c:v>138</c:v>
                </c:pt>
                <c:pt idx="32">
                  <c:v>136</c:v>
                </c:pt>
                <c:pt idx="33">
                  <c:v>135</c:v>
                </c:pt>
                <c:pt idx="34">
                  <c:v>118</c:v>
                </c:pt>
                <c:pt idx="35">
                  <c:v>160</c:v>
                </c:pt>
                <c:pt idx="36">
                  <c:v>125</c:v>
                </c:pt>
                <c:pt idx="37">
                  <c:v>154</c:v>
                </c:pt>
                <c:pt idx="38">
                  <c:v>129</c:v>
                </c:pt>
                <c:pt idx="39">
                  <c:v>167</c:v>
                </c:pt>
                <c:pt idx="40">
                  <c:v>63</c:v>
                </c:pt>
                <c:pt idx="41">
                  <c:v>110</c:v>
                </c:pt>
                <c:pt idx="42">
                  <c:v>150</c:v>
                </c:pt>
                <c:pt idx="43">
                  <c:v>150</c:v>
                </c:pt>
                <c:pt idx="44">
                  <c:v>134</c:v>
                </c:pt>
                <c:pt idx="45">
                  <c:v>147</c:v>
                </c:pt>
                <c:pt idx="46">
                  <c:v>136</c:v>
                </c:pt>
                <c:pt idx="47">
                  <c:v>185</c:v>
                </c:pt>
                <c:pt idx="48">
                  <c:v>183</c:v>
                </c:pt>
                <c:pt idx="49">
                  <c:v>230</c:v>
                </c:pt>
                <c:pt idx="50">
                  <c:v>30</c:v>
                </c:pt>
                <c:pt idx="51">
                  <c:v>237</c:v>
                </c:pt>
                <c:pt idx="52">
                  <c:v>228</c:v>
                </c:pt>
                <c:pt idx="53">
                  <c:v>226</c:v>
                </c:pt>
                <c:pt idx="54">
                  <c:v>235</c:v>
                </c:pt>
                <c:pt idx="55">
                  <c:v>68</c:v>
                </c:pt>
                <c:pt idx="56">
                  <c:v>71</c:v>
                </c:pt>
                <c:pt idx="57">
                  <c:v>67</c:v>
                </c:pt>
                <c:pt idx="58">
                  <c:v>67</c:v>
                </c:pt>
                <c:pt idx="59">
                  <c:v>101</c:v>
                </c:pt>
                <c:pt idx="60">
                  <c:v>97</c:v>
                </c:pt>
                <c:pt idx="61">
                  <c:v>124</c:v>
                </c:pt>
                <c:pt idx="62">
                  <c:v>148</c:v>
                </c:pt>
                <c:pt idx="63">
                  <c:v>141</c:v>
                </c:pt>
                <c:pt idx="64">
                  <c:v>105</c:v>
                </c:pt>
                <c:pt idx="65">
                  <c:v>204</c:v>
                </c:pt>
                <c:pt idx="66">
                  <c:v>146</c:v>
                </c:pt>
                <c:pt idx="67">
                  <c:v>62</c:v>
                </c:pt>
                <c:pt idx="68">
                  <c:v>64</c:v>
                </c:pt>
                <c:pt idx="69">
                  <c:v>248</c:v>
                </c:pt>
                <c:pt idx="70">
                  <c:v>259</c:v>
                </c:pt>
                <c:pt idx="71">
                  <c:v>46</c:v>
                </c:pt>
                <c:pt idx="72">
                  <c:v>118</c:v>
                </c:pt>
                <c:pt idx="73">
                  <c:v>124</c:v>
                </c:pt>
                <c:pt idx="74">
                  <c:v>146</c:v>
                </c:pt>
                <c:pt idx="75">
                  <c:v>30</c:v>
                </c:pt>
                <c:pt idx="76">
                  <c:v>237</c:v>
                </c:pt>
                <c:pt idx="77">
                  <c:v>228</c:v>
                </c:pt>
                <c:pt idx="78">
                  <c:v>226</c:v>
                </c:pt>
                <c:pt idx="79">
                  <c:v>235</c:v>
                </c:pt>
                <c:pt idx="80">
                  <c:v>68</c:v>
                </c:pt>
                <c:pt idx="81">
                  <c:v>71</c:v>
                </c:pt>
                <c:pt idx="82">
                  <c:v>67</c:v>
                </c:pt>
                <c:pt idx="83">
                  <c:v>67</c:v>
                </c:pt>
                <c:pt idx="84">
                  <c:v>101</c:v>
                </c:pt>
                <c:pt idx="85">
                  <c:v>97</c:v>
                </c:pt>
                <c:pt idx="86">
                  <c:v>124</c:v>
                </c:pt>
                <c:pt idx="87">
                  <c:v>148</c:v>
                </c:pt>
                <c:pt idx="88">
                  <c:v>141</c:v>
                </c:pt>
                <c:pt idx="89">
                  <c:v>105</c:v>
                </c:pt>
                <c:pt idx="90">
                  <c:v>204</c:v>
                </c:pt>
                <c:pt idx="91">
                  <c:v>146</c:v>
                </c:pt>
                <c:pt idx="92">
                  <c:v>62</c:v>
                </c:pt>
                <c:pt idx="93">
                  <c:v>64</c:v>
                </c:pt>
                <c:pt idx="94">
                  <c:v>248</c:v>
                </c:pt>
                <c:pt idx="95">
                  <c:v>259</c:v>
                </c:pt>
                <c:pt idx="96">
                  <c:v>46</c:v>
                </c:pt>
                <c:pt idx="97">
                  <c:v>118</c:v>
                </c:pt>
                <c:pt idx="98">
                  <c:v>124</c:v>
                </c:pt>
                <c:pt idx="99">
                  <c:v>146</c:v>
                </c:pt>
                <c:pt idx="100">
                  <c:v>37</c:v>
                </c:pt>
                <c:pt idx="101">
                  <c:v>212</c:v>
                </c:pt>
                <c:pt idx="102">
                  <c:v>210</c:v>
                </c:pt>
                <c:pt idx="103">
                  <c:v>170</c:v>
                </c:pt>
                <c:pt idx="104">
                  <c:v>167</c:v>
                </c:pt>
                <c:pt idx="105">
                  <c:v>172</c:v>
                </c:pt>
                <c:pt idx="106">
                  <c:v>204</c:v>
                </c:pt>
                <c:pt idx="107">
                  <c:v>209</c:v>
                </c:pt>
                <c:pt idx="108">
                  <c:v>250</c:v>
                </c:pt>
                <c:pt idx="109">
                  <c:v>88</c:v>
                </c:pt>
                <c:pt idx="110">
                  <c:v>161</c:v>
                </c:pt>
                <c:pt idx="111">
                  <c:v>208</c:v>
                </c:pt>
                <c:pt idx="112">
                  <c:v>210</c:v>
                </c:pt>
                <c:pt idx="113">
                  <c:v>266</c:v>
                </c:pt>
                <c:pt idx="114">
                  <c:v>130</c:v>
                </c:pt>
                <c:pt idx="115">
                  <c:v>163</c:v>
                </c:pt>
                <c:pt idx="116">
                  <c:v>160</c:v>
                </c:pt>
                <c:pt idx="117">
                  <c:v>128</c:v>
                </c:pt>
                <c:pt idx="118">
                  <c:v>226</c:v>
                </c:pt>
                <c:pt idx="119">
                  <c:v>180</c:v>
                </c:pt>
                <c:pt idx="120">
                  <c:v>206</c:v>
                </c:pt>
                <c:pt idx="121">
                  <c:v>233</c:v>
                </c:pt>
                <c:pt idx="122">
                  <c:v>41</c:v>
                </c:pt>
                <c:pt idx="123">
                  <c:v>264</c:v>
                </c:pt>
                <c:pt idx="124">
                  <c:v>117</c:v>
                </c:pt>
                <c:pt idx="125">
                  <c:v>58</c:v>
                </c:pt>
                <c:pt idx="126">
                  <c:v>79</c:v>
                </c:pt>
                <c:pt idx="127">
                  <c:v>140</c:v>
                </c:pt>
                <c:pt idx="128">
                  <c:v>71</c:v>
                </c:pt>
                <c:pt idx="129">
                  <c:v>107</c:v>
                </c:pt>
                <c:pt idx="130">
                  <c:v>102</c:v>
                </c:pt>
                <c:pt idx="131">
                  <c:v>86</c:v>
                </c:pt>
                <c:pt idx="132">
                  <c:v>96</c:v>
                </c:pt>
                <c:pt idx="133">
                  <c:v>43</c:v>
                </c:pt>
                <c:pt idx="134">
                  <c:v>32</c:v>
                </c:pt>
                <c:pt idx="135">
                  <c:v>51</c:v>
                </c:pt>
                <c:pt idx="136">
                  <c:v>51</c:v>
                </c:pt>
                <c:pt idx="137">
                  <c:v>43</c:v>
                </c:pt>
                <c:pt idx="138">
                  <c:v>66</c:v>
                </c:pt>
                <c:pt idx="139">
                  <c:v>86</c:v>
                </c:pt>
                <c:pt idx="140">
                  <c:v>74</c:v>
                </c:pt>
                <c:pt idx="141">
                  <c:v>94</c:v>
                </c:pt>
                <c:pt idx="142">
                  <c:v>88</c:v>
                </c:pt>
                <c:pt idx="143">
                  <c:v>115</c:v>
                </c:pt>
                <c:pt idx="144">
                  <c:v>99</c:v>
                </c:pt>
                <c:pt idx="145">
                  <c:v>110</c:v>
                </c:pt>
                <c:pt idx="146">
                  <c:v>89</c:v>
                </c:pt>
                <c:pt idx="147">
                  <c:v>102</c:v>
                </c:pt>
                <c:pt idx="148">
                  <c:v>114</c:v>
                </c:pt>
                <c:pt idx="149">
                  <c:v>100</c:v>
                </c:pt>
                <c:pt idx="150">
                  <c:v>83</c:v>
                </c:pt>
                <c:pt idx="151">
                  <c:v>116</c:v>
                </c:pt>
                <c:pt idx="152">
                  <c:v>142</c:v>
                </c:pt>
                <c:pt idx="153">
                  <c:v>202</c:v>
                </c:pt>
                <c:pt idx="154">
                  <c:v>115</c:v>
                </c:pt>
                <c:pt idx="155">
                  <c:v>138</c:v>
                </c:pt>
                <c:pt idx="156">
                  <c:v>226</c:v>
                </c:pt>
                <c:pt idx="157">
                  <c:v>48</c:v>
                </c:pt>
                <c:pt idx="158">
                  <c:v>62</c:v>
                </c:pt>
                <c:pt idx="159">
                  <c:v>139</c:v>
                </c:pt>
                <c:pt idx="160">
                  <c:v>183</c:v>
                </c:pt>
                <c:pt idx="161">
                  <c:v>207</c:v>
                </c:pt>
                <c:pt idx="162">
                  <c:v>193</c:v>
                </c:pt>
                <c:pt idx="163">
                  <c:v>229</c:v>
                </c:pt>
                <c:pt idx="164">
                  <c:v>177</c:v>
                </c:pt>
                <c:pt idx="165">
                  <c:v>51</c:v>
                </c:pt>
                <c:pt idx="166">
                  <c:v>59</c:v>
                </c:pt>
                <c:pt idx="167">
                  <c:v>72</c:v>
                </c:pt>
                <c:pt idx="168">
                  <c:v>86</c:v>
                </c:pt>
                <c:pt idx="169">
                  <c:v>93</c:v>
                </c:pt>
                <c:pt idx="170">
                  <c:v>112</c:v>
                </c:pt>
                <c:pt idx="171">
                  <c:v>90</c:v>
                </c:pt>
                <c:pt idx="172">
                  <c:v>98</c:v>
                </c:pt>
                <c:pt idx="173">
                  <c:v>138</c:v>
                </c:pt>
                <c:pt idx="174">
                  <c:v>132</c:v>
                </c:pt>
                <c:pt idx="175">
                  <c:v>111</c:v>
                </c:pt>
                <c:pt idx="176">
                  <c:v>176</c:v>
                </c:pt>
                <c:pt idx="177">
                  <c:v>165</c:v>
                </c:pt>
                <c:pt idx="178">
                  <c:v>156</c:v>
                </c:pt>
                <c:pt idx="179">
                  <c:v>170</c:v>
                </c:pt>
                <c:pt idx="180">
                  <c:v>154</c:v>
                </c:pt>
                <c:pt idx="181">
                  <c:v>189</c:v>
                </c:pt>
                <c:pt idx="182">
                  <c:v>149</c:v>
                </c:pt>
                <c:pt idx="183">
                  <c:v>208</c:v>
                </c:pt>
                <c:pt idx="184">
                  <c:v>203</c:v>
                </c:pt>
                <c:pt idx="185">
                  <c:v>205</c:v>
                </c:pt>
                <c:pt idx="186">
                  <c:v>233</c:v>
                </c:pt>
                <c:pt idx="187">
                  <c:v>60</c:v>
                </c:pt>
                <c:pt idx="188">
                  <c:v>46</c:v>
                </c:pt>
                <c:pt idx="189">
                  <c:v>50</c:v>
                </c:pt>
                <c:pt idx="190">
                  <c:v>72</c:v>
                </c:pt>
                <c:pt idx="191">
                  <c:v>40</c:v>
                </c:pt>
                <c:pt idx="192">
                  <c:v>36</c:v>
                </c:pt>
                <c:pt idx="193">
                  <c:v>79</c:v>
                </c:pt>
                <c:pt idx="194">
                  <c:v>43</c:v>
                </c:pt>
                <c:pt idx="195">
                  <c:v>63</c:v>
                </c:pt>
                <c:pt idx="196">
                  <c:v>81</c:v>
                </c:pt>
                <c:pt idx="197">
                  <c:v>83</c:v>
                </c:pt>
                <c:pt idx="198">
                  <c:v>80</c:v>
                </c:pt>
                <c:pt idx="199">
                  <c:v>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5A7-4B78-BB18-736BC93DC984}"/>
            </c:ext>
          </c:extLst>
        </c:ser>
        <c:ser>
          <c:idx val="1"/>
          <c:order val="1"/>
          <c:tx>
            <c:strRef>
              <c:f>AOI_u_Laney!$E$9</c:f>
              <c:strCache>
                <c:ptCount val="1"/>
                <c:pt idx="0">
                  <c:v>UCL(u)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AOI_u_Laney!$E$10:$E$209</c:f>
              <c:numCache>
                <c:formatCode>0.0000</c:formatCode>
                <c:ptCount val="200"/>
                <c:pt idx="0">
                  <c:v>172.96008378291651</c:v>
                </c:pt>
                <c:pt idx="1">
                  <c:v>172.96008378291651</c:v>
                </c:pt>
                <c:pt idx="2">
                  <c:v>172.96008378291651</c:v>
                </c:pt>
                <c:pt idx="3">
                  <c:v>172.96008378291651</c:v>
                </c:pt>
                <c:pt idx="4">
                  <c:v>172.96008378291651</c:v>
                </c:pt>
                <c:pt idx="5">
                  <c:v>172.96008378291651</c:v>
                </c:pt>
                <c:pt idx="6">
                  <c:v>172.96008378291651</c:v>
                </c:pt>
                <c:pt idx="7">
                  <c:v>172.96008378291651</c:v>
                </c:pt>
                <c:pt idx="8">
                  <c:v>172.96008378291651</c:v>
                </c:pt>
                <c:pt idx="9">
                  <c:v>172.96008378291651</c:v>
                </c:pt>
                <c:pt idx="10">
                  <c:v>172.96008378291651</c:v>
                </c:pt>
                <c:pt idx="11">
                  <c:v>172.96008378291651</c:v>
                </c:pt>
                <c:pt idx="12">
                  <c:v>172.96008378291651</c:v>
                </c:pt>
                <c:pt idx="13">
                  <c:v>172.96008378291651</c:v>
                </c:pt>
                <c:pt idx="14">
                  <c:v>172.96008378291651</c:v>
                </c:pt>
                <c:pt idx="15">
                  <c:v>172.96008378291651</c:v>
                </c:pt>
                <c:pt idx="16">
                  <c:v>172.96008378291651</c:v>
                </c:pt>
                <c:pt idx="17">
                  <c:v>172.96008378291651</c:v>
                </c:pt>
                <c:pt idx="18">
                  <c:v>172.96008378291651</c:v>
                </c:pt>
                <c:pt idx="19">
                  <c:v>172.96008378291651</c:v>
                </c:pt>
                <c:pt idx="20">
                  <c:v>172.96008378291651</c:v>
                </c:pt>
                <c:pt idx="21">
                  <c:v>172.96008378291651</c:v>
                </c:pt>
                <c:pt idx="22">
                  <c:v>172.96008378291651</c:v>
                </c:pt>
                <c:pt idx="23">
                  <c:v>172.96008378291651</c:v>
                </c:pt>
                <c:pt idx="24">
                  <c:v>172.96008378291651</c:v>
                </c:pt>
                <c:pt idx="25">
                  <c:v>172.96008378291651</c:v>
                </c:pt>
                <c:pt idx="26">
                  <c:v>172.96008378291651</c:v>
                </c:pt>
                <c:pt idx="27">
                  <c:v>172.96008378291651</c:v>
                </c:pt>
                <c:pt idx="28">
                  <c:v>172.96008378291651</c:v>
                </c:pt>
                <c:pt idx="29">
                  <c:v>172.96008378291651</c:v>
                </c:pt>
                <c:pt idx="30">
                  <c:v>172.96008378291651</c:v>
                </c:pt>
                <c:pt idx="31">
                  <c:v>172.96008378291651</c:v>
                </c:pt>
                <c:pt idx="32">
                  <c:v>172.96008378291651</c:v>
                </c:pt>
                <c:pt idx="33">
                  <c:v>172.96008378291651</c:v>
                </c:pt>
                <c:pt idx="34">
                  <c:v>172.96008378291651</c:v>
                </c:pt>
                <c:pt idx="35">
                  <c:v>172.96008378291651</c:v>
                </c:pt>
                <c:pt idx="36">
                  <c:v>172.96008378291651</c:v>
                </c:pt>
                <c:pt idx="37">
                  <c:v>172.96008378291651</c:v>
                </c:pt>
                <c:pt idx="38">
                  <c:v>172.96008378291651</c:v>
                </c:pt>
                <c:pt idx="39">
                  <c:v>172.96008378291651</c:v>
                </c:pt>
                <c:pt idx="40">
                  <c:v>172.96008378291651</c:v>
                </c:pt>
                <c:pt idx="41">
                  <c:v>172.96008378291651</c:v>
                </c:pt>
                <c:pt idx="42">
                  <c:v>172.96008378291651</c:v>
                </c:pt>
                <c:pt idx="43">
                  <c:v>172.96008378291651</c:v>
                </c:pt>
                <c:pt idx="44">
                  <c:v>172.96008378291651</c:v>
                </c:pt>
                <c:pt idx="45">
                  <c:v>172.96008378291651</c:v>
                </c:pt>
                <c:pt idx="46">
                  <c:v>172.96008378291651</c:v>
                </c:pt>
                <c:pt idx="47">
                  <c:v>172.96008378291651</c:v>
                </c:pt>
                <c:pt idx="48">
                  <c:v>172.96008378291651</c:v>
                </c:pt>
                <c:pt idx="49">
                  <c:v>172.96008378291651</c:v>
                </c:pt>
                <c:pt idx="50">
                  <c:v>172.96008378291651</c:v>
                </c:pt>
                <c:pt idx="51">
                  <c:v>172.96008378291651</c:v>
                </c:pt>
                <c:pt idx="52">
                  <c:v>172.96008378291651</c:v>
                </c:pt>
                <c:pt idx="53">
                  <c:v>172.96008378291651</c:v>
                </c:pt>
                <c:pt idx="54">
                  <c:v>172.96008378291651</c:v>
                </c:pt>
                <c:pt idx="55">
                  <c:v>172.96008378291651</c:v>
                </c:pt>
                <c:pt idx="56">
                  <c:v>172.96008378291651</c:v>
                </c:pt>
                <c:pt idx="57">
                  <c:v>172.96008378291651</c:v>
                </c:pt>
                <c:pt idx="58">
                  <c:v>172.96008378291651</c:v>
                </c:pt>
                <c:pt idx="59">
                  <c:v>172.96008378291651</c:v>
                </c:pt>
                <c:pt idx="60">
                  <c:v>172.96008378291651</c:v>
                </c:pt>
                <c:pt idx="61">
                  <c:v>172.96008378291651</c:v>
                </c:pt>
                <c:pt idx="62">
                  <c:v>172.96008378291651</c:v>
                </c:pt>
                <c:pt idx="63">
                  <c:v>172.96008378291651</c:v>
                </c:pt>
                <c:pt idx="64">
                  <c:v>172.96008378291651</c:v>
                </c:pt>
                <c:pt idx="65">
                  <c:v>172.96008378291651</c:v>
                </c:pt>
                <c:pt idx="66">
                  <c:v>172.96008378291651</c:v>
                </c:pt>
                <c:pt idx="67">
                  <c:v>172.96008378291651</c:v>
                </c:pt>
                <c:pt idx="68">
                  <c:v>172.96008378291651</c:v>
                </c:pt>
                <c:pt idx="69">
                  <c:v>172.96008378291651</c:v>
                </c:pt>
                <c:pt idx="70">
                  <c:v>172.96008378291651</c:v>
                </c:pt>
                <c:pt idx="71">
                  <c:v>172.96008378291651</c:v>
                </c:pt>
                <c:pt idx="72">
                  <c:v>172.96008378291651</c:v>
                </c:pt>
                <c:pt idx="73">
                  <c:v>172.96008378291651</c:v>
                </c:pt>
                <c:pt idx="74">
                  <c:v>172.96008378291651</c:v>
                </c:pt>
                <c:pt idx="75">
                  <c:v>172.96008378291651</c:v>
                </c:pt>
                <c:pt idx="76">
                  <c:v>172.96008378291651</c:v>
                </c:pt>
                <c:pt idx="77">
                  <c:v>172.96008378291651</c:v>
                </c:pt>
                <c:pt idx="78">
                  <c:v>172.96008378291651</c:v>
                </c:pt>
                <c:pt idx="79">
                  <c:v>172.96008378291651</c:v>
                </c:pt>
                <c:pt idx="80">
                  <c:v>172.96008378291651</c:v>
                </c:pt>
                <c:pt idx="81">
                  <c:v>172.96008378291651</c:v>
                </c:pt>
                <c:pt idx="82">
                  <c:v>172.96008378291651</c:v>
                </c:pt>
                <c:pt idx="83">
                  <c:v>172.96008378291651</c:v>
                </c:pt>
                <c:pt idx="84">
                  <c:v>172.96008378291651</c:v>
                </c:pt>
                <c:pt idx="85">
                  <c:v>172.96008378291651</c:v>
                </c:pt>
                <c:pt idx="86">
                  <c:v>172.96008378291651</c:v>
                </c:pt>
                <c:pt idx="87">
                  <c:v>172.96008378291651</c:v>
                </c:pt>
                <c:pt idx="88">
                  <c:v>172.96008378291651</c:v>
                </c:pt>
                <c:pt idx="89">
                  <c:v>172.96008378291651</c:v>
                </c:pt>
                <c:pt idx="90">
                  <c:v>172.96008378291651</c:v>
                </c:pt>
                <c:pt idx="91">
                  <c:v>172.96008378291651</c:v>
                </c:pt>
                <c:pt idx="92">
                  <c:v>172.96008378291651</c:v>
                </c:pt>
                <c:pt idx="93">
                  <c:v>172.96008378291651</c:v>
                </c:pt>
                <c:pt idx="94">
                  <c:v>172.96008378291651</c:v>
                </c:pt>
                <c:pt idx="95">
                  <c:v>172.96008378291651</c:v>
                </c:pt>
                <c:pt idx="96">
                  <c:v>172.96008378291651</c:v>
                </c:pt>
                <c:pt idx="97">
                  <c:v>172.96008378291651</c:v>
                </c:pt>
                <c:pt idx="98">
                  <c:v>172.96008378291651</c:v>
                </c:pt>
                <c:pt idx="99">
                  <c:v>172.96008378291651</c:v>
                </c:pt>
                <c:pt idx="100">
                  <c:v>172.96008378291651</c:v>
                </c:pt>
                <c:pt idx="101">
                  <c:v>172.96008378291651</c:v>
                </c:pt>
                <c:pt idx="102">
                  <c:v>172.96008378291651</c:v>
                </c:pt>
                <c:pt idx="103">
                  <c:v>172.96008378291651</c:v>
                </c:pt>
                <c:pt idx="104">
                  <c:v>172.96008378291651</c:v>
                </c:pt>
                <c:pt idx="105">
                  <c:v>172.96008378291651</c:v>
                </c:pt>
                <c:pt idx="106">
                  <c:v>172.96008378291651</c:v>
                </c:pt>
                <c:pt idx="107">
                  <c:v>172.96008378291651</c:v>
                </c:pt>
                <c:pt idx="108">
                  <c:v>172.96008378291651</c:v>
                </c:pt>
                <c:pt idx="109">
                  <c:v>172.96008378291651</c:v>
                </c:pt>
                <c:pt idx="110">
                  <c:v>172.96008378291651</c:v>
                </c:pt>
                <c:pt idx="111">
                  <c:v>172.96008378291651</c:v>
                </c:pt>
                <c:pt idx="112">
                  <c:v>172.96008378291651</c:v>
                </c:pt>
                <c:pt idx="113">
                  <c:v>172.96008378291651</c:v>
                </c:pt>
                <c:pt idx="114">
                  <c:v>172.96008378291651</c:v>
                </c:pt>
                <c:pt idx="115">
                  <c:v>172.96008378291651</c:v>
                </c:pt>
                <c:pt idx="116">
                  <c:v>172.96008378291651</c:v>
                </c:pt>
                <c:pt idx="117">
                  <c:v>172.96008378291651</c:v>
                </c:pt>
                <c:pt idx="118">
                  <c:v>172.96008378291651</c:v>
                </c:pt>
                <c:pt idx="119">
                  <c:v>172.96008378291651</c:v>
                </c:pt>
                <c:pt idx="120">
                  <c:v>172.96008378291651</c:v>
                </c:pt>
                <c:pt idx="121">
                  <c:v>172.96008378291651</c:v>
                </c:pt>
                <c:pt idx="122">
                  <c:v>172.96008378291651</c:v>
                </c:pt>
                <c:pt idx="123">
                  <c:v>172.96008378291651</c:v>
                </c:pt>
                <c:pt idx="124">
                  <c:v>172.96008378291651</c:v>
                </c:pt>
                <c:pt idx="125">
                  <c:v>172.96008378291651</c:v>
                </c:pt>
                <c:pt idx="126">
                  <c:v>172.96008378291651</c:v>
                </c:pt>
                <c:pt idx="127">
                  <c:v>172.96008378291651</c:v>
                </c:pt>
                <c:pt idx="128">
                  <c:v>172.96008378291651</c:v>
                </c:pt>
                <c:pt idx="129">
                  <c:v>172.96008378291651</c:v>
                </c:pt>
                <c:pt idx="130">
                  <c:v>172.96008378291651</c:v>
                </c:pt>
                <c:pt idx="131">
                  <c:v>172.96008378291651</c:v>
                </c:pt>
                <c:pt idx="132">
                  <c:v>172.96008378291651</c:v>
                </c:pt>
                <c:pt idx="133">
                  <c:v>172.96008378291651</c:v>
                </c:pt>
                <c:pt idx="134">
                  <c:v>172.96008378291651</c:v>
                </c:pt>
                <c:pt idx="135">
                  <c:v>172.96008378291651</c:v>
                </c:pt>
                <c:pt idx="136">
                  <c:v>172.96008378291651</c:v>
                </c:pt>
                <c:pt idx="137">
                  <c:v>172.96008378291651</c:v>
                </c:pt>
                <c:pt idx="138">
                  <c:v>172.96008378291651</c:v>
                </c:pt>
                <c:pt idx="139">
                  <c:v>172.96008378291651</c:v>
                </c:pt>
                <c:pt idx="140">
                  <c:v>172.96008378291651</c:v>
                </c:pt>
                <c:pt idx="141">
                  <c:v>172.96008378291651</c:v>
                </c:pt>
                <c:pt idx="142">
                  <c:v>172.96008378291651</c:v>
                </c:pt>
                <c:pt idx="143">
                  <c:v>172.96008378291651</c:v>
                </c:pt>
                <c:pt idx="144">
                  <c:v>172.96008378291651</c:v>
                </c:pt>
                <c:pt idx="145">
                  <c:v>172.96008378291651</c:v>
                </c:pt>
                <c:pt idx="146">
                  <c:v>172.96008378291651</c:v>
                </c:pt>
                <c:pt idx="147">
                  <c:v>172.96008378291651</c:v>
                </c:pt>
                <c:pt idx="148">
                  <c:v>172.96008378291651</c:v>
                </c:pt>
                <c:pt idx="149">
                  <c:v>172.96008378291651</c:v>
                </c:pt>
                <c:pt idx="150">
                  <c:v>172.96008378291651</c:v>
                </c:pt>
                <c:pt idx="151">
                  <c:v>172.96008378291651</c:v>
                </c:pt>
                <c:pt idx="152">
                  <c:v>172.96008378291651</c:v>
                </c:pt>
                <c:pt idx="153">
                  <c:v>172.96008378291651</c:v>
                </c:pt>
                <c:pt idx="154">
                  <c:v>172.96008378291651</c:v>
                </c:pt>
                <c:pt idx="155">
                  <c:v>172.96008378291651</c:v>
                </c:pt>
                <c:pt idx="156">
                  <c:v>172.96008378291651</c:v>
                </c:pt>
                <c:pt idx="157">
                  <c:v>172.96008378291651</c:v>
                </c:pt>
                <c:pt idx="158">
                  <c:v>172.96008378291651</c:v>
                </c:pt>
                <c:pt idx="159">
                  <c:v>172.96008378291651</c:v>
                </c:pt>
                <c:pt idx="160">
                  <c:v>172.96008378291651</c:v>
                </c:pt>
                <c:pt idx="161">
                  <c:v>172.96008378291651</c:v>
                </c:pt>
                <c:pt idx="162">
                  <c:v>172.96008378291651</c:v>
                </c:pt>
                <c:pt idx="163">
                  <c:v>172.96008378291651</c:v>
                </c:pt>
                <c:pt idx="164">
                  <c:v>172.96008378291651</c:v>
                </c:pt>
                <c:pt idx="165">
                  <c:v>172.96008378291651</c:v>
                </c:pt>
                <c:pt idx="166">
                  <c:v>172.96008378291651</c:v>
                </c:pt>
                <c:pt idx="167">
                  <c:v>172.96008378291651</c:v>
                </c:pt>
                <c:pt idx="168">
                  <c:v>172.96008378291651</c:v>
                </c:pt>
                <c:pt idx="169">
                  <c:v>172.96008378291651</c:v>
                </c:pt>
                <c:pt idx="170">
                  <c:v>172.96008378291651</c:v>
                </c:pt>
                <c:pt idx="171">
                  <c:v>172.96008378291651</c:v>
                </c:pt>
                <c:pt idx="172">
                  <c:v>172.96008378291651</c:v>
                </c:pt>
                <c:pt idx="173">
                  <c:v>172.96008378291651</c:v>
                </c:pt>
                <c:pt idx="174">
                  <c:v>172.96008378291651</c:v>
                </c:pt>
                <c:pt idx="175">
                  <c:v>172.96008378291651</c:v>
                </c:pt>
                <c:pt idx="176">
                  <c:v>172.96008378291651</c:v>
                </c:pt>
                <c:pt idx="177">
                  <c:v>172.96008378291651</c:v>
                </c:pt>
                <c:pt idx="178">
                  <c:v>172.96008378291651</c:v>
                </c:pt>
                <c:pt idx="179">
                  <c:v>172.96008378291651</c:v>
                </c:pt>
                <c:pt idx="180">
                  <c:v>172.96008378291651</c:v>
                </c:pt>
                <c:pt idx="181">
                  <c:v>172.96008378291651</c:v>
                </c:pt>
                <c:pt idx="182">
                  <c:v>172.96008378291651</c:v>
                </c:pt>
                <c:pt idx="183">
                  <c:v>172.96008378291651</c:v>
                </c:pt>
                <c:pt idx="184">
                  <c:v>172.96008378291651</c:v>
                </c:pt>
                <c:pt idx="185">
                  <c:v>172.96008378291651</c:v>
                </c:pt>
                <c:pt idx="186">
                  <c:v>172.96008378291651</c:v>
                </c:pt>
                <c:pt idx="187">
                  <c:v>172.96008378291651</c:v>
                </c:pt>
                <c:pt idx="188">
                  <c:v>172.96008378291651</c:v>
                </c:pt>
                <c:pt idx="189">
                  <c:v>172.96008378291651</c:v>
                </c:pt>
                <c:pt idx="190">
                  <c:v>172.96008378291651</c:v>
                </c:pt>
                <c:pt idx="191">
                  <c:v>172.96008378291651</c:v>
                </c:pt>
                <c:pt idx="192">
                  <c:v>172.96008378291651</c:v>
                </c:pt>
                <c:pt idx="193">
                  <c:v>172.96008378291651</c:v>
                </c:pt>
                <c:pt idx="194">
                  <c:v>172.96008378291651</c:v>
                </c:pt>
                <c:pt idx="195">
                  <c:v>172.96008378291651</c:v>
                </c:pt>
                <c:pt idx="196">
                  <c:v>172.96008378291651</c:v>
                </c:pt>
                <c:pt idx="197">
                  <c:v>172.96008378291651</c:v>
                </c:pt>
                <c:pt idx="198">
                  <c:v>172.96008378291651</c:v>
                </c:pt>
                <c:pt idx="199">
                  <c:v>172.96008378291651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5A7-4B78-BB18-736BC93DC984}"/>
            </c:ext>
          </c:extLst>
        </c:ser>
        <c:ser>
          <c:idx val="2"/>
          <c:order val="2"/>
          <c:tx>
            <c:strRef>
              <c:f>AOI_u_Laney!$F$9</c:f>
              <c:strCache>
                <c:ptCount val="1"/>
                <c:pt idx="0">
                  <c:v>CL(u)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AOI_u_Laney!$F$10:$F$209</c:f>
              <c:numCache>
                <c:formatCode>0.0000</c:formatCode>
                <c:ptCount val="200"/>
                <c:pt idx="0">
                  <c:v>137.75</c:v>
                </c:pt>
                <c:pt idx="1">
                  <c:v>137.75</c:v>
                </c:pt>
                <c:pt idx="2">
                  <c:v>137.75</c:v>
                </c:pt>
                <c:pt idx="3">
                  <c:v>137.75</c:v>
                </c:pt>
                <c:pt idx="4">
                  <c:v>137.75</c:v>
                </c:pt>
                <c:pt idx="5">
                  <c:v>137.75</c:v>
                </c:pt>
                <c:pt idx="6">
                  <c:v>137.75</c:v>
                </c:pt>
                <c:pt idx="7">
                  <c:v>137.75</c:v>
                </c:pt>
                <c:pt idx="8">
                  <c:v>137.75</c:v>
                </c:pt>
                <c:pt idx="9">
                  <c:v>137.75</c:v>
                </c:pt>
                <c:pt idx="10">
                  <c:v>137.75</c:v>
                </c:pt>
                <c:pt idx="11">
                  <c:v>137.75</c:v>
                </c:pt>
                <c:pt idx="12">
                  <c:v>137.75</c:v>
                </c:pt>
                <c:pt idx="13">
                  <c:v>137.75</c:v>
                </c:pt>
                <c:pt idx="14">
                  <c:v>137.75</c:v>
                </c:pt>
                <c:pt idx="15">
                  <c:v>137.75</c:v>
                </c:pt>
                <c:pt idx="16">
                  <c:v>137.75</c:v>
                </c:pt>
                <c:pt idx="17">
                  <c:v>137.75</c:v>
                </c:pt>
                <c:pt idx="18">
                  <c:v>137.75</c:v>
                </c:pt>
                <c:pt idx="19">
                  <c:v>137.75</c:v>
                </c:pt>
                <c:pt idx="20">
                  <c:v>137.75</c:v>
                </c:pt>
                <c:pt idx="21">
                  <c:v>137.75</c:v>
                </c:pt>
                <c:pt idx="22">
                  <c:v>137.75</c:v>
                </c:pt>
                <c:pt idx="23">
                  <c:v>137.75</c:v>
                </c:pt>
                <c:pt idx="24">
                  <c:v>137.75</c:v>
                </c:pt>
                <c:pt idx="25">
                  <c:v>137.75</c:v>
                </c:pt>
                <c:pt idx="26">
                  <c:v>137.75</c:v>
                </c:pt>
                <c:pt idx="27">
                  <c:v>137.75</c:v>
                </c:pt>
                <c:pt idx="28">
                  <c:v>137.75</c:v>
                </c:pt>
                <c:pt idx="29">
                  <c:v>137.75</c:v>
                </c:pt>
                <c:pt idx="30">
                  <c:v>137.75</c:v>
                </c:pt>
                <c:pt idx="31">
                  <c:v>137.75</c:v>
                </c:pt>
                <c:pt idx="32">
                  <c:v>137.75</c:v>
                </c:pt>
                <c:pt idx="33">
                  <c:v>137.75</c:v>
                </c:pt>
                <c:pt idx="34">
                  <c:v>137.75</c:v>
                </c:pt>
                <c:pt idx="35">
                  <c:v>137.75</c:v>
                </c:pt>
                <c:pt idx="36">
                  <c:v>137.75</c:v>
                </c:pt>
                <c:pt idx="37">
                  <c:v>137.75</c:v>
                </c:pt>
                <c:pt idx="38">
                  <c:v>137.75</c:v>
                </c:pt>
                <c:pt idx="39">
                  <c:v>137.75</c:v>
                </c:pt>
                <c:pt idx="40">
                  <c:v>137.75</c:v>
                </c:pt>
                <c:pt idx="41">
                  <c:v>137.75</c:v>
                </c:pt>
                <c:pt idx="42">
                  <c:v>137.75</c:v>
                </c:pt>
                <c:pt idx="43">
                  <c:v>137.75</c:v>
                </c:pt>
                <c:pt idx="44">
                  <c:v>137.75</c:v>
                </c:pt>
                <c:pt idx="45">
                  <c:v>137.75</c:v>
                </c:pt>
                <c:pt idx="46">
                  <c:v>137.75</c:v>
                </c:pt>
                <c:pt idx="47">
                  <c:v>137.75</c:v>
                </c:pt>
                <c:pt idx="48">
                  <c:v>137.75</c:v>
                </c:pt>
                <c:pt idx="49">
                  <c:v>137.75</c:v>
                </c:pt>
                <c:pt idx="50">
                  <c:v>137.75</c:v>
                </c:pt>
                <c:pt idx="51">
                  <c:v>137.75</c:v>
                </c:pt>
                <c:pt idx="52">
                  <c:v>137.75</c:v>
                </c:pt>
                <c:pt idx="53">
                  <c:v>137.75</c:v>
                </c:pt>
                <c:pt idx="54">
                  <c:v>137.75</c:v>
                </c:pt>
                <c:pt idx="55">
                  <c:v>137.75</c:v>
                </c:pt>
                <c:pt idx="56">
                  <c:v>137.75</c:v>
                </c:pt>
                <c:pt idx="57">
                  <c:v>137.75</c:v>
                </c:pt>
                <c:pt idx="58">
                  <c:v>137.75</c:v>
                </c:pt>
                <c:pt idx="59">
                  <c:v>137.75</c:v>
                </c:pt>
                <c:pt idx="60">
                  <c:v>137.75</c:v>
                </c:pt>
                <c:pt idx="61">
                  <c:v>137.75</c:v>
                </c:pt>
                <c:pt idx="62">
                  <c:v>137.75</c:v>
                </c:pt>
                <c:pt idx="63">
                  <c:v>137.75</c:v>
                </c:pt>
                <c:pt idx="64">
                  <c:v>137.75</c:v>
                </c:pt>
                <c:pt idx="65">
                  <c:v>137.75</c:v>
                </c:pt>
                <c:pt idx="66">
                  <c:v>137.75</c:v>
                </c:pt>
                <c:pt idx="67">
                  <c:v>137.75</c:v>
                </c:pt>
                <c:pt idx="68">
                  <c:v>137.75</c:v>
                </c:pt>
                <c:pt idx="69">
                  <c:v>137.75</c:v>
                </c:pt>
                <c:pt idx="70">
                  <c:v>137.75</c:v>
                </c:pt>
                <c:pt idx="71">
                  <c:v>137.75</c:v>
                </c:pt>
                <c:pt idx="72">
                  <c:v>137.75</c:v>
                </c:pt>
                <c:pt idx="73">
                  <c:v>137.75</c:v>
                </c:pt>
                <c:pt idx="74">
                  <c:v>137.75</c:v>
                </c:pt>
                <c:pt idx="75">
                  <c:v>137.75</c:v>
                </c:pt>
                <c:pt idx="76">
                  <c:v>137.75</c:v>
                </c:pt>
                <c:pt idx="77">
                  <c:v>137.75</c:v>
                </c:pt>
                <c:pt idx="78">
                  <c:v>137.75</c:v>
                </c:pt>
                <c:pt idx="79">
                  <c:v>137.75</c:v>
                </c:pt>
                <c:pt idx="80">
                  <c:v>137.75</c:v>
                </c:pt>
                <c:pt idx="81">
                  <c:v>137.75</c:v>
                </c:pt>
                <c:pt idx="82">
                  <c:v>137.75</c:v>
                </c:pt>
                <c:pt idx="83">
                  <c:v>137.75</c:v>
                </c:pt>
                <c:pt idx="84">
                  <c:v>137.75</c:v>
                </c:pt>
                <c:pt idx="85">
                  <c:v>137.75</c:v>
                </c:pt>
                <c:pt idx="86">
                  <c:v>137.75</c:v>
                </c:pt>
                <c:pt idx="87">
                  <c:v>137.75</c:v>
                </c:pt>
                <c:pt idx="88">
                  <c:v>137.75</c:v>
                </c:pt>
                <c:pt idx="89">
                  <c:v>137.75</c:v>
                </c:pt>
                <c:pt idx="90">
                  <c:v>137.75</c:v>
                </c:pt>
                <c:pt idx="91">
                  <c:v>137.75</c:v>
                </c:pt>
                <c:pt idx="92">
                  <c:v>137.75</c:v>
                </c:pt>
                <c:pt idx="93">
                  <c:v>137.75</c:v>
                </c:pt>
                <c:pt idx="94">
                  <c:v>137.75</c:v>
                </c:pt>
                <c:pt idx="95">
                  <c:v>137.75</c:v>
                </c:pt>
                <c:pt idx="96">
                  <c:v>137.75</c:v>
                </c:pt>
                <c:pt idx="97">
                  <c:v>137.75</c:v>
                </c:pt>
                <c:pt idx="98">
                  <c:v>137.75</c:v>
                </c:pt>
                <c:pt idx="99">
                  <c:v>137.75</c:v>
                </c:pt>
                <c:pt idx="100">
                  <c:v>137.75</c:v>
                </c:pt>
                <c:pt idx="101">
                  <c:v>137.75</c:v>
                </c:pt>
                <c:pt idx="102">
                  <c:v>137.75</c:v>
                </c:pt>
                <c:pt idx="103">
                  <c:v>137.75</c:v>
                </c:pt>
                <c:pt idx="104">
                  <c:v>137.75</c:v>
                </c:pt>
                <c:pt idx="105">
                  <c:v>137.75</c:v>
                </c:pt>
                <c:pt idx="106">
                  <c:v>137.75</c:v>
                </c:pt>
                <c:pt idx="107">
                  <c:v>137.75</c:v>
                </c:pt>
                <c:pt idx="108">
                  <c:v>137.75</c:v>
                </c:pt>
                <c:pt idx="109">
                  <c:v>137.75</c:v>
                </c:pt>
                <c:pt idx="110">
                  <c:v>137.75</c:v>
                </c:pt>
                <c:pt idx="111">
                  <c:v>137.75</c:v>
                </c:pt>
                <c:pt idx="112">
                  <c:v>137.75</c:v>
                </c:pt>
                <c:pt idx="113">
                  <c:v>137.75</c:v>
                </c:pt>
                <c:pt idx="114">
                  <c:v>137.75</c:v>
                </c:pt>
                <c:pt idx="115">
                  <c:v>137.75</c:v>
                </c:pt>
                <c:pt idx="116">
                  <c:v>137.75</c:v>
                </c:pt>
                <c:pt idx="117">
                  <c:v>137.75</c:v>
                </c:pt>
                <c:pt idx="118">
                  <c:v>137.75</c:v>
                </c:pt>
                <c:pt idx="119">
                  <c:v>137.75</c:v>
                </c:pt>
                <c:pt idx="120">
                  <c:v>137.75</c:v>
                </c:pt>
                <c:pt idx="121">
                  <c:v>137.75</c:v>
                </c:pt>
                <c:pt idx="122">
                  <c:v>137.75</c:v>
                </c:pt>
                <c:pt idx="123">
                  <c:v>137.75</c:v>
                </c:pt>
                <c:pt idx="124">
                  <c:v>137.75</c:v>
                </c:pt>
                <c:pt idx="125">
                  <c:v>137.75</c:v>
                </c:pt>
                <c:pt idx="126">
                  <c:v>137.75</c:v>
                </c:pt>
                <c:pt idx="127">
                  <c:v>137.75</c:v>
                </c:pt>
                <c:pt idx="128">
                  <c:v>137.75</c:v>
                </c:pt>
                <c:pt idx="129">
                  <c:v>137.75</c:v>
                </c:pt>
                <c:pt idx="130">
                  <c:v>137.75</c:v>
                </c:pt>
                <c:pt idx="131">
                  <c:v>137.75</c:v>
                </c:pt>
                <c:pt idx="132">
                  <c:v>137.75</c:v>
                </c:pt>
                <c:pt idx="133">
                  <c:v>137.75</c:v>
                </c:pt>
                <c:pt idx="134">
                  <c:v>137.75</c:v>
                </c:pt>
                <c:pt idx="135">
                  <c:v>137.75</c:v>
                </c:pt>
                <c:pt idx="136">
                  <c:v>137.75</c:v>
                </c:pt>
                <c:pt idx="137">
                  <c:v>137.75</c:v>
                </c:pt>
                <c:pt idx="138">
                  <c:v>137.75</c:v>
                </c:pt>
                <c:pt idx="139">
                  <c:v>137.75</c:v>
                </c:pt>
                <c:pt idx="140">
                  <c:v>137.75</c:v>
                </c:pt>
                <c:pt idx="141">
                  <c:v>137.75</c:v>
                </c:pt>
                <c:pt idx="142">
                  <c:v>137.75</c:v>
                </c:pt>
                <c:pt idx="143">
                  <c:v>137.75</c:v>
                </c:pt>
                <c:pt idx="144">
                  <c:v>137.75</c:v>
                </c:pt>
                <c:pt idx="145">
                  <c:v>137.75</c:v>
                </c:pt>
                <c:pt idx="146">
                  <c:v>137.75</c:v>
                </c:pt>
                <c:pt idx="147">
                  <c:v>137.75</c:v>
                </c:pt>
                <c:pt idx="148">
                  <c:v>137.75</c:v>
                </c:pt>
                <c:pt idx="149">
                  <c:v>137.75</c:v>
                </c:pt>
                <c:pt idx="150">
                  <c:v>137.75</c:v>
                </c:pt>
                <c:pt idx="151">
                  <c:v>137.75</c:v>
                </c:pt>
                <c:pt idx="152">
                  <c:v>137.75</c:v>
                </c:pt>
                <c:pt idx="153">
                  <c:v>137.75</c:v>
                </c:pt>
                <c:pt idx="154">
                  <c:v>137.75</c:v>
                </c:pt>
                <c:pt idx="155">
                  <c:v>137.75</c:v>
                </c:pt>
                <c:pt idx="156">
                  <c:v>137.75</c:v>
                </c:pt>
                <c:pt idx="157">
                  <c:v>137.75</c:v>
                </c:pt>
                <c:pt idx="158">
                  <c:v>137.75</c:v>
                </c:pt>
                <c:pt idx="159">
                  <c:v>137.75</c:v>
                </c:pt>
                <c:pt idx="160">
                  <c:v>137.75</c:v>
                </c:pt>
                <c:pt idx="161">
                  <c:v>137.75</c:v>
                </c:pt>
                <c:pt idx="162">
                  <c:v>137.75</c:v>
                </c:pt>
                <c:pt idx="163">
                  <c:v>137.75</c:v>
                </c:pt>
                <c:pt idx="164">
                  <c:v>137.75</c:v>
                </c:pt>
                <c:pt idx="165">
                  <c:v>137.75</c:v>
                </c:pt>
                <c:pt idx="166">
                  <c:v>137.75</c:v>
                </c:pt>
                <c:pt idx="167">
                  <c:v>137.75</c:v>
                </c:pt>
                <c:pt idx="168">
                  <c:v>137.75</c:v>
                </c:pt>
                <c:pt idx="169">
                  <c:v>137.75</c:v>
                </c:pt>
                <c:pt idx="170">
                  <c:v>137.75</c:v>
                </c:pt>
                <c:pt idx="171">
                  <c:v>137.75</c:v>
                </c:pt>
                <c:pt idx="172">
                  <c:v>137.75</c:v>
                </c:pt>
                <c:pt idx="173">
                  <c:v>137.75</c:v>
                </c:pt>
                <c:pt idx="174">
                  <c:v>137.75</c:v>
                </c:pt>
                <c:pt idx="175">
                  <c:v>137.75</c:v>
                </c:pt>
                <c:pt idx="176">
                  <c:v>137.75</c:v>
                </c:pt>
                <c:pt idx="177">
                  <c:v>137.75</c:v>
                </c:pt>
                <c:pt idx="178">
                  <c:v>137.75</c:v>
                </c:pt>
                <c:pt idx="179">
                  <c:v>137.75</c:v>
                </c:pt>
                <c:pt idx="180">
                  <c:v>137.75</c:v>
                </c:pt>
                <c:pt idx="181">
                  <c:v>137.75</c:v>
                </c:pt>
                <c:pt idx="182">
                  <c:v>137.75</c:v>
                </c:pt>
                <c:pt idx="183">
                  <c:v>137.75</c:v>
                </c:pt>
                <c:pt idx="184">
                  <c:v>137.75</c:v>
                </c:pt>
                <c:pt idx="185">
                  <c:v>137.75</c:v>
                </c:pt>
                <c:pt idx="186">
                  <c:v>137.75</c:v>
                </c:pt>
                <c:pt idx="187">
                  <c:v>137.75</c:v>
                </c:pt>
                <c:pt idx="188">
                  <c:v>137.75</c:v>
                </c:pt>
                <c:pt idx="189">
                  <c:v>137.75</c:v>
                </c:pt>
                <c:pt idx="190">
                  <c:v>137.75</c:v>
                </c:pt>
                <c:pt idx="191">
                  <c:v>137.75</c:v>
                </c:pt>
                <c:pt idx="192">
                  <c:v>137.75</c:v>
                </c:pt>
                <c:pt idx="193">
                  <c:v>137.75</c:v>
                </c:pt>
                <c:pt idx="194">
                  <c:v>137.75</c:v>
                </c:pt>
                <c:pt idx="195">
                  <c:v>137.75</c:v>
                </c:pt>
                <c:pt idx="196">
                  <c:v>137.75</c:v>
                </c:pt>
                <c:pt idx="197">
                  <c:v>137.75</c:v>
                </c:pt>
                <c:pt idx="198">
                  <c:v>137.75</c:v>
                </c:pt>
                <c:pt idx="199">
                  <c:v>137.75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5A7-4B78-BB18-736BC93DC984}"/>
            </c:ext>
          </c:extLst>
        </c:ser>
        <c:ser>
          <c:idx val="3"/>
          <c:order val="3"/>
          <c:tx>
            <c:strRef>
              <c:f>AOI_u_Laney!$G$9</c:f>
              <c:strCache>
                <c:ptCount val="1"/>
                <c:pt idx="0">
                  <c:v>LCL(u)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AOI_u_Laney!$G$10:$G$209</c:f>
              <c:numCache>
                <c:formatCode>0.0000</c:formatCode>
                <c:ptCount val="200"/>
                <c:pt idx="0">
                  <c:v>102.53991621708349</c:v>
                </c:pt>
                <c:pt idx="1">
                  <c:v>102.53991621708349</c:v>
                </c:pt>
                <c:pt idx="2">
                  <c:v>102.53991621708349</c:v>
                </c:pt>
                <c:pt idx="3">
                  <c:v>102.53991621708349</c:v>
                </c:pt>
                <c:pt idx="4">
                  <c:v>102.53991621708349</c:v>
                </c:pt>
                <c:pt idx="5">
                  <c:v>102.53991621708349</c:v>
                </c:pt>
                <c:pt idx="6">
                  <c:v>102.53991621708349</c:v>
                </c:pt>
                <c:pt idx="7">
                  <c:v>102.53991621708349</c:v>
                </c:pt>
                <c:pt idx="8">
                  <c:v>102.53991621708349</c:v>
                </c:pt>
                <c:pt idx="9">
                  <c:v>102.53991621708349</c:v>
                </c:pt>
                <c:pt idx="10">
                  <c:v>102.53991621708349</c:v>
                </c:pt>
                <c:pt idx="11">
                  <c:v>102.53991621708349</c:v>
                </c:pt>
                <c:pt idx="12">
                  <c:v>102.53991621708349</c:v>
                </c:pt>
                <c:pt idx="13">
                  <c:v>102.53991621708349</c:v>
                </c:pt>
                <c:pt idx="14">
                  <c:v>102.53991621708349</c:v>
                </c:pt>
                <c:pt idx="15">
                  <c:v>102.53991621708349</c:v>
                </c:pt>
                <c:pt idx="16">
                  <c:v>102.53991621708349</c:v>
                </c:pt>
                <c:pt idx="17">
                  <c:v>102.53991621708349</c:v>
                </c:pt>
                <c:pt idx="18">
                  <c:v>102.53991621708349</c:v>
                </c:pt>
                <c:pt idx="19">
                  <c:v>102.53991621708349</c:v>
                </c:pt>
                <c:pt idx="20">
                  <c:v>102.53991621708349</c:v>
                </c:pt>
                <c:pt idx="21">
                  <c:v>102.53991621708349</c:v>
                </c:pt>
                <c:pt idx="22">
                  <c:v>102.53991621708349</c:v>
                </c:pt>
                <c:pt idx="23">
                  <c:v>102.53991621708349</c:v>
                </c:pt>
                <c:pt idx="24">
                  <c:v>102.53991621708349</c:v>
                </c:pt>
                <c:pt idx="25">
                  <c:v>102.53991621708349</c:v>
                </c:pt>
                <c:pt idx="26">
                  <c:v>102.53991621708349</c:v>
                </c:pt>
                <c:pt idx="27">
                  <c:v>102.53991621708349</c:v>
                </c:pt>
                <c:pt idx="28">
                  <c:v>102.53991621708349</c:v>
                </c:pt>
                <c:pt idx="29">
                  <c:v>102.53991621708349</c:v>
                </c:pt>
                <c:pt idx="30">
                  <c:v>102.53991621708349</c:v>
                </c:pt>
                <c:pt idx="31">
                  <c:v>102.53991621708349</c:v>
                </c:pt>
                <c:pt idx="32">
                  <c:v>102.53991621708349</c:v>
                </c:pt>
                <c:pt idx="33">
                  <c:v>102.53991621708349</c:v>
                </c:pt>
                <c:pt idx="34">
                  <c:v>102.53991621708349</c:v>
                </c:pt>
                <c:pt idx="35">
                  <c:v>102.53991621708349</c:v>
                </c:pt>
                <c:pt idx="36">
                  <c:v>102.53991621708349</c:v>
                </c:pt>
                <c:pt idx="37">
                  <c:v>102.53991621708349</c:v>
                </c:pt>
                <c:pt idx="38">
                  <c:v>102.53991621708349</c:v>
                </c:pt>
                <c:pt idx="39">
                  <c:v>102.53991621708349</c:v>
                </c:pt>
                <c:pt idx="40">
                  <c:v>102.53991621708349</c:v>
                </c:pt>
                <c:pt idx="41">
                  <c:v>102.53991621708349</c:v>
                </c:pt>
                <c:pt idx="42">
                  <c:v>102.53991621708349</c:v>
                </c:pt>
                <c:pt idx="43">
                  <c:v>102.53991621708349</c:v>
                </c:pt>
                <c:pt idx="44">
                  <c:v>102.53991621708349</c:v>
                </c:pt>
                <c:pt idx="45">
                  <c:v>102.53991621708349</c:v>
                </c:pt>
                <c:pt idx="46">
                  <c:v>102.53991621708349</c:v>
                </c:pt>
                <c:pt idx="47">
                  <c:v>102.53991621708349</c:v>
                </c:pt>
                <c:pt idx="48">
                  <c:v>102.53991621708349</c:v>
                </c:pt>
                <c:pt idx="49">
                  <c:v>102.53991621708349</c:v>
                </c:pt>
                <c:pt idx="50">
                  <c:v>102.53991621708349</c:v>
                </c:pt>
                <c:pt idx="51">
                  <c:v>102.53991621708349</c:v>
                </c:pt>
                <c:pt idx="52">
                  <c:v>102.53991621708349</c:v>
                </c:pt>
                <c:pt idx="53">
                  <c:v>102.53991621708349</c:v>
                </c:pt>
                <c:pt idx="54">
                  <c:v>102.53991621708349</c:v>
                </c:pt>
                <c:pt idx="55">
                  <c:v>102.53991621708349</c:v>
                </c:pt>
                <c:pt idx="56">
                  <c:v>102.53991621708349</c:v>
                </c:pt>
                <c:pt idx="57">
                  <c:v>102.53991621708349</c:v>
                </c:pt>
                <c:pt idx="58">
                  <c:v>102.53991621708349</c:v>
                </c:pt>
                <c:pt idx="59">
                  <c:v>102.53991621708349</c:v>
                </c:pt>
                <c:pt idx="60">
                  <c:v>102.53991621708349</c:v>
                </c:pt>
                <c:pt idx="61">
                  <c:v>102.53991621708349</c:v>
                </c:pt>
                <c:pt idx="62">
                  <c:v>102.53991621708349</c:v>
                </c:pt>
                <c:pt idx="63">
                  <c:v>102.53991621708349</c:v>
                </c:pt>
                <c:pt idx="64">
                  <c:v>102.53991621708349</c:v>
                </c:pt>
                <c:pt idx="65">
                  <c:v>102.53991621708349</c:v>
                </c:pt>
                <c:pt idx="66">
                  <c:v>102.53991621708349</c:v>
                </c:pt>
                <c:pt idx="67">
                  <c:v>102.53991621708349</c:v>
                </c:pt>
                <c:pt idx="68">
                  <c:v>102.53991621708349</c:v>
                </c:pt>
                <c:pt idx="69">
                  <c:v>102.53991621708349</c:v>
                </c:pt>
                <c:pt idx="70">
                  <c:v>102.53991621708349</c:v>
                </c:pt>
                <c:pt idx="71">
                  <c:v>102.53991621708349</c:v>
                </c:pt>
                <c:pt idx="72">
                  <c:v>102.53991621708349</c:v>
                </c:pt>
                <c:pt idx="73">
                  <c:v>102.53991621708349</c:v>
                </c:pt>
                <c:pt idx="74">
                  <c:v>102.53991621708349</c:v>
                </c:pt>
                <c:pt idx="75">
                  <c:v>102.53991621708349</c:v>
                </c:pt>
                <c:pt idx="76">
                  <c:v>102.53991621708349</c:v>
                </c:pt>
                <c:pt idx="77">
                  <c:v>102.53991621708349</c:v>
                </c:pt>
                <c:pt idx="78">
                  <c:v>102.53991621708349</c:v>
                </c:pt>
                <c:pt idx="79">
                  <c:v>102.53991621708349</c:v>
                </c:pt>
                <c:pt idx="80">
                  <c:v>102.53991621708349</c:v>
                </c:pt>
                <c:pt idx="81">
                  <c:v>102.53991621708349</c:v>
                </c:pt>
                <c:pt idx="82">
                  <c:v>102.53991621708349</c:v>
                </c:pt>
                <c:pt idx="83">
                  <c:v>102.53991621708349</c:v>
                </c:pt>
                <c:pt idx="84">
                  <c:v>102.53991621708349</c:v>
                </c:pt>
                <c:pt idx="85">
                  <c:v>102.53991621708349</c:v>
                </c:pt>
                <c:pt idx="86">
                  <c:v>102.53991621708349</c:v>
                </c:pt>
                <c:pt idx="87">
                  <c:v>102.53991621708349</c:v>
                </c:pt>
                <c:pt idx="88">
                  <c:v>102.53991621708349</c:v>
                </c:pt>
                <c:pt idx="89">
                  <c:v>102.53991621708349</c:v>
                </c:pt>
                <c:pt idx="90">
                  <c:v>102.53991621708349</c:v>
                </c:pt>
                <c:pt idx="91">
                  <c:v>102.53991621708349</c:v>
                </c:pt>
                <c:pt idx="92">
                  <c:v>102.53991621708349</c:v>
                </c:pt>
                <c:pt idx="93">
                  <c:v>102.53991621708349</c:v>
                </c:pt>
                <c:pt idx="94">
                  <c:v>102.53991621708349</c:v>
                </c:pt>
                <c:pt idx="95">
                  <c:v>102.53991621708349</c:v>
                </c:pt>
                <c:pt idx="96">
                  <c:v>102.53991621708349</c:v>
                </c:pt>
                <c:pt idx="97">
                  <c:v>102.53991621708349</c:v>
                </c:pt>
                <c:pt idx="98">
                  <c:v>102.53991621708349</c:v>
                </c:pt>
                <c:pt idx="99">
                  <c:v>102.53991621708349</c:v>
                </c:pt>
                <c:pt idx="100">
                  <c:v>102.53991621708349</c:v>
                </c:pt>
                <c:pt idx="101">
                  <c:v>102.53991621708349</c:v>
                </c:pt>
                <c:pt idx="102">
                  <c:v>102.53991621708349</c:v>
                </c:pt>
                <c:pt idx="103">
                  <c:v>102.53991621708349</c:v>
                </c:pt>
                <c:pt idx="104">
                  <c:v>102.53991621708349</c:v>
                </c:pt>
                <c:pt idx="105">
                  <c:v>102.53991621708349</c:v>
                </c:pt>
                <c:pt idx="106">
                  <c:v>102.53991621708349</c:v>
                </c:pt>
                <c:pt idx="107">
                  <c:v>102.53991621708349</c:v>
                </c:pt>
                <c:pt idx="108">
                  <c:v>102.53991621708349</c:v>
                </c:pt>
                <c:pt idx="109">
                  <c:v>102.53991621708349</c:v>
                </c:pt>
                <c:pt idx="110">
                  <c:v>102.53991621708349</c:v>
                </c:pt>
                <c:pt idx="111">
                  <c:v>102.53991621708349</c:v>
                </c:pt>
                <c:pt idx="112">
                  <c:v>102.53991621708349</c:v>
                </c:pt>
                <c:pt idx="113">
                  <c:v>102.53991621708349</c:v>
                </c:pt>
                <c:pt idx="114">
                  <c:v>102.53991621708349</c:v>
                </c:pt>
                <c:pt idx="115">
                  <c:v>102.53991621708349</c:v>
                </c:pt>
                <c:pt idx="116">
                  <c:v>102.53991621708349</c:v>
                </c:pt>
                <c:pt idx="117">
                  <c:v>102.53991621708349</c:v>
                </c:pt>
                <c:pt idx="118">
                  <c:v>102.53991621708349</c:v>
                </c:pt>
                <c:pt idx="119">
                  <c:v>102.53991621708349</c:v>
                </c:pt>
                <c:pt idx="120">
                  <c:v>102.53991621708349</c:v>
                </c:pt>
                <c:pt idx="121">
                  <c:v>102.53991621708349</c:v>
                </c:pt>
                <c:pt idx="122">
                  <c:v>102.53991621708349</c:v>
                </c:pt>
                <c:pt idx="123">
                  <c:v>102.53991621708349</c:v>
                </c:pt>
                <c:pt idx="124">
                  <c:v>102.53991621708349</c:v>
                </c:pt>
                <c:pt idx="125">
                  <c:v>102.53991621708349</c:v>
                </c:pt>
                <c:pt idx="126">
                  <c:v>102.53991621708349</c:v>
                </c:pt>
                <c:pt idx="127">
                  <c:v>102.53991621708349</c:v>
                </c:pt>
                <c:pt idx="128">
                  <c:v>102.53991621708349</c:v>
                </c:pt>
                <c:pt idx="129">
                  <c:v>102.53991621708349</c:v>
                </c:pt>
                <c:pt idx="130">
                  <c:v>102.53991621708349</c:v>
                </c:pt>
                <c:pt idx="131">
                  <c:v>102.53991621708349</c:v>
                </c:pt>
                <c:pt idx="132">
                  <c:v>102.53991621708349</c:v>
                </c:pt>
                <c:pt idx="133">
                  <c:v>102.53991621708349</c:v>
                </c:pt>
                <c:pt idx="134">
                  <c:v>102.53991621708349</c:v>
                </c:pt>
                <c:pt idx="135">
                  <c:v>102.53991621708349</c:v>
                </c:pt>
                <c:pt idx="136">
                  <c:v>102.53991621708349</c:v>
                </c:pt>
                <c:pt idx="137">
                  <c:v>102.53991621708349</c:v>
                </c:pt>
                <c:pt idx="138">
                  <c:v>102.53991621708349</c:v>
                </c:pt>
                <c:pt idx="139">
                  <c:v>102.53991621708349</c:v>
                </c:pt>
                <c:pt idx="140">
                  <c:v>102.53991621708349</c:v>
                </c:pt>
                <c:pt idx="141">
                  <c:v>102.53991621708349</c:v>
                </c:pt>
                <c:pt idx="142">
                  <c:v>102.53991621708349</c:v>
                </c:pt>
                <c:pt idx="143">
                  <c:v>102.53991621708349</c:v>
                </c:pt>
                <c:pt idx="144">
                  <c:v>102.53991621708349</c:v>
                </c:pt>
                <c:pt idx="145">
                  <c:v>102.53991621708349</c:v>
                </c:pt>
                <c:pt idx="146">
                  <c:v>102.53991621708349</c:v>
                </c:pt>
                <c:pt idx="147">
                  <c:v>102.53991621708349</c:v>
                </c:pt>
                <c:pt idx="148">
                  <c:v>102.53991621708349</c:v>
                </c:pt>
                <c:pt idx="149">
                  <c:v>102.53991621708349</c:v>
                </c:pt>
                <c:pt idx="150">
                  <c:v>102.53991621708349</c:v>
                </c:pt>
                <c:pt idx="151">
                  <c:v>102.53991621708349</c:v>
                </c:pt>
                <c:pt idx="152">
                  <c:v>102.53991621708349</c:v>
                </c:pt>
                <c:pt idx="153">
                  <c:v>102.53991621708349</c:v>
                </c:pt>
                <c:pt idx="154">
                  <c:v>102.53991621708349</c:v>
                </c:pt>
                <c:pt idx="155">
                  <c:v>102.53991621708349</c:v>
                </c:pt>
                <c:pt idx="156">
                  <c:v>102.53991621708349</c:v>
                </c:pt>
                <c:pt idx="157">
                  <c:v>102.53991621708349</c:v>
                </c:pt>
                <c:pt idx="158">
                  <c:v>102.53991621708349</c:v>
                </c:pt>
                <c:pt idx="159">
                  <c:v>102.53991621708349</c:v>
                </c:pt>
                <c:pt idx="160">
                  <c:v>102.53991621708349</c:v>
                </c:pt>
                <c:pt idx="161">
                  <c:v>102.53991621708349</c:v>
                </c:pt>
                <c:pt idx="162">
                  <c:v>102.53991621708349</c:v>
                </c:pt>
                <c:pt idx="163">
                  <c:v>102.53991621708349</c:v>
                </c:pt>
                <c:pt idx="164">
                  <c:v>102.53991621708349</c:v>
                </c:pt>
                <c:pt idx="165">
                  <c:v>102.53991621708349</c:v>
                </c:pt>
                <c:pt idx="166">
                  <c:v>102.53991621708349</c:v>
                </c:pt>
                <c:pt idx="167">
                  <c:v>102.53991621708349</c:v>
                </c:pt>
                <c:pt idx="168">
                  <c:v>102.53991621708349</c:v>
                </c:pt>
                <c:pt idx="169">
                  <c:v>102.53991621708349</c:v>
                </c:pt>
                <c:pt idx="170">
                  <c:v>102.53991621708349</c:v>
                </c:pt>
                <c:pt idx="171">
                  <c:v>102.53991621708349</c:v>
                </c:pt>
                <c:pt idx="172">
                  <c:v>102.53991621708349</c:v>
                </c:pt>
                <c:pt idx="173">
                  <c:v>102.53991621708349</c:v>
                </c:pt>
                <c:pt idx="174">
                  <c:v>102.53991621708349</c:v>
                </c:pt>
                <c:pt idx="175">
                  <c:v>102.53991621708349</c:v>
                </c:pt>
                <c:pt idx="176">
                  <c:v>102.53991621708349</c:v>
                </c:pt>
                <c:pt idx="177">
                  <c:v>102.53991621708349</c:v>
                </c:pt>
                <c:pt idx="178">
                  <c:v>102.53991621708349</c:v>
                </c:pt>
                <c:pt idx="179">
                  <c:v>102.53991621708349</c:v>
                </c:pt>
                <c:pt idx="180">
                  <c:v>102.53991621708349</c:v>
                </c:pt>
                <c:pt idx="181">
                  <c:v>102.53991621708349</c:v>
                </c:pt>
                <c:pt idx="182">
                  <c:v>102.53991621708349</c:v>
                </c:pt>
                <c:pt idx="183">
                  <c:v>102.53991621708349</c:v>
                </c:pt>
                <c:pt idx="184">
                  <c:v>102.53991621708349</c:v>
                </c:pt>
                <c:pt idx="185">
                  <c:v>102.53991621708349</c:v>
                </c:pt>
                <c:pt idx="186">
                  <c:v>102.53991621708349</c:v>
                </c:pt>
                <c:pt idx="187">
                  <c:v>102.53991621708349</c:v>
                </c:pt>
                <c:pt idx="188">
                  <c:v>102.53991621708349</c:v>
                </c:pt>
                <c:pt idx="189">
                  <c:v>102.53991621708349</c:v>
                </c:pt>
                <c:pt idx="190">
                  <c:v>102.53991621708349</c:v>
                </c:pt>
                <c:pt idx="191">
                  <c:v>102.53991621708349</c:v>
                </c:pt>
                <c:pt idx="192">
                  <c:v>102.53991621708349</c:v>
                </c:pt>
                <c:pt idx="193">
                  <c:v>102.53991621708349</c:v>
                </c:pt>
                <c:pt idx="194">
                  <c:v>102.53991621708349</c:v>
                </c:pt>
                <c:pt idx="195">
                  <c:v>102.53991621708349</c:v>
                </c:pt>
                <c:pt idx="196">
                  <c:v>102.53991621708349</c:v>
                </c:pt>
                <c:pt idx="197">
                  <c:v>102.53991621708349</c:v>
                </c:pt>
                <c:pt idx="198">
                  <c:v>102.53991621708349</c:v>
                </c:pt>
                <c:pt idx="199">
                  <c:v>102.53991621708349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5A7-4B78-BB18-736BC93DC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X̄ Chart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Thickness_XbarR!$B$9</c:f>
              <c:strCache>
                <c:ptCount val="1"/>
                <c:pt idx="0">
                  <c:v>X̄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Thickness_XbarR!$B$10:$B$50</c:f>
              <c:numCache>
                <c:formatCode>General</c:formatCode>
                <c:ptCount val="41"/>
                <c:pt idx="0">
                  <c:v>701.66</c:v>
                </c:pt>
                <c:pt idx="1">
                  <c:v>701.61400000000015</c:v>
                </c:pt>
                <c:pt idx="2">
                  <c:v>701.40339999999992</c:v>
                </c:pt>
                <c:pt idx="3">
                  <c:v>701.39640000000009</c:v>
                </c:pt>
                <c:pt idx="4">
                  <c:v>701.79140000000007</c:v>
                </c:pt>
                <c:pt idx="5">
                  <c:v>702.38980000000004</c:v>
                </c:pt>
                <c:pt idx="6">
                  <c:v>701.63139999999999</c:v>
                </c:pt>
                <c:pt idx="7">
                  <c:v>701.18539999999996</c:v>
                </c:pt>
                <c:pt idx="8">
                  <c:v>701.65260000000001</c:v>
                </c:pt>
                <c:pt idx="9">
                  <c:v>701.24959999999999</c:v>
                </c:pt>
                <c:pt idx="10">
                  <c:v>700.05780000000004</c:v>
                </c:pt>
                <c:pt idx="11">
                  <c:v>701.46439999999996</c:v>
                </c:pt>
                <c:pt idx="12">
                  <c:v>702.07259999999997</c:v>
                </c:pt>
                <c:pt idx="13">
                  <c:v>702.21360000000004</c:v>
                </c:pt>
                <c:pt idx="14">
                  <c:v>701.17439999999999</c:v>
                </c:pt>
                <c:pt idx="15">
                  <c:v>697.3044000000001</c:v>
                </c:pt>
                <c:pt idx="16">
                  <c:v>701.74220000000003</c:v>
                </c:pt>
                <c:pt idx="17">
                  <c:v>701.86220000000003</c:v>
                </c:pt>
                <c:pt idx="18">
                  <c:v>701.42780000000005</c:v>
                </c:pt>
                <c:pt idx="19">
                  <c:v>702.22540000000004</c:v>
                </c:pt>
                <c:pt idx="20">
                  <c:v>700.9842000000001</c:v>
                </c:pt>
                <c:pt idx="21">
                  <c:v>701.7328</c:v>
                </c:pt>
                <c:pt idx="22">
                  <c:v>700.34159999999997</c:v>
                </c:pt>
                <c:pt idx="23">
                  <c:v>701.57419999999991</c:v>
                </c:pt>
                <c:pt idx="24">
                  <c:v>701.36900000000003</c:v>
                </c:pt>
                <c:pt idx="25">
                  <c:v>701.61959999999999</c:v>
                </c:pt>
                <c:pt idx="26">
                  <c:v>701.92100000000005</c:v>
                </c:pt>
                <c:pt idx="27">
                  <c:v>701.47720000000004</c:v>
                </c:pt>
                <c:pt idx="28">
                  <c:v>701.12879999999996</c:v>
                </c:pt>
                <c:pt idx="29">
                  <c:v>701.93700000000001</c:v>
                </c:pt>
                <c:pt idx="30">
                  <c:v>701.94320000000005</c:v>
                </c:pt>
                <c:pt idx="31">
                  <c:v>701.56240000000003</c:v>
                </c:pt>
                <c:pt idx="32">
                  <c:v>701.27380000000016</c:v>
                </c:pt>
                <c:pt idx="33">
                  <c:v>700.94319999999993</c:v>
                </c:pt>
                <c:pt idx="34">
                  <c:v>701.76799999999992</c:v>
                </c:pt>
                <c:pt idx="35">
                  <c:v>701.75319999999988</c:v>
                </c:pt>
                <c:pt idx="36">
                  <c:v>701.4384</c:v>
                </c:pt>
                <c:pt idx="37">
                  <c:v>699.82599999999991</c:v>
                </c:pt>
                <c:pt idx="38">
                  <c:v>700.27539999999988</c:v>
                </c:pt>
                <c:pt idx="39">
                  <c:v>701.85439999999994</c:v>
                </c:pt>
                <c:pt idx="40">
                  <c:v>701.06919999999991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86-4AE0-B119-FC297F275F93}"/>
            </c:ext>
          </c:extLst>
        </c:ser>
        <c:ser>
          <c:idx val="1"/>
          <c:order val="1"/>
          <c:tx>
            <c:strRef>
              <c:f>Thickness_XbarR!$D$9</c:f>
              <c:strCache>
                <c:ptCount val="1"/>
                <c:pt idx="0">
                  <c:v>UCLx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Thickness_XbarR!$D$10:$D$50</c:f>
              <c:numCache>
                <c:formatCode>General</c:formatCode>
                <c:ptCount val="41"/>
                <c:pt idx="0">
                  <c:v>702.92141168292676</c:v>
                </c:pt>
                <c:pt idx="1">
                  <c:v>702.92141168292676</c:v>
                </c:pt>
                <c:pt idx="2">
                  <c:v>702.92141168292676</c:v>
                </c:pt>
                <c:pt idx="3">
                  <c:v>702.92141168292676</c:v>
                </c:pt>
                <c:pt idx="4">
                  <c:v>702.92141168292676</c:v>
                </c:pt>
                <c:pt idx="5">
                  <c:v>702.92141168292676</c:v>
                </c:pt>
                <c:pt idx="6">
                  <c:v>702.92141168292676</c:v>
                </c:pt>
                <c:pt idx="7">
                  <c:v>702.92141168292676</c:v>
                </c:pt>
                <c:pt idx="8">
                  <c:v>702.92141168292676</c:v>
                </c:pt>
                <c:pt idx="9">
                  <c:v>702.92141168292676</c:v>
                </c:pt>
                <c:pt idx="10">
                  <c:v>702.92141168292676</c:v>
                </c:pt>
                <c:pt idx="11">
                  <c:v>702.92141168292676</c:v>
                </c:pt>
                <c:pt idx="12">
                  <c:v>702.92141168292676</c:v>
                </c:pt>
                <c:pt idx="13">
                  <c:v>702.92141168292676</c:v>
                </c:pt>
                <c:pt idx="14">
                  <c:v>702.92141168292676</c:v>
                </c:pt>
                <c:pt idx="15">
                  <c:v>702.92141168292676</c:v>
                </c:pt>
                <c:pt idx="16">
                  <c:v>702.92141168292676</c:v>
                </c:pt>
                <c:pt idx="17">
                  <c:v>702.92141168292676</c:v>
                </c:pt>
                <c:pt idx="18">
                  <c:v>702.92141168292676</c:v>
                </c:pt>
                <c:pt idx="19">
                  <c:v>702.92141168292676</c:v>
                </c:pt>
                <c:pt idx="20">
                  <c:v>702.92141168292676</c:v>
                </c:pt>
                <c:pt idx="21">
                  <c:v>702.92141168292676</c:v>
                </c:pt>
                <c:pt idx="22">
                  <c:v>702.92141168292676</c:v>
                </c:pt>
                <c:pt idx="23">
                  <c:v>702.92141168292676</c:v>
                </c:pt>
                <c:pt idx="24">
                  <c:v>702.92141168292676</c:v>
                </c:pt>
                <c:pt idx="25">
                  <c:v>702.92141168292676</c:v>
                </c:pt>
                <c:pt idx="26">
                  <c:v>702.92141168292676</c:v>
                </c:pt>
                <c:pt idx="27">
                  <c:v>702.92141168292676</c:v>
                </c:pt>
                <c:pt idx="28">
                  <c:v>702.92141168292676</c:v>
                </c:pt>
                <c:pt idx="29">
                  <c:v>702.92141168292676</c:v>
                </c:pt>
                <c:pt idx="30">
                  <c:v>702.92141168292676</c:v>
                </c:pt>
                <c:pt idx="31">
                  <c:v>702.92141168292676</c:v>
                </c:pt>
                <c:pt idx="32">
                  <c:v>702.92141168292676</c:v>
                </c:pt>
                <c:pt idx="33">
                  <c:v>702.92141168292676</c:v>
                </c:pt>
                <c:pt idx="34">
                  <c:v>702.92141168292676</c:v>
                </c:pt>
                <c:pt idx="35">
                  <c:v>702.92141168292676</c:v>
                </c:pt>
                <c:pt idx="36">
                  <c:v>702.92141168292676</c:v>
                </c:pt>
                <c:pt idx="37">
                  <c:v>702.92141168292676</c:v>
                </c:pt>
                <c:pt idx="38">
                  <c:v>702.92141168292676</c:v>
                </c:pt>
                <c:pt idx="39">
                  <c:v>702.92141168292676</c:v>
                </c:pt>
                <c:pt idx="40">
                  <c:v>702.92141168292676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B86-4AE0-B119-FC297F275F93}"/>
            </c:ext>
          </c:extLst>
        </c:ser>
        <c:ser>
          <c:idx val="2"/>
          <c:order val="2"/>
          <c:tx>
            <c:strRef>
              <c:f>Thickness_XbarR!$E$9</c:f>
              <c:strCache>
                <c:ptCount val="1"/>
                <c:pt idx="0">
                  <c:v>CLx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Thickness_XbarR!$E$10:$E$50</c:f>
              <c:numCache>
                <c:formatCode>General</c:formatCode>
                <c:ptCount val="41"/>
                <c:pt idx="0">
                  <c:v>701.34905853658529</c:v>
                </c:pt>
                <c:pt idx="1">
                  <c:v>701.34905853658529</c:v>
                </c:pt>
                <c:pt idx="2">
                  <c:v>701.34905853658529</c:v>
                </c:pt>
                <c:pt idx="3">
                  <c:v>701.34905853658529</c:v>
                </c:pt>
                <c:pt idx="4">
                  <c:v>701.34905853658529</c:v>
                </c:pt>
                <c:pt idx="5">
                  <c:v>701.34905853658529</c:v>
                </c:pt>
                <c:pt idx="6">
                  <c:v>701.34905853658529</c:v>
                </c:pt>
                <c:pt idx="7">
                  <c:v>701.34905853658529</c:v>
                </c:pt>
                <c:pt idx="8">
                  <c:v>701.34905853658529</c:v>
                </c:pt>
                <c:pt idx="9">
                  <c:v>701.34905853658529</c:v>
                </c:pt>
                <c:pt idx="10">
                  <c:v>701.34905853658529</c:v>
                </c:pt>
                <c:pt idx="11">
                  <c:v>701.34905853658529</c:v>
                </c:pt>
                <c:pt idx="12">
                  <c:v>701.34905853658529</c:v>
                </c:pt>
                <c:pt idx="13">
                  <c:v>701.34905853658529</c:v>
                </c:pt>
                <c:pt idx="14">
                  <c:v>701.34905853658529</c:v>
                </c:pt>
                <c:pt idx="15">
                  <c:v>701.34905853658529</c:v>
                </c:pt>
                <c:pt idx="16">
                  <c:v>701.34905853658529</c:v>
                </c:pt>
                <c:pt idx="17">
                  <c:v>701.34905853658529</c:v>
                </c:pt>
                <c:pt idx="18">
                  <c:v>701.34905853658529</c:v>
                </c:pt>
                <c:pt idx="19">
                  <c:v>701.34905853658529</c:v>
                </c:pt>
                <c:pt idx="20">
                  <c:v>701.34905853658529</c:v>
                </c:pt>
                <c:pt idx="21">
                  <c:v>701.34905853658529</c:v>
                </c:pt>
                <c:pt idx="22">
                  <c:v>701.34905853658529</c:v>
                </c:pt>
                <c:pt idx="23">
                  <c:v>701.34905853658529</c:v>
                </c:pt>
                <c:pt idx="24">
                  <c:v>701.34905853658529</c:v>
                </c:pt>
                <c:pt idx="25">
                  <c:v>701.34905853658529</c:v>
                </c:pt>
                <c:pt idx="26">
                  <c:v>701.34905853658529</c:v>
                </c:pt>
                <c:pt idx="27">
                  <c:v>701.34905853658529</c:v>
                </c:pt>
                <c:pt idx="28">
                  <c:v>701.34905853658529</c:v>
                </c:pt>
                <c:pt idx="29">
                  <c:v>701.34905853658529</c:v>
                </c:pt>
                <c:pt idx="30">
                  <c:v>701.34905853658529</c:v>
                </c:pt>
                <c:pt idx="31">
                  <c:v>701.34905853658529</c:v>
                </c:pt>
                <c:pt idx="32">
                  <c:v>701.34905853658529</c:v>
                </c:pt>
                <c:pt idx="33">
                  <c:v>701.34905853658529</c:v>
                </c:pt>
                <c:pt idx="34">
                  <c:v>701.34905853658529</c:v>
                </c:pt>
                <c:pt idx="35">
                  <c:v>701.34905853658529</c:v>
                </c:pt>
                <c:pt idx="36">
                  <c:v>701.34905853658529</c:v>
                </c:pt>
                <c:pt idx="37">
                  <c:v>701.34905853658529</c:v>
                </c:pt>
                <c:pt idx="38">
                  <c:v>701.34905853658529</c:v>
                </c:pt>
                <c:pt idx="39">
                  <c:v>701.34905853658529</c:v>
                </c:pt>
                <c:pt idx="40">
                  <c:v>701.34905853658529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B86-4AE0-B119-FC297F275F93}"/>
            </c:ext>
          </c:extLst>
        </c:ser>
        <c:ser>
          <c:idx val="3"/>
          <c:order val="3"/>
          <c:tx>
            <c:strRef>
              <c:f>Thickness_XbarR!$F$9</c:f>
              <c:strCache>
                <c:ptCount val="1"/>
                <c:pt idx="0">
                  <c:v>LCLx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Thickness_XbarR!$F$10:$F$50</c:f>
              <c:numCache>
                <c:formatCode>General</c:formatCode>
                <c:ptCount val="41"/>
                <c:pt idx="0">
                  <c:v>699.77670539024382</c:v>
                </c:pt>
                <c:pt idx="1">
                  <c:v>699.77670539024382</c:v>
                </c:pt>
                <c:pt idx="2">
                  <c:v>699.77670539024382</c:v>
                </c:pt>
                <c:pt idx="3">
                  <c:v>699.77670539024382</c:v>
                </c:pt>
                <c:pt idx="4">
                  <c:v>699.77670539024382</c:v>
                </c:pt>
                <c:pt idx="5">
                  <c:v>699.77670539024382</c:v>
                </c:pt>
                <c:pt idx="6">
                  <c:v>699.77670539024382</c:v>
                </c:pt>
                <c:pt idx="7">
                  <c:v>699.77670539024382</c:v>
                </c:pt>
                <c:pt idx="8">
                  <c:v>699.77670539024382</c:v>
                </c:pt>
                <c:pt idx="9">
                  <c:v>699.77670539024382</c:v>
                </c:pt>
                <c:pt idx="10">
                  <c:v>699.77670539024382</c:v>
                </c:pt>
                <c:pt idx="11">
                  <c:v>699.77670539024382</c:v>
                </c:pt>
                <c:pt idx="12">
                  <c:v>699.77670539024382</c:v>
                </c:pt>
                <c:pt idx="13">
                  <c:v>699.77670539024382</c:v>
                </c:pt>
                <c:pt idx="14">
                  <c:v>699.77670539024382</c:v>
                </c:pt>
                <c:pt idx="15">
                  <c:v>699.77670539024382</c:v>
                </c:pt>
                <c:pt idx="16">
                  <c:v>699.77670539024382</c:v>
                </c:pt>
                <c:pt idx="17">
                  <c:v>699.77670539024382</c:v>
                </c:pt>
                <c:pt idx="18">
                  <c:v>699.77670539024382</c:v>
                </c:pt>
                <c:pt idx="19">
                  <c:v>699.77670539024382</c:v>
                </c:pt>
                <c:pt idx="20">
                  <c:v>699.77670539024382</c:v>
                </c:pt>
                <c:pt idx="21">
                  <c:v>699.77670539024382</c:v>
                </c:pt>
                <c:pt idx="22">
                  <c:v>699.77670539024382</c:v>
                </c:pt>
                <c:pt idx="23">
                  <c:v>699.77670539024382</c:v>
                </c:pt>
                <c:pt idx="24">
                  <c:v>699.77670539024382</c:v>
                </c:pt>
                <c:pt idx="25">
                  <c:v>699.77670539024382</c:v>
                </c:pt>
                <c:pt idx="26">
                  <c:v>699.77670539024382</c:v>
                </c:pt>
                <c:pt idx="27">
                  <c:v>699.77670539024382</c:v>
                </c:pt>
                <c:pt idx="28">
                  <c:v>699.77670539024382</c:v>
                </c:pt>
                <c:pt idx="29">
                  <c:v>699.77670539024382</c:v>
                </c:pt>
                <c:pt idx="30">
                  <c:v>699.77670539024382</c:v>
                </c:pt>
                <c:pt idx="31">
                  <c:v>699.77670539024382</c:v>
                </c:pt>
                <c:pt idx="32">
                  <c:v>699.77670539024382</c:v>
                </c:pt>
                <c:pt idx="33">
                  <c:v>699.77670539024382</c:v>
                </c:pt>
                <c:pt idx="34">
                  <c:v>699.77670539024382</c:v>
                </c:pt>
                <c:pt idx="35">
                  <c:v>699.77670539024382</c:v>
                </c:pt>
                <c:pt idx="36">
                  <c:v>699.77670539024382</c:v>
                </c:pt>
                <c:pt idx="37">
                  <c:v>699.77670539024382</c:v>
                </c:pt>
                <c:pt idx="38">
                  <c:v>699.77670539024382</c:v>
                </c:pt>
                <c:pt idx="39">
                  <c:v>699.77670539024382</c:v>
                </c:pt>
                <c:pt idx="40">
                  <c:v>699.77670539024382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B86-4AE0-B119-FC297F275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 Chart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Thickness_XbarR!$C$9</c:f>
              <c:strCache>
                <c:ptCount val="1"/>
                <c:pt idx="0">
                  <c:v>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Thickness_XbarR!$C$10:$C$50</c:f>
              <c:numCache>
                <c:formatCode>General</c:formatCode>
                <c:ptCount val="41"/>
                <c:pt idx="0">
                  <c:v>3.285999999999945</c:v>
                </c:pt>
                <c:pt idx="1">
                  <c:v>0.82999999999992724</c:v>
                </c:pt>
                <c:pt idx="2">
                  <c:v>0.85099999999999909</c:v>
                </c:pt>
                <c:pt idx="3">
                  <c:v>1.035999999999945</c:v>
                </c:pt>
                <c:pt idx="4">
                  <c:v>2.8680000000000518</c:v>
                </c:pt>
                <c:pt idx="5">
                  <c:v>1.269000000000005</c:v>
                </c:pt>
                <c:pt idx="6">
                  <c:v>1.2709999999999579</c:v>
                </c:pt>
                <c:pt idx="7">
                  <c:v>0.61599999999998545</c:v>
                </c:pt>
                <c:pt idx="8">
                  <c:v>1.33299999999997</c:v>
                </c:pt>
                <c:pt idx="9">
                  <c:v>0.57000000000005002</c:v>
                </c:pt>
                <c:pt idx="10">
                  <c:v>3.2050000000000409</c:v>
                </c:pt>
                <c:pt idx="11">
                  <c:v>3.4429999999999841</c:v>
                </c:pt>
                <c:pt idx="12">
                  <c:v>3.26400000000001</c:v>
                </c:pt>
                <c:pt idx="13">
                  <c:v>2.2949999999999591</c:v>
                </c:pt>
                <c:pt idx="14">
                  <c:v>10.13199999999995</c:v>
                </c:pt>
                <c:pt idx="15">
                  <c:v>7.4459999999999127</c:v>
                </c:pt>
                <c:pt idx="16">
                  <c:v>0.89999999999997726</c:v>
                </c:pt>
                <c:pt idx="17">
                  <c:v>0.20699999999999361</c:v>
                </c:pt>
                <c:pt idx="18">
                  <c:v>5.3479999999999563</c:v>
                </c:pt>
                <c:pt idx="19">
                  <c:v>2.780000000000086</c:v>
                </c:pt>
                <c:pt idx="20">
                  <c:v>8.8679999999999382</c:v>
                </c:pt>
                <c:pt idx="21">
                  <c:v>1.8650000000000091</c:v>
                </c:pt>
                <c:pt idx="22">
                  <c:v>7.7010000000000218</c:v>
                </c:pt>
                <c:pt idx="23">
                  <c:v>0.68899999999996453</c:v>
                </c:pt>
                <c:pt idx="24">
                  <c:v>1.98700000000008</c:v>
                </c:pt>
                <c:pt idx="25">
                  <c:v>2.1320000000000618</c:v>
                </c:pt>
                <c:pt idx="26">
                  <c:v>2.7949999999999591</c:v>
                </c:pt>
                <c:pt idx="27">
                  <c:v>2.259000000000015</c:v>
                </c:pt>
                <c:pt idx="28">
                  <c:v>1.878000000000043</c:v>
                </c:pt>
                <c:pt idx="29">
                  <c:v>2.783000000000015</c:v>
                </c:pt>
                <c:pt idx="30">
                  <c:v>1.2060000000000171</c:v>
                </c:pt>
                <c:pt idx="31">
                  <c:v>3.2250000000000232</c:v>
                </c:pt>
                <c:pt idx="32">
                  <c:v>2.5009999999999759</c:v>
                </c:pt>
                <c:pt idx="33">
                  <c:v>2.101999999999975</c:v>
                </c:pt>
                <c:pt idx="34">
                  <c:v>2.0119999999999441</c:v>
                </c:pt>
                <c:pt idx="35">
                  <c:v>1.5869999999999891</c:v>
                </c:pt>
                <c:pt idx="36">
                  <c:v>1.6559999999999491</c:v>
                </c:pt>
                <c:pt idx="37">
                  <c:v>2.4819999999999709</c:v>
                </c:pt>
                <c:pt idx="38">
                  <c:v>2.8759999999999759</c:v>
                </c:pt>
                <c:pt idx="39">
                  <c:v>3.6770000000000209</c:v>
                </c:pt>
                <c:pt idx="40">
                  <c:v>2.4959999999999809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2C-4641-931C-003F61C1AFAD}"/>
            </c:ext>
          </c:extLst>
        </c:ser>
        <c:ser>
          <c:idx val="1"/>
          <c:order val="1"/>
          <c:tx>
            <c:strRef>
              <c:f>Thickness_XbarR!$G$9</c:f>
              <c:strCache>
                <c:ptCount val="1"/>
                <c:pt idx="0">
                  <c:v>UCLr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Thickness_XbarR!$G$10:$G$50</c:f>
              <c:numCache>
                <c:formatCode>General</c:formatCode>
                <c:ptCount val="41"/>
                <c:pt idx="0">
                  <c:v>5.7607531219511996</c:v>
                </c:pt>
                <c:pt idx="1">
                  <c:v>5.7607531219511996</c:v>
                </c:pt>
                <c:pt idx="2">
                  <c:v>5.7607531219511996</c:v>
                </c:pt>
                <c:pt idx="3">
                  <c:v>5.7607531219511996</c:v>
                </c:pt>
                <c:pt idx="4">
                  <c:v>5.7607531219511996</c:v>
                </c:pt>
                <c:pt idx="5">
                  <c:v>5.7607531219511996</c:v>
                </c:pt>
                <c:pt idx="6">
                  <c:v>5.7607531219511996</c:v>
                </c:pt>
                <c:pt idx="7">
                  <c:v>5.7607531219511996</c:v>
                </c:pt>
                <c:pt idx="8">
                  <c:v>5.7607531219511996</c:v>
                </c:pt>
                <c:pt idx="9">
                  <c:v>5.7607531219511996</c:v>
                </c:pt>
                <c:pt idx="10">
                  <c:v>5.7607531219511996</c:v>
                </c:pt>
                <c:pt idx="11">
                  <c:v>5.7607531219511996</c:v>
                </c:pt>
                <c:pt idx="12">
                  <c:v>5.7607531219511996</c:v>
                </c:pt>
                <c:pt idx="13">
                  <c:v>5.7607531219511996</c:v>
                </c:pt>
                <c:pt idx="14">
                  <c:v>5.7607531219511996</c:v>
                </c:pt>
                <c:pt idx="15">
                  <c:v>5.7607531219511996</c:v>
                </c:pt>
                <c:pt idx="16">
                  <c:v>5.7607531219511996</c:v>
                </c:pt>
                <c:pt idx="17">
                  <c:v>5.7607531219511996</c:v>
                </c:pt>
                <c:pt idx="18">
                  <c:v>5.7607531219511996</c:v>
                </c:pt>
                <c:pt idx="19">
                  <c:v>5.7607531219511996</c:v>
                </c:pt>
                <c:pt idx="20">
                  <c:v>5.7607531219511996</c:v>
                </c:pt>
                <c:pt idx="21">
                  <c:v>5.7607531219511996</c:v>
                </c:pt>
                <c:pt idx="22">
                  <c:v>5.7607531219511996</c:v>
                </c:pt>
                <c:pt idx="23">
                  <c:v>5.7607531219511996</c:v>
                </c:pt>
                <c:pt idx="24">
                  <c:v>5.7607531219511996</c:v>
                </c:pt>
                <c:pt idx="25">
                  <c:v>5.7607531219511996</c:v>
                </c:pt>
                <c:pt idx="26">
                  <c:v>5.7607531219511996</c:v>
                </c:pt>
                <c:pt idx="27">
                  <c:v>5.7607531219511996</c:v>
                </c:pt>
                <c:pt idx="28">
                  <c:v>5.7607531219511996</c:v>
                </c:pt>
                <c:pt idx="29">
                  <c:v>5.7607531219511996</c:v>
                </c:pt>
                <c:pt idx="30">
                  <c:v>5.7607531219511996</c:v>
                </c:pt>
                <c:pt idx="31">
                  <c:v>5.7607531219511996</c:v>
                </c:pt>
                <c:pt idx="32">
                  <c:v>5.7607531219511996</c:v>
                </c:pt>
                <c:pt idx="33">
                  <c:v>5.7607531219511996</c:v>
                </c:pt>
                <c:pt idx="34">
                  <c:v>5.7607531219511996</c:v>
                </c:pt>
                <c:pt idx="35">
                  <c:v>5.7607531219511996</c:v>
                </c:pt>
                <c:pt idx="36">
                  <c:v>5.7607531219511996</c:v>
                </c:pt>
                <c:pt idx="37">
                  <c:v>5.7607531219511996</c:v>
                </c:pt>
                <c:pt idx="38">
                  <c:v>5.7607531219511996</c:v>
                </c:pt>
                <c:pt idx="39">
                  <c:v>5.7607531219511996</c:v>
                </c:pt>
                <c:pt idx="40">
                  <c:v>5.7607531219511996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D2C-4641-931C-003F61C1AFAD}"/>
            </c:ext>
          </c:extLst>
        </c:ser>
        <c:ser>
          <c:idx val="2"/>
          <c:order val="2"/>
          <c:tx>
            <c:strRef>
              <c:f>Thickness_XbarR!$H$9</c:f>
              <c:strCache>
                <c:ptCount val="1"/>
                <c:pt idx="0">
                  <c:v>CLr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Thickness_XbarR!$H$10:$H$50</c:f>
              <c:numCache>
                <c:formatCode>General</c:formatCode>
                <c:ptCount val="41"/>
                <c:pt idx="0">
                  <c:v>2.7250487804877959</c:v>
                </c:pt>
                <c:pt idx="1">
                  <c:v>2.7250487804877959</c:v>
                </c:pt>
                <c:pt idx="2">
                  <c:v>2.7250487804877959</c:v>
                </c:pt>
                <c:pt idx="3">
                  <c:v>2.7250487804877959</c:v>
                </c:pt>
                <c:pt idx="4">
                  <c:v>2.7250487804877959</c:v>
                </c:pt>
                <c:pt idx="5">
                  <c:v>2.7250487804877959</c:v>
                </c:pt>
                <c:pt idx="6">
                  <c:v>2.7250487804877959</c:v>
                </c:pt>
                <c:pt idx="7">
                  <c:v>2.7250487804877959</c:v>
                </c:pt>
                <c:pt idx="8">
                  <c:v>2.7250487804877959</c:v>
                </c:pt>
                <c:pt idx="9">
                  <c:v>2.7250487804877959</c:v>
                </c:pt>
                <c:pt idx="10">
                  <c:v>2.7250487804877959</c:v>
                </c:pt>
                <c:pt idx="11">
                  <c:v>2.7250487804877959</c:v>
                </c:pt>
                <c:pt idx="12">
                  <c:v>2.7250487804877959</c:v>
                </c:pt>
                <c:pt idx="13">
                  <c:v>2.7250487804877959</c:v>
                </c:pt>
                <c:pt idx="14">
                  <c:v>2.7250487804877959</c:v>
                </c:pt>
                <c:pt idx="15">
                  <c:v>2.7250487804877959</c:v>
                </c:pt>
                <c:pt idx="16">
                  <c:v>2.7250487804877959</c:v>
                </c:pt>
                <c:pt idx="17">
                  <c:v>2.7250487804877959</c:v>
                </c:pt>
                <c:pt idx="18">
                  <c:v>2.7250487804877959</c:v>
                </c:pt>
                <c:pt idx="19">
                  <c:v>2.7250487804877959</c:v>
                </c:pt>
                <c:pt idx="20">
                  <c:v>2.7250487804877959</c:v>
                </c:pt>
                <c:pt idx="21">
                  <c:v>2.7250487804877959</c:v>
                </c:pt>
                <c:pt idx="22">
                  <c:v>2.7250487804877959</c:v>
                </c:pt>
                <c:pt idx="23">
                  <c:v>2.7250487804877959</c:v>
                </c:pt>
                <c:pt idx="24">
                  <c:v>2.7250487804877959</c:v>
                </c:pt>
                <c:pt idx="25">
                  <c:v>2.7250487804877959</c:v>
                </c:pt>
                <c:pt idx="26">
                  <c:v>2.7250487804877959</c:v>
                </c:pt>
                <c:pt idx="27">
                  <c:v>2.7250487804877959</c:v>
                </c:pt>
                <c:pt idx="28">
                  <c:v>2.7250487804877959</c:v>
                </c:pt>
                <c:pt idx="29">
                  <c:v>2.7250487804877959</c:v>
                </c:pt>
                <c:pt idx="30">
                  <c:v>2.7250487804877959</c:v>
                </c:pt>
                <c:pt idx="31">
                  <c:v>2.7250487804877959</c:v>
                </c:pt>
                <c:pt idx="32">
                  <c:v>2.7250487804877959</c:v>
                </c:pt>
                <c:pt idx="33">
                  <c:v>2.7250487804877959</c:v>
                </c:pt>
                <c:pt idx="34">
                  <c:v>2.7250487804877959</c:v>
                </c:pt>
                <c:pt idx="35">
                  <c:v>2.7250487804877959</c:v>
                </c:pt>
                <c:pt idx="36">
                  <c:v>2.7250487804877959</c:v>
                </c:pt>
                <c:pt idx="37">
                  <c:v>2.7250487804877959</c:v>
                </c:pt>
                <c:pt idx="38">
                  <c:v>2.7250487804877959</c:v>
                </c:pt>
                <c:pt idx="39">
                  <c:v>2.7250487804877959</c:v>
                </c:pt>
                <c:pt idx="40">
                  <c:v>2.7250487804877959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D2C-4641-931C-003F61C1AFAD}"/>
            </c:ext>
          </c:extLst>
        </c:ser>
        <c:ser>
          <c:idx val="3"/>
          <c:order val="3"/>
          <c:tx>
            <c:strRef>
              <c:f>Thickness_XbarR!$I$9</c:f>
              <c:strCache>
                <c:ptCount val="1"/>
                <c:pt idx="0">
                  <c:v>LCLr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Thickness_XbarR!$I$10:$I$50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D2C-4641-931C-003F61C1A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 Chart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TTV_IMR!$B$9</c:f>
              <c:strCache>
                <c:ptCount val="1"/>
                <c:pt idx="0">
                  <c:v>TTV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TTV_IMR!$B$10:$B$218</c:f>
              <c:numCache>
                <c:formatCode>General</c:formatCode>
                <c:ptCount val="209"/>
                <c:pt idx="0">
                  <c:v>0.442</c:v>
                </c:pt>
                <c:pt idx="1">
                  <c:v>0.52500000000000002</c:v>
                </c:pt>
                <c:pt idx="2">
                  <c:v>0.52900000000000003</c:v>
                </c:pt>
                <c:pt idx="3">
                  <c:v>0.32200000000000001</c:v>
                </c:pt>
                <c:pt idx="4">
                  <c:v>0.35899999999999999</c:v>
                </c:pt>
                <c:pt idx="5">
                  <c:v>0.42899999999999999</c:v>
                </c:pt>
                <c:pt idx="6">
                  <c:v>0.222</c:v>
                </c:pt>
                <c:pt idx="7">
                  <c:v>0.245</c:v>
                </c:pt>
                <c:pt idx="8">
                  <c:v>0.39600000000000002</c:v>
                </c:pt>
                <c:pt idx="9">
                  <c:v>0.182</c:v>
                </c:pt>
                <c:pt idx="10">
                  <c:v>0.26900000000000002</c:v>
                </c:pt>
                <c:pt idx="11">
                  <c:v>0.23799999999999999</c:v>
                </c:pt>
                <c:pt idx="12">
                  <c:v>0.26100000000000001</c:v>
                </c:pt>
                <c:pt idx="13">
                  <c:v>0.41899999999999998</c:v>
                </c:pt>
                <c:pt idx="14">
                  <c:v>0.19700000000000001</c:v>
                </c:pt>
                <c:pt idx="15">
                  <c:v>0.26500000000000001</c:v>
                </c:pt>
                <c:pt idx="16">
                  <c:v>0.248</c:v>
                </c:pt>
                <c:pt idx="17">
                  <c:v>0.20899999999999999</c:v>
                </c:pt>
                <c:pt idx="18">
                  <c:v>0.219</c:v>
                </c:pt>
                <c:pt idx="19">
                  <c:v>0.438</c:v>
                </c:pt>
                <c:pt idx="20">
                  <c:v>0.498</c:v>
                </c:pt>
                <c:pt idx="21">
                  <c:v>0.23400000000000001</c:v>
                </c:pt>
                <c:pt idx="22">
                  <c:v>0.39600000000000002</c:v>
                </c:pt>
                <c:pt idx="23">
                  <c:v>0.2</c:v>
                </c:pt>
                <c:pt idx="24">
                  <c:v>0.498</c:v>
                </c:pt>
                <c:pt idx="25">
                  <c:v>0.44600000000000001</c:v>
                </c:pt>
                <c:pt idx="26">
                  <c:v>0.41799999999999998</c:v>
                </c:pt>
                <c:pt idx="27">
                  <c:v>0.34200000000000003</c:v>
                </c:pt>
                <c:pt idx="28">
                  <c:v>0.307</c:v>
                </c:pt>
                <c:pt idx="29">
                  <c:v>0.2</c:v>
                </c:pt>
                <c:pt idx="30">
                  <c:v>0.32</c:v>
                </c:pt>
                <c:pt idx="31">
                  <c:v>0.28399999999999997</c:v>
                </c:pt>
                <c:pt idx="32">
                  <c:v>0.27600000000000002</c:v>
                </c:pt>
                <c:pt idx="33">
                  <c:v>0.22900000000000001</c:v>
                </c:pt>
                <c:pt idx="34">
                  <c:v>0.20599999999999999</c:v>
                </c:pt>
                <c:pt idx="35">
                  <c:v>0.20599999999999999</c:v>
                </c:pt>
                <c:pt idx="36">
                  <c:v>0.24199999999999999</c:v>
                </c:pt>
                <c:pt idx="37">
                  <c:v>0.35399999999999998</c:v>
                </c:pt>
                <c:pt idx="38">
                  <c:v>0.34599999999999997</c:v>
                </c:pt>
                <c:pt idx="39">
                  <c:v>0.28799999999999998</c:v>
                </c:pt>
                <c:pt idx="40">
                  <c:v>0.54</c:v>
                </c:pt>
                <c:pt idx="41">
                  <c:v>0.42199999999999999</c:v>
                </c:pt>
                <c:pt idx="42">
                  <c:v>0.192</c:v>
                </c:pt>
                <c:pt idx="43">
                  <c:v>0.72399999999999998</c:v>
                </c:pt>
                <c:pt idx="44">
                  <c:v>0.26700000000000002</c:v>
                </c:pt>
                <c:pt idx="45">
                  <c:v>0.28699999999999998</c:v>
                </c:pt>
                <c:pt idx="46">
                  <c:v>0.32900000000000001</c:v>
                </c:pt>
                <c:pt idx="47">
                  <c:v>0.17899999999999999</c:v>
                </c:pt>
                <c:pt idx="48">
                  <c:v>0.19700000000000001</c:v>
                </c:pt>
                <c:pt idx="49">
                  <c:v>0.17899999999999999</c:v>
                </c:pt>
                <c:pt idx="50">
                  <c:v>0.44</c:v>
                </c:pt>
                <c:pt idx="51">
                  <c:v>0.28799999999999998</c:v>
                </c:pt>
                <c:pt idx="52">
                  <c:v>0.35799999999999998</c:v>
                </c:pt>
                <c:pt idx="53">
                  <c:v>0.46300000000000002</c:v>
                </c:pt>
                <c:pt idx="54">
                  <c:v>0.35899999999999999</c:v>
                </c:pt>
                <c:pt idx="55">
                  <c:v>0.14499999999999999</c:v>
                </c:pt>
                <c:pt idx="56">
                  <c:v>0.25</c:v>
                </c:pt>
                <c:pt idx="57">
                  <c:v>0.37</c:v>
                </c:pt>
                <c:pt idx="58">
                  <c:v>0.40200000000000002</c:v>
                </c:pt>
                <c:pt idx="59">
                  <c:v>0.50800000000000001</c:v>
                </c:pt>
                <c:pt idx="60">
                  <c:v>0.25800000000000001</c:v>
                </c:pt>
                <c:pt idx="61">
                  <c:v>0.53400000000000003</c:v>
                </c:pt>
                <c:pt idx="62">
                  <c:v>0.52</c:v>
                </c:pt>
                <c:pt idx="63">
                  <c:v>0.17</c:v>
                </c:pt>
                <c:pt idx="64">
                  <c:v>0.26500000000000001</c:v>
                </c:pt>
                <c:pt idx="65">
                  <c:v>0.25600000000000001</c:v>
                </c:pt>
                <c:pt idx="66">
                  <c:v>0.442</c:v>
                </c:pt>
                <c:pt idx="67">
                  <c:v>0.26500000000000001</c:v>
                </c:pt>
                <c:pt idx="68">
                  <c:v>0.26300000000000001</c:v>
                </c:pt>
                <c:pt idx="69">
                  <c:v>0.44700000000000001</c:v>
                </c:pt>
                <c:pt idx="70">
                  <c:v>0.35</c:v>
                </c:pt>
                <c:pt idx="71">
                  <c:v>0.112</c:v>
                </c:pt>
                <c:pt idx="72">
                  <c:v>0.16300000000000001</c:v>
                </c:pt>
                <c:pt idx="73">
                  <c:v>0.14499999999999999</c:v>
                </c:pt>
                <c:pt idx="74">
                  <c:v>0.47299999999999998</c:v>
                </c:pt>
                <c:pt idx="75">
                  <c:v>0.29899999999999999</c:v>
                </c:pt>
                <c:pt idx="76">
                  <c:v>0.45</c:v>
                </c:pt>
                <c:pt idx="77">
                  <c:v>0.51300000000000001</c:v>
                </c:pt>
                <c:pt idx="78">
                  <c:v>0.29599999999999999</c:v>
                </c:pt>
                <c:pt idx="79">
                  <c:v>0.33100000000000002</c:v>
                </c:pt>
                <c:pt idx="80">
                  <c:v>0.47899999999999998</c:v>
                </c:pt>
                <c:pt idx="81">
                  <c:v>0.54600000000000004</c:v>
                </c:pt>
                <c:pt idx="82">
                  <c:v>0.32700000000000001</c:v>
                </c:pt>
                <c:pt idx="83">
                  <c:v>0.20100000000000001</c:v>
                </c:pt>
                <c:pt idx="84">
                  <c:v>0.24</c:v>
                </c:pt>
                <c:pt idx="85">
                  <c:v>0.23499999999999999</c:v>
                </c:pt>
                <c:pt idx="86">
                  <c:v>0.23200000000000001</c:v>
                </c:pt>
                <c:pt idx="87">
                  <c:v>0.54400000000000004</c:v>
                </c:pt>
                <c:pt idx="88">
                  <c:v>0.52</c:v>
                </c:pt>
                <c:pt idx="89">
                  <c:v>0.432</c:v>
                </c:pt>
                <c:pt idx="90">
                  <c:v>0.29799999999999999</c:v>
                </c:pt>
                <c:pt idx="91">
                  <c:v>0.55100000000000005</c:v>
                </c:pt>
                <c:pt idx="92">
                  <c:v>0.42499999999999999</c:v>
                </c:pt>
                <c:pt idx="93">
                  <c:v>0.40300000000000002</c:v>
                </c:pt>
                <c:pt idx="94">
                  <c:v>0.40899999999999997</c:v>
                </c:pt>
                <c:pt idx="95">
                  <c:v>0.218</c:v>
                </c:pt>
                <c:pt idx="96">
                  <c:v>0.48099999999999998</c:v>
                </c:pt>
                <c:pt idx="97">
                  <c:v>0.161</c:v>
                </c:pt>
                <c:pt idx="98">
                  <c:v>0.311</c:v>
                </c:pt>
                <c:pt idx="99">
                  <c:v>0.26300000000000001</c:v>
                </c:pt>
                <c:pt idx="100">
                  <c:v>0.105</c:v>
                </c:pt>
                <c:pt idx="101">
                  <c:v>0.13600000000000001</c:v>
                </c:pt>
                <c:pt idx="102">
                  <c:v>0.186</c:v>
                </c:pt>
                <c:pt idx="103">
                  <c:v>0.29099999999999998</c:v>
                </c:pt>
                <c:pt idx="104">
                  <c:v>0.42399999999999999</c:v>
                </c:pt>
                <c:pt idx="105">
                  <c:v>0.11899999999999999</c:v>
                </c:pt>
                <c:pt idx="106">
                  <c:v>0.214</c:v>
                </c:pt>
                <c:pt idx="107">
                  <c:v>0.26500000000000001</c:v>
                </c:pt>
                <c:pt idx="108">
                  <c:v>0.34899999999999998</c:v>
                </c:pt>
                <c:pt idx="109">
                  <c:v>0.45200000000000001</c:v>
                </c:pt>
                <c:pt idx="110">
                  <c:v>0.53800000000000003</c:v>
                </c:pt>
                <c:pt idx="111">
                  <c:v>0.14299999999999999</c:v>
                </c:pt>
                <c:pt idx="112">
                  <c:v>0.11799999999999999</c:v>
                </c:pt>
                <c:pt idx="113">
                  <c:v>0.153</c:v>
                </c:pt>
                <c:pt idx="114">
                  <c:v>0.13</c:v>
                </c:pt>
                <c:pt idx="115">
                  <c:v>0.76</c:v>
                </c:pt>
                <c:pt idx="116">
                  <c:v>0.78400000000000003</c:v>
                </c:pt>
                <c:pt idx="117">
                  <c:v>0.78</c:v>
                </c:pt>
                <c:pt idx="118">
                  <c:v>0.67800000000000005</c:v>
                </c:pt>
                <c:pt idx="119">
                  <c:v>0.65400000000000003</c:v>
                </c:pt>
                <c:pt idx="120">
                  <c:v>0.54500000000000004</c:v>
                </c:pt>
                <c:pt idx="121">
                  <c:v>0.191</c:v>
                </c:pt>
                <c:pt idx="122">
                  <c:v>0.251</c:v>
                </c:pt>
                <c:pt idx="123">
                  <c:v>0.25700000000000001</c:v>
                </c:pt>
                <c:pt idx="124">
                  <c:v>0.47899999999999998</c:v>
                </c:pt>
                <c:pt idx="125">
                  <c:v>0.39600000000000002</c:v>
                </c:pt>
                <c:pt idx="126">
                  <c:v>0.41499999999999998</c:v>
                </c:pt>
                <c:pt idx="127">
                  <c:v>0.39300000000000002</c:v>
                </c:pt>
                <c:pt idx="128">
                  <c:v>0.54</c:v>
                </c:pt>
                <c:pt idx="129">
                  <c:v>0.38400000000000001</c:v>
                </c:pt>
                <c:pt idx="130">
                  <c:v>0.41099999999999998</c:v>
                </c:pt>
                <c:pt idx="131">
                  <c:v>0.41799999999999998</c:v>
                </c:pt>
                <c:pt idx="132">
                  <c:v>0.42399999999999999</c:v>
                </c:pt>
                <c:pt idx="133">
                  <c:v>0.42599999999999999</c:v>
                </c:pt>
                <c:pt idx="134">
                  <c:v>0.47399999999999998</c:v>
                </c:pt>
                <c:pt idx="135">
                  <c:v>0.51500000000000001</c:v>
                </c:pt>
                <c:pt idx="136">
                  <c:v>0.19800000000000001</c:v>
                </c:pt>
                <c:pt idx="137">
                  <c:v>0.13600000000000001</c:v>
                </c:pt>
                <c:pt idx="138">
                  <c:v>0.24399999999999999</c:v>
                </c:pt>
                <c:pt idx="139">
                  <c:v>7.0000000000000007E-2</c:v>
                </c:pt>
                <c:pt idx="140">
                  <c:v>0.17799999999999999</c:v>
                </c:pt>
                <c:pt idx="141">
                  <c:v>0.123</c:v>
                </c:pt>
                <c:pt idx="142">
                  <c:v>0.32300000000000001</c:v>
                </c:pt>
                <c:pt idx="143">
                  <c:v>0.28100000000000003</c:v>
                </c:pt>
                <c:pt idx="144">
                  <c:v>0.24399999999999999</c:v>
                </c:pt>
                <c:pt idx="145">
                  <c:v>0.124</c:v>
                </c:pt>
                <c:pt idx="146">
                  <c:v>0.17699999999999999</c:v>
                </c:pt>
                <c:pt idx="147">
                  <c:v>0.56100000000000005</c:v>
                </c:pt>
                <c:pt idx="148">
                  <c:v>0.36199999999999999</c:v>
                </c:pt>
                <c:pt idx="149">
                  <c:v>0.55900000000000005</c:v>
                </c:pt>
                <c:pt idx="150">
                  <c:v>0.245</c:v>
                </c:pt>
                <c:pt idx="151">
                  <c:v>0.39600000000000002</c:v>
                </c:pt>
                <c:pt idx="152">
                  <c:v>0.26900000000000002</c:v>
                </c:pt>
                <c:pt idx="153">
                  <c:v>0.26800000000000002</c:v>
                </c:pt>
                <c:pt idx="154">
                  <c:v>0.32400000000000001</c:v>
                </c:pt>
                <c:pt idx="155">
                  <c:v>0.46300000000000002</c:v>
                </c:pt>
                <c:pt idx="156">
                  <c:v>0.42399999999999999</c:v>
                </c:pt>
                <c:pt idx="157">
                  <c:v>0.46200000000000002</c:v>
                </c:pt>
                <c:pt idx="158">
                  <c:v>0.49099999999999999</c:v>
                </c:pt>
                <c:pt idx="159">
                  <c:v>0.41799999999999998</c:v>
                </c:pt>
                <c:pt idx="160">
                  <c:v>0.502</c:v>
                </c:pt>
                <c:pt idx="161">
                  <c:v>0.53200000000000003</c:v>
                </c:pt>
                <c:pt idx="162">
                  <c:v>0.3</c:v>
                </c:pt>
                <c:pt idx="163">
                  <c:v>0.34300000000000003</c:v>
                </c:pt>
                <c:pt idx="164">
                  <c:v>0.36</c:v>
                </c:pt>
                <c:pt idx="165">
                  <c:v>0.45800000000000002</c:v>
                </c:pt>
                <c:pt idx="166">
                  <c:v>0.41399999999999998</c:v>
                </c:pt>
                <c:pt idx="167">
                  <c:v>0.24</c:v>
                </c:pt>
                <c:pt idx="168">
                  <c:v>0.26600000000000001</c:v>
                </c:pt>
                <c:pt idx="169">
                  <c:v>0.33400000000000002</c:v>
                </c:pt>
                <c:pt idx="170">
                  <c:v>0.56599999999999995</c:v>
                </c:pt>
                <c:pt idx="171">
                  <c:v>0.439</c:v>
                </c:pt>
                <c:pt idx="172">
                  <c:v>0.51700000000000002</c:v>
                </c:pt>
                <c:pt idx="173">
                  <c:v>0.23200000000000001</c:v>
                </c:pt>
                <c:pt idx="174">
                  <c:v>0.214</c:v>
                </c:pt>
                <c:pt idx="175">
                  <c:v>0.253</c:v>
                </c:pt>
                <c:pt idx="176">
                  <c:v>0.249</c:v>
                </c:pt>
                <c:pt idx="177">
                  <c:v>0.26</c:v>
                </c:pt>
                <c:pt idx="178">
                  <c:v>0.224</c:v>
                </c:pt>
                <c:pt idx="179">
                  <c:v>0.2</c:v>
                </c:pt>
                <c:pt idx="180">
                  <c:v>0.42099999999999999</c:v>
                </c:pt>
                <c:pt idx="181">
                  <c:v>0.42</c:v>
                </c:pt>
                <c:pt idx="182">
                  <c:v>0.28899999999999998</c:v>
                </c:pt>
                <c:pt idx="183">
                  <c:v>0.45600000000000002</c:v>
                </c:pt>
                <c:pt idx="184">
                  <c:v>0.45700000000000002</c:v>
                </c:pt>
                <c:pt idx="185">
                  <c:v>0.184</c:v>
                </c:pt>
                <c:pt idx="186">
                  <c:v>0.443</c:v>
                </c:pt>
                <c:pt idx="187">
                  <c:v>0.53500000000000003</c:v>
                </c:pt>
                <c:pt idx="188">
                  <c:v>0.499</c:v>
                </c:pt>
                <c:pt idx="189">
                  <c:v>0.42699999999999999</c:v>
                </c:pt>
                <c:pt idx="190">
                  <c:v>0.63300000000000001</c:v>
                </c:pt>
                <c:pt idx="191">
                  <c:v>0.16400000000000001</c:v>
                </c:pt>
                <c:pt idx="192">
                  <c:v>0.45600000000000002</c:v>
                </c:pt>
                <c:pt idx="193">
                  <c:v>0.46800000000000003</c:v>
                </c:pt>
                <c:pt idx="194">
                  <c:v>0.57099999999999995</c:v>
                </c:pt>
                <c:pt idx="195">
                  <c:v>0.23400000000000001</c:v>
                </c:pt>
                <c:pt idx="196">
                  <c:v>0.56499999999999995</c:v>
                </c:pt>
                <c:pt idx="197">
                  <c:v>0.218</c:v>
                </c:pt>
                <c:pt idx="198">
                  <c:v>0.26500000000000001</c:v>
                </c:pt>
                <c:pt idx="199">
                  <c:v>0.223</c:v>
                </c:pt>
                <c:pt idx="200">
                  <c:v>0.36799999999999999</c:v>
                </c:pt>
                <c:pt idx="201">
                  <c:v>0.29099999999999998</c:v>
                </c:pt>
                <c:pt idx="202">
                  <c:v>0.26900000000000002</c:v>
                </c:pt>
                <c:pt idx="203">
                  <c:v>0.39200000000000002</c:v>
                </c:pt>
                <c:pt idx="204">
                  <c:v>0.47899999999999998</c:v>
                </c:pt>
                <c:pt idx="205">
                  <c:v>0.52300000000000002</c:v>
                </c:pt>
                <c:pt idx="206">
                  <c:v>0.40500000000000003</c:v>
                </c:pt>
                <c:pt idx="207">
                  <c:v>0.52500000000000002</c:v>
                </c:pt>
                <c:pt idx="208">
                  <c:v>0.13900000000000001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F4-4A56-891B-F6E4535EBC4A}"/>
            </c:ext>
          </c:extLst>
        </c:ser>
        <c:ser>
          <c:idx val="1"/>
          <c:order val="1"/>
          <c:tx>
            <c:strRef>
              <c:f>TTV_IMR!$C$9</c:f>
              <c:strCache>
                <c:ptCount val="1"/>
                <c:pt idx="0">
                  <c:v>UCL(I)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TTV_IMR!$C$10:$C$218</c:f>
              <c:numCache>
                <c:formatCode>General</c:formatCode>
                <c:ptCount val="209"/>
                <c:pt idx="0">
                  <c:v>0.67033374918754252</c:v>
                </c:pt>
                <c:pt idx="1">
                  <c:v>0.67033374918754252</c:v>
                </c:pt>
                <c:pt idx="2">
                  <c:v>0.67033374918754252</c:v>
                </c:pt>
                <c:pt idx="3">
                  <c:v>0.67033374918754252</c:v>
                </c:pt>
                <c:pt idx="4">
                  <c:v>0.67033374918754252</c:v>
                </c:pt>
                <c:pt idx="5">
                  <c:v>0.67033374918754252</c:v>
                </c:pt>
                <c:pt idx="6">
                  <c:v>0.67033374918754252</c:v>
                </c:pt>
                <c:pt idx="7">
                  <c:v>0.67033374918754252</c:v>
                </c:pt>
                <c:pt idx="8">
                  <c:v>0.67033374918754252</c:v>
                </c:pt>
                <c:pt idx="9">
                  <c:v>0.67033374918754252</c:v>
                </c:pt>
                <c:pt idx="10">
                  <c:v>0.67033374918754252</c:v>
                </c:pt>
                <c:pt idx="11">
                  <c:v>0.67033374918754252</c:v>
                </c:pt>
                <c:pt idx="12">
                  <c:v>0.67033374918754252</c:v>
                </c:pt>
                <c:pt idx="13">
                  <c:v>0.67033374918754252</c:v>
                </c:pt>
                <c:pt idx="14">
                  <c:v>0.67033374918754252</c:v>
                </c:pt>
                <c:pt idx="15">
                  <c:v>0.67033374918754252</c:v>
                </c:pt>
                <c:pt idx="16">
                  <c:v>0.67033374918754252</c:v>
                </c:pt>
                <c:pt idx="17">
                  <c:v>0.67033374918754252</c:v>
                </c:pt>
                <c:pt idx="18">
                  <c:v>0.67033374918754252</c:v>
                </c:pt>
                <c:pt idx="19">
                  <c:v>0.67033374918754252</c:v>
                </c:pt>
                <c:pt idx="20">
                  <c:v>0.67033374918754252</c:v>
                </c:pt>
                <c:pt idx="21">
                  <c:v>0.67033374918754252</c:v>
                </c:pt>
                <c:pt idx="22">
                  <c:v>0.67033374918754252</c:v>
                </c:pt>
                <c:pt idx="23">
                  <c:v>0.67033374918754252</c:v>
                </c:pt>
                <c:pt idx="24">
                  <c:v>0.67033374918754252</c:v>
                </c:pt>
                <c:pt idx="25">
                  <c:v>0.67033374918754252</c:v>
                </c:pt>
                <c:pt idx="26">
                  <c:v>0.67033374918754252</c:v>
                </c:pt>
                <c:pt idx="27">
                  <c:v>0.67033374918754252</c:v>
                </c:pt>
                <c:pt idx="28">
                  <c:v>0.67033374918754252</c:v>
                </c:pt>
                <c:pt idx="29">
                  <c:v>0.67033374918754252</c:v>
                </c:pt>
                <c:pt idx="30">
                  <c:v>0.67033374918754252</c:v>
                </c:pt>
                <c:pt idx="31">
                  <c:v>0.67033374918754252</c:v>
                </c:pt>
                <c:pt idx="32">
                  <c:v>0.67033374918754252</c:v>
                </c:pt>
                <c:pt idx="33">
                  <c:v>0.67033374918754252</c:v>
                </c:pt>
                <c:pt idx="34">
                  <c:v>0.67033374918754252</c:v>
                </c:pt>
                <c:pt idx="35">
                  <c:v>0.67033374918754252</c:v>
                </c:pt>
                <c:pt idx="36">
                  <c:v>0.67033374918754252</c:v>
                </c:pt>
                <c:pt idx="37">
                  <c:v>0.67033374918754252</c:v>
                </c:pt>
                <c:pt idx="38">
                  <c:v>0.67033374918754252</c:v>
                </c:pt>
                <c:pt idx="39">
                  <c:v>0.67033374918754252</c:v>
                </c:pt>
                <c:pt idx="40">
                  <c:v>0.67033374918754252</c:v>
                </c:pt>
                <c:pt idx="41">
                  <c:v>0.67033374918754252</c:v>
                </c:pt>
                <c:pt idx="42">
                  <c:v>0.67033374918754252</c:v>
                </c:pt>
                <c:pt idx="43">
                  <c:v>0.67033374918754252</c:v>
                </c:pt>
                <c:pt idx="44">
                  <c:v>0.67033374918754252</c:v>
                </c:pt>
                <c:pt idx="45">
                  <c:v>0.67033374918754252</c:v>
                </c:pt>
                <c:pt idx="46">
                  <c:v>0.67033374918754252</c:v>
                </c:pt>
                <c:pt idx="47">
                  <c:v>0.67033374918754252</c:v>
                </c:pt>
                <c:pt idx="48">
                  <c:v>0.67033374918754252</c:v>
                </c:pt>
                <c:pt idx="49">
                  <c:v>0.67033374918754252</c:v>
                </c:pt>
                <c:pt idx="50">
                  <c:v>0.67033374918754252</c:v>
                </c:pt>
                <c:pt idx="51">
                  <c:v>0.67033374918754252</c:v>
                </c:pt>
                <c:pt idx="52">
                  <c:v>0.67033374918754252</c:v>
                </c:pt>
                <c:pt idx="53">
                  <c:v>0.67033374918754252</c:v>
                </c:pt>
                <c:pt idx="54">
                  <c:v>0.67033374918754252</c:v>
                </c:pt>
                <c:pt idx="55">
                  <c:v>0.67033374918754252</c:v>
                </c:pt>
                <c:pt idx="56">
                  <c:v>0.67033374918754252</c:v>
                </c:pt>
                <c:pt idx="57">
                  <c:v>0.67033374918754252</c:v>
                </c:pt>
                <c:pt idx="58">
                  <c:v>0.67033374918754252</c:v>
                </c:pt>
                <c:pt idx="59">
                  <c:v>0.67033374918754252</c:v>
                </c:pt>
                <c:pt idx="60">
                  <c:v>0.67033374918754252</c:v>
                </c:pt>
                <c:pt idx="61">
                  <c:v>0.67033374918754252</c:v>
                </c:pt>
                <c:pt idx="62">
                  <c:v>0.67033374918754252</c:v>
                </c:pt>
                <c:pt idx="63">
                  <c:v>0.67033374918754252</c:v>
                </c:pt>
                <c:pt idx="64">
                  <c:v>0.67033374918754252</c:v>
                </c:pt>
                <c:pt idx="65">
                  <c:v>0.67033374918754252</c:v>
                </c:pt>
                <c:pt idx="66">
                  <c:v>0.67033374918754252</c:v>
                </c:pt>
                <c:pt idx="67">
                  <c:v>0.67033374918754252</c:v>
                </c:pt>
                <c:pt idx="68">
                  <c:v>0.67033374918754252</c:v>
                </c:pt>
                <c:pt idx="69">
                  <c:v>0.67033374918754252</c:v>
                </c:pt>
                <c:pt idx="70">
                  <c:v>0.67033374918754252</c:v>
                </c:pt>
                <c:pt idx="71">
                  <c:v>0.67033374918754252</c:v>
                </c:pt>
                <c:pt idx="72">
                  <c:v>0.67033374918754252</c:v>
                </c:pt>
                <c:pt idx="73">
                  <c:v>0.67033374918754252</c:v>
                </c:pt>
                <c:pt idx="74">
                  <c:v>0.67033374918754252</c:v>
                </c:pt>
                <c:pt idx="75">
                  <c:v>0.67033374918754252</c:v>
                </c:pt>
                <c:pt idx="76">
                  <c:v>0.67033374918754252</c:v>
                </c:pt>
                <c:pt idx="77">
                  <c:v>0.67033374918754252</c:v>
                </c:pt>
                <c:pt idx="78">
                  <c:v>0.67033374918754252</c:v>
                </c:pt>
                <c:pt idx="79">
                  <c:v>0.67033374918754252</c:v>
                </c:pt>
                <c:pt idx="80">
                  <c:v>0.67033374918754252</c:v>
                </c:pt>
                <c:pt idx="81">
                  <c:v>0.67033374918754252</c:v>
                </c:pt>
                <c:pt idx="82">
                  <c:v>0.67033374918754252</c:v>
                </c:pt>
                <c:pt idx="83">
                  <c:v>0.67033374918754252</c:v>
                </c:pt>
                <c:pt idx="84">
                  <c:v>0.67033374918754252</c:v>
                </c:pt>
                <c:pt idx="85">
                  <c:v>0.67033374918754252</c:v>
                </c:pt>
                <c:pt idx="86">
                  <c:v>0.67033374918754252</c:v>
                </c:pt>
                <c:pt idx="87">
                  <c:v>0.67033374918754252</c:v>
                </c:pt>
                <c:pt idx="88">
                  <c:v>0.67033374918754252</c:v>
                </c:pt>
                <c:pt idx="89">
                  <c:v>0.67033374918754252</c:v>
                </c:pt>
                <c:pt idx="90">
                  <c:v>0.67033374918754252</c:v>
                </c:pt>
                <c:pt idx="91">
                  <c:v>0.67033374918754252</c:v>
                </c:pt>
                <c:pt idx="92">
                  <c:v>0.67033374918754252</c:v>
                </c:pt>
                <c:pt idx="93">
                  <c:v>0.67033374918754252</c:v>
                </c:pt>
                <c:pt idx="94">
                  <c:v>0.67033374918754252</c:v>
                </c:pt>
                <c:pt idx="95">
                  <c:v>0.67033374918754252</c:v>
                </c:pt>
                <c:pt idx="96">
                  <c:v>0.67033374918754252</c:v>
                </c:pt>
                <c:pt idx="97">
                  <c:v>0.67033374918754252</c:v>
                </c:pt>
                <c:pt idx="98">
                  <c:v>0.67033374918754252</c:v>
                </c:pt>
                <c:pt idx="99">
                  <c:v>0.67033374918754252</c:v>
                </c:pt>
                <c:pt idx="100">
                  <c:v>0.67033374918754252</c:v>
                </c:pt>
                <c:pt idx="101">
                  <c:v>0.67033374918754252</c:v>
                </c:pt>
                <c:pt idx="102">
                  <c:v>0.67033374918754252</c:v>
                </c:pt>
                <c:pt idx="103">
                  <c:v>0.67033374918754252</c:v>
                </c:pt>
                <c:pt idx="104">
                  <c:v>0.67033374918754252</c:v>
                </c:pt>
                <c:pt idx="105">
                  <c:v>0.67033374918754252</c:v>
                </c:pt>
                <c:pt idx="106">
                  <c:v>0.67033374918754252</c:v>
                </c:pt>
                <c:pt idx="107">
                  <c:v>0.67033374918754252</c:v>
                </c:pt>
                <c:pt idx="108">
                  <c:v>0.67033374918754252</c:v>
                </c:pt>
                <c:pt idx="109">
                  <c:v>0.67033374918754252</c:v>
                </c:pt>
                <c:pt idx="110">
                  <c:v>0.67033374918754252</c:v>
                </c:pt>
                <c:pt idx="111">
                  <c:v>0.67033374918754252</c:v>
                </c:pt>
                <c:pt idx="112">
                  <c:v>0.67033374918754252</c:v>
                </c:pt>
                <c:pt idx="113">
                  <c:v>0.67033374918754252</c:v>
                </c:pt>
                <c:pt idx="114">
                  <c:v>0.67033374918754252</c:v>
                </c:pt>
                <c:pt idx="115">
                  <c:v>0.67033374918754252</c:v>
                </c:pt>
                <c:pt idx="116">
                  <c:v>0.67033374918754252</c:v>
                </c:pt>
                <c:pt idx="117">
                  <c:v>0.67033374918754252</c:v>
                </c:pt>
                <c:pt idx="118">
                  <c:v>0.67033374918754252</c:v>
                </c:pt>
                <c:pt idx="119">
                  <c:v>0.67033374918754252</c:v>
                </c:pt>
                <c:pt idx="120">
                  <c:v>0.67033374918754252</c:v>
                </c:pt>
                <c:pt idx="121">
                  <c:v>0.67033374918754252</c:v>
                </c:pt>
                <c:pt idx="122">
                  <c:v>0.67033374918754252</c:v>
                </c:pt>
                <c:pt idx="123">
                  <c:v>0.67033374918754252</c:v>
                </c:pt>
                <c:pt idx="124">
                  <c:v>0.67033374918754252</c:v>
                </c:pt>
                <c:pt idx="125">
                  <c:v>0.67033374918754252</c:v>
                </c:pt>
                <c:pt idx="126">
                  <c:v>0.67033374918754252</c:v>
                </c:pt>
                <c:pt idx="127">
                  <c:v>0.67033374918754252</c:v>
                </c:pt>
                <c:pt idx="128">
                  <c:v>0.67033374918754252</c:v>
                </c:pt>
                <c:pt idx="129">
                  <c:v>0.67033374918754252</c:v>
                </c:pt>
                <c:pt idx="130">
                  <c:v>0.67033374918754252</c:v>
                </c:pt>
                <c:pt idx="131">
                  <c:v>0.67033374918754252</c:v>
                </c:pt>
                <c:pt idx="132">
                  <c:v>0.67033374918754252</c:v>
                </c:pt>
                <c:pt idx="133">
                  <c:v>0.67033374918754252</c:v>
                </c:pt>
                <c:pt idx="134">
                  <c:v>0.67033374918754252</c:v>
                </c:pt>
                <c:pt idx="135">
                  <c:v>0.67033374918754252</c:v>
                </c:pt>
                <c:pt idx="136">
                  <c:v>0.67033374918754252</c:v>
                </c:pt>
                <c:pt idx="137">
                  <c:v>0.67033374918754252</c:v>
                </c:pt>
                <c:pt idx="138">
                  <c:v>0.67033374918754252</c:v>
                </c:pt>
                <c:pt idx="139">
                  <c:v>0.67033374918754252</c:v>
                </c:pt>
                <c:pt idx="140">
                  <c:v>0.67033374918754252</c:v>
                </c:pt>
                <c:pt idx="141">
                  <c:v>0.67033374918754252</c:v>
                </c:pt>
                <c:pt idx="142">
                  <c:v>0.67033374918754252</c:v>
                </c:pt>
                <c:pt idx="143">
                  <c:v>0.67033374918754252</c:v>
                </c:pt>
                <c:pt idx="144">
                  <c:v>0.67033374918754252</c:v>
                </c:pt>
                <c:pt idx="145">
                  <c:v>0.67033374918754252</c:v>
                </c:pt>
                <c:pt idx="146">
                  <c:v>0.67033374918754252</c:v>
                </c:pt>
                <c:pt idx="147">
                  <c:v>0.67033374918754252</c:v>
                </c:pt>
                <c:pt idx="148">
                  <c:v>0.67033374918754252</c:v>
                </c:pt>
                <c:pt idx="149">
                  <c:v>0.67033374918754252</c:v>
                </c:pt>
                <c:pt idx="150">
                  <c:v>0.67033374918754252</c:v>
                </c:pt>
                <c:pt idx="151">
                  <c:v>0.67033374918754252</c:v>
                </c:pt>
                <c:pt idx="152">
                  <c:v>0.67033374918754252</c:v>
                </c:pt>
                <c:pt idx="153">
                  <c:v>0.67033374918754252</c:v>
                </c:pt>
                <c:pt idx="154">
                  <c:v>0.67033374918754252</c:v>
                </c:pt>
                <c:pt idx="155">
                  <c:v>0.67033374918754252</c:v>
                </c:pt>
                <c:pt idx="156">
                  <c:v>0.67033374918754252</c:v>
                </c:pt>
                <c:pt idx="157">
                  <c:v>0.67033374918754252</c:v>
                </c:pt>
                <c:pt idx="158">
                  <c:v>0.67033374918754252</c:v>
                </c:pt>
                <c:pt idx="159">
                  <c:v>0.67033374918754252</c:v>
                </c:pt>
                <c:pt idx="160">
                  <c:v>0.67033374918754252</c:v>
                </c:pt>
                <c:pt idx="161">
                  <c:v>0.67033374918754252</c:v>
                </c:pt>
                <c:pt idx="162">
                  <c:v>0.67033374918754252</c:v>
                </c:pt>
                <c:pt idx="163">
                  <c:v>0.67033374918754252</c:v>
                </c:pt>
                <c:pt idx="164">
                  <c:v>0.67033374918754252</c:v>
                </c:pt>
                <c:pt idx="165">
                  <c:v>0.67033374918754252</c:v>
                </c:pt>
                <c:pt idx="166">
                  <c:v>0.67033374918754252</c:v>
                </c:pt>
                <c:pt idx="167">
                  <c:v>0.67033374918754252</c:v>
                </c:pt>
                <c:pt idx="168">
                  <c:v>0.67033374918754252</c:v>
                </c:pt>
                <c:pt idx="169">
                  <c:v>0.67033374918754252</c:v>
                </c:pt>
                <c:pt idx="170">
                  <c:v>0.67033374918754252</c:v>
                </c:pt>
                <c:pt idx="171">
                  <c:v>0.67033374918754252</c:v>
                </c:pt>
                <c:pt idx="172">
                  <c:v>0.67033374918754252</c:v>
                </c:pt>
                <c:pt idx="173">
                  <c:v>0.67033374918754252</c:v>
                </c:pt>
                <c:pt idx="174">
                  <c:v>0.67033374918754252</c:v>
                </c:pt>
                <c:pt idx="175">
                  <c:v>0.67033374918754252</c:v>
                </c:pt>
                <c:pt idx="176">
                  <c:v>0.67033374918754252</c:v>
                </c:pt>
                <c:pt idx="177">
                  <c:v>0.67033374918754252</c:v>
                </c:pt>
                <c:pt idx="178">
                  <c:v>0.67033374918754252</c:v>
                </c:pt>
                <c:pt idx="179">
                  <c:v>0.67033374918754252</c:v>
                </c:pt>
                <c:pt idx="180">
                  <c:v>0.67033374918754252</c:v>
                </c:pt>
                <c:pt idx="181">
                  <c:v>0.67033374918754252</c:v>
                </c:pt>
                <c:pt idx="182">
                  <c:v>0.67033374918754252</c:v>
                </c:pt>
                <c:pt idx="183">
                  <c:v>0.67033374918754252</c:v>
                </c:pt>
                <c:pt idx="184">
                  <c:v>0.67033374918754252</c:v>
                </c:pt>
                <c:pt idx="185">
                  <c:v>0.67033374918754252</c:v>
                </c:pt>
                <c:pt idx="186">
                  <c:v>0.67033374918754252</c:v>
                </c:pt>
                <c:pt idx="187">
                  <c:v>0.67033374918754252</c:v>
                </c:pt>
                <c:pt idx="188">
                  <c:v>0.67033374918754252</c:v>
                </c:pt>
                <c:pt idx="189">
                  <c:v>0.67033374918754252</c:v>
                </c:pt>
                <c:pt idx="190">
                  <c:v>0.67033374918754252</c:v>
                </c:pt>
                <c:pt idx="191">
                  <c:v>0.67033374918754252</c:v>
                </c:pt>
                <c:pt idx="192">
                  <c:v>0.67033374918754252</c:v>
                </c:pt>
                <c:pt idx="193">
                  <c:v>0.67033374918754252</c:v>
                </c:pt>
                <c:pt idx="194">
                  <c:v>0.67033374918754252</c:v>
                </c:pt>
                <c:pt idx="195">
                  <c:v>0.67033374918754252</c:v>
                </c:pt>
                <c:pt idx="196">
                  <c:v>0.67033374918754252</c:v>
                </c:pt>
                <c:pt idx="197">
                  <c:v>0.67033374918754252</c:v>
                </c:pt>
                <c:pt idx="198">
                  <c:v>0.67033374918754252</c:v>
                </c:pt>
                <c:pt idx="199">
                  <c:v>0.67033374918754252</c:v>
                </c:pt>
                <c:pt idx="200">
                  <c:v>0.67033374918754252</c:v>
                </c:pt>
                <c:pt idx="201">
                  <c:v>0.67033374918754252</c:v>
                </c:pt>
                <c:pt idx="202">
                  <c:v>0.67033374918754252</c:v>
                </c:pt>
                <c:pt idx="203">
                  <c:v>0.67033374918754252</c:v>
                </c:pt>
                <c:pt idx="204">
                  <c:v>0.67033374918754252</c:v>
                </c:pt>
                <c:pt idx="205">
                  <c:v>0.67033374918754252</c:v>
                </c:pt>
                <c:pt idx="206">
                  <c:v>0.67033374918754252</c:v>
                </c:pt>
                <c:pt idx="207">
                  <c:v>0.67033374918754252</c:v>
                </c:pt>
                <c:pt idx="208">
                  <c:v>0.67033374918754252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6F4-4A56-891B-F6E4535EBC4A}"/>
            </c:ext>
          </c:extLst>
        </c:ser>
        <c:ser>
          <c:idx val="2"/>
          <c:order val="2"/>
          <c:tx>
            <c:strRef>
              <c:f>TTV_IMR!$D$9</c:f>
              <c:strCache>
                <c:ptCount val="1"/>
                <c:pt idx="0">
                  <c:v>CL(I)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TTV_IMR!$D$10:$D$218</c:f>
              <c:numCache>
                <c:formatCode>General</c:formatCode>
                <c:ptCount val="209"/>
                <c:pt idx="0">
                  <c:v>0.34828229665071769</c:v>
                </c:pt>
                <c:pt idx="1">
                  <c:v>0.34828229665071769</c:v>
                </c:pt>
                <c:pt idx="2">
                  <c:v>0.34828229665071769</c:v>
                </c:pt>
                <c:pt idx="3">
                  <c:v>0.34828229665071769</c:v>
                </c:pt>
                <c:pt idx="4">
                  <c:v>0.34828229665071769</c:v>
                </c:pt>
                <c:pt idx="5">
                  <c:v>0.34828229665071769</c:v>
                </c:pt>
                <c:pt idx="6">
                  <c:v>0.34828229665071769</c:v>
                </c:pt>
                <c:pt idx="7">
                  <c:v>0.34828229665071769</c:v>
                </c:pt>
                <c:pt idx="8">
                  <c:v>0.34828229665071769</c:v>
                </c:pt>
                <c:pt idx="9">
                  <c:v>0.34828229665071769</c:v>
                </c:pt>
                <c:pt idx="10">
                  <c:v>0.34828229665071769</c:v>
                </c:pt>
                <c:pt idx="11">
                  <c:v>0.34828229665071769</c:v>
                </c:pt>
                <c:pt idx="12">
                  <c:v>0.34828229665071769</c:v>
                </c:pt>
                <c:pt idx="13">
                  <c:v>0.34828229665071769</c:v>
                </c:pt>
                <c:pt idx="14">
                  <c:v>0.34828229665071769</c:v>
                </c:pt>
                <c:pt idx="15">
                  <c:v>0.34828229665071769</c:v>
                </c:pt>
                <c:pt idx="16">
                  <c:v>0.34828229665071769</c:v>
                </c:pt>
                <c:pt idx="17">
                  <c:v>0.34828229665071769</c:v>
                </c:pt>
                <c:pt idx="18">
                  <c:v>0.34828229665071769</c:v>
                </c:pt>
                <c:pt idx="19">
                  <c:v>0.34828229665071769</c:v>
                </c:pt>
                <c:pt idx="20">
                  <c:v>0.34828229665071769</c:v>
                </c:pt>
                <c:pt idx="21">
                  <c:v>0.34828229665071769</c:v>
                </c:pt>
                <c:pt idx="22">
                  <c:v>0.34828229665071769</c:v>
                </c:pt>
                <c:pt idx="23">
                  <c:v>0.34828229665071769</c:v>
                </c:pt>
                <c:pt idx="24">
                  <c:v>0.34828229665071769</c:v>
                </c:pt>
                <c:pt idx="25">
                  <c:v>0.34828229665071769</c:v>
                </c:pt>
                <c:pt idx="26">
                  <c:v>0.34828229665071769</c:v>
                </c:pt>
                <c:pt idx="27">
                  <c:v>0.34828229665071769</c:v>
                </c:pt>
                <c:pt idx="28">
                  <c:v>0.34828229665071769</c:v>
                </c:pt>
                <c:pt idx="29">
                  <c:v>0.34828229665071769</c:v>
                </c:pt>
                <c:pt idx="30">
                  <c:v>0.34828229665071769</c:v>
                </c:pt>
                <c:pt idx="31">
                  <c:v>0.34828229665071769</c:v>
                </c:pt>
                <c:pt idx="32">
                  <c:v>0.34828229665071769</c:v>
                </c:pt>
                <c:pt idx="33">
                  <c:v>0.34828229665071769</c:v>
                </c:pt>
                <c:pt idx="34">
                  <c:v>0.34828229665071769</c:v>
                </c:pt>
                <c:pt idx="35">
                  <c:v>0.34828229665071769</c:v>
                </c:pt>
                <c:pt idx="36">
                  <c:v>0.34828229665071769</c:v>
                </c:pt>
                <c:pt idx="37">
                  <c:v>0.34828229665071769</c:v>
                </c:pt>
                <c:pt idx="38">
                  <c:v>0.34828229665071769</c:v>
                </c:pt>
                <c:pt idx="39">
                  <c:v>0.34828229665071769</c:v>
                </c:pt>
                <c:pt idx="40">
                  <c:v>0.34828229665071769</c:v>
                </c:pt>
                <c:pt idx="41">
                  <c:v>0.34828229665071769</c:v>
                </c:pt>
                <c:pt idx="42">
                  <c:v>0.34828229665071769</c:v>
                </c:pt>
                <c:pt idx="43">
                  <c:v>0.34828229665071769</c:v>
                </c:pt>
                <c:pt idx="44">
                  <c:v>0.34828229665071769</c:v>
                </c:pt>
                <c:pt idx="45">
                  <c:v>0.34828229665071769</c:v>
                </c:pt>
                <c:pt idx="46">
                  <c:v>0.34828229665071769</c:v>
                </c:pt>
                <c:pt idx="47">
                  <c:v>0.34828229665071769</c:v>
                </c:pt>
                <c:pt idx="48">
                  <c:v>0.34828229665071769</c:v>
                </c:pt>
                <c:pt idx="49">
                  <c:v>0.34828229665071769</c:v>
                </c:pt>
                <c:pt idx="50">
                  <c:v>0.34828229665071769</c:v>
                </c:pt>
                <c:pt idx="51">
                  <c:v>0.34828229665071769</c:v>
                </c:pt>
                <c:pt idx="52">
                  <c:v>0.34828229665071769</c:v>
                </c:pt>
                <c:pt idx="53">
                  <c:v>0.34828229665071769</c:v>
                </c:pt>
                <c:pt idx="54">
                  <c:v>0.34828229665071769</c:v>
                </c:pt>
                <c:pt idx="55">
                  <c:v>0.34828229665071769</c:v>
                </c:pt>
                <c:pt idx="56">
                  <c:v>0.34828229665071769</c:v>
                </c:pt>
                <c:pt idx="57">
                  <c:v>0.34828229665071769</c:v>
                </c:pt>
                <c:pt idx="58">
                  <c:v>0.34828229665071769</c:v>
                </c:pt>
                <c:pt idx="59">
                  <c:v>0.34828229665071769</c:v>
                </c:pt>
                <c:pt idx="60">
                  <c:v>0.34828229665071769</c:v>
                </c:pt>
                <c:pt idx="61">
                  <c:v>0.34828229665071769</c:v>
                </c:pt>
                <c:pt idx="62">
                  <c:v>0.34828229665071769</c:v>
                </c:pt>
                <c:pt idx="63">
                  <c:v>0.34828229665071769</c:v>
                </c:pt>
                <c:pt idx="64">
                  <c:v>0.34828229665071769</c:v>
                </c:pt>
                <c:pt idx="65">
                  <c:v>0.34828229665071769</c:v>
                </c:pt>
                <c:pt idx="66">
                  <c:v>0.34828229665071769</c:v>
                </c:pt>
                <c:pt idx="67">
                  <c:v>0.34828229665071769</c:v>
                </c:pt>
                <c:pt idx="68">
                  <c:v>0.34828229665071769</c:v>
                </c:pt>
                <c:pt idx="69">
                  <c:v>0.34828229665071769</c:v>
                </c:pt>
                <c:pt idx="70">
                  <c:v>0.34828229665071769</c:v>
                </c:pt>
                <c:pt idx="71">
                  <c:v>0.34828229665071769</c:v>
                </c:pt>
                <c:pt idx="72">
                  <c:v>0.34828229665071769</c:v>
                </c:pt>
                <c:pt idx="73">
                  <c:v>0.34828229665071769</c:v>
                </c:pt>
                <c:pt idx="74">
                  <c:v>0.34828229665071769</c:v>
                </c:pt>
                <c:pt idx="75">
                  <c:v>0.34828229665071769</c:v>
                </c:pt>
                <c:pt idx="76">
                  <c:v>0.34828229665071769</c:v>
                </c:pt>
                <c:pt idx="77">
                  <c:v>0.34828229665071769</c:v>
                </c:pt>
                <c:pt idx="78">
                  <c:v>0.34828229665071769</c:v>
                </c:pt>
                <c:pt idx="79">
                  <c:v>0.34828229665071769</c:v>
                </c:pt>
                <c:pt idx="80">
                  <c:v>0.34828229665071769</c:v>
                </c:pt>
                <c:pt idx="81">
                  <c:v>0.34828229665071769</c:v>
                </c:pt>
                <c:pt idx="82">
                  <c:v>0.34828229665071769</c:v>
                </c:pt>
                <c:pt idx="83">
                  <c:v>0.34828229665071769</c:v>
                </c:pt>
                <c:pt idx="84">
                  <c:v>0.34828229665071769</c:v>
                </c:pt>
                <c:pt idx="85">
                  <c:v>0.34828229665071769</c:v>
                </c:pt>
                <c:pt idx="86">
                  <c:v>0.34828229665071769</c:v>
                </c:pt>
                <c:pt idx="87">
                  <c:v>0.34828229665071769</c:v>
                </c:pt>
                <c:pt idx="88">
                  <c:v>0.34828229665071769</c:v>
                </c:pt>
                <c:pt idx="89">
                  <c:v>0.34828229665071769</c:v>
                </c:pt>
                <c:pt idx="90">
                  <c:v>0.34828229665071769</c:v>
                </c:pt>
                <c:pt idx="91">
                  <c:v>0.34828229665071769</c:v>
                </c:pt>
                <c:pt idx="92">
                  <c:v>0.34828229665071769</c:v>
                </c:pt>
                <c:pt idx="93">
                  <c:v>0.34828229665071769</c:v>
                </c:pt>
                <c:pt idx="94">
                  <c:v>0.34828229665071769</c:v>
                </c:pt>
                <c:pt idx="95">
                  <c:v>0.34828229665071769</c:v>
                </c:pt>
                <c:pt idx="96">
                  <c:v>0.34828229665071769</c:v>
                </c:pt>
                <c:pt idx="97">
                  <c:v>0.34828229665071769</c:v>
                </c:pt>
                <c:pt idx="98">
                  <c:v>0.34828229665071769</c:v>
                </c:pt>
                <c:pt idx="99">
                  <c:v>0.34828229665071769</c:v>
                </c:pt>
                <c:pt idx="100">
                  <c:v>0.34828229665071769</c:v>
                </c:pt>
                <c:pt idx="101">
                  <c:v>0.34828229665071769</c:v>
                </c:pt>
                <c:pt idx="102">
                  <c:v>0.34828229665071769</c:v>
                </c:pt>
                <c:pt idx="103">
                  <c:v>0.34828229665071769</c:v>
                </c:pt>
                <c:pt idx="104">
                  <c:v>0.34828229665071769</c:v>
                </c:pt>
                <c:pt idx="105">
                  <c:v>0.34828229665071769</c:v>
                </c:pt>
                <c:pt idx="106">
                  <c:v>0.34828229665071769</c:v>
                </c:pt>
                <c:pt idx="107">
                  <c:v>0.34828229665071769</c:v>
                </c:pt>
                <c:pt idx="108">
                  <c:v>0.34828229665071769</c:v>
                </c:pt>
                <c:pt idx="109">
                  <c:v>0.34828229665071769</c:v>
                </c:pt>
                <c:pt idx="110">
                  <c:v>0.34828229665071769</c:v>
                </c:pt>
                <c:pt idx="111">
                  <c:v>0.34828229665071769</c:v>
                </c:pt>
                <c:pt idx="112">
                  <c:v>0.34828229665071769</c:v>
                </c:pt>
                <c:pt idx="113">
                  <c:v>0.34828229665071769</c:v>
                </c:pt>
                <c:pt idx="114">
                  <c:v>0.34828229665071769</c:v>
                </c:pt>
                <c:pt idx="115">
                  <c:v>0.34828229665071769</c:v>
                </c:pt>
                <c:pt idx="116">
                  <c:v>0.34828229665071769</c:v>
                </c:pt>
                <c:pt idx="117">
                  <c:v>0.34828229665071769</c:v>
                </c:pt>
                <c:pt idx="118">
                  <c:v>0.34828229665071769</c:v>
                </c:pt>
                <c:pt idx="119">
                  <c:v>0.34828229665071769</c:v>
                </c:pt>
                <c:pt idx="120">
                  <c:v>0.34828229665071769</c:v>
                </c:pt>
                <c:pt idx="121">
                  <c:v>0.34828229665071769</c:v>
                </c:pt>
                <c:pt idx="122">
                  <c:v>0.34828229665071769</c:v>
                </c:pt>
                <c:pt idx="123">
                  <c:v>0.34828229665071769</c:v>
                </c:pt>
                <c:pt idx="124">
                  <c:v>0.34828229665071769</c:v>
                </c:pt>
                <c:pt idx="125">
                  <c:v>0.34828229665071769</c:v>
                </c:pt>
                <c:pt idx="126">
                  <c:v>0.34828229665071769</c:v>
                </c:pt>
                <c:pt idx="127">
                  <c:v>0.34828229665071769</c:v>
                </c:pt>
                <c:pt idx="128">
                  <c:v>0.34828229665071769</c:v>
                </c:pt>
                <c:pt idx="129">
                  <c:v>0.34828229665071769</c:v>
                </c:pt>
                <c:pt idx="130">
                  <c:v>0.34828229665071769</c:v>
                </c:pt>
                <c:pt idx="131">
                  <c:v>0.34828229665071769</c:v>
                </c:pt>
                <c:pt idx="132">
                  <c:v>0.34828229665071769</c:v>
                </c:pt>
                <c:pt idx="133">
                  <c:v>0.34828229665071769</c:v>
                </c:pt>
                <c:pt idx="134">
                  <c:v>0.34828229665071769</c:v>
                </c:pt>
                <c:pt idx="135">
                  <c:v>0.34828229665071769</c:v>
                </c:pt>
                <c:pt idx="136">
                  <c:v>0.34828229665071769</c:v>
                </c:pt>
                <c:pt idx="137">
                  <c:v>0.34828229665071769</c:v>
                </c:pt>
                <c:pt idx="138">
                  <c:v>0.34828229665071769</c:v>
                </c:pt>
                <c:pt idx="139">
                  <c:v>0.34828229665071769</c:v>
                </c:pt>
                <c:pt idx="140">
                  <c:v>0.34828229665071769</c:v>
                </c:pt>
                <c:pt idx="141">
                  <c:v>0.34828229665071769</c:v>
                </c:pt>
                <c:pt idx="142">
                  <c:v>0.34828229665071769</c:v>
                </c:pt>
                <c:pt idx="143">
                  <c:v>0.34828229665071769</c:v>
                </c:pt>
                <c:pt idx="144">
                  <c:v>0.34828229665071769</c:v>
                </c:pt>
                <c:pt idx="145">
                  <c:v>0.34828229665071769</c:v>
                </c:pt>
                <c:pt idx="146">
                  <c:v>0.34828229665071769</c:v>
                </c:pt>
                <c:pt idx="147">
                  <c:v>0.34828229665071769</c:v>
                </c:pt>
                <c:pt idx="148">
                  <c:v>0.34828229665071769</c:v>
                </c:pt>
                <c:pt idx="149">
                  <c:v>0.34828229665071769</c:v>
                </c:pt>
                <c:pt idx="150">
                  <c:v>0.34828229665071769</c:v>
                </c:pt>
                <c:pt idx="151">
                  <c:v>0.34828229665071769</c:v>
                </c:pt>
                <c:pt idx="152">
                  <c:v>0.34828229665071769</c:v>
                </c:pt>
                <c:pt idx="153">
                  <c:v>0.34828229665071769</c:v>
                </c:pt>
                <c:pt idx="154">
                  <c:v>0.34828229665071769</c:v>
                </c:pt>
                <c:pt idx="155">
                  <c:v>0.34828229665071769</c:v>
                </c:pt>
                <c:pt idx="156">
                  <c:v>0.34828229665071769</c:v>
                </c:pt>
                <c:pt idx="157">
                  <c:v>0.34828229665071769</c:v>
                </c:pt>
                <c:pt idx="158">
                  <c:v>0.34828229665071769</c:v>
                </c:pt>
                <c:pt idx="159">
                  <c:v>0.34828229665071769</c:v>
                </c:pt>
                <c:pt idx="160">
                  <c:v>0.34828229665071769</c:v>
                </c:pt>
                <c:pt idx="161">
                  <c:v>0.34828229665071769</c:v>
                </c:pt>
                <c:pt idx="162">
                  <c:v>0.34828229665071769</c:v>
                </c:pt>
                <c:pt idx="163">
                  <c:v>0.34828229665071769</c:v>
                </c:pt>
                <c:pt idx="164">
                  <c:v>0.34828229665071769</c:v>
                </c:pt>
                <c:pt idx="165">
                  <c:v>0.34828229665071769</c:v>
                </c:pt>
                <c:pt idx="166">
                  <c:v>0.34828229665071769</c:v>
                </c:pt>
                <c:pt idx="167">
                  <c:v>0.34828229665071769</c:v>
                </c:pt>
                <c:pt idx="168">
                  <c:v>0.34828229665071769</c:v>
                </c:pt>
                <c:pt idx="169">
                  <c:v>0.34828229665071769</c:v>
                </c:pt>
                <c:pt idx="170">
                  <c:v>0.34828229665071769</c:v>
                </c:pt>
                <c:pt idx="171">
                  <c:v>0.34828229665071769</c:v>
                </c:pt>
                <c:pt idx="172">
                  <c:v>0.34828229665071769</c:v>
                </c:pt>
                <c:pt idx="173">
                  <c:v>0.34828229665071769</c:v>
                </c:pt>
                <c:pt idx="174">
                  <c:v>0.34828229665071769</c:v>
                </c:pt>
                <c:pt idx="175">
                  <c:v>0.34828229665071769</c:v>
                </c:pt>
                <c:pt idx="176">
                  <c:v>0.34828229665071769</c:v>
                </c:pt>
                <c:pt idx="177">
                  <c:v>0.34828229665071769</c:v>
                </c:pt>
                <c:pt idx="178">
                  <c:v>0.34828229665071769</c:v>
                </c:pt>
                <c:pt idx="179">
                  <c:v>0.34828229665071769</c:v>
                </c:pt>
                <c:pt idx="180">
                  <c:v>0.34828229665071769</c:v>
                </c:pt>
                <c:pt idx="181">
                  <c:v>0.34828229665071769</c:v>
                </c:pt>
                <c:pt idx="182">
                  <c:v>0.34828229665071769</c:v>
                </c:pt>
                <c:pt idx="183">
                  <c:v>0.34828229665071769</c:v>
                </c:pt>
                <c:pt idx="184">
                  <c:v>0.34828229665071769</c:v>
                </c:pt>
                <c:pt idx="185">
                  <c:v>0.34828229665071769</c:v>
                </c:pt>
                <c:pt idx="186">
                  <c:v>0.34828229665071769</c:v>
                </c:pt>
                <c:pt idx="187">
                  <c:v>0.34828229665071769</c:v>
                </c:pt>
                <c:pt idx="188">
                  <c:v>0.34828229665071769</c:v>
                </c:pt>
                <c:pt idx="189">
                  <c:v>0.34828229665071769</c:v>
                </c:pt>
                <c:pt idx="190">
                  <c:v>0.34828229665071769</c:v>
                </c:pt>
                <c:pt idx="191">
                  <c:v>0.34828229665071769</c:v>
                </c:pt>
                <c:pt idx="192">
                  <c:v>0.34828229665071769</c:v>
                </c:pt>
                <c:pt idx="193">
                  <c:v>0.34828229665071769</c:v>
                </c:pt>
                <c:pt idx="194">
                  <c:v>0.34828229665071769</c:v>
                </c:pt>
                <c:pt idx="195">
                  <c:v>0.34828229665071769</c:v>
                </c:pt>
                <c:pt idx="196">
                  <c:v>0.34828229665071769</c:v>
                </c:pt>
                <c:pt idx="197">
                  <c:v>0.34828229665071769</c:v>
                </c:pt>
                <c:pt idx="198">
                  <c:v>0.34828229665071769</c:v>
                </c:pt>
                <c:pt idx="199">
                  <c:v>0.34828229665071769</c:v>
                </c:pt>
                <c:pt idx="200">
                  <c:v>0.34828229665071769</c:v>
                </c:pt>
                <c:pt idx="201">
                  <c:v>0.34828229665071769</c:v>
                </c:pt>
                <c:pt idx="202">
                  <c:v>0.34828229665071769</c:v>
                </c:pt>
                <c:pt idx="203">
                  <c:v>0.34828229665071769</c:v>
                </c:pt>
                <c:pt idx="204">
                  <c:v>0.34828229665071769</c:v>
                </c:pt>
                <c:pt idx="205">
                  <c:v>0.34828229665071769</c:v>
                </c:pt>
                <c:pt idx="206">
                  <c:v>0.34828229665071769</c:v>
                </c:pt>
                <c:pt idx="207">
                  <c:v>0.34828229665071769</c:v>
                </c:pt>
                <c:pt idx="208">
                  <c:v>0.34828229665071769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6F4-4A56-891B-F6E4535EBC4A}"/>
            </c:ext>
          </c:extLst>
        </c:ser>
        <c:ser>
          <c:idx val="3"/>
          <c:order val="3"/>
          <c:tx>
            <c:strRef>
              <c:f>TTV_IMR!$E$9</c:f>
              <c:strCache>
                <c:ptCount val="1"/>
                <c:pt idx="0">
                  <c:v>LCL(I)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TTV_IMR!$E$10:$E$218</c:f>
              <c:numCache>
                <c:formatCode>General</c:formatCode>
                <c:ptCount val="209"/>
                <c:pt idx="0">
                  <c:v>2.6230844113892818E-2</c:v>
                </c:pt>
                <c:pt idx="1">
                  <c:v>2.6230844113892818E-2</c:v>
                </c:pt>
                <c:pt idx="2">
                  <c:v>2.6230844113892818E-2</c:v>
                </c:pt>
                <c:pt idx="3">
                  <c:v>2.6230844113892818E-2</c:v>
                </c:pt>
                <c:pt idx="4">
                  <c:v>2.6230844113892818E-2</c:v>
                </c:pt>
                <c:pt idx="5">
                  <c:v>2.6230844113892818E-2</c:v>
                </c:pt>
                <c:pt idx="6">
                  <c:v>2.6230844113892818E-2</c:v>
                </c:pt>
                <c:pt idx="7">
                  <c:v>2.6230844113892818E-2</c:v>
                </c:pt>
                <c:pt idx="8">
                  <c:v>2.6230844113892818E-2</c:v>
                </c:pt>
                <c:pt idx="9">
                  <c:v>2.6230844113892818E-2</c:v>
                </c:pt>
                <c:pt idx="10">
                  <c:v>2.6230844113892818E-2</c:v>
                </c:pt>
                <c:pt idx="11">
                  <c:v>2.6230844113892818E-2</c:v>
                </c:pt>
                <c:pt idx="12">
                  <c:v>2.6230844113892818E-2</c:v>
                </c:pt>
                <c:pt idx="13">
                  <c:v>2.6230844113892818E-2</c:v>
                </c:pt>
                <c:pt idx="14">
                  <c:v>2.6230844113892818E-2</c:v>
                </c:pt>
                <c:pt idx="15">
                  <c:v>2.6230844113892818E-2</c:v>
                </c:pt>
                <c:pt idx="16">
                  <c:v>2.6230844113892818E-2</c:v>
                </c:pt>
                <c:pt idx="17">
                  <c:v>2.6230844113892818E-2</c:v>
                </c:pt>
                <c:pt idx="18">
                  <c:v>2.6230844113892818E-2</c:v>
                </c:pt>
                <c:pt idx="19">
                  <c:v>2.6230844113892818E-2</c:v>
                </c:pt>
                <c:pt idx="20">
                  <c:v>2.6230844113892818E-2</c:v>
                </c:pt>
                <c:pt idx="21">
                  <c:v>2.6230844113892818E-2</c:v>
                </c:pt>
                <c:pt idx="22">
                  <c:v>2.6230844113892818E-2</c:v>
                </c:pt>
                <c:pt idx="23">
                  <c:v>2.6230844113892818E-2</c:v>
                </c:pt>
                <c:pt idx="24">
                  <c:v>2.6230844113892818E-2</c:v>
                </c:pt>
                <c:pt idx="25">
                  <c:v>2.6230844113892818E-2</c:v>
                </c:pt>
                <c:pt idx="26">
                  <c:v>2.6230844113892818E-2</c:v>
                </c:pt>
                <c:pt idx="27">
                  <c:v>2.6230844113892818E-2</c:v>
                </c:pt>
                <c:pt idx="28">
                  <c:v>2.6230844113892818E-2</c:v>
                </c:pt>
                <c:pt idx="29">
                  <c:v>2.6230844113892818E-2</c:v>
                </c:pt>
                <c:pt idx="30">
                  <c:v>2.6230844113892818E-2</c:v>
                </c:pt>
                <c:pt idx="31">
                  <c:v>2.6230844113892818E-2</c:v>
                </c:pt>
                <c:pt idx="32">
                  <c:v>2.6230844113892818E-2</c:v>
                </c:pt>
                <c:pt idx="33">
                  <c:v>2.6230844113892818E-2</c:v>
                </c:pt>
                <c:pt idx="34">
                  <c:v>2.6230844113892818E-2</c:v>
                </c:pt>
                <c:pt idx="35">
                  <c:v>2.6230844113892818E-2</c:v>
                </c:pt>
                <c:pt idx="36">
                  <c:v>2.6230844113892818E-2</c:v>
                </c:pt>
                <c:pt idx="37">
                  <c:v>2.6230844113892818E-2</c:v>
                </c:pt>
                <c:pt idx="38">
                  <c:v>2.6230844113892818E-2</c:v>
                </c:pt>
                <c:pt idx="39">
                  <c:v>2.6230844113892818E-2</c:v>
                </c:pt>
                <c:pt idx="40">
                  <c:v>2.6230844113892818E-2</c:v>
                </c:pt>
                <c:pt idx="41">
                  <c:v>2.6230844113892818E-2</c:v>
                </c:pt>
                <c:pt idx="42">
                  <c:v>2.6230844113892818E-2</c:v>
                </c:pt>
                <c:pt idx="43">
                  <c:v>2.6230844113892818E-2</c:v>
                </c:pt>
                <c:pt idx="44">
                  <c:v>2.6230844113892818E-2</c:v>
                </c:pt>
                <c:pt idx="45">
                  <c:v>2.6230844113892818E-2</c:v>
                </c:pt>
                <c:pt idx="46">
                  <c:v>2.6230844113892818E-2</c:v>
                </c:pt>
                <c:pt idx="47">
                  <c:v>2.6230844113892818E-2</c:v>
                </c:pt>
                <c:pt idx="48">
                  <c:v>2.6230844113892818E-2</c:v>
                </c:pt>
                <c:pt idx="49">
                  <c:v>2.6230844113892818E-2</c:v>
                </c:pt>
                <c:pt idx="50">
                  <c:v>2.6230844113892818E-2</c:v>
                </c:pt>
                <c:pt idx="51">
                  <c:v>2.6230844113892818E-2</c:v>
                </c:pt>
                <c:pt idx="52">
                  <c:v>2.6230844113892818E-2</c:v>
                </c:pt>
                <c:pt idx="53">
                  <c:v>2.6230844113892818E-2</c:v>
                </c:pt>
                <c:pt idx="54">
                  <c:v>2.6230844113892818E-2</c:v>
                </c:pt>
                <c:pt idx="55">
                  <c:v>2.6230844113892818E-2</c:v>
                </c:pt>
                <c:pt idx="56">
                  <c:v>2.6230844113892818E-2</c:v>
                </c:pt>
                <c:pt idx="57">
                  <c:v>2.6230844113892818E-2</c:v>
                </c:pt>
                <c:pt idx="58">
                  <c:v>2.6230844113892818E-2</c:v>
                </c:pt>
                <c:pt idx="59">
                  <c:v>2.6230844113892818E-2</c:v>
                </c:pt>
                <c:pt idx="60">
                  <c:v>2.6230844113892818E-2</c:v>
                </c:pt>
                <c:pt idx="61">
                  <c:v>2.6230844113892818E-2</c:v>
                </c:pt>
                <c:pt idx="62">
                  <c:v>2.6230844113892818E-2</c:v>
                </c:pt>
                <c:pt idx="63">
                  <c:v>2.6230844113892818E-2</c:v>
                </c:pt>
                <c:pt idx="64">
                  <c:v>2.6230844113892818E-2</c:v>
                </c:pt>
                <c:pt idx="65">
                  <c:v>2.6230844113892818E-2</c:v>
                </c:pt>
                <c:pt idx="66">
                  <c:v>2.6230844113892818E-2</c:v>
                </c:pt>
                <c:pt idx="67">
                  <c:v>2.6230844113892818E-2</c:v>
                </c:pt>
                <c:pt idx="68">
                  <c:v>2.6230844113892818E-2</c:v>
                </c:pt>
                <c:pt idx="69">
                  <c:v>2.6230844113892818E-2</c:v>
                </c:pt>
                <c:pt idx="70">
                  <c:v>2.6230844113892818E-2</c:v>
                </c:pt>
                <c:pt idx="71">
                  <c:v>2.6230844113892818E-2</c:v>
                </c:pt>
                <c:pt idx="72">
                  <c:v>2.6230844113892818E-2</c:v>
                </c:pt>
                <c:pt idx="73">
                  <c:v>2.6230844113892818E-2</c:v>
                </c:pt>
                <c:pt idx="74">
                  <c:v>2.6230844113892818E-2</c:v>
                </c:pt>
                <c:pt idx="75">
                  <c:v>2.6230844113892818E-2</c:v>
                </c:pt>
                <c:pt idx="76">
                  <c:v>2.6230844113892818E-2</c:v>
                </c:pt>
                <c:pt idx="77">
                  <c:v>2.6230844113892818E-2</c:v>
                </c:pt>
                <c:pt idx="78">
                  <c:v>2.6230844113892818E-2</c:v>
                </c:pt>
                <c:pt idx="79">
                  <c:v>2.6230844113892818E-2</c:v>
                </c:pt>
                <c:pt idx="80">
                  <c:v>2.6230844113892818E-2</c:v>
                </c:pt>
                <c:pt idx="81">
                  <c:v>2.6230844113892818E-2</c:v>
                </c:pt>
                <c:pt idx="82">
                  <c:v>2.6230844113892818E-2</c:v>
                </c:pt>
                <c:pt idx="83">
                  <c:v>2.6230844113892818E-2</c:v>
                </c:pt>
                <c:pt idx="84">
                  <c:v>2.6230844113892818E-2</c:v>
                </c:pt>
                <c:pt idx="85">
                  <c:v>2.6230844113892818E-2</c:v>
                </c:pt>
                <c:pt idx="86">
                  <c:v>2.6230844113892818E-2</c:v>
                </c:pt>
                <c:pt idx="87">
                  <c:v>2.6230844113892818E-2</c:v>
                </c:pt>
                <c:pt idx="88">
                  <c:v>2.6230844113892818E-2</c:v>
                </c:pt>
                <c:pt idx="89">
                  <c:v>2.6230844113892818E-2</c:v>
                </c:pt>
                <c:pt idx="90">
                  <c:v>2.6230844113892818E-2</c:v>
                </c:pt>
                <c:pt idx="91">
                  <c:v>2.6230844113892818E-2</c:v>
                </c:pt>
                <c:pt idx="92">
                  <c:v>2.6230844113892818E-2</c:v>
                </c:pt>
                <c:pt idx="93">
                  <c:v>2.6230844113892818E-2</c:v>
                </c:pt>
                <c:pt idx="94">
                  <c:v>2.6230844113892818E-2</c:v>
                </c:pt>
                <c:pt idx="95">
                  <c:v>2.6230844113892818E-2</c:v>
                </c:pt>
                <c:pt idx="96">
                  <c:v>2.6230844113892818E-2</c:v>
                </c:pt>
                <c:pt idx="97">
                  <c:v>2.6230844113892818E-2</c:v>
                </c:pt>
                <c:pt idx="98">
                  <c:v>2.6230844113892818E-2</c:v>
                </c:pt>
                <c:pt idx="99">
                  <c:v>2.6230844113892818E-2</c:v>
                </c:pt>
                <c:pt idx="100">
                  <c:v>2.6230844113892818E-2</c:v>
                </c:pt>
                <c:pt idx="101">
                  <c:v>2.6230844113892818E-2</c:v>
                </c:pt>
                <c:pt idx="102">
                  <c:v>2.6230844113892818E-2</c:v>
                </c:pt>
                <c:pt idx="103">
                  <c:v>2.6230844113892818E-2</c:v>
                </c:pt>
                <c:pt idx="104">
                  <c:v>2.6230844113892818E-2</c:v>
                </c:pt>
                <c:pt idx="105">
                  <c:v>2.6230844113892818E-2</c:v>
                </c:pt>
                <c:pt idx="106">
                  <c:v>2.6230844113892818E-2</c:v>
                </c:pt>
                <c:pt idx="107">
                  <c:v>2.6230844113892818E-2</c:v>
                </c:pt>
                <c:pt idx="108">
                  <c:v>2.6230844113892818E-2</c:v>
                </c:pt>
                <c:pt idx="109">
                  <c:v>2.6230844113892818E-2</c:v>
                </c:pt>
                <c:pt idx="110">
                  <c:v>2.6230844113892818E-2</c:v>
                </c:pt>
                <c:pt idx="111">
                  <c:v>2.6230844113892818E-2</c:v>
                </c:pt>
                <c:pt idx="112">
                  <c:v>2.6230844113892818E-2</c:v>
                </c:pt>
                <c:pt idx="113">
                  <c:v>2.6230844113892818E-2</c:v>
                </c:pt>
                <c:pt idx="114">
                  <c:v>2.6230844113892818E-2</c:v>
                </c:pt>
                <c:pt idx="115">
                  <c:v>2.6230844113892818E-2</c:v>
                </c:pt>
                <c:pt idx="116">
                  <c:v>2.6230844113892818E-2</c:v>
                </c:pt>
                <c:pt idx="117">
                  <c:v>2.6230844113892818E-2</c:v>
                </c:pt>
                <c:pt idx="118">
                  <c:v>2.6230844113892818E-2</c:v>
                </c:pt>
                <c:pt idx="119">
                  <c:v>2.6230844113892818E-2</c:v>
                </c:pt>
                <c:pt idx="120">
                  <c:v>2.6230844113892818E-2</c:v>
                </c:pt>
                <c:pt idx="121">
                  <c:v>2.6230844113892818E-2</c:v>
                </c:pt>
                <c:pt idx="122">
                  <c:v>2.6230844113892818E-2</c:v>
                </c:pt>
                <c:pt idx="123">
                  <c:v>2.6230844113892818E-2</c:v>
                </c:pt>
                <c:pt idx="124">
                  <c:v>2.6230844113892818E-2</c:v>
                </c:pt>
                <c:pt idx="125">
                  <c:v>2.6230844113892818E-2</c:v>
                </c:pt>
                <c:pt idx="126">
                  <c:v>2.6230844113892818E-2</c:v>
                </c:pt>
                <c:pt idx="127">
                  <c:v>2.6230844113892818E-2</c:v>
                </c:pt>
                <c:pt idx="128">
                  <c:v>2.6230844113892818E-2</c:v>
                </c:pt>
                <c:pt idx="129">
                  <c:v>2.6230844113892818E-2</c:v>
                </c:pt>
                <c:pt idx="130">
                  <c:v>2.6230844113892818E-2</c:v>
                </c:pt>
                <c:pt idx="131">
                  <c:v>2.6230844113892818E-2</c:v>
                </c:pt>
                <c:pt idx="132">
                  <c:v>2.6230844113892818E-2</c:v>
                </c:pt>
                <c:pt idx="133">
                  <c:v>2.6230844113892818E-2</c:v>
                </c:pt>
                <c:pt idx="134">
                  <c:v>2.6230844113892818E-2</c:v>
                </c:pt>
                <c:pt idx="135">
                  <c:v>2.6230844113892818E-2</c:v>
                </c:pt>
                <c:pt idx="136">
                  <c:v>2.6230844113892818E-2</c:v>
                </c:pt>
                <c:pt idx="137">
                  <c:v>2.6230844113892818E-2</c:v>
                </c:pt>
                <c:pt idx="138">
                  <c:v>2.6230844113892818E-2</c:v>
                </c:pt>
                <c:pt idx="139">
                  <c:v>2.6230844113892818E-2</c:v>
                </c:pt>
                <c:pt idx="140">
                  <c:v>2.6230844113892818E-2</c:v>
                </c:pt>
                <c:pt idx="141">
                  <c:v>2.6230844113892818E-2</c:v>
                </c:pt>
                <c:pt idx="142">
                  <c:v>2.6230844113892818E-2</c:v>
                </c:pt>
                <c:pt idx="143">
                  <c:v>2.6230844113892818E-2</c:v>
                </c:pt>
                <c:pt idx="144">
                  <c:v>2.6230844113892818E-2</c:v>
                </c:pt>
                <c:pt idx="145">
                  <c:v>2.6230844113892818E-2</c:v>
                </c:pt>
                <c:pt idx="146">
                  <c:v>2.6230844113892818E-2</c:v>
                </c:pt>
                <c:pt idx="147">
                  <c:v>2.6230844113892818E-2</c:v>
                </c:pt>
                <c:pt idx="148">
                  <c:v>2.6230844113892818E-2</c:v>
                </c:pt>
                <c:pt idx="149">
                  <c:v>2.6230844113892818E-2</c:v>
                </c:pt>
                <c:pt idx="150">
                  <c:v>2.6230844113892818E-2</c:v>
                </c:pt>
                <c:pt idx="151">
                  <c:v>2.6230844113892818E-2</c:v>
                </c:pt>
                <c:pt idx="152">
                  <c:v>2.6230844113892818E-2</c:v>
                </c:pt>
                <c:pt idx="153">
                  <c:v>2.6230844113892818E-2</c:v>
                </c:pt>
                <c:pt idx="154">
                  <c:v>2.6230844113892818E-2</c:v>
                </c:pt>
                <c:pt idx="155">
                  <c:v>2.6230844113892818E-2</c:v>
                </c:pt>
                <c:pt idx="156">
                  <c:v>2.6230844113892818E-2</c:v>
                </c:pt>
                <c:pt idx="157">
                  <c:v>2.6230844113892818E-2</c:v>
                </c:pt>
                <c:pt idx="158">
                  <c:v>2.6230844113892818E-2</c:v>
                </c:pt>
                <c:pt idx="159">
                  <c:v>2.6230844113892818E-2</c:v>
                </c:pt>
                <c:pt idx="160">
                  <c:v>2.6230844113892818E-2</c:v>
                </c:pt>
                <c:pt idx="161">
                  <c:v>2.6230844113892818E-2</c:v>
                </c:pt>
                <c:pt idx="162">
                  <c:v>2.6230844113892818E-2</c:v>
                </c:pt>
                <c:pt idx="163">
                  <c:v>2.6230844113892818E-2</c:v>
                </c:pt>
                <c:pt idx="164">
                  <c:v>2.6230844113892818E-2</c:v>
                </c:pt>
                <c:pt idx="165">
                  <c:v>2.6230844113892818E-2</c:v>
                </c:pt>
                <c:pt idx="166">
                  <c:v>2.6230844113892818E-2</c:v>
                </c:pt>
                <c:pt idx="167">
                  <c:v>2.6230844113892818E-2</c:v>
                </c:pt>
                <c:pt idx="168">
                  <c:v>2.6230844113892818E-2</c:v>
                </c:pt>
                <c:pt idx="169">
                  <c:v>2.6230844113892818E-2</c:v>
                </c:pt>
                <c:pt idx="170">
                  <c:v>2.6230844113892818E-2</c:v>
                </c:pt>
                <c:pt idx="171">
                  <c:v>2.6230844113892818E-2</c:v>
                </c:pt>
                <c:pt idx="172">
                  <c:v>2.6230844113892818E-2</c:v>
                </c:pt>
                <c:pt idx="173">
                  <c:v>2.6230844113892818E-2</c:v>
                </c:pt>
                <c:pt idx="174">
                  <c:v>2.6230844113892818E-2</c:v>
                </c:pt>
                <c:pt idx="175">
                  <c:v>2.6230844113892818E-2</c:v>
                </c:pt>
                <c:pt idx="176">
                  <c:v>2.6230844113892818E-2</c:v>
                </c:pt>
                <c:pt idx="177">
                  <c:v>2.6230844113892818E-2</c:v>
                </c:pt>
                <c:pt idx="178">
                  <c:v>2.6230844113892818E-2</c:v>
                </c:pt>
                <c:pt idx="179">
                  <c:v>2.6230844113892818E-2</c:v>
                </c:pt>
                <c:pt idx="180">
                  <c:v>2.6230844113892818E-2</c:v>
                </c:pt>
                <c:pt idx="181">
                  <c:v>2.6230844113892818E-2</c:v>
                </c:pt>
                <c:pt idx="182">
                  <c:v>2.6230844113892818E-2</c:v>
                </c:pt>
                <c:pt idx="183">
                  <c:v>2.6230844113892818E-2</c:v>
                </c:pt>
                <c:pt idx="184">
                  <c:v>2.6230844113892818E-2</c:v>
                </c:pt>
                <c:pt idx="185">
                  <c:v>2.6230844113892818E-2</c:v>
                </c:pt>
                <c:pt idx="186">
                  <c:v>2.6230844113892818E-2</c:v>
                </c:pt>
                <c:pt idx="187">
                  <c:v>2.6230844113892818E-2</c:v>
                </c:pt>
                <c:pt idx="188">
                  <c:v>2.6230844113892818E-2</c:v>
                </c:pt>
                <c:pt idx="189">
                  <c:v>2.6230844113892818E-2</c:v>
                </c:pt>
                <c:pt idx="190">
                  <c:v>2.6230844113892818E-2</c:v>
                </c:pt>
                <c:pt idx="191">
                  <c:v>2.6230844113892818E-2</c:v>
                </c:pt>
                <c:pt idx="192">
                  <c:v>2.6230844113892818E-2</c:v>
                </c:pt>
                <c:pt idx="193">
                  <c:v>2.6230844113892818E-2</c:v>
                </c:pt>
                <c:pt idx="194">
                  <c:v>2.6230844113892818E-2</c:v>
                </c:pt>
                <c:pt idx="195">
                  <c:v>2.6230844113892818E-2</c:v>
                </c:pt>
                <c:pt idx="196">
                  <c:v>2.6230844113892818E-2</c:v>
                </c:pt>
                <c:pt idx="197">
                  <c:v>2.6230844113892818E-2</c:v>
                </c:pt>
                <c:pt idx="198">
                  <c:v>2.6230844113892818E-2</c:v>
                </c:pt>
                <c:pt idx="199">
                  <c:v>2.6230844113892818E-2</c:v>
                </c:pt>
                <c:pt idx="200">
                  <c:v>2.6230844113892818E-2</c:v>
                </c:pt>
                <c:pt idx="201">
                  <c:v>2.6230844113892818E-2</c:v>
                </c:pt>
                <c:pt idx="202">
                  <c:v>2.6230844113892818E-2</c:v>
                </c:pt>
                <c:pt idx="203">
                  <c:v>2.6230844113892818E-2</c:v>
                </c:pt>
                <c:pt idx="204">
                  <c:v>2.6230844113892818E-2</c:v>
                </c:pt>
                <c:pt idx="205">
                  <c:v>2.6230844113892818E-2</c:v>
                </c:pt>
                <c:pt idx="206">
                  <c:v>2.6230844113892818E-2</c:v>
                </c:pt>
                <c:pt idx="207">
                  <c:v>2.6230844113892818E-2</c:v>
                </c:pt>
                <c:pt idx="208">
                  <c:v>2.6230844113892818E-2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6F4-4A56-891B-F6E4535EB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MR Chart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TTV_IMR!$J$7</c:f>
              <c:strCache>
                <c:ptCount val="1"/>
                <c:pt idx="0">
                  <c:v>Cpk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TTV_IMR!$F$10:$F$218</c:f>
              <c:numCache>
                <c:formatCode>General</c:formatCode>
                <c:ptCount val="209"/>
                <c:pt idx="3">
                  <c:v>0.20699999999999999</c:v>
                </c:pt>
                <c:pt idx="4">
                  <c:v>3.6999999999999977E-2</c:v>
                </c:pt>
                <c:pt idx="5">
                  <c:v>7.0000000000000007E-2</c:v>
                </c:pt>
                <c:pt idx="6">
                  <c:v>0.20699999999999999</c:v>
                </c:pt>
                <c:pt idx="7">
                  <c:v>2.2999999999999989E-2</c:v>
                </c:pt>
                <c:pt idx="8">
                  <c:v>0.151</c:v>
                </c:pt>
                <c:pt idx="9">
                  <c:v>0.214</c:v>
                </c:pt>
                <c:pt idx="10">
                  <c:v>8.7000000000000022E-2</c:v>
                </c:pt>
                <c:pt idx="11">
                  <c:v>3.1000000000000031E-2</c:v>
                </c:pt>
                <c:pt idx="12">
                  <c:v>2.300000000000002E-2</c:v>
                </c:pt>
                <c:pt idx="13">
                  <c:v>0.158</c:v>
                </c:pt>
                <c:pt idx="14">
                  <c:v>0.222</c:v>
                </c:pt>
                <c:pt idx="15">
                  <c:v>6.8000000000000005E-2</c:v>
                </c:pt>
                <c:pt idx="16">
                  <c:v>1.7000000000000019E-2</c:v>
                </c:pt>
                <c:pt idx="17">
                  <c:v>3.9000000000000007E-2</c:v>
                </c:pt>
                <c:pt idx="18">
                  <c:v>1.0000000000000011E-2</c:v>
                </c:pt>
                <c:pt idx="19">
                  <c:v>0.219</c:v>
                </c:pt>
                <c:pt idx="20">
                  <c:v>0.06</c:v>
                </c:pt>
                <c:pt idx="21">
                  <c:v>0.26400000000000001</c:v>
                </c:pt>
                <c:pt idx="22">
                  <c:v>0.16200000000000001</c:v>
                </c:pt>
                <c:pt idx="23">
                  <c:v>0.19600000000000001</c:v>
                </c:pt>
                <c:pt idx="24">
                  <c:v>0.29799999999999999</c:v>
                </c:pt>
                <c:pt idx="25">
                  <c:v>5.1999999999999991E-2</c:v>
                </c:pt>
                <c:pt idx="26">
                  <c:v>2.8000000000000021E-2</c:v>
                </c:pt>
                <c:pt idx="27">
                  <c:v>7.5999999999999956E-2</c:v>
                </c:pt>
                <c:pt idx="28">
                  <c:v>3.5000000000000031E-2</c:v>
                </c:pt>
                <c:pt idx="29">
                  <c:v>0.107</c:v>
                </c:pt>
                <c:pt idx="30">
                  <c:v>0.12</c:v>
                </c:pt>
                <c:pt idx="31">
                  <c:v>3.6000000000000032E-2</c:v>
                </c:pt>
                <c:pt idx="32">
                  <c:v>7.9999999999999516E-3</c:v>
                </c:pt>
                <c:pt idx="33">
                  <c:v>4.7000000000000007E-2</c:v>
                </c:pt>
                <c:pt idx="34">
                  <c:v>2.300000000000002E-2</c:v>
                </c:pt>
                <c:pt idx="35">
                  <c:v>0</c:v>
                </c:pt>
                <c:pt idx="36">
                  <c:v>3.5999999999999997E-2</c:v>
                </c:pt>
                <c:pt idx="37">
                  <c:v>0.112</c:v>
                </c:pt>
                <c:pt idx="38">
                  <c:v>8.0000000000000071E-3</c:v>
                </c:pt>
                <c:pt idx="39">
                  <c:v>5.8000000000000003E-2</c:v>
                </c:pt>
                <c:pt idx="40">
                  <c:v>0.25200000000000011</c:v>
                </c:pt>
                <c:pt idx="41">
                  <c:v>0.11799999999999999</c:v>
                </c:pt>
                <c:pt idx="42">
                  <c:v>0.23</c:v>
                </c:pt>
                <c:pt idx="43">
                  <c:v>0.53200000000000003</c:v>
                </c:pt>
                <c:pt idx="44">
                  <c:v>0.45700000000000002</c:v>
                </c:pt>
                <c:pt idx="45">
                  <c:v>1.9999999999999959E-2</c:v>
                </c:pt>
                <c:pt idx="46">
                  <c:v>4.2000000000000037E-2</c:v>
                </c:pt>
                <c:pt idx="47">
                  <c:v>0.15</c:v>
                </c:pt>
                <c:pt idx="48">
                  <c:v>1.8000000000000019E-2</c:v>
                </c:pt>
                <c:pt idx="49">
                  <c:v>1.8000000000000019E-2</c:v>
                </c:pt>
                <c:pt idx="50">
                  <c:v>0.26100000000000001</c:v>
                </c:pt>
                <c:pt idx="51">
                  <c:v>0.152</c:v>
                </c:pt>
                <c:pt idx="52">
                  <c:v>7.0000000000000007E-2</c:v>
                </c:pt>
                <c:pt idx="53">
                  <c:v>0.105</c:v>
                </c:pt>
                <c:pt idx="54">
                  <c:v>0.104</c:v>
                </c:pt>
                <c:pt idx="55">
                  <c:v>0.214</c:v>
                </c:pt>
                <c:pt idx="56">
                  <c:v>0.105</c:v>
                </c:pt>
                <c:pt idx="57">
                  <c:v>0.12</c:v>
                </c:pt>
                <c:pt idx="58">
                  <c:v>3.2000000000000028E-2</c:v>
                </c:pt>
                <c:pt idx="59">
                  <c:v>0.106</c:v>
                </c:pt>
                <c:pt idx="60">
                  <c:v>0.25</c:v>
                </c:pt>
                <c:pt idx="61">
                  <c:v>0.27600000000000002</c:v>
                </c:pt>
                <c:pt idx="62">
                  <c:v>1.4000000000000011E-2</c:v>
                </c:pt>
                <c:pt idx="63">
                  <c:v>0.35</c:v>
                </c:pt>
                <c:pt idx="64">
                  <c:v>9.5000000000000001E-2</c:v>
                </c:pt>
                <c:pt idx="65">
                  <c:v>9.000000000000008E-3</c:v>
                </c:pt>
                <c:pt idx="66">
                  <c:v>0.186</c:v>
                </c:pt>
                <c:pt idx="67">
                  <c:v>0.17699999999999999</c:v>
                </c:pt>
                <c:pt idx="68">
                  <c:v>2.0000000000000022E-3</c:v>
                </c:pt>
                <c:pt idx="69">
                  <c:v>0.184</c:v>
                </c:pt>
                <c:pt idx="70">
                  <c:v>9.7000000000000031E-2</c:v>
                </c:pt>
                <c:pt idx="71">
                  <c:v>0.23799999999999999</c:v>
                </c:pt>
                <c:pt idx="72">
                  <c:v>5.0999999999999997E-2</c:v>
                </c:pt>
                <c:pt idx="73">
                  <c:v>1.8000000000000019E-2</c:v>
                </c:pt>
                <c:pt idx="74">
                  <c:v>0.32800000000000001</c:v>
                </c:pt>
                <c:pt idx="75">
                  <c:v>0.17399999999999999</c:v>
                </c:pt>
                <c:pt idx="76">
                  <c:v>0.151</c:v>
                </c:pt>
                <c:pt idx="77">
                  <c:v>6.3E-2</c:v>
                </c:pt>
                <c:pt idx="78">
                  <c:v>0.217</c:v>
                </c:pt>
                <c:pt idx="79">
                  <c:v>3.5000000000000031E-2</c:v>
                </c:pt>
                <c:pt idx="80">
                  <c:v>0.14799999999999999</c:v>
                </c:pt>
                <c:pt idx="81">
                  <c:v>6.700000000000006E-2</c:v>
                </c:pt>
                <c:pt idx="82">
                  <c:v>0.219</c:v>
                </c:pt>
                <c:pt idx="83">
                  <c:v>0.126</c:v>
                </c:pt>
                <c:pt idx="84">
                  <c:v>3.8999999999999979E-2</c:v>
                </c:pt>
                <c:pt idx="85">
                  <c:v>5.0000000000000036E-3</c:v>
                </c:pt>
                <c:pt idx="86">
                  <c:v>2.9999999999999749E-3</c:v>
                </c:pt>
                <c:pt idx="87">
                  <c:v>0.31200000000000011</c:v>
                </c:pt>
                <c:pt idx="88">
                  <c:v>2.4000000000000021E-2</c:v>
                </c:pt>
                <c:pt idx="89">
                  <c:v>8.8000000000000023E-2</c:v>
                </c:pt>
                <c:pt idx="90">
                  <c:v>0.13400000000000001</c:v>
                </c:pt>
                <c:pt idx="91">
                  <c:v>0.25300000000000011</c:v>
                </c:pt>
                <c:pt idx="92">
                  <c:v>0.12600000000000011</c:v>
                </c:pt>
                <c:pt idx="93">
                  <c:v>2.1999999999999961E-2</c:v>
                </c:pt>
                <c:pt idx="94">
                  <c:v>5.9999999999999498E-3</c:v>
                </c:pt>
                <c:pt idx="95">
                  <c:v>0.191</c:v>
                </c:pt>
                <c:pt idx="96">
                  <c:v>0.26300000000000001</c:v>
                </c:pt>
                <c:pt idx="97">
                  <c:v>0.32</c:v>
                </c:pt>
                <c:pt idx="98">
                  <c:v>0.15</c:v>
                </c:pt>
                <c:pt idx="99">
                  <c:v>4.7999999999999987E-2</c:v>
                </c:pt>
                <c:pt idx="100">
                  <c:v>0.158</c:v>
                </c:pt>
                <c:pt idx="101">
                  <c:v>3.100000000000001E-2</c:v>
                </c:pt>
                <c:pt idx="102">
                  <c:v>4.9999999999999989E-2</c:v>
                </c:pt>
                <c:pt idx="103">
                  <c:v>0.105</c:v>
                </c:pt>
                <c:pt idx="104">
                  <c:v>0.13300000000000001</c:v>
                </c:pt>
                <c:pt idx="105">
                  <c:v>0.30499999999999999</c:v>
                </c:pt>
                <c:pt idx="106">
                  <c:v>9.5000000000000001E-2</c:v>
                </c:pt>
                <c:pt idx="107">
                  <c:v>5.1000000000000018E-2</c:v>
                </c:pt>
                <c:pt idx="108">
                  <c:v>8.3999999999999964E-2</c:v>
                </c:pt>
                <c:pt idx="109">
                  <c:v>0.10299999999999999</c:v>
                </c:pt>
                <c:pt idx="110">
                  <c:v>8.6000000000000021E-2</c:v>
                </c:pt>
                <c:pt idx="111">
                  <c:v>0.39500000000000002</c:v>
                </c:pt>
                <c:pt idx="112">
                  <c:v>2.4999999999999991E-2</c:v>
                </c:pt>
                <c:pt idx="113">
                  <c:v>3.5000000000000003E-2</c:v>
                </c:pt>
                <c:pt idx="114">
                  <c:v>2.2999999999999989E-2</c:v>
                </c:pt>
                <c:pt idx="115">
                  <c:v>0.63</c:v>
                </c:pt>
                <c:pt idx="116">
                  <c:v>2.4000000000000021E-2</c:v>
                </c:pt>
                <c:pt idx="117">
                  <c:v>4.0000000000000044E-3</c:v>
                </c:pt>
                <c:pt idx="118">
                  <c:v>0.10199999999999999</c:v>
                </c:pt>
                <c:pt idx="119">
                  <c:v>2.4000000000000021E-2</c:v>
                </c:pt>
                <c:pt idx="120">
                  <c:v>0.109</c:v>
                </c:pt>
                <c:pt idx="121">
                  <c:v>0.35399999999999998</c:v>
                </c:pt>
                <c:pt idx="122">
                  <c:v>0.06</c:v>
                </c:pt>
                <c:pt idx="123">
                  <c:v>6.0000000000000053E-3</c:v>
                </c:pt>
                <c:pt idx="124">
                  <c:v>0.222</c:v>
                </c:pt>
                <c:pt idx="125">
                  <c:v>8.2999999999999963E-2</c:v>
                </c:pt>
                <c:pt idx="126">
                  <c:v>1.8999999999999961E-2</c:v>
                </c:pt>
                <c:pt idx="127">
                  <c:v>2.1999999999999961E-2</c:v>
                </c:pt>
                <c:pt idx="128">
                  <c:v>0.14699999999999999</c:v>
                </c:pt>
                <c:pt idx="129">
                  <c:v>0.156</c:v>
                </c:pt>
                <c:pt idx="130">
                  <c:v>2.6999999999999968E-2</c:v>
                </c:pt>
                <c:pt idx="131">
                  <c:v>7.0000000000000062E-3</c:v>
                </c:pt>
                <c:pt idx="132">
                  <c:v>6.0000000000000053E-3</c:v>
                </c:pt>
                <c:pt idx="133">
                  <c:v>2.0000000000000022E-3</c:v>
                </c:pt>
                <c:pt idx="134">
                  <c:v>4.7999999999999987E-2</c:v>
                </c:pt>
                <c:pt idx="135">
                  <c:v>4.1000000000000043E-2</c:v>
                </c:pt>
                <c:pt idx="136">
                  <c:v>0.317</c:v>
                </c:pt>
                <c:pt idx="137">
                  <c:v>6.2E-2</c:v>
                </c:pt>
                <c:pt idx="138">
                  <c:v>0.108</c:v>
                </c:pt>
                <c:pt idx="139">
                  <c:v>0.17399999999999999</c:v>
                </c:pt>
                <c:pt idx="140">
                  <c:v>0.108</c:v>
                </c:pt>
                <c:pt idx="141">
                  <c:v>5.4999999999999993E-2</c:v>
                </c:pt>
                <c:pt idx="142">
                  <c:v>0.2</c:v>
                </c:pt>
                <c:pt idx="143">
                  <c:v>4.1999999999999982E-2</c:v>
                </c:pt>
                <c:pt idx="144">
                  <c:v>3.7000000000000033E-2</c:v>
                </c:pt>
                <c:pt idx="145">
                  <c:v>0.12</c:v>
                </c:pt>
                <c:pt idx="146">
                  <c:v>5.2999999999999992E-2</c:v>
                </c:pt>
                <c:pt idx="147">
                  <c:v>0.38400000000000012</c:v>
                </c:pt>
                <c:pt idx="148">
                  <c:v>0.19900000000000009</c:v>
                </c:pt>
                <c:pt idx="149">
                  <c:v>0.19700000000000009</c:v>
                </c:pt>
                <c:pt idx="150">
                  <c:v>0.31400000000000011</c:v>
                </c:pt>
                <c:pt idx="151">
                  <c:v>0.151</c:v>
                </c:pt>
                <c:pt idx="152">
                  <c:v>0.127</c:v>
                </c:pt>
                <c:pt idx="153">
                  <c:v>1.0000000000000011E-3</c:v>
                </c:pt>
                <c:pt idx="154">
                  <c:v>5.5999999999999987E-2</c:v>
                </c:pt>
                <c:pt idx="155">
                  <c:v>0.13900000000000001</c:v>
                </c:pt>
                <c:pt idx="156">
                  <c:v>3.9000000000000028E-2</c:v>
                </c:pt>
                <c:pt idx="157">
                  <c:v>3.8000000000000027E-2</c:v>
                </c:pt>
                <c:pt idx="158">
                  <c:v>2.899999999999997E-2</c:v>
                </c:pt>
                <c:pt idx="159">
                  <c:v>7.3000000000000009E-2</c:v>
                </c:pt>
                <c:pt idx="160">
                  <c:v>8.4000000000000019E-2</c:v>
                </c:pt>
                <c:pt idx="161">
                  <c:v>3.000000000000003E-2</c:v>
                </c:pt>
                <c:pt idx="162">
                  <c:v>0.23200000000000001</c:v>
                </c:pt>
                <c:pt idx="163">
                  <c:v>4.3000000000000038E-2</c:v>
                </c:pt>
                <c:pt idx="164">
                  <c:v>1.699999999999996E-2</c:v>
                </c:pt>
                <c:pt idx="165">
                  <c:v>9.8000000000000032E-2</c:v>
                </c:pt>
                <c:pt idx="166">
                  <c:v>4.4000000000000039E-2</c:v>
                </c:pt>
                <c:pt idx="167">
                  <c:v>0.17399999999999999</c:v>
                </c:pt>
                <c:pt idx="168">
                  <c:v>2.600000000000002E-2</c:v>
                </c:pt>
                <c:pt idx="169">
                  <c:v>6.8000000000000005E-2</c:v>
                </c:pt>
                <c:pt idx="170">
                  <c:v>0.2319999999999999</c:v>
                </c:pt>
                <c:pt idx="171">
                  <c:v>0.12699999999999989</c:v>
                </c:pt>
                <c:pt idx="172">
                  <c:v>7.8000000000000014E-2</c:v>
                </c:pt>
                <c:pt idx="173">
                  <c:v>0.28499999999999998</c:v>
                </c:pt>
                <c:pt idx="174">
                  <c:v>1.8000000000000019E-2</c:v>
                </c:pt>
                <c:pt idx="175">
                  <c:v>3.9000000000000007E-2</c:v>
                </c:pt>
                <c:pt idx="176">
                  <c:v>4.0000000000000044E-3</c:v>
                </c:pt>
                <c:pt idx="177">
                  <c:v>1.100000000000001E-2</c:v>
                </c:pt>
                <c:pt idx="178">
                  <c:v>3.5999999999999997E-2</c:v>
                </c:pt>
                <c:pt idx="179">
                  <c:v>2.399999999999999E-2</c:v>
                </c:pt>
                <c:pt idx="180">
                  <c:v>0.221</c:v>
                </c:pt>
                <c:pt idx="181">
                  <c:v>1.0000000000000011E-3</c:v>
                </c:pt>
                <c:pt idx="182">
                  <c:v>0.13100000000000001</c:v>
                </c:pt>
                <c:pt idx="183">
                  <c:v>0.16700000000000001</c:v>
                </c:pt>
                <c:pt idx="184">
                  <c:v>1.0000000000000011E-3</c:v>
                </c:pt>
                <c:pt idx="185">
                  <c:v>0.27300000000000002</c:v>
                </c:pt>
                <c:pt idx="186">
                  <c:v>0.25900000000000001</c:v>
                </c:pt>
                <c:pt idx="187">
                  <c:v>9.2000000000000026E-2</c:v>
                </c:pt>
                <c:pt idx="188">
                  <c:v>3.6000000000000032E-2</c:v>
                </c:pt>
                <c:pt idx="189">
                  <c:v>7.2000000000000008E-2</c:v>
                </c:pt>
                <c:pt idx="190">
                  <c:v>0.20599999999999999</c:v>
                </c:pt>
                <c:pt idx="191">
                  <c:v>0.46899999999999997</c:v>
                </c:pt>
                <c:pt idx="192">
                  <c:v>0.29199999999999998</c:v>
                </c:pt>
                <c:pt idx="193">
                  <c:v>1.2000000000000011E-2</c:v>
                </c:pt>
                <c:pt idx="194">
                  <c:v>0.1029999999999999</c:v>
                </c:pt>
                <c:pt idx="195">
                  <c:v>0.33700000000000002</c:v>
                </c:pt>
                <c:pt idx="196">
                  <c:v>0.33100000000000002</c:v>
                </c:pt>
                <c:pt idx="197">
                  <c:v>0.34699999999999998</c:v>
                </c:pt>
                <c:pt idx="198">
                  <c:v>4.7000000000000007E-2</c:v>
                </c:pt>
                <c:pt idx="199">
                  <c:v>4.200000000000001E-2</c:v>
                </c:pt>
                <c:pt idx="200">
                  <c:v>0.14499999999999999</c:v>
                </c:pt>
                <c:pt idx="201">
                  <c:v>7.7000000000000013E-2</c:v>
                </c:pt>
                <c:pt idx="202">
                  <c:v>2.1999999999999961E-2</c:v>
                </c:pt>
                <c:pt idx="203">
                  <c:v>0.123</c:v>
                </c:pt>
                <c:pt idx="204">
                  <c:v>8.6999999999999966E-2</c:v>
                </c:pt>
                <c:pt idx="205">
                  <c:v>4.4000000000000039E-2</c:v>
                </c:pt>
                <c:pt idx="206">
                  <c:v>0.11799999999999999</c:v>
                </c:pt>
                <c:pt idx="207">
                  <c:v>0.12</c:v>
                </c:pt>
                <c:pt idx="208">
                  <c:v>0.38600000000000001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87C-4898-9906-37843FCD1C23}"/>
            </c:ext>
          </c:extLst>
        </c:ser>
        <c:ser>
          <c:idx val="1"/>
          <c:order val="1"/>
          <c:tx>
            <c:strRef>
              <c:f>TTV_IMR!$K$7</c:f>
              <c:strCache>
                <c:ptCount val="1"/>
                <c:pt idx="0">
                  <c:v>1.081449234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TTV_IMR!$G$10:$G$218</c:f>
              <c:numCache>
                <c:formatCode>General</c:formatCode>
                <c:ptCount val="209"/>
                <c:pt idx="3">
                  <c:v>0.39560542788461539</c:v>
                </c:pt>
                <c:pt idx="4">
                  <c:v>0.39560542788461539</c:v>
                </c:pt>
                <c:pt idx="5">
                  <c:v>0.39560542788461539</c:v>
                </c:pt>
                <c:pt idx="6">
                  <c:v>0.39560542788461539</c:v>
                </c:pt>
                <c:pt idx="7">
                  <c:v>0.39560542788461539</c:v>
                </c:pt>
                <c:pt idx="8">
                  <c:v>0.39560542788461539</c:v>
                </c:pt>
                <c:pt idx="9">
                  <c:v>0.39560542788461539</c:v>
                </c:pt>
                <c:pt idx="10">
                  <c:v>0.39560542788461539</c:v>
                </c:pt>
                <c:pt idx="11">
                  <c:v>0.39560542788461539</c:v>
                </c:pt>
                <c:pt idx="12">
                  <c:v>0.39560542788461539</c:v>
                </c:pt>
                <c:pt idx="13">
                  <c:v>0.39560542788461539</c:v>
                </c:pt>
                <c:pt idx="14">
                  <c:v>0.39560542788461539</c:v>
                </c:pt>
                <c:pt idx="15">
                  <c:v>0.39560542788461539</c:v>
                </c:pt>
                <c:pt idx="16">
                  <c:v>0.39560542788461539</c:v>
                </c:pt>
                <c:pt idx="17">
                  <c:v>0.39560542788461539</c:v>
                </c:pt>
                <c:pt idx="18">
                  <c:v>0.39560542788461539</c:v>
                </c:pt>
                <c:pt idx="19">
                  <c:v>0.39560542788461539</c:v>
                </c:pt>
                <c:pt idx="20">
                  <c:v>0.39560542788461539</c:v>
                </c:pt>
                <c:pt idx="21">
                  <c:v>0.39560542788461539</c:v>
                </c:pt>
                <c:pt idx="22">
                  <c:v>0.39560542788461539</c:v>
                </c:pt>
                <c:pt idx="23">
                  <c:v>0.39560542788461539</c:v>
                </c:pt>
                <c:pt idx="24">
                  <c:v>0.39560542788461539</c:v>
                </c:pt>
                <c:pt idx="25">
                  <c:v>0.39560542788461539</c:v>
                </c:pt>
                <c:pt idx="26">
                  <c:v>0.39560542788461539</c:v>
                </c:pt>
                <c:pt idx="27">
                  <c:v>0.39560542788461539</c:v>
                </c:pt>
                <c:pt idx="28">
                  <c:v>0.39560542788461539</c:v>
                </c:pt>
                <c:pt idx="29">
                  <c:v>0.39560542788461539</c:v>
                </c:pt>
                <c:pt idx="30">
                  <c:v>0.39560542788461539</c:v>
                </c:pt>
                <c:pt idx="31">
                  <c:v>0.39560542788461539</c:v>
                </c:pt>
                <c:pt idx="32">
                  <c:v>0.39560542788461539</c:v>
                </c:pt>
                <c:pt idx="33">
                  <c:v>0.39560542788461539</c:v>
                </c:pt>
                <c:pt idx="34">
                  <c:v>0.39560542788461539</c:v>
                </c:pt>
                <c:pt idx="35">
                  <c:v>0.39560542788461539</c:v>
                </c:pt>
                <c:pt idx="36">
                  <c:v>0.39560542788461539</c:v>
                </c:pt>
                <c:pt idx="37">
                  <c:v>0.39560542788461539</c:v>
                </c:pt>
                <c:pt idx="38">
                  <c:v>0.39560542788461539</c:v>
                </c:pt>
                <c:pt idx="39">
                  <c:v>0.39560542788461539</c:v>
                </c:pt>
                <c:pt idx="40">
                  <c:v>0.39560542788461539</c:v>
                </c:pt>
                <c:pt idx="41">
                  <c:v>0.39560542788461539</c:v>
                </c:pt>
                <c:pt idx="42">
                  <c:v>0.39560542788461539</c:v>
                </c:pt>
                <c:pt idx="43">
                  <c:v>0.39560542788461539</c:v>
                </c:pt>
                <c:pt idx="44">
                  <c:v>0.39560542788461539</c:v>
                </c:pt>
                <c:pt idx="45">
                  <c:v>0.39560542788461539</c:v>
                </c:pt>
                <c:pt idx="46">
                  <c:v>0.39560542788461539</c:v>
                </c:pt>
                <c:pt idx="47">
                  <c:v>0.39560542788461539</c:v>
                </c:pt>
                <c:pt idx="48">
                  <c:v>0.39560542788461539</c:v>
                </c:pt>
                <c:pt idx="49">
                  <c:v>0.39560542788461539</c:v>
                </c:pt>
                <c:pt idx="50">
                  <c:v>0.39560542788461539</c:v>
                </c:pt>
                <c:pt idx="51">
                  <c:v>0.39560542788461539</c:v>
                </c:pt>
                <c:pt idx="52">
                  <c:v>0.39560542788461539</c:v>
                </c:pt>
                <c:pt idx="53">
                  <c:v>0.39560542788461539</c:v>
                </c:pt>
                <c:pt idx="54">
                  <c:v>0.39560542788461539</c:v>
                </c:pt>
                <c:pt idx="55">
                  <c:v>0.39560542788461539</c:v>
                </c:pt>
                <c:pt idx="56">
                  <c:v>0.39560542788461539</c:v>
                </c:pt>
                <c:pt idx="57">
                  <c:v>0.39560542788461539</c:v>
                </c:pt>
                <c:pt idx="58">
                  <c:v>0.39560542788461539</c:v>
                </c:pt>
                <c:pt idx="59">
                  <c:v>0.39560542788461539</c:v>
                </c:pt>
                <c:pt idx="60">
                  <c:v>0.39560542788461539</c:v>
                </c:pt>
                <c:pt idx="61">
                  <c:v>0.39560542788461539</c:v>
                </c:pt>
                <c:pt idx="62">
                  <c:v>0.39560542788461539</c:v>
                </c:pt>
                <c:pt idx="63">
                  <c:v>0.39560542788461539</c:v>
                </c:pt>
                <c:pt idx="64">
                  <c:v>0.39560542788461539</c:v>
                </c:pt>
                <c:pt idx="65">
                  <c:v>0.39560542788461539</c:v>
                </c:pt>
                <c:pt idx="66">
                  <c:v>0.39560542788461539</c:v>
                </c:pt>
                <c:pt idx="67">
                  <c:v>0.39560542788461539</c:v>
                </c:pt>
                <c:pt idx="68">
                  <c:v>0.39560542788461539</c:v>
                </c:pt>
                <c:pt idx="69">
                  <c:v>0.39560542788461539</c:v>
                </c:pt>
                <c:pt idx="70">
                  <c:v>0.39560542788461539</c:v>
                </c:pt>
                <c:pt idx="71">
                  <c:v>0.39560542788461539</c:v>
                </c:pt>
                <c:pt idx="72">
                  <c:v>0.39560542788461539</c:v>
                </c:pt>
                <c:pt idx="73">
                  <c:v>0.39560542788461539</c:v>
                </c:pt>
                <c:pt idx="74">
                  <c:v>0.39560542788461539</c:v>
                </c:pt>
                <c:pt idx="75">
                  <c:v>0.39560542788461539</c:v>
                </c:pt>
                <c:pt idx="76">
                  <c:v>0.39560542788461539</c:v>
                </c:pt>
                <c:pt idx="77">
                  <c:v>0.39560542788461539</c:v>
                </c:pt>
                <c:pt idx="78">
                  <c:v>0.39560542788461539</c:v>
                </c:pt>
                <c:pt idx="79">
                  <c:v>0.39560542788461539</c:v>
                </c:pt>
                <c:pt idx="80">
                  <c:v>0.39560542788461539</c:v>
                </c:pt>
                <c:pt idx="81">
                  <c:v>0.39560542788461539</c:v>
                </c:pt>
                <c:pt idx="82">
                  <c:v>0.39560542788461539</c:v>
                </c:pt>
                <c:pt idx="83">
                  <c:v>0.39560542788461539</c:v>
                </c:pt>
                <c:pt idx="84">
                  <c:v>0.39560542788461539</c:v>
                </c:pt>
                <c:pt idx="85">
                  <c:v>0.39560542788461539</c:v>
                </c:pt>
                <c:pt idx="86">
                  <c:v>0.39560542788461539</c:v>
                </c:pt>
                <c:pt idx="87">
                  <c:v>0.39560542788461539</c:v>
                </c:pt>
                <c:pt idx="88">
                  <c:v>0.39560542788461539</c:v>
                </c:pt>
                <c:pt idx="89">
                  <c:v>0.39560542788461539</c:v>
                </c:pt>
                <c:pt idx="90">
                  <c:v>0.39560542788461539</c:v>
                </c:pt>
                <c:pt idx="91">
                  <c:v>0.39560542788461539</c:v>
                </c:pt>
                <c:pt idx="92">
                  <c:v>0.39560542788461539</c:v>
                </c:pt>
                <c:pt idx="93">
                  <c:v>0.39560542788461539</c:v>
                </c:pt>
                <c:pt idx="94">
                  <c:v>0.39560542788461539</c:v>
                </c:pt>
                <c:pt idx="95">
                  <c:v>0.39560542788461539</c:v>
                </c:pt>
                <c:pt idx="96">
                  <c:v>0.39560542788461539</c:v>
                </c:pt>
                <c:pt idx="97">
                  <c:v>0.39560542788461539</c:v>
                </c:pt>
                <c:pt idx="98">
                  <c:v>0.39560542788461539</c:v>
                </c:pt>
                <c:pt idx="99">
                  <c:v>0.39560542788461539</c:v>
                </c:pt>
                <c:pt idx="100">
                  <c:v>0.39560542788461539</c:v>
                </c:pt>
                <c:pt idx="101">
                  <c:v>0.39560542788461539</c:v>
                </c:pt>
                <c:pt idx="102">
                  <c:v>0.39560542788461539</c:v>
                </c:pt>
                <c:pt idx="103">
                  <c:v>0.39560542788461539</c:v>
                </c:pt>
                <c:pt idx="104">
                  <c:v>0.39560542788461539</c:v>
                </c:pt>
                <c:pt idx="105">
                  <c:v>0.39560542788461539</c:v>
                </c:pt>
                <c:pt idx="106">
                  <c:v>0.39560542788461539</c:v>
                </c:pt>
                <c:pt idx="107">
                  <c:v>0.39560542788461539</c:v>
                </c:pt>
                <c:pt idx="108">
                  <c:v>0.39560542788461539</c:v>
                </c:pt>
                <c:pt idx="109">
                  <c:v>0.39560542788461539</c:v>
                </c:pt>
                <c:pt idx="110">
                  <c:v>0.39560542788461539</c:v>
                </c:pt>
                <c:pt idx="111">
                  <c:v>0.39560542788461539</c:v>
                </c:pt>
                <c:pt idx="112">
                  <c:v>0.39560542788461539</c:v>
                </c:pt>
                <c:pt idx="113">
                  <c:v>0.39560542788461539</c:v>
                </c:pt>
                <c:pt idx="114">
                  <c:v>0.39560542788461539</c:v>
                </c:pt>
                <c:pt idx="115">
                  <c:v>0.39560542788461539</c:v>
                </c:pt>
                <c:pt idx="116">
                  <c:v>0.39560542788461539</c:v>
                </c:pt>
                <c:pt idx="117">
                  <c:v>0.39560542788461539</c:v>
                </c:pt>
                <c:pt idx="118">
                  <c:v>0.39560542788461539</c:v>
                </c:pt>
                <c:pt idx="119">
                  <c:v>0.39560542788461539</c:v>
                </c:pt>
                <c:pt idx="120">
                  <c:v>0.39560542788461539</c:v>
                </c:pt>
                <c:pt idx="121">
                  <c:v>0.39560542788461539</c:v>
                </c:pt>
                <c:pt idx="122">
                  <c:v>0.39560542788461539</c:v>
                </c:pt>
                <c:pt idx="123">
                  <c:v>0.39560542788461539</c:v>
                </c:pt>
                <c:pt idx="124">
                  <c:v>0.39560542788461539</c:v>
                </c:pt>
                <c:pt idx="125">
                  <c:v>0.39560542788461539</c:v>
                </c:pt>
                <c:pt idx="126">
                  <c:v>0.39560542788461539</c:v>
                </c:pt>
                <c:pt idx="127">
                  <c:v>0.39560542788461539</c:v>
                </c:pt>
                <c:pt idx="128">
                  <c:v>0.39560542788461539</c:v>
                </c:pt>
                <c:pt idx="129">
                  <c:v>0.39560542788461539</c:v>
                </c:pt>
                <c:pt idx="130">
                  <c:v>0.39560542788461539</c:v>
                </c:pt>
                <c:pt idx="131">
                  <c:v>0.39560542788461539</c:v>
                </c:pt>
                <c:pt idx="132">
                  <c:v>0.39560542788461539</c:v>
                </c:pt>
                <c:pt idx="133">
                  <c:v>0.39560542788461539</c:v>
                </c:pt>
                <c:pt idx="134">
                  <c:v>0.39560542788461539</c:v>
                </c:pt>
                <c:pt idx="135">
                  <c:v>0.39560542788461539</c:v>
                </c:pt>
                <c:pt idx="136">
                  <c:v>0.39560542788461539</c:v>
                </c:pt>
                <c:pt idx="137">
                  <c:v>0.39560542788461539</c:v>
                </c:pt>
                <c:pt idx="138">
                  <c:v>0.39560542788461539</c:v>
                </c:pt>
                <c:pt idx="139">
                  <c:v>0.39560542788461539</c:v>
                </c:pt>
                <c:pt idx="140">
                  <c:v>0.39560542788461539</c:v>
                </c:pt>
                <c:pt idx="141">
                  <c:v>0.39560542788461539</c:v>
                </c:pt>
                <c:pt idx="142">
                  <c:v>0.39560542788461539</c:v>
                </c:pt>
                <c:pt idx="143">
                  <c:v>0.39560542788461539</c:v>
                </c:pt>
                <c:pt idx="144">
                  <c:v>0.39560542788461539</c:v>
                </c:pt>
                <c:pt idx="145">
                  <c:v>0.39560542788461539</c:v>
                </c:pt>
                <c:pt idx="146">
                  <c:v>0.39560542788461539</c:v>
                </c:pt>
                <c:pt idx="147">
                  <c:v>0.39560542788461539</c:v>
                </c:pt>
                <c:pt idx="148">
                  <c:v>0.39560542788461539</c:v>
                </c:pt>
                <c:pt idx="149">
                  <c:v>0.39560542788461539</c:v>
                </c:pt>
                <c:pt idx="150">
                  <c:v>0.39560542788461539</c:v>
                </c:pt>
                <c:pt idx="151">
                  <c:v>0.39560542788461539</c:v>
                </c:pt>
                <c:pt idx="152">
                  <c:v>0.39560542788461539</c:v>
                </c:pt>
                <c:pt idx="153">
                  <c:v>0.39560542788461539</c:v>
                </c:pt>
                <c:pt idx="154">
                  <c:v>0.39560542788461539</c:v>
                </c:pt>
                <c:pt idx="155">
                  <c:v>0.39560542788461539</c:v>
                </c:pt>
                <c:pt idx="156">
                  <c:v>0.39560542788461539</c:v>
                </c:pt>
                <c:pt idx="157">
                  <c:v>0.39560542788461539</c:v>
                </c:pt>
                <c:pt idx="158">
                  <c:v>0.39560542788461539</c:v>
                </c:pt>
                <c:pt idx="159">
                  <c:v>0.39560542788461539</c:v>
                </c:pt>
                <c:pt idx="160">
                  <c:v>0.39560542788461539</c:v>
                </c:pt>
                <c:pt idx="161">
                  <c:v>0.39560542788461539</c:v>
                </c:pt>
                <c:pt idx="162">
                  <c:v>0.39560542788461539</c:v>
                </c:pt>
                <c:pt idx="163">
                  <c:v>0.39560542788461539</c:v>
                </c:pt>
                <c:pt idx="164">
                  <c:v>0.39560542788461539</c:v>
                </c:pt>
                <c:pt idx="165">
                  <c:v>0.39560542788461539</c:v>
                </c:pt>
                <c:pt idx="166">
                  <c:v>0.39560542788461539</c:v>
                </c:pt>
                <c:pt idx="167">
                  <c:v>0.39560542788461539</c:v>
                </c:pt>
                <c:pt idx="168">
                  <c:v>0.39560542788461539</c:v>
                </c:pt>
                <c:pt idx="169">
                  <c:v>0.39560542788461539</c:v>
                </c:pt>
                <c:pt idx="170">
                  <c:v>0.39560542788461539</c:v>
                </c:pt>
                <c:pt idx="171">
                  <c:v>0.39560542788461539</c:v>
                </c:pt>
                <c:pt idx="172">
                  <c:v>0.39560542788461539</c:v>
                </c:pt>
                <c:pt idx="173">
                  <c:v>0.39560542788461539</c:v>
                </c:pt>
                <c:pt idx="174">
                  <c:v>0.39560542788461539</c:v>
                </c:pt>
                <c:pt idx="175">
                  <c:v>0.39560542788461539</c:v>
                </c:pt>
                <c:pt idx="176">
                  <c:v>0.39560542788461539</c:v>
                </c:pt>
                <c:pt idx="177">
                  <c:v>0.39560542788461539</c:v>
                </c:pt>
                <c:pt idx="178">
                  <c:v>0.39560542788461539</c:v>
                </c:pt>
                <c:pt idx="179">
                  <c:v>0.39560542788461539</c:v>
                </c:pt>
                <c:pt idx="180">
                  <c:v>0.39560542788461539</c:v>
                </c:pt>
                <c:pt idx="181">
                  <c:v>0.39560542788461539</c:v>
                </c:pt>
                <c:pt idx="182">
                  <c:v>0.39560542788461539</c:v>
                </c:pt>
                <c:pt idx="183">
                  <c:v>0.39560542788461539</c:v>
                </c:pt>
                <c:pt idx="184">
                  <c:v>0.39560542788461539</c:v>
                </c:pt>
                <c:pt idx="185">
                  <c:v>0.39560542788461539</c:v>
                </c:pt>
                <c:pt idx="186">
                  <c:v>0.39560542788461539</c:v>
                </c:pt>
                <c:pt idx="187">
                  <c:v>0.39560542788461539</c:v>
                </c:pt>
                <c:pt idx="188">
                  <c:v>0.39560542788461539</c:v>
                </c:pt>
                <c:pt idx="189">
                  <c:v>0.39560542788461539</c:v>
                </c:pt>
                <c:pt idx="190">
                  <c:v>0.39560542788461539</c:v>
                </c:pt>
                <c:pt idx="191">
                  <c:v>0.39560542788461539</c:v>
                </c:pt>
                <c:pt idx="192">
                  <c:v>0.39560542788461539</c:v>
                </c:pt>
                <c:pt idx="193">
                  <c:v>0.39560542788461539</c:v>
                </c:pt>
                <c:pt idx="194">
                  <c:v>0.39560542788461539</c:v>
                </c:pt>
                <c:pt idx="195">
                  <c:v>0.39560542788461539</c:v>
                </c:pt>
                <c:pt idx="196">
                  <c:v>0.39560542788461539</c:v>
                </c:pt>
                <c:pt idx="197">
                  <c:v>0.39560542788461539</c:v>
                </c:pt>
                <c:pt idx="198">
                  <c:v>0.39560542788461539</c:v>
                </c:pt>
                <c:pt idx="199">
                  <c:v>0.39560542788461539</c:v>
                </c:pt>
                <c:pt idx="200">
                  <c:v>0.39560542788461539</c:v>
                </c:pt>
                <c:pt idx="201">
                  <c:v>0.39560542788461539</c:v>
                </c:pt>
                <c:pt idx="202">
                  <c:v>0.39560542788461539</c:v>
                </c:pt>
                <c:pt idx="203">
                  <c:v>0.39560542788461539</c:v>
                </c:pt>
                <c:pt idx="204">
                  <c:v>0.39560542788461539</c:v>
                </c:pt>
                <c:pt idx="205">
                  <c:v>0.39560542788461539</c:v>
                </c:pt>
                <c:pt idx="206">
                  <c:v>0.39560542788461539</c:v>
                </c:pt>
                <c:pt idx="207">
                  <c:v>0.39560542788461539</c:v>
                </c:pt>
                <c:pt idx="208">
                  <c:v>0.39560542788461539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87C-4898-9906-37843FCD1C23}"/>
            </c:ext>
          </c:extLst>
        </c:ser>
        <c:ser>
          <c:idx val="2"/>
          <c:order val="2"/>
          <c:tx>
            <c:strRef>
              <c:f>TTV_IMR!$H$9</c:f>
              <c:strCache>
                <c:ptCount val="1"/>
                <c:pt idx="0">
                  <c:v>CL(MR)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TTV_IMR!$H$10:$H$218</c:f>
              <c:numCache>
                <c:formatCode>General</c:formatCode>
                <c:ptCount val="209"/>
                <c:pt idx="0">
                  <c:v>0.1210913461538462</c:v>
                </c:pt>
                <c:pt idx="1">
                  <c:v>0.1210913461538462</c:v>
                </c:pt>
                <c:pt idx="2">
                  <c:v>0.1210913461538462</c:v>
                </c:pt>
                <c:pt idx="3">
                  <c:v>0.1210913461538462</c:v>
                </c:pt>
                <c:pt idx="4">
                  <c:v>0.1210913461538462</c:v>
                </c:pt>
                <c:pt idx="5">
                  <c:v>0.1210913461538462</c:v>
                </c:pt>
                <c:pt idx="6">
                  <c:v>0.1210913461538462</c:v>
                </c:pt>
                <c:pt idx="7">
                  <c:v>0.1210913461538462</c:v>
                </c:pt>
                <c:pt idx="8">
                  <c:v>0.1210913461538462</c:v>
                </c:pt>
                <c:pt idx="9">
                  <c:v>0.1210913461538462</c:v>
                </c:pt>
                <c:pt idx="10">
                  <c:v>0.1210913461538462</c:v>
                </c:pt>
                <c:pt idx="11">
                  <c:v>0.1210913461538462</c:v>
                </c:pt>
                <c:pt idx="12">
                  <c:v>0.1210913461538462</c:v>
                </c:pt>
                <c:pt idx="13">
                  <c:v>0.1210913461538462</c:v>
                </c:pt>
                <c:pt idx="14">
                  <c:v>0.1210913461538462</c:v>
                </c:pt>
                <c:pt idx="15">
                  <c:v>0.1210913461538462</c:v>
                </c:pt>
                <c:pt idx="16">
                  <c:v>0.1210913461538462</c:v>
                </c:pt>
                <c:pt idx="17">
                  <c:v>0.1210913461538462</c:v>
                </c:pt>
                <c:pt idx="18">
                  <c:v>0.1210913461538462</c:v>
                </c:pt>
                <c:pt idx="19">
                  <c:v>0.1210913461538462</c:v>
                </c:pt>
                <c:pt idx="20">
                  <c:v>0.1210913461538462</c:v>
                </c:pt>
                <c:pt idx="21">
                  <c:v>0.1210913461538462</c:v>
                </c:pt>
                <c:pt idx="22">
                  <c:v>0.1210913461538462</c:v>
                </c:pt>
                <c:pt idx="23">
                  <c:v>0.1210913461538462</c:v>
                </c:pt>
                <c:pt idx="24">
                  <c:v>0.1210913461538462</c:v>
                </c:pt>
                <c:pt idx="25">
                  <c:v>0.1210913461538462</c:v>
                </c:pt>
                <c:pt idx="26">
                  <c:v>0.1210913461538462</c:v>
                </c:pt>
                <c:pt idx="27">
                  <c:v>0.1210913461538462</c:v>
                </c:pt>
                <c:pt idx="28">
                  <c:v>0.1210913461538462</c:v>
                </c:pt>
                <c:pt idx="29">
                  <c:v>0.1210913461538462</c:v>
                </c:pt>
                <c:pt idx="30">
                  <c:v>0.1210913461538462</c:v>
                </c:pt>
                <c:pt idx="31">
                  <c:v>0.1210913461538462</c:v>
                </c:pt>
                <c:pt idx="32">
                  <c:v>0.1210913461538462</c:v>
                </c:pt>
                <c:pt idx="33">
                  <c:v>0.1210913461538462</c:v>
                </c:pt>
                <c:pt idx="34">
                  <c:v>0.1210913461538462</c:v>
                </c:pt>
                <c:pt idx="35">
                  <c:v>0.1210913461538462</c:v>
                </c:pt>
                <c:pt idx="36">
                  <c:v>0.1210913461538462</c:v>
                </c:pt>
                <c:pt idx="37">
                  <c:v>0.1210913461538462</c:v>
                </c:pt>
                <c:pt idx="38">
                  <c:v>0.1210913461538462</c:v>
                </c:pt>
                <c:pt idx="39">
                  <c:v>0.1210913461538462</c:v>
                </c:pt>
                <c:pt idx="40">
                  <c:v>0.1210913461538462</c:v>
                </c:pt>
                <c:pt idx="41">
                  <c:v>0.1210913461538462</c:v>
                </c:pt>
                <c:pt idx="42">
                  <c:v>0.1210913461538462</c:v>
                </c:pt>
                <c:pt idx="43">
                  <c:v>0.1210913461538462</c:v>
                </c:pt>
                <c:pt idx="44">
                  <c:v>0.1210913461538462</c:v>
                </c:pt>
                <c:pt idx="45">
                  <c:v>0.1210913461538462</c:v>
                </c:pt>
                <c:pt idx="46">
                  <c:v>0.1210913461538462</c:v>
                </c:pt>
                <c:pt idx="47">
                  <c:v>0.1210913461538462</c:v>
                </c:pt>
                <c:pt idx="48">
                  <c:v>0.1210913461538462</c:v>
                </c:pt>
                <c:pt idx="49">
                  <c:v>0.1210913461538462</c:v>
                </c:pt>
                <c:pt idx="50">
                  <c:v>0.1210913461538462</c:v>
                </c:pt>
                <c:pt idx="51">
                  <c:v>0.1210913461538462</c:v>
                </c:pt>
                <c:pt idx="52">
                  <c:v>0.1210913461538462</c:v>
                </c:pt>
                <c:pt idx="53">
                  <c:v>0.1210913461538462</c:v>
                </c:pt>
                <c:pt idx="54">
                  <c:v>0.1210913461538462</c:v>
                </c:pt>
                <c:pt idx="55">
                  <c:v>0.1210913461538462</c:v>
                </c:pt>
                <c:pt idx="56">
                  <c:v>0.1210913461538462</c:v>
                </c:pt>
                <c:pt idx="57">
                  <c:v>0.1210913461538462</c:v>
                </c:pt>
                <c:pt idx="58">
                  <c:v>0.1210913461538462</c:v>
                </c:pt>
                <c:pt idx="59">
                  <c:v>0.1210913461538462</c:v>
                </c:pt>
                <c:pt idx="60">
                  <c:v>0.1210913461538462</c:v>
                </c:pt>
                <c:pt idx="61">
                  <c:v>0.1210913461538462</c:v>
                </c:pt>
                <c:pt idx="62">
                  <c:v>0.1210913461538462</c:v>
                </c:pt>
                <c:pt idx="63">
                  <c:v>0.1210913461538462</c:v>
                </c:pt>
                <c:pt idx="64">
                  <c:v>0.1210913461538462</c:v>
                </c:pt>
                <c:pt idx="65">
                  <c:v>0.1210913461538462</c:v>
                </c:pt>
                <c:pt idx="66">
                  <c:v>0.1210913461538462</c:v>
                </c:pt>
                <c:pt idx="67">
                  <c:v>0.1210913461538462</c:v>
                </c:pt>
                <c:pt idx="68">
                  <c:v>0.1210913461538462</c:v>
                </c:pt>
                <c:pt idx="69">
                  <c:v>0.1210913461538462</c:v>
                </c:pt>
                <c:pt idx="70">
                  <c:v>0.1210913461538462</c:v>
                </c:pt>
                <c:pt idx="71">
                  <c:v>0.1210913461538462</c:v>
                </c:pt>
                <c:pt idx="72">
                  <c:v>0.1210913461538462</c:v>
                </c:pt>
                <c:pt idx="73">
                  <c:v>0.1210913461538462</c:v>
                </c:pt>
                <c:pt idx="74">
                  <c:v>0.1210913461538462</c:v>
                </c:pt>
                <c:pt idx="75">
                  <c:v>0.1210913461538462</c:v>
                </c:pt>
                <c:pt idx="76">
                  <c:v>0.1210913461538462</c:v>
                </c:pt>
                <c:pt idx="77">
                  <c:v>0.1210913461538462</c:v>
                </c:pt>
                <c:pt idx="78">
                  <c:v>0.1210913461538462</c:v>
                </c:pt>
                <c:pt idx="79">
                  <c:v>0.1210913461538462</c:v>
                </c:pt>
                <c:pt idx="80">
                  <c:v>0.1210913461538462</c:v>
                </c:pt>
                <c:pt idx="81">
                  <c:v>0.1210913461538462</c:v>
                </c:pt>
                <c:pt idx="82">
                  <c:v>0.1210913461538462</c:v>
                </c:pt>
                <c:pt idx="83">
                  <c:v>0.1210913461538462</c:v>
                </c:pt>
                <c:pt idx="84">
                  <c:v>0.1210913461538462</c:v>
                </c:pt>
                <c:pt idx="85">
                  <c:v>0.1210913461538462</c:v>
                </c:pt>
                <c:pt idx="86">
                  <c:v>0.1210913461538462</c:v>
                </c:pt>
                <c:pt idx="87">
                  <c:v>0.1210913461538462</c:v>
                </c:pt>
                <c:pt idx="88">
                  <c:v>0.1210913461538462</c:v>
                </c:pt>
                <c:pt idx="89">
                  <c:v>0.1210913461538462</c:v>
                </c:pt>
                <c:pt idx="90">
                  <c:v>0.1210913461538462</c:v>
                </c:pt>
                <c:pt idx="91">
                  <c:v>0.1210913461538462</c:v>
                </c:pt>
                <c:pt idx="92">
                  <c:v>0.1210913461538462</c:v>
                </c:pt>
                <c:pt idx="93">
                  <c:v>0.1210913461538462</c:v>
                </c:pt>
                <c:pt idx="94">
                  <c:v>0.1210913461538462</c:v>
                </c:pt>
                <c:pt idx="95">
                  <c:v>0.1210913461538462</c:v>
                </c:pt>
                <c:pt idx="96">
                  <c:v>0.1210913461538462</c:v>
                </c:pt>
                <c:pt idx="97">
                  <c:v>0.1210913461538462</c:v>
                </c:pt>
                <c:pt idx="98">
                  <c:v>0.1210913461538462</c:v>
                </c:pt>
                <c:pt idx="99">
                  <c:v>0.1210913461538462</c:v>
                </c:pt>
                <c:pt idx="100">
                  <c:v>0.1210913461538462</c:v>
                </c:pt>
                <c:pt idx="101">
                  <c:v>0.1210913461538462</c:v>
                </c:pt>
                <c:pt idx="102">
                  <c:v>0.1210913461538462</c:v>
                </c:pt>
                <c:pt idx="103">
                  <c:v>0.1210913461538462</c:v>
                </c:pt>
                <c:pt idx="104">
                  <c:v>0.1210913461538462</c:v>
                </c:pt>
                <c:pt idx="105">
                  <c:v>0.1210913461538462</c:v>
                </c:pt>
                <c:pt idx="106">
                  <c:v>0.1210913461538462</c:v>
                </c:pt>
                <c:pt idx="107">
                  <c:v>0.1210913461538462</c:v>
                </c:pt>
                <c:pt idx="108">
                  <c:v>0.1210913461538462</c:v>
                </c:pt>
                <c:pt idx="109">
                  <c:v>0.1210913461538462</c:v>
                </c:pt>
                <c:pt idx="110">
                  <c:v>0.1210913461538462</c:v>
                </c:pt>
                <c:pt idx="111">
                  <c:v>0.1210913461538462</c:v>
                </c:pt>
                <c:pt idx="112">
                  <c:v>0.1210913461538462</c:v>
                </c:pt>
                <c:pt idx="113">
                  <c:v>0.1210913461538462</c:v>
                </c:pt>
                <c:pt idx="114">
                  <c:v>0.1210913461538462</c:v>
                </c:pt>
                <c:pt idx="115">
                  <c:v>0.1210913461538462</c:v>
                </c:pt>
                <c:pt idx="116">
                  <c:v>0.1210913461538462</c:v>
                </c:pt>
                <c:pt idx="117">
                  <c:v>0.1210913461538462</c:v>
                </c:pt>
                <c:pt idx="118">
                  <c:v>0.1210913461538462</c:v>
                </c:pt>
                <c:pt idx="119">
                  <c:v>0.1210913461538462</c:v>
                </c:pt>
                <c:pt idx="120">
                  <c:v>0.1210913461538462</c:v>
                </c:pt>
                <c:pt idx="121">
                  <c:v>0.1210913461538462</c:v>
                </c:pt>
                <c:pt idx="122">
                  <c:v>0.1210913461538462</c:v>
                </c:pt>
                <c:pt idx="123">
                  <c:v>0.1210913461538462</c:v>
                </c:pt>
                <c:pt idx="124">
                  <c:v>0.1210913461538462</c:v>
                </c:pt>
                <c:pt idx="125">
                  <c:v>0.1210913461538462</c:v>
                </c:pt>
                <c:pt idx="126">
                  <c:v>0.1210913461538462</c:v>
                </c:pt>
                <c:pt idx="127">
                  <c:v>0.1210913461538462</c:v>
                </c:pt>
                <c:pt idx="128">
                  <c:v>0.1210913461538462</c:v>
                </c:pt>
                <c:pt idx="129">
                  <c:v>0.1210913461538462</c:v>
                </c:pt>
                <c:pt idx="130">
                  <c:v>0.1210913461538462</c:v>
                </c:pt>
                <c:pt idx="131">
                  <c:v>0.1210913461538462</c:v>
                </c:pt>
                <c:pt idx="132">
                  <c:v>0.1210913461538462</c:v>
                </c:pt>
                <c:pt idx="133">
                  <c:v>0.1210913461538462</c:v>
                </c:pt>
                <c:pt idx="134">
                  <c:v>0.1210913461538462</c:v>
                </c:pt>
                <c:pt idx="135">
                  <c:v>0.1210913461538462</c:v>
                </c:pt>
                <c:pt idx="136">
                  <c:v>0.1210913461538462</c:v>
                </c:pt>
                <c:pt idx="137">
                  <c:v>0.1210913461538462</c:v>
                </c:pt>
                <c:pt idx="138">
                  <c:v>0.1210913461538462</c:v>
                </c:pt>
                <c:pt idx="139">
                  <c:v>0.1210913461538462</c:v>
                </c:pt>
                <c:pt idx="140">
                  <c:v>0.1210913461538462</c:v>
                </c:pt>
                <c:pt idx="141">
                  <c:v>0.1210913461538462</c:v>
                </c:pt>
                <c:pt idx="142">
                  <c:v>0.1210913461538462</c:v>
                </c:pt>
                <c:pt idx="143">
                  <c:v>0.1210913461538462</c:v>
                </c:pt>
                <c:pt idx="144">
                  <c:v>0.1210913461538462</c:v>
                </c:pt>
                <c:pt idx="145">
                  <c:v>0.1210913461538462</c:v>
                </c:pt>
                <c:pt idx="146">
                  <c:v>0.1210913461538462</c:v>
                </c:pt>
                <c:pt idx="147">
                  <c:v>0.1210913461538462</c:v>
                </c:pt>
                <c:pt idx="148">
                  <c:v>0.1210913461538462</c:v>
                </c:pt>
                <c:pt idx="149">
                  <c:v>0.1210913461538462</c:v>
                </c:pt>
                <c:pt idx="150">
                  <c:v>0.1210913461538462</c:v>
                </c:pt>
                <c:pt idx="151">
                  <c:v>0.1210913461538462</c:v>
                </c:pt>
                <c:pt idx="152">
                  <c:v>0.1210913461538462</c:v>
                </c:pt>
                <c:pt idx="153">
                  <c:v>0.1210913461538462</c:v>
                </c:pt>
                <c:pt idx="154">
                  <c:v>0.1210913461538462</c:v>
                </c:pt>
                <c:pt idx="155">
                  <c:v>0.1210913461538462</c:v>
                </c:pt>
                <c:pt idx="156">
                  <c:v>0.1210913461538462</c:v>
                </c:pt>
                <c:pt idx="157">
                  <c:v>0.1210913461538462</c:v>
                </c:pt>
                <c:pt idx="158">
                  <c:v>0.1210913461538462</c:v>
                </c:pt>
                <c:pt idx="159">
                  <c:v>0.1210913461538462</c:v>
                </c:pt>
                <c:pt idx="160">
                  <c:v>0.1210913461538462</c:v>
                </c:pt>
                <c:pt idx="161">
                  <c:v>0.1210913461538462</c:v>
                </c:pt>
                <c:pt idx="162">
                  <c:v>0.1210913461538462</c:v>
                </c:pt>
                <c:pt idx="163">
                  <c:v>0.1210913461538462</c:v>
                </c:pt>
                <c:pt idx="164">
                  <c:v>0.1210913461538462</c:v>
                </c:pt>
                <c:pt idx="165">
                  <c:v>0.1210913461538462</c:v>
                </c:pt>
                <c:pt idx="166">
                  <c:v>0.1210913461538462</c:v>
                </c:pt>
                <c:pt idx="167">
                  <c:v>0.1210913461538462</c:v>
                </c:pt>
                <c:pt idx="168">
                  <c:v>0.1210913461538462</c:v>
                </c:pt>
                <c:pt idx="169">
                  <c:v>0.1210913461538462</c:v>
                </c:pt>
                <c:pt idx="170">
                  <c:v>0.1210913461538462</c:v>
                </c:pt>
                <c:pt idx="171">
                  <c:v>0.1210913461538462</c:v>
                </c:pt>
                <c:pt idx="172">
                  <c:v>0.1210913461538462</c:v>
                </c:pt>
                <c:pt idx="173">
                  <c:v>0.1210913461538462</c:v>
                </c:pt>
                <c:pt idx="174">
                  <c:v>0.1210913461538462</c:v>
                </c:pt>
                <c:pt idx="175">
                  <c:v>0.1210913461538462</c:v>
                </c:pt>
                <c:pt idx="176">
                  <c:v>0.1210913461538462</c:v>
                </c:pt>
                <c:pt idx="177">
                  <c:v>0.1210913461538462</c:v>
                </c:pt>
                <c:pt idx="178">
                  <c:v>0.1210913461538462</c:v>
                </c:pt>
                <c:pt idx="179">
                  <c:v>0.1210913461538462</c:v>
                </c:pt>
                <c:pt idx="180">
                  <c:v>0.1210913461538462</c:v>
                </c:pt>
                <c:pt idx="181">
                  <c:v>0.1210913461538462</c:v>
                </c:pt>
                <c:pt idx="182">
                  <c:v>0.1210913461538462</c:v>
                </c:pt>
                <c:pt idx="183">
                  <c:v>0.1210913461538462</c:v>
                </c:pt>
                <c:pt idx="184">
                  <c:v>0.1210913461538462</c:v>
                </c:pt>
                <c:pt idx="185">
                  <c:v>0.1210913461538462</c:v>
                </c:pt>
                <c:pt idx="186">
                  <c:v>0.1210913461538462</c:v>
                </c:pt>
                <c:pt idx="187">
                  <c:v>0.1210913461538462</c:v>
                </c:pt>
                <c:pt idx="188">
                  <c:v>0.1210913461538462</c:v>
                </c:pt>
                <c:pt idx="189">
                  <c:v>0.1210913461538462</c:v>
                </c:pt>
                <c:pt idx="190">
                  <c:v>0.1210913461538462</c:v>
                </c:pt>
                <c:pt idx="191">
                  <c:v>0.1210913461538462</c:v>
                </c:pt>
                <c:pt idx="192">
                  <c:v>0.1210913461538462</c:v>
                </c:pt>
                <c:pt idx="193">
                  <c:v>0.1210913461538462</c:v>
                </c:pt>
                <c:pt idx="194">
                  <c:v>0.1210913461538462</c:v>
                </c:pt>
                <c:pt idx="195">
                  <c:v>0.1210913461538462</c:v>
                </c:pt>
                <c:pt idx="196">
                  <c:v>0.1210913461538462</c:v>
                </c:pt>
                <c:pt idx="197">
                  <c:v>0.1210913461538462</c:v>
                </c:pt>
                <c:pt idx="198">
                  <c:v>0.1210913461538462</c:v>
                </c:pt>
                <c:pt idx="199">
                  <c:v>0.1210913461538462</c:v>
                </c:pt>
                <c:pt idx="200">
                  <c:v>0.1210913461538462</c:v>
                </c:pt>
                <c:pt idx="201">
                  <c:v>0.1210913461538462</c:v>
                </c:pt>
                <c:pt idx="202">
                  <c:v>0.1210913461538462</c:v>
                </c:pt>
                <c:pt idx="203">
                  <c:v>0.1210913461538462</c:v>
                </c:pt>
                <c:pt idx="204">
                  <c:v>0.1210913461538462</c:v>
                </c:pt>
                <c:pt idx="205">
                  <c:v>0.1210913461538462</c:v>
                </c:pt>
                <c:pt idx="206">
                  <c:v>0.1210913461538462</c:v>
                </c:pt>
                <c:pt idx="207">
                  <c:v>0.1210913461538462</c:v>
                </c:pt>
                <c:pt idx="208">
                  <c:v>0.1210913461538462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87C-4898-9906-37843FCD1C23}"/>
            </c:ext>
          </c:extLst>
        </c:ser>
        <c:ser>
          <c:idx val="3"/>
          <c:order val="3"/>
          <c:tx>
            <c:strRef>
              <c:f>TTV_IMR!$I$9</c:f>
              <c:strCache>
                <c:ptCount val="1"/>
                <c:pt idx="0">
                  <c:v>LCL(MR)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TTV_IMR!$I$10:$I$218</c:f>
              <c:numCache>
                <c:formatCode>General</c:formatCode>
                <c:ptCount val="2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87C-4898-9906-37843FCD1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228</xdr:row>
      <xdr:rowOff>0</xdr:rowOff>
    </xdr:from>
    <xdr:ext cx="79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203200</xdr:colOff>
      <xdr:row>8</xdr:row>
      <xdr:rowOff>4233</xdr:rowOff>
    </xdr:from>
    <xdr:ext cx="7920000" cy="3240000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B6787C6-2BF4-4AC2-9909-8ADB780C0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8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25</xdr:row>
      <xdr:rowOff>0</xdr:rowOff>
    </xdr:from>
    <xdr:ext cx="79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8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25</xdr:row>
      <xdr:rowOff>0</xdr:rowOff>
    </xdr:from>
    <xdr:ext cx="79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showGridLines="0" tabSelected="1" workbookViewId="0">
      <selection activeCell="D9" sqref="D9:F9"/>
    </sheetView>
  </sheetViews>
  <sheetFormatPr defaultRowHeight="15.75"/>
  <cols>
    <col min="1" max="1" width="4" customWidth="1"/>
    <col min="2" max="12" width="14" customWidth="1"/>
  </cols>
  <sheetData>
    <row r="1" spans="1:12" ht="27.95" customHeight="1">
      <c r="A1" s="34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</row>
    <row r="2" spans="1:12">
      <c r="A2" s="31" t="s">
        <v>1</v>
      </c>
      <c r="B2" s="29"/>
      <c r="C2" s="30"/>
      <c r="D2" s="31" t="s">
        <v>2</v>
      </c>
      <c r="E2" s="29"/>
      <c r="F2" s="30"/>
      <c r="G2" s="31" t="s">
        <v>3</v>
      </c>
      <c r="H2" s="29"/>
      <c r="I2" s="30"/>
      <c r="J2" s="31" t="s">
        <v>4</v>
      </c>
      <c r="K2" s="29"/>
      <c r="L2" s="30"/>
    </row>
    <row r="3" spans="1:12" ht="16.5">
      <c r="A3" s="33" t="s">
        <v>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30"/>
    </row>
    <row r="4" spans="1:12" ht="20.100000000000001" customHeight="1">
      <c r="A4" s="32" t="s">
        <v>6</v>
      </c>
      <c r="B4" s="29"/>
      <c r="C4" s="30"/>
      <c r="D4" s="32" t="s">
        <v>7</v>
      </c>
      <c r="E4" s="29"/>
      <c r="F4" s="30"/>
      <c r="G4" s="32" t="s">
        <v>8</v>
      </c>
      <c r="H4" s="29"/>
      <c r="I4" s="30"/>
      <c r="J4" s="32" t="s">
        <v>9</v>
      </c>
      <c r="K4" s="29"/>
      <c r="L4" s="30"/>
    </row>
    <row r="5" spans="1:12" ht="20.100000000000001" customHeight="1">
      <c r="A5" s="32" t="s">
        <v>10</v>
      </c>
      <c r="B5" s="29"/>
      <c r="C5" s="30"/>
      <c r="D5" s="32" t="s">
        <v>11</v>
      </c>
      <c r="E5" s="29"/>
      <c r="F5" s="30"/>
      <c r="G5" s="32" t="s">
        <v>12</v>
      </c>
      <c r="H5" s="29"/>
      <c r="I5" s="30"/>
      <c r="J5" s="32" t="s">
        <v>13</v>
      </c>
      <c r="K5" s="29"/>
      <c r="L5" s="30"/>
    </row>
    <row r="6" spans="1:12" ht="20.100000000000001" customHeight="1">
      <c r="A6" s="32" t="s">
        <v>14</v>
      </c>
      <c r="B6" s="29"/>
      <c r="C6" s="30"/>
      <c r="D6" s="32" t="s">
        <v>15</v>
      </c>
      <c r="E6" s="29"/>
      <c r="F6" s="30"/>
      <c r="G6" s="32" t="s">
        <v>16</v>
      </c>
      <c r="H6" s="29"/>
      <c r="I6" s="30"/>
      <c r="J6" s="32" t="s">
        <v>17</v>
      </c>
      <c r="K6" s="29"/>
      <c r="L6" s="30"/>
    </row>
    <row r="7" spans="1:12" ht="20.100000000000001" customHeight="1">
      <c r="A7" s="32" t="s">
        <v>18</v>
      </c>
      <c r="B7" s="29"/>
      <c r="C7" s="30"/>
      <c r="D7" s="32" t="s">
        <v>19</v>
      </c>
      <c r="E7" s="29"/>
      <c r="F7" s="30"/>
      <c r="G7" s="32"/>
      <c r="H7" s="29"/>
      <c r="I7" s="30"/>
    </row>
    <row r="8" spans="1:12" ht="16.5">
      <c r="A8" s="33" t="s">
        <v>20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30"/>
    </row>
    <row r="9" spans="1:12" ht="38.1" customHeight="1">
      <c r="A9" s="32" t="s">
        <v>109</v>
      </c>
      <c r="B9" s="29"/>
      <c r="C9" s="30"/>
      <c r="D9" s="32" t="s">
        <v>110</v>
      </c>
      <c r="E9" s="29"/>
      <c r="F9" s="30"/>
      <c r="G9" s="32"/>
      <c r="H9" s="29"/>
      <c r="I9" s="30"/>
      <c r="J9" s="32"/>
      <c r="K9" s="29"/>
      <c r="L9" s="30"/>
    </row>
    <row r="10" spans="1:12">
      <c r="A10" s="28" t="s">
        <v>21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30"/>
    </row>
    <row r="11" spans="1:12" ht="15.75" customHeight="1">
      <c r="A11" s="39" t="s">
        <v>22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1"/>
    </row>
    <row r="12" spans="1:12" ht="21" customHeight="1">
      <c r="A12" s="35" t="s">
        <v>23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7"/>
    </row>
    <row r="13" spans="1:12" ht="16.5">
      <c r="A13" s="33" t="s">
        <v>24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30"/>
    </row>
    <row r="14" spans="1:12" ht="32.1" customHeight="1">
      <c r="A14" s="28" t="s">
        <v>25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ht="21.95" customHeight="1">
      <c r="A15" s="38" t="s">
        <v>26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30"/>
    </row>
    <row r="16" spans="1:12" ht="21.95" customHeight="1">
      <c r="A16" s="33" t="s">
        <v>27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 ht="63">
      <c r="A17" s="2" t="s">
        <v>28</v>
      </c>
      <c r="B17" s="2" t="s">
        <v>29</v>
      </c>
      <c r="C17" s="2" t="s">
        <v>30</v>
      </c>
      <c r="D17" s="2" t="s">
        <v>31</v>
      </c>
      <c r="E17" s="2" t="s">
        <v>32</v>
      </c>
      <c r="F17" s="2" t="s">
        <v>33</v>
      </c>
      <c r="G17" s="22" t="s">
        <v>34</v>
      </c>
      <c r="H17" s="2" t="s">
        <v>35</v>
      </c>
      <c r="I17" s="2" t="s">
        <v>36</v>
      </c>
      <c r="J17" s="2" t="s">
        <v>37</v>
      </c>
      <c r="K17" s="2" t="s">
        <v>38</v>
      </c>
      <c r="L17" s="2" t="s">
        <v>39</v>
      </c>
    </row>
    <row r="18" spans="1:12" ht="31.5">
      <c r="A18" s="11" t="s">
        <v>40</v>
      </c>
      <c r="B18" s="11" t="s">
        <v>41</v>
      </c>
      <c r="C18" s="11">
        <v>200</v>
      </c>
      <c r="D18" s="11">
        <v>0</v>
      </c>
      <c r="E18" s="11">
        <v>300</v>
      </c>
      <c r="F18" s="11">
        <v>137.75</v>
      </c>
      <c r="G18" s="21">
        <v>37.902277344167651</v>
      </c>
      <c r="H18" s="21">
        <v>65.274661293913852</v>
      </c>
      <c r="I18" s="21">
        <v>1.67</v>
      </c>
      <c r="J18" s="21">
        <v>1.67</v>
      </c>
      <c r="K18" s="3" t="s">
        <v>42</v>
      </c>
      <c r="L18" s="3" t="s">
        <v>42</v>
      </c>
    </row>
    <row r="19" spans="1:12" ht="47.25">
      <c r="A19" s="11" t="s">
        <v>105</v>
      </c>
      <c r="B19" s="11" t="s">
        <v>43</v>
      </c>
      <c r="C19" s="11">
        <v>200</v>
      </c>
      <c r="D19" s="11" t="s">
        <v>44</v>
      </c>
      <c r="E19" s="11" t="s">
        <v>45</v>
      </c>
      <c r="F19" s="26">
        <v>700.34905853658495</v>
      </c>
      <c r="G19" s="23">
        <v>0.998</v>
      </c>
      <c r="H19" s="21">
        <v>1.5587733791469029</v>
      </c>
      <c r="I19" s="21">
        <v>1.67</v>
      </c>
      <c r="J19" s="21">
        <v>1.67</v>
      </c>
      <c r="K19" s="3" t="s">
        <v>42</v>
      </c>
      <c r="L19" s="3" t="s">
        <v>42</v>
      </c>
    </row>
    <row r="20" spans="1:12" ht="31.5">
      <c r="A20" s="11" t="s">
        <v>46</v>
      </c>
      <c r="B20" s="11" t="s">
        <v>47</v>
      </c>
      <c r="C20" s="11">
        <v>200</v>
      </c>
      <c r="D20" s="11" t="s">
        <v>48</v>
      </c>
      <c r="E20" s="24" t="s">
        <v>49</v>
      </c>
      <c r="F20" s="27">
        <v>0.5</v>
      </c>
      <c r="G20" s="19">
        <v>9.98E-2</v>
      </c>
      <c r="H20" s="25">
        <v>0.14327700350426639</v>
      </c>
      <c r="I20" s="21">
        <v>1.67</v>
      </c>
      <c r="J20" s="21">
        <v>1.67</v>
      </c>
      <c r="K20" s="3" t="s">
        <v>42</v>
      </c>
      <c r="L20" s="3" t="s">
        <v>42</v>
      </c>
    </row>
    <row r="21" spans="1:12" ht="21.95" customHeight="1">
      <c r="A21" s="28" t="s">
        <v>106</v>
      </c>
      <c r="B21" s="29"/>
      <c r="C21" s="29"/>
      <c r="D21" s="30"/>
      <c r="E21" s="28" t="s">
        <v>107</v>
      </c>
      <c r="F21" s="29"/>
      <c r="G21" s="29"/>
      <c r="H21" s="30"/>
      <c r="I21" s="28" t="s">
        <v>108</v>
      </c>
      <c r="J21" s="29"/>
      <c r="K21" s="29"/>
      <c r="L21" s="30"/>
    </row>
    <row r="22" spans="1:12" ht="21.95" customHeight="1"/>
    <row r="23" spans="1:12" ht="21.95" customHeight="1"/>
    <row r="24" spans="1:12" ht="21.95" customHeight="1"/>
    <row r="25" spans="1:12" ht="21.95" customHeight="1"/>
    <row r="26" spans="1:12" ht="21.95" customHeight="1"/>
    <row r="27" spans="1:12" ht="21.95" customHeight="1"/>
    <row r="28" spans="1:12" ht="21.95" customHeight="1"/>
    <row r="29" spans="1:12" ht="21.95" customHeight="1"/>
    <row r="30" spans="1:12" ht="21.95" customHeight="1"/>
    <row r="31" spans="1:12" ht="21.95" customHeight="1"/>
    <row r="32" spans="1:1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8" ht="32.1" customHeight="1"/>
  </sheetData>
  <mergeCells count="36">
    <mergeCell ref="G2:I2"/>
    <mergeCell ref="A11:L11"/>
    <mergeCell ref="G9:I9"/>
    <mergeCell ref="A14:L14"/>
    <mergeCell ref="A1:L1"/>
    <mergeCell ref="A6:C6"/>
    <mergeCell ref="D6:F6"/>
    <mergeCell ref="E21:H21"/>
    <mergeCell ref="J9:L9"/>
    <mergeCell ref="A7:C7"/>
    <mergeCell ref="G7:I7"/>
    <mergeCell ref="A8:L8"/>
    <mergeCell ref="G4:I4"/>
    <mergeCell ref="D9:F9"/>
    <mergeCell ref="I21:L21"/>
    <mergeCell ref="A4:C4"/>
    <mergeCell ref="A10:L10"/>
    <mergeCell ref="D5:F5"/>
    <mergeCell ref="A13:L13"/>
    <mergeCell ref="A9:C9"/>
    <mergeCell ref="A21:D21"/>
    <mergeCell ref="D2:F2"/>
    <mergeCell ref="J6:L6"/>
    <mergeCell ref="G6:I6"/>
    <mergeCell ref="J4:L4"/>
    <mergeCell ref="A3:L3"/>
    <mergeCell ref="A2:C2"/>
    <mergeCell ref="D7:F7"/>
    <mergeCell ref="A5:C5"/>
    <mergeCell ref="G5:I5"/>
    <mergeCell ref="D4:F4"/>
    <mergeCell ref="J2:L2"/>
    <mergeCell ref="A16:L16"/>
    <mergeCell ref="A12:L12"/>
    <mergeCell ref="A15:L15"/>
    <mergeCell ref="J5:L5"/>
  </mergeCells>
  <phoneticPr fontId="5" type="noConversion"/>
  <pageMargins left="0.75" right="0.75" top="1" bottom="1" header="0.5" footer="0.5"/>
  <headerFooter>
    <oddHeader>&amp;L&amp;C&amp;BMR12-03(001)A_Template&amp;B&amp;RMR12-03(001)A  生效日: 2025-12-21</oddHeader>
    <evenHeader>&amp;L&amp;C&amp;BMR12-03(001)A_Template&amp;B&amp;RMR12-03(001)A  生效日: 2025-12-21</even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9"/>
  <sheetViews>
    <sheetView zoomScale="80" zoomScaleNormal="80" workbookViewId="0">
      <selection activeCell="M10" sqref="M10"/>
    </sheetView>
  </sheetViews>
  <sheetFormatPr defaultRowHeight="15.75"/>
  <cols>
    <col min="1" max="35" width="18" customWidth="1"/>
  </cols>
  <sheetData>
    <row r="1" spans="1:17" ht="21">
      <c r="A1" s="1" t="s">
        <v>50</v>
      </c>
    </row>
    <row r="3" spans="1:17" ht="17.25">
      <c r="A3" s="4" t="s">
        <v>51</v>
      </c>
      <c r="D3" s="16"/>
      <c r="F3" s="16"/>
      <c r="P3" s="4" t="s">
        <v>52</v>
      </c>
    </row>
    <row r="4" spans="1:17">
      <c r="A4" s="8" t="s">
        <v>53</v>
      </c>
      <c r="B4" s="14">
        <v>0</v>
      </c>
      <c r="P4" s="9" t="s">
        <v>54</v>
      </c>
      <c r="Q4" s="9">
        <v>137.75</v>
      </c>
    </row>
    <row r="5" spans="1:17">
      <c r="A5" s="8" t="s">
        <v>55</v>
      </c>
      <c r="B5" s="14">
        <v>1000</v>
      </c>
      <c r="P5" s="9" t="s">
        <v>56</v>
      </c>
      <c r="Q5" s="9">
        <v>172.96008378291651</v>
      </c>
    </row>
    <row r="6" spans="1:17" ht="94.5">
      <c r="A6" s="8" t="s">
        <v>57</v>
      </c>
      <c r="B6" s="11" t="s">
        <v>58</v>
      </c>
      <c r="E6" s="5" t="s">
        <v>59</v>
      </c>
      <c r="F6" s="6">
        <f>SUM(B10:B209)/SUM(C10:C209)</f>
        <v>137.75</v>
      </c>
      <c r="H6" s="5" t="s">
        <v>60</v>
      </c>
      <c r="I6" s="6">
        <f>_xlfn.STDEV.S(H10:H209)</f>
        <v>5.5615881259775053</v>
      </c>
      <c r="P6" s="9" t="s">
        <v>61</v>
      </c>
      <c r="Q6" s="9">
        <v>102.5399162170835</v>
      </c>
    </row>
    <row r="9" spans="1:17">
      <c r="A9" s="7" t="s">
        <v>62</v>
      </c>
      <c r="B9" s="7" t="s">
        <v>63</v>
      </c>
      <c r="C9" s="7" t="s">
        <v>64</v>
      </c>
      <c r="D9" s="7" t="s">
        <v>65</v>
      </c>
      <c r="E9" s="7" t="s">
        <v>66</v>
      </c>
      <c r="F9" s="7" t="s">
        <v>67</v>
      </c>
      <c r="G9" s="7" t="s">
        <v>68</v>
      </c>
      <c r="H9" s="7" t="s">
        <v>69</v>
      </c>
      <c r="I9" s="7" t="s">
        <v>70</v>
      </c>
      <c r="J9" s="7" t="s">
        <v>71</v>
      </c>
      <c r="K9" s="7" t="s">
        <v>72</v>
      </c>
      <c r="L9" s="7" t="s">
        <v>73</v>
      </c>
      <c r="M9" s="7" t="s">
        <v>74</v>
      </c>
      <c r="N9" s="7" t="s">
        <v>75</v>
      </c>
    </row>
    <row r="10" spans="1:17">
      <c r="A10" s="14">
        <v>1</v>
      </c>
      <c r="B10" s="14">
        <v>275</v>
      </c>
      <c r="C10" s="14">
        <v>1</v>
      </c>
      <c r="D10" s="15">
        <f t="shared" ref="D10:D41" si="0">IF(C10=0,"",B10/C10)</f>
        <v>275</v>
      </c>
      <c r="E10" s="15">
        <f t="shared" ref="E10:E41" si="1">IF(C10=0,"",$F$6 + 3*SQRT($F$6/C10))</f>
        <v>172.96008378291651</v>
      </c>
      <c r="F10" s="15">
        <f t="shared" ref="F10:F41" si="2">$F$6</f>
        <v>137.75</v>
      </c>
      <c r="G10" s="15">
        <f t="shared" ref="G10:G41" si="3">IF(C10=0,"",MAX(0,$F$6 - 3*SQRT($F$6/C10)))</f>
        <v>102.53991621708349</v>
      </c>
      <c r="H10" s="15">
        <f t="shared" ref="H10:H41" si="4">IF(C10=0,"",(D10-$F$6)/SQRT($F$6/C10))</f>
        <v>11.694093162021272</v>
      </c>
      <c r="I10" s="15">
        <f t="shared" ref="I10:I41" si="5">$I$6</f>
        <v>5.5615881259775053</v>
      </c>
      <c r="J10" s="15">
        <f t="shared" ref="J10:J41" si="6">IF(C10=0,"",$F$6 + 3*$I$6*SQRT($F$6/C10))</f>
        <v>333.57398388174158</v>
      </c>
      <c r="K10" s="15">
        <f t="shared" ref="K10:K41" si="7">$F$6</f>
        <v>137.75</v>
      </c>
      <c r="L10" s="15">
        <f t="shared" ref="L10:L41" si="8">IF(C10=0,"",MAX(0,$F$6 - 3*$I$6*SQRT($F$6/C10)))</f>
        <v>0</v>
      </c>
      <c r="M10" s="14" t="str">
        <f>IF(OR(D10&gt;E10,D10&lt;G10),"Y","N")</f>
        <v>Y</v>
      </c>
      <c r="N10" s="12" t="str">
        <f>IF(OR(D10&gt;J10,D10&lt;L10),"Y","N")</f>
        <v>N</v>
      </c>
    </row>
    <row r="11" spans="1:17">
      <c r="A11" s="14">
        <v>2</v>
      </c>
      <c r="B11" s="14">
        <v>124</v>
      </c>
      <c r="C11" s="14">
        <v>1</v>
      </c>
      <c r="D11" s="15">
        <f t="shared" si="0"/>
        <v>124</v>
      </c>
      <c r="E11" s="15">
        <f t="shared" si="1"/>
        <v>172.96008378291651</v>
      </c>
      <c r="F11" s="15">
        <f t="shared" si="2"/>
        <v>137.75</v>
      </c>
      <c r="G11" s="15">
        <f t="shared" si="3"/>
        <v>102.53991621708349</v>
      </c>
      <c r="H11" s="15">
        <f t="shared" si="4"/>
        <v>-1.1715393878163387</v>
      </c>
      <c r="I11" s="15">
        <f t="shared" si="5"/>
        <v>5.5615881259775053</v>
      </c>
      <c r="J11" s="15">
        <f t="shared" si="6"/>
        <v>333.57398388174158</v>
      </c>
      <c r="K11" s="15">
        <f t="shared" si="7"/>
        <v>137.75</v>
      </c>
      <c r="L11" s="15">
        <f t="shared" si="8"/>
        <v>0</v>
      </c>
      <c r="M11" s="14" t="str">
        <f t="shared" ref="M11:M34" si="9">IF(OR(D11&gt;E11,D11&lt;G11),"Y","N")</f>
        <v>N</v>
      </c>
      <c r="N11" s="12" t="str">
        <f t="shared" ref="N11:N74" si="10">IF(OR(D11&gt;J11,D11&lt;L11),"Y","N")</f>
        <v>N</v>
      </c>
    </row>
    <row r="12" spans="1:17">
      <c r="A12" s="14">
        <v>3</v>
      </c>
      <c r="B12" s="14">
        <v>147</v>
      </c>
      <c r="C12" s="14">
        <v>1</v>
      </c>
      <c r="D12" s="15">
        <f t="shared" si="0"/>
        <v>147</v>
      </c>
      <c r="E12" s="15">
        <f t="shared" si="1"/>
        <v>172.96008378291651</v>
      </c>
      <c r="F12" s="15">
        <f t="shared" si="2"/>
        <v>137.75</v>
      </c>
      <c r="G12" s="15">
        <f t="shared" si="3"/>
        <v>102.53991621708349</v>
      </c>
      <c r="H12" s="15">
        <f t="shared" si="4"/>
        <v>0.78812649725826422</v>
      </c>
      <c r="I12" s="15">
        <f t="shared" si="5"/>
        <v>5.5615881259775053</v>
      </c>
      <c r="J12" s="15">
        <f t="shared" si="6"/>
        <v>333.57398388174158</v>
      </c>
      <c r="K12" s="15">
        <f t="shared" si="7"/>
        <v>137.75</v>
      </c>
      <c r="L12" s="15">
        <f t="shared" si="8"/>
        <v>0</v>
      </c>
      <c r="M12" s="14" t="str">
        <f t="shared" si="9"/>
        <v>N</v>
      </c>
      <c r="N12" s="12" t="str">
        <f t="shared" si="10"/>
        <v>N</v>
      </c>
    </row>
    <row r="13" spans="1:17">
      <c r="A13" s="14">
        <v>4</v>
      </c>
      <c r="B13" s="14">
        <v>146</v>
      </c>
      <c r="C13" s="14">
        <v>1</v>
      </c>
      <c r="D13" s="15">
        <f t="shared" si="0"/>
        <v>146</v>
      </c>
      <c r="E13" s="15">
        <f t="shared" si="1"/>
        <v>172.96008378291651</v>
      </c>
      <c r="F13" s="15">
        <f t="shared" si="2"/>
        <v>137.75</v>
      </c>
      <c r="G13" s="15">
        <f t="shared" si="3"/>
        <v>102.53991621708349</v>
      </c>
      <c r="H13" s="15">
        <f t="shared" si="4"/>
        <v>0.70292363268980318</v>
      </c>
      <c r="I13" s="15">
        <f t="shared" si="5"/>
        <v>5.5615881259775053</v>
      </c>
      <c r="J13" s="15">
        <f t="shared" si="6"/>
        <v>333.57398388174158</v>
      </c>
      <c r="K13" s="15">
        <f t="shared" si="7"/>
        <v>137.75</v>
      </c>
      <c r="L13" s="15">
        <f t="shared" si="8"/>
        <v>0</v>
      </c>
      <c r="M13" s="14" t="str">
        <f t="shared" si="9"/>
        <v>N</v>
      </c>
      <c r="N13" s="12" t="str">
        <f t="shared" si="10"/>
        <v>N</v>
      </c>
    </row>
    <row r="14" spans="1:17">
      <c r="A14" s="14">
        <v>5</v>
      </c>
      <c r="B14" s="14">
        <v>172</v>
      </c>
      <c r="C14" s="14">
        <v>1</v>
      </c>
      <c r="D14" s="15">
        <f t="shared" si="0"/>
        <v>172</v>
      </c>
      <c r="E14" s="15">
        <f t="shared" si="1"/>
        <v>172.96008378291651</v>
      </c>
      <c r="F14" s="15">
        <f t="shared" si="2"/>
        <v>137.75</v>
      </c>
      <c r="G14" s="15">
        <f t="shared" si="3"/>
        <v>102.53991621708349</v>
      </c>
      <c r="H14" s="15">
        <f t="shared" si="4"/>
        <v>2.9181981114697892</v>
      </c>
      <c r="I14" s="15">
        <f t="shared" si="5"/>
        <v>5.5615881259775053</v>
      </c>
      <c r="J14" s="15">
        <f t="shared" si="6"/>
        <v>333.57398388174158</v>
      </c>
      <c r="K14" s="15">
        <f t="shared" si="7"/>
        <v>137.75</v>
      </c>
      <c r="L14" s="15">
        <f t="shared" si="8"/>
        <v>0</v>
      </c>
      <c r="M14" s="14" t="str">
        <f t="shared" si="9"/>
        <v>N</v>
      </c>
      <c r="N14" s="12" t="str">
        <f t="shared" si="10"/>
        <v>N</v>
      </c>
    </row>
    <row r="15" spans="1:17">
      <c r="A15" s="14">
        <v>6</v>
      </c>
      <c r="B15" s="14">
        <v>158</v>
      </c>
      <c r="C15" s="14">
        <v>1</v>
      </c>
      <c r="D15" s="15">
        <f t="shared" si="0"/>
        <v>158</v>
      </c>
      <c r="E15" s="15">
        <f t="shared" si="1"/>
        <v>172.96008378291651</v>
      </c>
      <c r="F15" s="15">
        <f t="shared" si="2"/>
        <v>137.75</v>
      </c>
      <c r="G15" s="15">
        <f t="shared" si="3"/>
        <v>102.53991621708349</v>
      </c>
      <c r="H15" s="15">
        <f t="shared" si="4"/>
        <v>1.7253580075113351</v>
      </c>
      <c r="I15" s="15">
        <f t="shared" si="5"/>
        <v>5.5615881259775053</v>
      </c>
      <c r="J15" s="15">
        <f t="shared" si="6"/>
        <v>333.57398388174158</v>
      </c>
      <c r="K15" s="15">
        <f t="shared" si="7"/>
        <v>137.75</v>
      </c>
      <c r="L15" s="15">
        <f t="shared" si="8"/>
        <v>0</v>
      </c>
      <c r="M15" s="14" t="str">
        <f t="shared" si="9"/>
        <v>N</v>
      </c>
      <c r="N15" s="12" t="str">
        <f t="shared" si="10"/>
        <v>N</v>
      </c>
    </row>
    <row r="16" spans="1:17">
      <c r="A16" s="14">
        <v>7</v>
      </c>
      <c r="B16" s="14">
        <v>162</v>
      </c>
      <c r="C16" s="14">
        <v>1</v>
      </c>
      <c r="D16" s="15">
        <f t="shared" si="0"/>
        <v>162</v>
      </c>
      <c r="E16" s="15">
        <f t="shared" si="1"/>
        <v>172.96008378291651</v>
      </c>
      <c r="F16" s="15">
        <f t="shared" si="2"/>
        <v>137.75</v>
      </c>
      <c r="G16" s="15">
        <f t="shared" si="3"/>
        <v>102.53991621708349</v>
      </c>
      <c r="H16" s="15">
        <f t="shared" si="4"/>
        <v>2.0661694657851792</v>
      </c>
      <c r="I16" s="15">
        <f t="shared" si="5"/>
        <v>5.5615881259775053</v>
      </c>
      <c r="J16" s="15">
        <f t="shared" si="6"/>
        <v>333.57398388174158</v>
      </c>
      <c r="K16" s="15">
        <f t="shared" si="7"/>
        <v>137.75</v>
      </c>
      <c r="L16" s="15">
        <f t="shared" si="8"/>
        <v>0</v>
      </c>
      <c r="M16" s="14" t="str">
        <f t="shared" si="9"/>
        <v>N</v>
      </c>
      <c r="N16" s="12" t="str">
        <f t="shared" si="10"/>
        <v>N</v>
      </c>
    </row>
    <row r="17" spans="1:14">
      <c r="A17" s="14">
        <v>8</v>
      </c>
      <c r="B17" s="14">
        <v>162</v>
      </c>
      <c r="C17" s="14">
        <v>1</v>
      </c>
      <c r="D17" s="15">
        <f t="shared" si="0"/>
        <v>162</v>
      </c>
      <c r="E17" s="15">
        <f t="shared" si="1"/>
        <v>172.96008378291651</v>
      </c>
      <c r="F17" s="15">
        <f t="shared" si="2"/>
        <v>137.75</v>
      </c>
      <c r="G17" s="15">
        <f t="shared" si="3"/>
        <v>102.53991621708349</v>
      </c>
      <c r="H17" s="15">
        <f t="shared" si="4"/>
        <v>2.0661694657851792</v>
      </c>
      <c r="I17" s="15">
        <f t="shared" si="5"/>
        <v>5.5615881259775053</v>
      </c>
      <c r="J17" s="15">
        <f t="shared" si="6"/>
        <v>333.57398388174158</v>
      </c>
      <c r="K17" s="15">
        <f t="shared" si="7"/>
        <v>137.75</v>
      </c>
      <c r="L17" s="15">
        <f t="shared" si="8"/>
        <v>0</v>
      </c>
      <c r="M17" s="14" t="str">
        <f t="shared" si="9"/>
        <v>N</v>
      </c>
      <c r="N17" s="12" t="str">
        <f t="shared" si="10"/>
        <v>N</v>
      </c>
    </row>
    <row r="18" spans="1:14">
      <c r="A18" s="14">
        <v>9</v>
      </c>
      <c r="B18" s="14">
        <v>203</v>
      </c>
      <c r="C18" s="14">
        <v>1</v>
      </c>
      <c r="D18" s="15">
        <f t="shared" si="0"/>
        <v>203</v>
      </c>
      <c r="E18" s="15">
        <f t="shared" si="1"/>
        <v>172.96008378291651</v>
      </c>
      <c r="F18" s="15">
        <f t="shared" si="2"/>
        <v>137.75</v>
      </c>
      <c r="G18" s="15">
        <f t="shared" si="3"/>
        <v>102.53991621708349</v>
      </c>
      <c r="H18" s="15">
        <f t="shared" si="4"/>
        <v>5.5594869130920799</v>
      </c>
      <c r="I18" s="15">
        <f t="shared" si="5"/>
        <v>5.5615881259775053</v>
      </c>
      <c r="J18" s="15">
        <f t="shared" si="6"/>
        <v>333.57398388174158</v>
      </c>
      <c r="K18" s="15">
        <f t="shared" si="7"/>
        <v>137.75</v>
      </c>
      <c r="L18" s="15">
        <f t="shared" si="8"/>
        <v>0</v>
      </c>
      <c r="M18" s="14" t="str">
        <f t="shared" si="9"/>
        <v>Y</v>
      </c>
      <c r="N18" s="12" t="str">
        <f t="shared" si="10"/>
        <v>N</v>
      </c>
    </row>
    <row r="19" spans="1:14">
      <c r="A19" s="14">
        <v>10</v>
      </c>
      <c r="B19" s="14">
        <v>239</v>
      </c>
      <c r="C19" s="14">
        <v>1</v>
      </c>
      <c r="D19" s="15">
        <f t="shared" si="0"/>
        <v>239</v>
      </c>
      <c r="E19" s="15">
        <f t="shared" si="1"/>
        <v>172.96008378291651</v>
      </c>
      <c r="F19" s="15">
        <f t="shared" si="2"/>
        <v>137.75</v>
      </c>
      <c r="G19" s="15">
        <f t="shared" si="3"/>
        <v>102.53991621708349</v>
      </c>
      <c r="H19" s="15">
        <f t="shared" si="4"/>
        <v>8.6267900375566757</v>
      </c>
      <c r="I19" s="15">
        <f t="shared" si="5"/>
        <v>5.5615881259775053</v>
      </c>
      <c r="J19" s="15">
        <f t="shared" si="6"/>
        <v>333.57398388174158</v>
      </c>
      <c r="K19" s="15">
        <f t="shared" si="7"/>
        <v>137.75</v>
      </c>
      <c r="L19" s="15">
        <f t="shared" si="8"/>
        <v>0</v>
      </c>
      <c r="M19" s="14" t="str">
        <f t="shared" si="9"/>
        <v>Y</v>
      </c>
      <c r="N19" s="12" t="str">
        <f t="shared" si="10"/>
        <v>N</v>
      </c>
    </row>
    <row r="20" spans="1:14">
      <c r="A20" s="14">
        <v>11</v>
      </c>
      <c r="B20" s="14">
        <v>228</v>
      </c>
      <c r="C20" s="14">
        <v>1</v>
      </c>
      <c r="D20" s="15">
        <f t="shared" si="0"/>
        <v>228</v>
      </c>
      <c r="E20" s="15">
        <f t="shared" si="1"/>
        <v>172.96008378291651</v>
      </c>
      <c r="F20" s="15">
        <f t="shared" si="2"/>
        <v>137.75</v>
      </c>
      <c r="G20" s="15">
        <f t="shared" si="3"/>
        <v>102.53991621708349</v>
      </c>
      <c r="H20" s="15">
        <f t="shared" si="4"/>
        <v>7.6895585273036051</v>
      </c>
      <c r="I20" s="15">
        <f t="shared" si="5"/>
        <v>5.5615881259775053</v>
      </c>
      <c r="J20" s="15">
        <f t="shared" si="6"/>
        <v>333.57398388174158</v>
      </c>
      <c r="K20" s="15">
        <f t="shared" si="7"/>
        <v>137.75</v>
      </c>
      <c r="L20" s="15">
        <f t="shared" si="8"/>
        <v>0</v>
      </c>
      <c r="M20" s="14" t="str">
        <f t="shared" si="9"/>
        <v>Y</v>
      </c>
      <c r="N20" s="12" t="str">
        <f t="shared" si="10"/>
        <v>N</v>
      </c>
    </row>
    <row r="21" spans="1:14">
      <c r="A21" s="14">
        <v>12</v>
      </c>
      <c r="B21" s="14">
        <v>210</v>
      </c>
      <c r="C21" s="14">
        <v>1</v>
      </c>
      <c r="D21" s="15">
        <f t="shared" si="0"/>
        <v>210</v>
      </c>
      <c r="E21" s="15">
        <f t="shared" si="1"/>
        <v>172.96008378291651</v>
      </c>
      <c r="F21" s="15">
        <f t="shared" si="2"/>
        <v>137.75</v>
      </c>
      <c r="G21" s="15">
        <f t="shared" si="3"/>
        <v>102.53991621708349</v>
      </c>
      <c r="H21" s="15">
        <f t="shared" si="4"/>
        <v>6.1559069650713072</v>
      </c>
      <c r="I21" s="15">
        <f t="shared" si="5"/>
        <v>5.5615881259775053</v>
      </c>
      <c r="J21" s="15">
        <f t="shared" si="6"/>
        <v>333.57398388174158</v>
      </c>
      <c r="K21" s="15">
        <f t="shared" si="7"/>
        <v>137.75</v>
      </c>
      <c r="L21" s="15">
        <f t="shared" si="8"/>
        <v>0</v>
      </c>
      <c r="M21" s="14" t="str">
        <f t="shared" si="9"/>
        <v>Y</v>
      </c>
      <c r="N21" s="12" t="str">
        <f t="shared" si="10"/>
        <v>N</v>
      </c>
    </row>
    <row r="22" spans="1:14">
      <c r="A22" s="14">
        <v>13</v>
      </c>
      <c r="B22" s="14">
        <v>206</v>
      </c>
      <c r="C22" s="14">
        <v>1</v>
      </c>
      <c r="D22" s="15">
        <f t="shared" si="0"/>
        <v>206</v>
      </c>
      <c r="E22" s="15">
        <f t="shared" si="1"/>
        <v>172.96008378291651</v>
      </c>
      <c r="F22" s="15">
        <f t="shared" si="2"/>
        <v>137.75</v>
      </c>
      <c r="G22" s="15">
        <f t="shared" si="3"/>
        <v>102.53991621708349</v>
      </c>
      <c r="H22" s="15">
        <f t="shared" si="4"/>
        <v>5.815095506797463</v>
      </c>
      <c r="I22" s="15">
        <f t="shared" si="5"/>
        <v>5.5615881259775053</v>
      </c>
      <c r="J22" s="15">
        <f t="shared" si="6"/>
        <v>333.57398388174158</v>
      </c>
      <c r="K22" s="15">
        <f t="shared" si="7"/>
        <v>137.75</v>
      </c>
      <c r="L22" s="15">
        <f t="shared" si="8"/>
        <v>0</v>
      </c>
      <c r="M22" s="14" t="str">
        <f t="shared" si="9"/>
        <v>Y</v>
      </c>
      <c r="N22" s="12" t="str">
        <f t="shared" si="10"/>
        <v>N</v>
      </c>
    </row>
    <row r="23" spans="1:14">
      <c r="A23" s="14">
        <v>14</v>
      </c>
      <c r="B23" s="14">
        <v>221</v>
      </c>
      <c r="C23" s="14">
        <v>1</v>
      </c>
      <c r="D23" s="15">
        <f t="shared" si="0"/>
        <v>221</v>
      </c>
      <c r="E23" s="15">
        <f t="shared" si="1"/>
        <v>172.96008378291651</v>
      </c>
      <c r="F23" s="15">
        <f t="shared" si="2"/>
        <v>137.75</v>
      </c>
      <c r="G23" s="15">
        <f t="shared" si="3"/>
        <v>102.53991621708349</v>
      </c>
      <c r="H23" s="15">
        <f t="shared" si="4"/>
        <v>7.0931384753243778</v>
      </c>
      <c r="I23" s="15">
        <f t="shared" si="5"/>
        <v>5.5615881259775053</v>
      </c>
      <c r="J23" s="15">
        <f t="shared" si="6"/>
        <v>333.57398388174158</v>
      </c>
      <c r="K23" s="15">
        <f t="shared" si="7"/>
        <v>137.75</v>
      </c>
      <c r="L23" s="15">
        <f t="shared" si="8"/>
        <v>0</v>
      </c>
      <c r="M23" s="14" t="str">
        <f t="shared" si="9"/>
        <v>Y</v>
      </c>
      <c r="N23" s="12" t="str">
        <f t="shared" si="10"/>
        <v>N</v>
      </c>
    </row>
    <row r="24" spans="1:14">
      <c r="A24" s="14">
        <v>15</v>
      </c>
      <c r="B24" s="14">
        <v>214</v>
      </c>
      <c r="C24" s="14">
        <v>1</v>
      </c>
      <c r="D24" s="15">
        <f t="shared" si="0"/>
        <v>214</v>
      </c>
      <c r="E24" s="15">
        <f t="shared" si="1"/>
        <v>172.96008378291651</v>
      </c>
      <c r="F24" s="15">
        <f t="shared" si="2"/>
        <v>137.75</v>
      </c>
      <c r="G24" s="15">
        <f t="shared" si="3"/>
        <v>102.53991621708349</v>
      </c>
      <c r="H24" s="15">
        <f t="shared" si="4"/>
        <v>6.4967184233451505</v>
      </c>
      <c r="I24" s="15">
        <f t="shared" si="5"/>
        <v>5.5615881259775053</v>
      </c>
      <c r="J24" s="15">
        <f t="shared" si="6"/>
        <v>333.57398388174158</v>
      </c>
      <c r="K24" s="15">
        <f t="shared" si="7"/>
        <v>137.75</v>
      </c>
      <c r="L24" s="15">
        <f t="shared" si="8"/>
        <v>0</v>
      </c>
      <c r="M24" s="14" t="str">
        <f t="shared" si="9"/>
        <v>Y</v>
      </c>
      <c r="N24" s="12" t="str">
        <f t="shared" si="10"/>
        <v>N</v>
      </c>
    </row>
    <row r="25" spans="1:14">
      <c r="A25" s="14">
        <v>16</v>
      </c>
      <c r="B25" s="14">
        <v>242</v>
      </c>
      <c r="C25" s="14">
        <v>1</v>
      </c>
      <c r="D25" s="15">
        <f t="shared" si="0"/>
        <v>242</v>
      </c>
      <c r="E25" s="15">
        <f t="shared" si="1"/>
        <v>172.96008378291651</v>
      </c>
      <c r="F25" s="15">
        <f t="shared" si="2"/>
        <v>137.75</v>
      </c>
      <c r="G25" s="15">
        <f t="shared" si="3"/>
        <v>102.53991621708349</v>
      </c>
      <c r="H25" s="15">
        <f t="shared" si="4"/>
        <v>8.882398631262058</v>
      </c>
      <c r="I25" s="15">
        <f t="shared" si="5"/>
        <v>5.5615881259775053</v>
      </c>
      <c r="J25" s="15">
        <f t="shared" si="6"/>
        <v>333.57398388174158</v>
      </c>
      <c r="K25" s="15">
        <f t="shared" si="7"/>
        <v>137.75</v>
      </c>
      <c r="L25" s="15">
        <f t="shared" si="8"/>
        <v>0</v>
      </c>
      <c r="M25" s="14" t="str">
        <f t="shared" si="9"/>
        <v>Y</v>
      </c>
      <c r="N25" s="12" t="str">
        <f t="shared" si="10"/>
        <v>N</v>
      </c>
    </row>
    <row r="26" spans="1:14">
      <c r="A26" s="14">
        <v>17</v>
      </c>
      <c r="B26" s="14">
        <v>247</v>
      </c>
      <c r="C26" s="14">
        <v>1</v>
      </c>
      <c r="D26" s="15">
        <f t="shared" si="0"/>
        <v>247</v>
      </c>
      <c r="E26" s="15">
        <f t="shared" si="1"/>
        <v>172.96008378291651</v>
      </c>
      <c r="F26" s="15">
        <f t="shared" si="2"/>
        <v>137.75</v>
      </c>
      <c r="G26" s="15">
        <f t="shared" si="3"/>
        <v>102.53991621708349</v>
      </c>
      <c r="H26" s="15">
        <f t="shared" si="4"/>
        <v>9.3084129541043641</v>
      </c>
      <c r="I26" s="15">
        <f t="shared" si="5"/>
        <v>5.5615881259775053</v>
      </c>
      <c r="J26" s="15">
        <f t="shared" si="6"/>
        <v>333.57398388174158</v>
      </c>
      <c r="K26" s="15">
        <f t="shared" si="7"/>
        <v>137.75</v>
      </c>
      <c r="L26" s="15">
        <f t="shared" si="8"/>
        <v>0</v>
      </c>
      <c r="M26" s="14" t="str">
        <f t="shared" si="9"/>
        <v>Y</v>
      </c>
      <c r="N26" s="12" t="str">
        <f t="shared" si="10"/>
        <v>N</v>
      </c>
    </row>
    <row r="27" spans="1:14">
      <c r="A27" s="14">
        <v>18</v>
      </c>
      <c r="B27" s="14">
        <v>252</v>
      </c>
      <c r="C27" s="14">
        <v>1</v>
      </c>
      <c r="D27" s="15">
        <f t="shared" si="0"/>
        <v>252</v>
      </c>
      <c r="E27" s="15">
        <f t="shared" si="1"/>
        <v>172.96008378291651</v>
      </c>
      <c r="F27" s="15">
        <f t="shared" si="2"/>
        <v>137.75</v>
      </c>
      <c r="G27" s="15">
        <f t="shared" si="3"/>
        <v>102.53991621708349</v>
      </c>
      <c r="H27" s="15">
        <f t="shared" si="4"/>
        <v>9.7344272769466684</v>
      </c>
      <c r="I27" s="15">
        <f t="shared" si="5"/>
        <v>5.5615881259775053</v>
      </c>
      <c r="J27" s="15">
        <f t="shared" si="6"/>
        <v>333.57398388174158</v>
      </c>
      <c r="K27" s="15">
        <f t="shared" si="7"/>
        <v>137.75</v>
      </c>
      <c r="L27" s="15">
        <f t="shared" si="8"/>
        <v>0</v>
      </c>
      <c r="M27" s="14" t="str">
        <f t="shared" si="9"/>
        <v>Y</v>
      </c>
      <c r="N27" s="12" t="str">
        <f t="shared" si="10"/>
        <v>N</v>
      </c>
    </row>
    <row r="28" spans="1:14">
      <c r="A28" s="14">
        <v>19</v>
      </c>
      <c r="B28" s="14">
        <v>298</v>
      </c>
      <c r="C28" s="14">
        <v>1</v>
      </c>
      <c r="D28" s="15">
        <f t="shared" si="0"/>
        <v>298</v>
      </c>
      <c r="E28" s="15">
        <f t="shared" si="1"/>
        <v>172.96008378291651</v>
      </c>
      <c r="F28" s="15">
        <f t="shared" si="2"/>
        <v>137.75</v>
      </c>
      <c r="G28" s="15">
        <f t="shared" si="3"/>
        <v>102.53991621708349</v>
      </c>
      <c r="H28" s="15">
        <f t="shared" si="4"/>
        <v>13.653759047095875</v>
      </c>
      <c r="I28" s="15">
        <f t="shared" si="5"/>
        <v>5.5615881259775053</v>
      </c>
      <c r="J28" s="15">
        <f t="shared" si="6"/>
        <v>333.57398388174158</v>
      </c>
      <c r="K28" s="15">
        <f t="shared" si="7"/>
        <v>137.75</v>
      </c>
      <c r="L28" s="15">
        <f t="shared" si="8"/>
        <v>0</v>
      </c>
      <c r="M28" s="14" t="str">
        <f t="shared" si="9"/>
        <v>Y</v>
      </c>
      <c r="N28" s="12" t="str">
        <f t="shared" si="10"/>
        <v>N</v>
      </c>
    </row>
    <row r="29" spans="1:14">
      <c r="A29" s="14">
        <v>20</v>
      </c>
      <c r="B29" s="14">
        <v>260</v>
      </c>
      <c r="C29" s="14">
        <v>1</v>
      </c>
      <c r="D29" s="15">
        <f t="shared" si="0"/>
        <v>260</v>
      </c>
      <c r="E29" s="15">
        <f t="shared" si="1"/>
        <v>172.96008378291651</v>
      </c>
      <c r="F29" s="15">
        <f t="shared" si="2"/>
        <v>137.75</v>
      </c>
      <c r="G29" s="15">
        <f t="shared" si="3"/>
        <v>102.53991621708349</v>
      </c>
      <c r="H29" s="15">
        <f t="shared" si="4"/>
        <v>10.416050193494357</v>
      </c>
      <c r="I29" s="15">
        <f t="shared" si="5"/>
        <v>5.5615881259775053</v>
      </c>
      <c r="J29" s="15">
        <f t="shared" si="6"/>
        <v>333.57398388174158</v>
      </c>
      <c r="K29" s="15">
        <f t="shared" si="7"/>
        <v>137.75</v>
      </c>
      <c r="L29" s="15">
        <f t="shared" si="8"/>
        <v>0</v>
      </c>
      <c r="M29" s="14" t="str">
        <f t="shared" si="9"/>
        <v>Y</v>
      </c>
      <c r="N29" s="12" t="str">
        <f t="shared" si="10"/>
        <v>N</v>
      </c>
    </row>
    <row r="30" spans="1:14">
      <c r="A30" s="14">
        <v>21</v>
      </c>
      <c r="B30" s="14">
        <v>79</v>
      </c>
      <c r="C30" s="14">
        <v>1</v>
      </c>
      <c r="D30" s="15">
        <f t="shared" si="0"/>
        <v>79</v>
      </c>
      <c r="E30" s="15">
        <f t="shared" si="1"/>
        <v>172.96008378291651</v>
      </c>
      <c r="F30" s="15">
        <f t="shared" si="2"/>
        <v>137.75</v>
      </c>
      <c r="G30" s="15">
        <f t="shared" si="3"/>
        <v>102.53991621708349</v>
      </c>
      <c r="H30" s="15">
        <f t="shared" si="4"/>
        <v>-5.0056682933970835</v>
      </c>
      <c r="I30" s="15">
        <f t="shared" si="5"/>
        <v>5.5615881259775053</v>
      </c>
      <c r="J30" s="15">
        <f t="shared" si="6"/>
        <v>333.57398388174158</v>
      </c>
      <c r="K30" s="15">
        <f t="shared" si="7"/>
        <v>137.75</v>
      </c>
      <c r="L30" s="15">
        <f t="shared" si="8"/>
        <v>0</v>
      </c>
      <c r="M30" s="14" t="str">
        <f t="shared" si="9"/>
        <v>Y</v>
      </c>
      <c r="N30" s="12" t="str">
        <f t="shared" si="10"/>
        <v>N</v>
      </c>
    </row>
    <row r="31" spans="1:14">
      <c r="A31" s="14">
        <v>22</v>
      </c>
      <c r="B31" s="14">
        <v>71</v>
      </c>
      <c r="C31" s="14">
        <v>1</v>
      </c>
      <c r="D31" s="15">
        <f t="shared" si="0"/>
        <v>71</v>
      </c>
      <c r="E31" s="15">
        <f t="shared" si="1"/>
        <v>172.96008378291651</v>
      </c>
      <c r="F31" s="15">
        <f t="shared" si="2"/>
        <v>137.75</v>
      </c>
      <c r="G31" s="15">
        <f t="shared" si="3"/>
        <v>102.53991621708349</v>
      </c>
      <c r="H31" s="15">
        <f t="shared" si="4"/>
        <v>-5.6872912099447719</v>
      </c>
      <c r="I31" s="15">
        <f t="shared" si="5"/>
        <v>5.5615881259775053</v>
      </c>
      <c r="J31" s="15">
        <f t="shared" si="6"/>
        <v>333.57398388174158</v>
      </c>
      <c r="K31" s="15">
        <f t="shared" si="7"/>
        <v>137.75</v>
      </c>
      <c r="L31" s="15">
        <f t="shared" si="8"/>
        <v>0</v>
      </c>
      <c r="M31" s="14" t="str">
        <f t="shared" si="9"/>
        <v>Y</v>
      </c>
      <c r="N31" s="12" t="str">
        <f t="shared" si="10"/>
        <v>N</v>
      </c>
    </row>
    <row r="32" spans="1:14">
      <c r="A32" s="14">
        <v>23</v>
      </c>
      <c r="B32" s="14">
        <v>86</v>
      </c>
      <c r="C32" s="14">
        <v>1</v>
      </c>
      <c r="D32" s="15">
        <f t="shared" si="0"/>
        <v>86</v>
      </c>
      <c r="E32" s="15">
        <f t="shared" si="1"/>
        <v>172.96008378291651</v>
      </c>
      <c r="F32" s="15">
        <f t="shared" si="2"/>
        <v>137.75</v>
      </c>
      <c r="G32" s="15">
        <f t="shared" si="3"/>
        <v>102.53991621708349</v>
      </c>
      <c r="H32" s="15">
        <f t="shared" si="4"/>
        <v>-4.4092482414178562</v>
      </c>
      <c r="I32" s="15">
        <f t="shared" si="5"/>
        <v>5.5615881259775053</v>
      </c>
      <c r="J32" s="15">
        <f t="shared" si="6"/>
        <v>333.57398388174158</v>
      </c>
      <c r="K32" s="15">
        <f t="shared" si="7"/>
        <v>137.75</v>
      </c>
      <c r="L32" s="15">
        <f t="shared" si="8"/>
        <v>0</v>
      </c>
      <c r="M32" s="14" t="str">
        <f t="shared" si="9"/>
        <v>Y</v>
      </c>
      <c r="N32" s="12" t="str">
        <f t="shared" si="10"/>
        <v>N</v>
      </c>
    </row>
    <row r="33" spans="1:14">
      <c r="A33" s="14">
        <v>24</v>
      </c>
      <c r="B33" s="14">
        <v>70</v>
      </c>
      <c r="C33" s="14">
        <v>1</v>
      </c>
      <c r="D33" s="15">
        <f t="shared" si="0"/>
        <v>70</v>
      </c>
      <c r="E33" s="15">
        <f t="shared" si="1"/>
        <v>172.96008378291651</v>
      </c>
      <c r="F33" s="15">
        <f t="shared" si="2"/>
        <v>137.75</v>
      </c>
      <c r="G33" s="15">
        <f t="shared" si="3"/>
        <v>102.53991621708349</v>
      </c>
      <c r="H33" s="15">
        <f t="shared" si="4"/>
        <v>-5.772494074513232</v>
      </c>
      <c r="I33" s="15">
        <f t="shared" si="5"/>
        <v>5.5615881259775053</v>
      </c>
      <c r="J33" s="15">
        <f t="shared" si="6"/>
        <v>333.57398388174158</v>
      </c>
      <c r="K33" s="15">
        <f t="shared" si="7"/>
        <v>137.75</v>
      </c>
      <c r="L33" s="15">
        <f t="shared" si="8"/>
        <v>0</v>
      </c>
      <c r="M33" s="14" t="str">
        <f t="shared" si="9"/>
        <v>Y</v>
      </c>
      <c r="N33" s="12" t="str">
        <f t="shared" si="10"/>
        <v>N</v>
      </c>
    </row>
    <row r="34" spans="1:14">
      <c r="A34" s="14">
        <v>25</v>
      </c>
      <c r="B34" s="14">
        <v>77</v>
      </c>
      <c r="C34" s="14">
        <v>1</v>
      </c>
      <c r="D34" s="15">
        <f t="shared" si="0"/>
        <v>77</v>
      </c>
      <c r="E34" s="15">
        <f t="shared" si="1"/>
        <v>172.96008378291651</v>
      </c>
      <c r="F34" s="15">
        <f t="shared" si="2"/>
        <v>137.75</v>
      </c>
      <c r="G34" s="15">
        <f t="shared" si="3"/>
        <v>102.53991621708349</v>
      </c>
      <c r="H34" s="15">
        <f t="shared" si="4"/>
        <v>-5.1760740225340056</v>
      </c>
      <c r="I34" s="15">
        <f t="shared" si="5"/>
        <v>5.5615881259775053</v>
      </c>
      <c r="J34" s="15">
        <f t="shared" si="6"/>
        <v>333.57398388174158</v>
      </c>
      <c r="K34" s="15">
        <f t="shared" si="7"/>
        <v>137.75</v>
      </c>
      <c r="L34" s="15">
        <f t="shared" si="8"/>
        <v>0</v>
      </c>
      <c r="M34" s="14" t="str">
        <f t="shared" si="9"/>
        <v>Y</v>
      </c>
      <c r="N34" s="12" t="str">
        <f t="shared" si="10"/>
        <v>N</v>
      </c>
    </row>
    <row r="35" spans="1:14">
      <c r="A35" s="14">
        <v>26</v>
      </c>
      <c r="B35" s="14">
        <v>158</v>
      </c>
      <c r="C35" s="14">
        <v>1</v>
      </c>
      <c r="D35" s="15">
        <f t="shared" si="0"/>
        <v>158</v>
      </c>
      <c r="E35" s="15">
        <f t="shared" si="1"/>
        <v>172.96008378291651</v>
      </c>
      <c r="F35" s="15">
        <f t="shared" si="2"/>
        <v>137.75</v>
      </c>
      <c r="G35" s="15">
        <f t="shared" si="3"/>
        <v>102.53991621708349</v>
      </c>
      <c r="H35" s="15">
        <f t="shared" si="4"/>
        <v>1.7253580075113351</v>
      </c>
      <c r="I35" s="15">
        <f t="shared" si="5"/>
        <v>5.5615881259775053</v>
      </c>
      <c r="J35" s="15">
        <f t="shared" si="6"/>
        <v>333.57398388174158</v>
      </c>
      <c r="K35" s="15">
        <f t="shared" si="7"/>
        <v>137.75</v>
      </c>
      <c r="L35" s="15">
        <f t="shared" si="8"/>
        <v>0</v>
      </c>
      <c r="M35" s="14" t="str">
        <f>IF(OR(D35&gt;E35,D35&lt;G35),"Y","N")</f>
        <v>N</v>
      </c>
      <c r="N35" s="12" t="str">
        <f t="shared" si="10"/>
        <v>N</v>
      </c>
    </row>
    <row r="36" spans="1:14">
      <c r="A36" s="14">
        <v>27</v>
      </c>
      <c r="B36" s="14">
        <v>78</v>
      </c>
      <c r="C36" s="14">
        <v>1</v>
      </c>
      <c r="D36" s="15">
        <f t="shared" si="0"/>
        <v>78</v>
      </c>
      <c r="E36" s="15">
        <f t="shared" si="1"/>
        <v>172.96008378291651</v>
      </c>
      <c r="F36" s="15">
        <f t="shared" si="2"/>
        <v>137.75</v>
      </c>
      <c r="G36" s="15">
        <f t="shared" si="3"/>
        <v>102.53991621708349</v>
      </c>
      <c r="H36" s="15">
        <f t="shared" si="4"/>
        <v>-5.0908711579655446</v>
      </c>
      <c r="I36" s="15">
        <f t="shared" si="5"/>
        <v>5.5615881259775053</v>
      </c>
      <c r="J36" s="15">
        <f t="shared" si="6"/>
        <v>333.57398388174158</v>
      </c>
      <c r="K36" s="15">
        <f t="shared" si="7"/>
        <v>137.75</v>
      </c>
      <c r="L36" s="15">
        <f t="shared" si="8"/>
        <v>0</v>
      </c>
      <c r="M36" s="14" t="str">
        <f t="shared" ref="M36:M37" si="11">IF(OR(D36&gt;E36,D36&lt;G36),"Y","N")</f>
        <v>Y</v>
      </c>
      <c r="N36" s="12" t="str">
        <f t="shared" si="10"/>
        <v>N</v>
      </c>
    </row>
    <row r="37" spans="1:14">
      <c r="A37" s="14">
        <v>28</v>
      </c>
      <c r="B37" s="14">
        <v>70</v>
      </c>
      <c r="C37" s="14">
        <v>1</v>
      </c>
      <c r="D37" s="15">
        <f t="shared" si="0"/>
        <v>70</v>
      </c>
      <c r="E37" s="15">
        <f t="shared" si="1"/>
        <v>172.96008378291651</v>
      </c>
      <c r="F37" s="15">
        <f t="shared" si="2"/>
        <v>137.75</v>
      </c>
      <c r="G37" s="15">
        <f t="shared" si="3"/>
        <v>102.53991621708349</v>
      </c>
      <c r="H37" s="15">
        <f t="shared" si="4"/>
        <v>-5.772494074513232</v>
      </c>
      <c r="I37" s="15">
        <f t="shared" si="5"/>
        <v>5.5615881259775053</v>
      </c>
      <c r="J37" s="15">
        <f t="shared" si="6"/>
        <v>333.57398388174158</v>
      </c>
      <c r="K37" s="15">
        <f t="shared" si="7"/>
        <v>137.75</v>
      </c>
      <c r="L37" s="15">
        <f t="shared" si="8"/>
        <v>0</v>
      </c>
      <c r="M37" s="14" t="str">
        <f t="shared" si="11"/>
        <v>Y</v>
      </c>
      <c r="N37" s="12" t="str">
        <f t="shared" si="10"/>
        <v>N</v>
      </c>
    </row>
    <row r="38" spans="1:14">
      <c r="A38" s="14">
        <v>29</v>
      </c>
      <c r="B38" s="14">
        <v>172</v>
      </c>
      <c r="C38" s="14">
        <v>1</v>
      </c>
      <c r="D38" s="15">
        <f t="shared" si="0"/>
        <v>172</v>
      </c>
      <c r="E38" s="15">
        <f t="shared" si="1"/>
        <v>172.96008378291651</v>
      </c>
      <c r="F38" s="15">
        <f t="shared" si="2"/>
        <v>137.75</v>
      </c>
      <c r="G38" s="15">
        <f t="shared" si="3"/>
        <v>102.53991621708349</v>
      </c>
      <c r="H38" s="15">
        <f t="shared" si="4"/>
        <v>2.9181981114697892</v>
      </c>
      <c r="I38" s="15">
        <f t="shared" si="5"/>
        <v>5.5615881259775053</v>
      </c>
      <c r="J38" s="15">
        <f t="shared" si="6"/>
        <v>333.57398388174158</v>
      </c>
      <c r="K38" s="15">
        <f t="shared" si="7"/>
        <v>137.75</v>
      </c>
      <c r="L38" s="15">
        <f t="shared" si="8"/>
        <v>0</v>
      </c>
      <c r="M38" s="14" t="str">
        <f>IF(OR(D38&gt;E38,D38&lt;G38),"Y","N")</f>
        <v>N</v>
      </c>
      <c r="N38" s="12" t="str">
        <f t="shared" si="10"/>
        <v>N</v>
      </c>
    </row>
    <row r="39" spans="1:14">
      <c r="A39" s="14">
        <v>30</v>
      </c>
      <c r="B39" s="14">
        <v>188</v>
      </c>
      <c r="C39" s="14">
        <v>1</v>
      </c>
      <c r="D39" s="15">
        <f t="shared" si="0"/>
        <v>188</v>
      </c>
      <c r="E39" s="15">
        <f t="shared" si="1"/>
        <v>172.96008378291651</v>
      </c>
      <c r="F39" s="15">
        <f t="shared" si="2"/>
        <v>137.75</v>
      </c>
      <c r="G39" s="15">
        <f t="shared" si="3"/>
        <v>102.53991621708349</v>
      </c>
      <c r="H39" s="15">
        <f t="shared" si="4"/>
        <v>4.2814439445651651</v>
      </c>
      <c r="I39" s="15">
        <f t="shared" si="5"/>
        <v>5.5615881259775053</v>
      </c>
      <c r="J39" s="15">
        <f t="shared" si="6"/>
        <v>333.57398388174158</v>
      </c>
      <c r="K39" s="15">
        <f t="shared" si="7"/>
        <v>137.75</v>
      </c>
      <c r="L39" s="15">
        <f t="shared" si="8"/>
        <v>0</v>
      </c>
      <c r="M39" s="14" t="str">
        <f t="shared" ref="M39:M40" si="12">IF(OR(D39&gt;E39,D39&lt;G39),"Y","")</f>
        <v>Y</v>
      </c>
      <c r="N39" s="12" t="str">
        <f t="shared" si="10"/>
        <v>N</v>
      </c>
    </row>
    <row r="40" spans="1:14">
      <c r="A40" s="14">
        <v>31</v>
      </c>
      <c r="B40" s="14">
        <v>225</v>
      </c>
      <c r="C40" s="14">
        <v>1</v>
      </c>
      <c r="D40" s="15">
        <f t="shared" si="0"/>
        <v>225</v>
      </c>
      <c r="E40" s="15">
        <f t="shared" si="1"/>
        <v>172.96008378291651</v>
      </c>
      <c r="F40" s="15">
        <f t="shared" si="2"/>
        <v>137.75</v>
      </c>
      <c r="G40" s="15">
        <f t="shared" si="3"/>
        <v>102.53991621708349</v>
      </c>
      <c r="H40" s="15">
        <f t="shared" si="4"/>
        <v>7.433949933598222</v>
      </c>
      <c r="I40" s="15">
        <f t="shared" si="5"/>
        <v>5.5615881259775053</v>
      </c>
      <c r="J40" s="15">
        <f t="shared" si="6"/>
        <v>333.57398388174158</v>
      </c>
      <c r="K40" s="15">
        <f t="shared" si="7"/>
        <v>137.75</v>
      </c>
      <c r="L40" s="15">
        <f t="shared" si="8"/>
        <v>0</v>
      </c>
      <c r="M40" s="14" t="str">
        <f t="shared" si="12"/>
        <v>Y</v>
      </c>
      <c r="N40" s="12" t="str">
        <f t="shared" si="10"/>
        <v>N</v>
      </c>
    </row>
    <row r="41" spans="1:14">
      <c r="A41" s="14">
        <v>32</v>
      </c>
      <c r="B41" s="14">
        <v>138</v>
      </c>
      <c r="C41" s="14">
        <v>1</v>
      </c>
      <c r="D41" s="15">
        <f t="shared" si="0"/>
        <v>138</v>
      </c>
      <c r="E41" s="15">
        <f t="shared" si="1"/>
        <v>172.96008378291651</v>
      </c>
      <c r="F41" s="15">
        <f t="shared" si="2"/>
        <v>137.75</v>
      </c>
      <c r="G41" s="15">
        <f t="shared" si="3"/>
        <v>102.53991621708349</v>
      </c>
      <c r="H41" s="15">
        <f t="shared" si="4"/>
        <v>2.1300716142115247E-2</v>
      </c>
      <c r="I41" s="15">
        <f t="shared" si="5"/>
        <v>5.5615881259775053</v>
      </c>
      <c r="J41" s="15">
        <f t="shared" si="6"/>
        <v>333.57398388174158</v>
      </c>
      <c r="K41" s="15">
        <f t="shared" si="7"/>
        <v>137.75</v>
      </c>
      <c r="L41" s="15">
        <f t="shared" si="8"/>
        <v>0</v>
      </c>
      <c r="M41" s="14" t="str">
        <f>IF(OR(D41&gt;E41,D41&lt;G41),"Y","N")</f>
        <v>N</v>
      </c>
      <c r="N41" s="12" t="str">
        <f t="shared" si="10"/>
        <v>N</v>
      </c>
    </row>
    <row r="42" spans="1:14">
      <c r="A42" s="14">
        <v>33</v>
      </c>
      <c r="B42" s="14">
        <v>136</v>
      </c>
      <c r="C42" s="14">
        <v>1</v>
      </c>
      <c r="D42" s="15">
        <f t="shared" ref="D42:D73" si="13">IF(C42=0,"",B42/C42)</f>
        <v>136</v>
      </c>
      <c r="E42" s="15">
        <f t="shared" ref="E42:E73" si="14">IF(C42=0,"",$F$6 + 3*SQRT($F$6/C42))</f>
        <v>172.96008378291651</v>
      </c>
      <c r="F42" s="15">
        <f t="shared" ref="F42:F73" si="15">$F$6</f>
        <v>137.75</v>
      </c>
      <c r="G42" s="15">
        <f t="shared" ref="G42:G73" si="16">IF(C42=0,"",MAX(0,$F$6 - 3*SQRT($F$6/C42)))</f>
        <v>102.53991621708349</v>
      </c>
      <c r="H42" s="15">
        <f t="shared" ref="H42:H73" si="17">IF(C42=0,"",(D42-$F$6)/SQRT($F$6/C42))</f>
        <v>-0.14910501299480675</v>
      </c>
      <c r="I42" s="15">
        <f t="shared" ref="I42:I73" si="18">$I$6</f>
        <v>5.5615881259775053</v>
      </c>
      <c r="J42" s="15">
        <f t="shared" ref="J42:J73" si="19">IF(C42=0,"",$F$6 + 3*$I$6*SQRT($F$6/C42))</f>
        <v>333.57398388174158</v>
      </c>
      <c r="K42" s="15">
        <f t="shared" ref="K42:K73" si="20">$F$6</f>
        <v>137.75</v>
      </c>
      <c r="L42" s="15">
        <f t="shared" ref="L42:L73" si="21">IF(C42=0,"",MAX(0,$F$6 - 3*$I$6*SQRT($F$6/C42)))</f>
        <v>0</v>
      </c>
      <c r="M42" s="14" t="str">
        <f t="shared" ref="M42:M105" si="22">IF(OR(D42&gt;E42,D42&lt;G42),"Y","N")</f>
        <v>N</v>
      </c>
      <c r="N42" s="12" t="str">
        <f t="shared" si="10"/>
        <v>N</v>
      </c>
    </row>
    <row r="43" spans="1:14">
      <c r="A43" s="14">
        <v>34</v>
      </c>
      <c r="B43" s="14">
        <v>135</v>
      </c>
      <c r="C43" s="14">
        <v>1</v>
      </c>
      <c r="D43" s="15">
        <f t="shared" si="13"/>
        <v>135</v>
      </c>
      <c r="E43" s="15">
        <f t="shared" si="14"/>
        <v>172.96008378291651</v>
      </c>
      <c r="F43" s="15">
        <f t="shared" si="15"/>
        <v>137.75</v>
      </c>
      <c r="G43" s="15">
        <f t="shared" si="16"/>
        <v>102.53991621708349</v>
      </c>
      <c r="H43" s="15">
        <f t="shared" si="17"/>
        <v>-0.23430787756326774</v>
      </c>
      <c r="I43" s="15">
        <f t="shared" si="18"/>
        <v>5.5615881259775053</v>
      </c>
      <c r="J43" s="15">
        <f t="shared" si="19"/>
        <v>333.57398388174158</v>
      </c>
      <c r="K43" s="15">
        <f t="shared" si="20"/>
        <v>137.75</v>
      </c>
      <c r="L43" s="15">
        <f t="shared" si="21"/>
        <v>0</v>
      </c>
      <c r="M43" s="14" t="str">
        <f t="shared" si="22"/>
        <v>N</v>
      </c>
      <c r="N43" s="12" t="str">
        <f t="shared" si="10"/>
        <v>N</v>
      </c>
    </row>
    <row r="44" spans="1:14">
      <c r="A44" s="14">
        <v>35</v>
      </c>
      <c r="B44" s="14">
        <v>118</v>
      </c>
      <c r="C44" s="14">
        <v>1</v>
      </c>
      <c r="D44" s="15">
        <f t="shared" si="13"/>
        <v>118</v>
      </c>
      <c r="E44" s="15">
        <f t="shared" si="14"/>
        <v>172.96008378291651</v>
      </c>
      <c r="F44" s="15">
        <f t="shared" si="15"/>
        <v>137.75</v>
      </c>
      <c r="G44" s="15">
        <f t="shared" si="16"/>
        <v>102.53991621708349</v>
      </c>
      <c r="H44" s="15">
        <f t="shared" si="17"/>
        <v>-1.6827565752271048</v>
      </c>
      <c r="I44" s="15">
        <f t="shared" si="18"/>
        <v>5.5615881259775053</v>
      </c>
      <c r="J44" s="15">
        <f t="shared" si="19"/>
        <v>333.57398388174158</v>
      </c>
      <c r="K44" s="15">
        <f t="shared" si="20"/>
        <v>137.75</v>
      </c>
      <c r="L44" s="15">
        <f t="shared" si="21"/>
        <v>0</v>
      </c>
      <c r="M44" s="14" t="str">
        <f t="shared" si="22"/>
        <v>N</v>
      </c>
      <c r="N44" s="12" t="str">
        <f t="shared" si="10"/>
        <v>N</v>
      </c>
    </row>
    <row r="45" spans="1:14">
      <c r="A45" s="14">
        <v>36</v>
      </c>
      <c r="B45" s="14">
        <v>160</v>
      </c>
      <c r="C45" s="14">
        <v>1</v>
      </c>
      <c r="D45" s="15">
        <f t="shared" si="13"/>
        <v>160</v>
      </c>
      <c r="E45" s="15">
        <f t="shared" si="14"/>
        <v>172.96008378291651</v>
      </c>
      <c r="F45" s="15">
        <f t="shared" si="15"/>
        <v>137.75</v>
      </c>
      <c r="G45" s="15">
        <f t="shared" si="16"/>
        <v>102.53991621708349</v>
      </c>
      <c r="H45" s="15">
        <f t="shared" si="17"/>
        <v>1.8957637366482571</v>
      </c>
      <c r="I45" s="15">
        <f t="shared" si="18"/>
        <v>5.5615881259775053</v>
      </c>
      <c r="J45" s="15">
        <f t="shared" si="19"/>
        <v>333.57398388174158</v>
      </c>
      <c r="K45" s="15">
        <f t="shared" si="20"/>
        <v>137.75</v>
      </c>
      <c r="L45" s="15">
        <f t="shared" si="21"/>
        <v>0</v>
      </c>
      <c r="M45" s="14" t="str">
        <f t="shared" si="22"/>
        <v>N</v>
      </c>
      <c r="N45" s="12" t="str">
        <f t="shared" si="10"/>
        <v>N</v>
      </c>
    </row>
    <row r="46" spans="1:14">
      <c r="A46" s="14">
        <v>37</v>
      </c>
      <c r="B46" s="14">
        <v>125</v>
      </c>
      <c r="C46" s="14">
        <v>1</v>
      </c>
      <c r="D46" s="15">
        <f t="shared" si="13"/>
        <v>125</v>
      </c>
      <c r="E46" s="15">
        <f t="shared" si="14"/>
        <v>172.96008378291651</v>
      </c>
      <c r="F46" s="15">
        <f t="shared" si="15"/>
        <v>137.75</v>
      </c>
      <c r="G46" s="15">
        <f t="shared" si="16"/>
        <v>102.53991621708349</v>
      </c>
      <c r="H46" s="15">
        <f t="shared" si="17"/>
        <v>-1.0863365232478777</v>
      </c>
      <c r="I46" s="15">
        <f t="shared" si="18"/>
        <v>5.5615881259775053</v>
      </c>
      <c r="J46" s="15">
        <f t="shared" si="19"/>
        <v>333.57398388174158</v>
      </c>
      <c r="K46" s="15">
        <f t="shared" si="20"/>
        <v>137.75</v>
      </c>
      <c r="L46" s="15">
        <f t="shared" si="21"/>
        <v>0</v>
      </c>
      <c r="M46" s="14" t="str">
        <f t="shared" si="22"/>
        <v>N</v>
      </c>
      <c r="N46" s="12" t="str">
        <f t="shared" si="10"/>
        <v>N</v>
      </c>
    </row>
    <row r="47" spans="1:14">
      <c r="A47" s="14">
        <v>38</v>
      </c>
      <c r="B47" s="14">
        <v>154</v>
      </c>
      <c r="C47" s="14">
        <v>1</v>
      </c>
      <c r="D47" s="15">
        <f t="shared" si="13"/>
        <v>154</v>
      </c>
      <c r="E47" s="15">
        <f t="shared" si="14"/>
        <v>172.96008378291651</v>
      </c>
      <c r="F47" s="15">
        <f t="shared" si="15"/>
        <v>137.75</v>
      </c>
      <c r="G47" s="15">
        <f t="shared" si="16"/>
        <v>102.53991621708349</v>
      </c>
      <c r="H47" s="15">
        <f t="shared" si="17"/>
        <v>1.3845465492374911</v>
      </c>
      <c r="I47" s="15">
        <f t="shared" si="18"/>
        <v>5.5615881259775053</v>
      </c>
      <c r="J47" s="15">
        <f t="shared" si="19"/>
        <v>333.57398388174158</v>
      </c>
      <c r="K47" s="15">
        <f t="shared" si="20"/>
        <v>137.75</v>
      </c>
      <c r="L47" s="15">
        <f t="shared" si="21"/>
        <v>0</v>
      </c>
      <c r="M47" s="14" t="str">
        <f t="shared" si="22"/>
        <v>N</v>
      </c>
      <c r="N47" s="12" t="str">
        <f t="shared" si="10"/>
        <v>N</v>
      </c>
    </row>
    <row r="48" spans="1:14">
      <c r="A48" s="14">
        <v>39</v>
      </c>
      <c r="B48" s="14">
        <v>129</v>
      </c>
      <c r="C48" s="14">
        <v>1</v>
      </c>
      <c r="D48" s="15">
        <f t="shared" si="13"/>
        <v>129</v>
      </c>
      <c r="E48" s="15">
        <f t="shared" si="14"/>
        <v>172.96008378291651</v>
      </c>
      <c r="F48" s="15">
        <f t="shared" si="15"/>
        <v>137.75</v>
      </c>
      <c r="G48" s="15">
        <f t="shared" si="16"/>
        <v>102.53991621708349</v>
      </c>
      <c r="H48" s="15">
        <f t="shared" si="17"/>
        <v>-0.7455250649740337</v>
      </c>
      <c r="I48" s="15">
        <f t="shared" si="18"/>
        <v>5.5615881259775053</v>
      </c>
      <c r="J48" s="15">
        <f t="shared" si="19"/>
        <v>333.57398388174158</v>
      </c>
      <c r="K48" s="15">
        <f t="shared" si="20"/>
        <v>137.75</v>
      </c>
      <c r="L48" s="15">
        <f t="shared" si="21"/>
        <v>0</v>
      </c>
      <c r="M48" s="14" t="str">
        <f t="shared" si="22"/>
        <v>N</v>
      </c>
      <c r="N48" s="12" t="str">
        <f t="shared" si="10"/>
        <v>N</v>
      </c>
    </row>
    <row r="49" spans="1:14">
      <c r="A49" s="14">
        <v>40</v>
      </c>
      <c r="B49" s="14">
        <v>167</v>
      </c>
      <c r="C49" s="14">
        <v>1</v>
      </c>
      <c r="D49" s="15">
        <f t="shared" si="13"/>
        <v>167</v>
      </c>
      <c r="E49" s="15">
        <f t="shared" si="14"/>
        <v>172.96008378291651</v>
      </c>
      <c r="F49" s="15">
        <f t="shared" si="15"/>
        <v>137.75</v>
      </c>
      <c r="G49" s="15">
        <f t="shared" si="16"/>
        <v>102.53991621708349</v>
      </c>
      <c r="H49" s="15">
        <f t="shared" si="17"/>
        <v>2.492183788627484</v>
      </c>
      <c r="I49" s="15">
        <f t="shared" si="18"/>
        <v>5.5615881259775053</v>
      </c>
      <c r="J49" s="15">
        <f t="shared" si="19"/>
        <v>333.57398388174158</v>
      </c>
      <c r="K49" s="15">
        <f t="shared" si="20"/>
        <v>137.75</v>
      </c>
      <c r="L49" s="15">
        <f t="shared" si="21"/>
        <v>0</v>
      </c>
      <c r="M49" s="14" t="str">
        <f t="shared" si="22"/>
        <v>N</v>
      </c>
      <c r="N49" s="12" t="str">
        <f t="shared" si="10"/>
        <v>N</v>
      </c>
    </row>
    <row r="50" spans="1:14">
      <c r="A50" s="14">
        <v>41</v>
      </c>
      <c r="B50" s="14">
        <v>63</v>
      </c>
      <c r="C50" s="14">
        <v>1</v>
      </c>
      <c r="D50" s="15">
        <f t="shared" si="13"/>
        <v>63</v>
      </c>
      <c r="E50" s="15">
        <f t="shared" si="14"/>
        <v>172.96008378291651</v>
      </c>
      <c r="F50" s="15">
        <f t="shared" si="15"/>
        <v>137.75</v>
      </c>
      <c r="G50" s="15">
        <f t="shared" si="16"/>
        <v>102.53991621708349</v>
      </c>
      <c r="H50" s="15">
        <f t="shared" si="17"/>
        <v>-6.3689141264924594</v>
      </c>
      <c r="I50" s="15">
        <f t="shared" si="18"/>
        <v>5.5615881259775053</v>
      </c>
      <c r="J50" s="15">
        <f t="shared" si="19"/>
        <v>333.57398388174158</v>
      </c>
      <c r="K50" s="15">
        <f t="shared" si="20"/>
        <v>137.75</v>
      </c>
      <c r="L50" s="15">
        <f t="shared" si="21"/>
        <v>0</v>
      </c>
      <c r="M50" s="14" t="str">
        <f t="shared" si="22"/>
        <v>Y</v>
      </c>
      <c r="N50" s="12" t="str">
        <f t="shared" si="10"/>
        <v>N</v>
      </c>
    </row>
    <row r="51" spans="1:14">
      <c r="A51" s="14">
        <v>42</v>
      </c>
      <c r="B51" s="14">
        <v>110</v>
      </c>
      <c r="C51" s="14">
        <v>1</v>
      </c>
      <c r="D51" s="15">
        <f t="shared" si="13"/>
        <v>110</v>
      </c>
      <c r="E51" s="15">
        <f t="shared" si="14"/>
        <v>172.96008378291651</v>
      </c>
      <c r="F51" s="15">
        <f t="shared" si="15"/>
        <v>137.75</v>
      </c>
      <c r="G51" s="15">
        <f t="shared" si="16"/>
        <v>102.53991621708349</v>
      </c>
      <c r="H51" s="15">
        <f t="shared" si="17"/>
        <v>-2.3643794917747925</v>
      </c>
      <c r="I51" s="15">
        <f t="shared" si="18"/>
        <v>5.5615881259775053</v>
      </c>
      <c r="J51" s="15">
        <f t="shared" si="19"/>
        <v>333.57398388174158</v>
      </c>
      <c r="K51" s="15">
        <f t="shared" si="20"/>
        <v>137.75</v>
      </c>
      <c r="L51" s="15">
        <f t="shared" si="21"/>
        <v>0</v>
      </c>
      <c r="M51" s="14" t="str">
        <f t="shared" si="22"/>
        <v>N</v>
      </c>
      <c r="N51" s="12" t="str">
        <f t="shared" si="10"/>
        <v>N</v>
      </c>
    </row>
    <row r="52" spans="1:14">
      <c r="A52" s="14">
        <v>43</v>
      </c>
      <c r="B52" s="14">
        <v>150</v>
      </c>
      <c r="C52" s="14">
        <v>1</v>
      </c>
      <c r="D52" s="15">
        <f t="shared" si="13"/>
        <v>150</v>
      </c>
      <c r="E52" s="15">
        <f t="shared" si="14"/>
        <v>172.96008378291651</v>
      </c>
      <c r="F52" s="15">
        <f t="shared" si="15"/>
        <v>137.75</v>
      </c>
      <c r="G52" s="15">
        <f t="shared" si="16"/>
        <v>102.53991621708349</v>
      </c>
      <c r="H52" s="15">
        <f t="shared" si="17"/>
        <v>1.0437350909636471</v>
      </c>
      <c r="I52" s="15">
        <f t="shared" si="18"/>
        <v>5.5615881259775053</v>
      </c>
      <c r="J52" s="15">
        <f t="shared" si="19"/>
        <v>333.57398388174158</v>
      </c>
      <c r="K52" s="15">
        <f t="shared" si="20"/>
        <v>137.75</v>
      </c>
      <c r="L52" s="15">
        <f t="shared" si="21"/>
        <v>0</v>
      </c>
      <c r="M52" s="14" t="str">
        <f t="shared" si="22"/>
        <v>N</v>
      </c>
      <c r="N52" s="12" t="str">
        <f t="shared" si="10"/>
        <v>N</v>
      </c>
    </row>
    <row r="53" spans="1:14">
      <c r="A53" s="14">
        <v>44</v>
      </c>
      <c r="B53" s="14">
        <v>150</v>
      </c>
      <c r="C53" s="14">
        <v>1</v>
      </c>
      <c r="D53" s="15">
        <f t="shared" si="13"/>
        <v>150</v>
      </c>
      <c r="E53" s="15">
        <f t="shared" si="14"/>
        <v>172.96008378291651</v>
      </c>
      <c r="F53" s="15">
        <f t="shared" si="15"/>
        <v>137.75</v>
      </c>
      <c r="G53" s="15">
        <f t="shared" si="16"/>
        <v>102.53991621708349</v>
      </c>
      <c r="H53" s="15">
        <f t="shared" si="17"/>
        <v>1.0437350909636471</v>
      </c>
      <c r="I53" s="15">
        <f t="shared" si="18"/>
        <v>5.5615881259775053</v>
      </c>
      <c r="J53" s="15">
        <f t="shared" si="19"/>
        <v>333.57398388174158</v>
      </c>
      <c r="K53" s="15">
        <f t="shared" si="20"/>
        <v>137.75</v>
      </c>
      <c r="L53" s="15">
        <f t="shared" si="21"/>
        <v>0</v>
      </c>
      <c r="M53" s="14" t="str">
        <f t="shared" si="22"/>
        <v>N</v>
      </c>
      <c r="N53" s="12" t="str">
        <f t="shared" si="10"/>
        <v>N</v>
      </c>
    </row>
    <row r="54" spans="1:14">
      <c r="A54" s="14">
        <v>45</v>
      </c>
      <c r="B54" s="14">
        <v>134</v>
      </c>
      <c r="C54" s="14">
        <v>1</v>
      </c>
      <c r="D54" s="15">
        <f t="shared" si="13"/>
        <v>134</v>
      </c>
      <c r="E54" s="15">
        <f t="shared" si="14"/>
        <v>172.96008378291651</v>
      </c>
      <c r="F54" s="15">
        <f t="shared" si="15"/>
        <v>137.75</v>
      </c>
      <c r="G54" s="15">
        <f t="shared" si="16"/>
        <v>102.53991621708349</v>
      </c>
      <c r="H54" s="15">
        <f t="shared" si="17"/>
        <v>-0.31951074213172875</v>
      </c>
      <c r="I54" s="15">
        <f t="shared" si="18"/>
        <v>5.5615881259775053</v>
      </c>
      <c r="J54" s="15">
        <f t="shared" si="19"/>
        <v>333.57398388174158</v>
      </c>
      <c r="K54" s="15">
        <f t="shared" si="20"/>
        <v>137.75</v>
      </c>
      <c r="L54" s="15">
        <f t="shared" si="21"/>
        <v>0</v>
      </c>
      <c r="M54" s="14" t="str">
        <f t="shared" si="22"/>
        <v>N</v>
      </c>
      <c r="N54" s="12" t="str">
        <f t="shared" si="10"/>
        <v>N</v>
      </c>
    </row>
    <row r="55" spans="1:14">
      <c r="A55" s="14">
        <v>46</v>
      </c>
      <c r="B55" s="14">
        <v>147</v>
      </c>
      <c r="C55" s="14">
        <v>1</v>
      </c>
      <c r="D55" s="15">
        <f t="shared" si="13"/>
        <v>147</v>
      </c>
      <c r="E55" s="15">
        <f t="shared" si="14"/>
        <v>172.96008378291651</v>
      </c>
      <c r="F55" s="15">
        <f t="shared" si="15"/>
        <v>137.75</v>
      </c>
      <c r="G55" s="15">
        <f t="shared" si="16"/>
        <v>102.53991621708349</v>
      </c>
      <c r="H55" s="15">
        <f t="shared" si="17"/>
        <v>0.78812649725826422</v>
      </c>
      <c r="I55" s="15">
        <f t="shared" si="18"/>
        <v>5.5615881259775053</v>
      </c>
      <c r="J55" s="15">
        <f t="shared" si="19"/>
        <v>333.57398388174158</v>
      </c>
      <c r="K55" s="15">
        <f t="shared" si="20"/>
        <v>137.75</v>
      </c>
      <c r="L55" s="15">
        <f t="shared" si="21"/>
        <v>0</v>
      </c>
      <c r="M55" s="14" t="str">
        <f t="shared" si="22"/>
        <v>N</v>
      </c>
      <c r="N55" s="12" t="str">
        <f t="shared" si="10"/>
        <v>N</v>
      </c>
    </row>
    <row r="56" spans="1:14">
      <c r="A56" s="14">
        <v>47</v>
      </c>
      <c r="B56" s="14">
        <v>136</v>
      </c>
      <c r="C56" s="14">
        <v>1</v>
      </c>
      <c r="D56" s="15">
        <f t="shared" si="13"/>
        <v>136</v>
      </c>
      <c r="E56" s="15">
        <f t="shared" si="14"/>
        <v>172.96008378291651</v>
      </c>
      <c r="F56" s="15">
        <f t="shared" si="15"/>
        <v>137.75</v>
      </c>
      <c r="G56" s="15">
        <f t="shared" si="16"/>
        <v>102.53991621708349</v>
      </c>
      <c r="H56" s="15">
        <f t="shared" si="17"/>
        <v>-0.14910501299480675</v>
      </c>
      <c r="I56" s="15">
        <f t="shared" si="18"/>
        <v>5.5615881259775053</v>
      </c>
      <c r="J56" s="15">
        <f t="shared" si="19"/>
        <v>333.57398388174158</v>
      </c>
      <c r="K56" s="15">
        <f t="shared" si="20"/>
        <v>137.75</v>
      </c>
      <c r="L56" s="15">
        <f t="shared" si="21"/>
        <v>0</v>
      </c>
      <c r="M56" s="14" t="str">
        <f t="shared" si="22"/>
        <v>N</v>
      </c>
      <c r="N56" s="12" t="str">
        <f t="shared" si="10"/>
        <v>N</v>
      </c>
    </row>
    <row r="57" spans="1:14">
      <c r="A57" s="14">
        <v>48</v>
      </c>
      <c r="B57" s="14">
        <v>185</v>
      </c>
      <c r="C57" s="14">
        <v>1</v>
      </c>
      <c r="D57" s="15">
        <f t="shared" si="13"/>
        <v>185</v>
      </c>
      <c r="E57" s="15">
        <f t="shared" si="14"/>
        <v>172.96008378291651</v>
      </c>
      <c r="F57" s="15">
        <f t="shared" si="15"/>
        <v>137.75</v>
      </c>
      <c r="G57" s="15">
        <f t="shared" si="16"/>
        <v>102.53991621708349</v>
      </c>
      <c r="H57" s="15">
        <f t="shared" si="17"/>
        <v>4.0258353508597819</v>
      </c>
      <c r="I57" s="15">
        <f t="shared" si="18"/>
        <v>5.5615881259775053</v>
      </c>
      <c r="J57" s="15">
        <f t="shared" si="19"/>
        <v>333.57398388174158</v>
      </c>
      <c r="K57" s="15">
        <f t="shared" si="20"/>
        <v>137.75</v>
      </c>
      <c r="L57" s="15">
        <f t="shared" si="21"/>
        <v>0</v>
      </c>
      <c r="M57" s="14" t="str">
        <f t="shared" si="22"/>
        <v>Y</v>
      </c>
      <c r="N57" s="12" t="str">
        <f t="shared" si="10"/>
        <v>N</v>
      </c>
    </row>
    <row r="58" spans="1:14">
      <c r="A58" s="14">
        <v>49</v>
      </c>
      <c r="B58" s="14">
        <v>183</v>
      </c>
      <c r="C58" s="14">
        <v>1</v>
      </c>
      <c r="D58" s="15">
        <f t="shared" si="13"/>
        <v>183</v>
      </c>
      <c r="E58" s="15">
        <f t="shared" si="14"/>
        <v>172.96008378291651</v>
      </c>
      <c r="F58" s="15">
        <f t="shared" si="15"/>
        <v>137.75</v>
      </c>
      <c r="G58" s="15">
        <f t="shared" si="16"/>
        <v>102.53991621708349</v>
      </c>
      <c r="H58" s="15">
        <f t="shared" si="17"/>
        <v>3.8554296217228599</v>
      </c>
      <c r="I58" s="15">
        <f t="shared" si="18"/>
        <v>5.5615881259775053</v>
      </c>
      <c r="J58" s="15">
        <f t="shared" si="19"/>
        <v>333.57398388174158</v>
      </c>
      <c r="K58" s="15">
        <f t="shared" si="20"/>
        <v>137.75</v>
      </c>
      <c r="L58" s="15">
        <f t="shared" si="21"/>
        <v>0</v>
      </c>
      <c r="M58" s="14" t="str">
        <f t="shared" si="22"/>
        <v>Y</v>
      </c>
      <c r="N58" s="12" t="str">
        <f t="shared" si="10"/>
        <v>N</v>
      </c>
    </row>
    <row r="59" spans="1:14">
      <c r="A59" s="14">
        <v>50</v>
      </c>
      <c r="B59" s="14">
        <v>230</v>
      </c>
      <c r="C59" s="14">
        <v>1</v>
      </c>
      <c r="D59" s="15">
        <f t="shared" si="13"/>
        <v>230</v>
      </c>
      <c r="E59" s="15">
        <f t="shared" si="14"/>
        <v>172.96008378291651</v>
      </c>
      <c r="F59" s="15">
        <f t="shared" si="15"/>
        <v>137.75</v>
      </c>
      <c r="G59" s="15">
        <f t="shared" si="16"/>
        <v>102.53991621708349</v>
      </c>
      <c r="H59" s="15">
        <f t="shared" si="17"/>
        <v>7.8599642564405272</v>
      </c>
      <c r="I59" s="15">
        <f t="shared" si="18"/>
        <v>5.5615881259775053</v>
      </c>
      <c r="J59" s="15">
        <f t="shared" si="19"/>
        <v>333.57398388174158</v>
      </c>
      <c r="K59" s="15">
        <f t="shared" si="20"/>
        <v>137.75</v>
      </c>
      <c r="L59" s="15">
        <f t="shared" si="21"/>
        <v>0</v>
      </c>
      <c r="M59" s="14" t="str">
        <f t="shared" si="22"/>
        <v>Y</v>
      </c>
      <c r="N59" s="12" t="str">
        <f t="shared" si="10"/>
        <v>N</v>
      </c>
    </row>
    <row r="60" spans="1:14">
      <c r="A60" s="14">
        <v>51</v>
      </c>
      <c r="B60" s="14">
        <v>30</v>
      </c>
      <c r="C60" s="14">
        <v>1</v>
      </c>
      <c r="D60" s="15">
        <f t="shared" si="13"/>
        <v>30</v>
      </c>
      <c r="E60" s="15">
        <f t="shared" si="14"/>
        <v>172.96008378291651</v>
      </c>
      <c r="F60" s="15">
        <f t="shared" si="15"/>
        <v>137.75</v>
      </c>
      <c r="G60" s="15">
        <f t="shared" si="16"/>
        <v>102.53991621708349</v>
      </c>
      <c r="H60" s="15">
        <f t="shared" si="17"/>
        <v>-9.180608657251673</v>
      </c>
      <c r="I60" s="15">
        <f t="shared" si="18"/>
        <v>5.5615881259775053</v>
      </c>
      <c r="J60" s="15">
        <f t="shared" si="19"/>
        <v>333.57398388174158</v>
      </c>
      <c r="K60" s="15">
        <f t="shared" si="20"/>
        <v>137.75</v>
      </c>
      <c r="L60" s="15">
        <f t="shared" si="21"/>
        <v>0</v>
      </c>
      <c r="M60" s="14" t="str">
        <f t="shared" si="22"/>
        <v>Y</v>
      </c>
      <c r="N60" s="12" t="str">
        <f t="shared" si="10"/>
        <v>N</v>
      </c>
    </row>
    <row r="61" spans="1:14">
      <c r="A61" s="14">
        <v>52</v>
      </c>
      <c r="B61" s="14">
        <v>237</v>
      </c>
      <c r="C61" s="14">
        <v>1</v>
      </c>
      <c r="D61" s="15">
        <f t="shared" si="13"/>
        <v>237</v>
      </c>
      <c r="E61" s="15">
        <f t="shared" si="14"/>
        <v>172.96008378291651</v>
      </c>
      <c r="F61" s="15">
        <f t="shared" si="15"/>
        <v>137.75</v>
      </c>
      <c r="G61" s="15">
        <f t="shared" si="16"/>
        <v>102.53991621708349</v>
      </c>
      <c r="H61" s="15">
        <f t="shared" si="17"/>
        <v>8.4563843084197536</v>
      </c>
      <c r="I61" s="15">
        <f t="shared" si="18"/>
        <v>5.5615881259775053</v>
      </c>
      <c r="J61" s="15">
        <f t="shared" si="19"/>
        <v>333.57398388174158</v>
      </c>
      <c r="K61" s="15">
        <f t="shared" si="20"/>
        <v>137.75</v>
      </c>
      <c r="L61" s="15">
        <f t="shared" si="21"/>
        <v>0</v>
      </c>
      <c r="M61" s="14" t="str">
        <f t="shared" si="22"/>
        <v>Y</v>
      </c>
      <c r="N61" s="12" t="str">
        <f t="shared" si="10"/>
        <v>N</v>
      </c>
    </row>
    <row r="62" spans="1:14">
      <c r="A62" s="14">
        <v>53</v>
      </c>
      <c r="B62" s="14">
        <v>228</v>
      </c>
      <c r="C62" s="14">
        <v>1</v>
      </c>
      <c r="D62" s="15">
        <f t="shared" si="13"/>
        <v>228</v>
      </c>
      <c r="E62" s="15">
        <f t="shared" si="14"/>
        <v>172.96008378291651</v>
      </c>
      <c r="F62" s="15">
        <f t="shared" si="15"/>
        <v>137.75</v>
      </c>
      <c r="G62" s="15">
        <f t="shared" si="16"/>
        <v>102.53991621708349</v>
      </c>
      <c r="H62" s="15">
        <f t="shared" si="17"/>
        <v>7.6895585273036051</v>
      </c>
      <c r="I62" s="15">
        <f t="shared" si="18"/>
        <v>5.5615881259775053</v>
      </c>
      <c r="J62" s="15">
        <f t="shared" si="19"/>
        <v>333.57398388174158</v>
      </c>
      <c r="K62" s="15">
        <f t="shared" si="20"/>
        <v>137.75</v>
      </c>
      <c r="L62" s="15">
        <f t="shared" si="21"/>
        <v>0</v>
      </c>
      <c r="M62" s="14" t="str">
        <f t="shared" si="22"/>
        <v>Y</v>
      </c>
      <c r="N62" s="12" t="str">
        <f t="shared" si="10"/>
        <v>N</v>
      </c>
    </row>
    <row r="63" spans="1:14">
      <c r="A63" s="14">
        <v>54</v>
      </c>
      <c r="B63" s="14">
        <v>226</v>
      </c>
      <c r="C63" s="14">
        <v>1</v>
      </c>
      <c r="D63" s="15">
        <f t="shared" si="13"/>
        <v>226</v>
      </c>
      <c r="E63" s="15">
        <f t="shared" si="14"/>
        <v>172.96008378291651</v>
      </c>
      <c r="F63" s="15">
        <f t="shared" si="15"/>
        <v>137.75</v>
      </c>
      <c r="G63" s="15">
        <f t="shared" si="16"/>
        <v>102.53991621708349</v>
      </c>
      <c r="H63" s="15">
        <f t="shared" si="17"/>
        <v>7.519152798166683</v>
      </c>
      <c r="I63" s="15">
        <f t="shared" si="18"/>
        <v>5.5615881259775053</v>
      </c>
      <c r="J63" s="15">
        <f t="shared" si="19"/>
        <v>333.57398388174158</v>
      </c>
      <c r="K63" s="15">
        <f t="shared" si="20"/>
        <v>137.75</v>
      </c>
      <c r="L63" s="15">
        <f t="shared" si="21"/>
        <v>0</v>
      </c>
      <c r="M63" s="14" t="str">
        <f t="shared" si="22"/>
        <v>Y</v>
      </c>
      <c r="N63" s="12" t="str">
        <f t="shared" si="10"/>
        <v>N</v>
      </c>
    </row>
    <row r="64" spans="1:14">
      <c r="A64" s="14">
        <v>55</v>
      </c>
      <c r="B64" s="14">
        <v>235</v>
      </c>
      <c r="C64" s="14">
        <v>1</v>
      </c>
      <c r="D64" s="15">
        <f t="shared" si="13"/>
        <v>235</v>
      </c>
      <c r="E64" s="15">
        <f t="shared" si="14"/>
        <v>172.96008378291651</v>
      </c>
      <c r="F64" s="15">
        <f t="shared" si="15"/>
        <v>137.75</v>
      </c>
      <c r="G64" s="15">
        <f t="shared" si="16"/>
        <v>102.53991621708349</v>
      </c>
      <c r="H64" s="15">
        <f t="shared" si="17"/>
        <v>8.2859785792828315</v>
      </c>
      <c r="I64" s="15">
        <f t="shared" si="18"/>
        <v>5.5615881259775053</v>
      </c>
      <c r="J64" s="15">
        <f t="shared" si="19"/>
        <v>333.57398388174158</v>
      </c>
      <c r="K64" s="15">
        <f t="shared" si="20"/>
        <v>137.75</v>
      </c>
      <c r="L64" s="15">
        <f t="shared" si="21"/>
        <v>0</v>
      </c>
      <c r="M64" s="14" t="str">
        <f t="shared" si="22"/>
        <v>Y</v>
      </c>
      <c r="N64" s="12" t="str">
        <f t="shared" si="10"/>
        <v>N</v>
      </c>
    </row>
    <row r="65" spans="1:14">
      <c r="A65" s="14">
        <v>56</v>
      </c>
      <c r="B65" s="14">
        <v>68</v>
      </c>
      <c r="C65" s="14">
        <v>1</v>
      </c>
      <c r="D65" s="15">
        <f t="shared" si="13"/>
        <v>68</v>
      </c>
      <c r="E65" s="15">
        <f t="shared" si="14"/>
        <v>172.96008378291651</v>
      </c>
      <c r="F65" s="15">
        <f t="shared" si="15"/>
        <v>137.75</v>
      </c>
      <c r="G65" s="15">
        <f t="shared" si="16"/>
        <v>102.53991621708349</v>
      </c>
      <c r="H65" s="15">
        <f t="shared" si="17"/>
        <v>-5.9428998036501541</v>
      </c>
      <c r="I65" s="15">
        <f t="shared" si="18"/>
        <v>5.5615881259775053</v>
      </c>
      <c r="J65" s="15">
        <f t="shared" si="19"/>
        <v>333.57398388174158</v>
      </c>
      <c r="K65" s="15">
        <f t="shared" si="20"/>
        <v>137.75</v>
      </c>
      <c r="L65" s="15">
        <f t="shared" si="21"/>
        <v>0</v>
      </c>
      <c r="M65" s="14" t="str">
        <f t="shared" si="22"/>
        <v>Y</v>
      </c>
      <c r="N65" s="12" t="str">
        <f t="shared" si="10"/>
        <v>N</v>
      </c>
    </row>
    <row r="66" spans="1:14">
      <c r="A66" s="14">
        <v>57</v>
      </c>
      <c r="B66" s="14">
        <v>71</v>
      </c>
      <c r="C66" s="14">
        <v>1</v>
      </c>
      <c r="D66" s="15">
        <f t="shared" si="13"/>
        <v>71</v>
      </c>
      <c r="E66" s="15">
        <f t="shared" si="14"/>
        <v>172.96008378291651</v>
      </c>
      <c r="F66" s="15">
        <f t="shared" si="15"/>
        <v>137.75</v>
      </c>
      <c r="G66" s="15">
        <f t="shared" si="16"/>
        <v>102.53991621708349</v>
      </c>
      <c r="H66" s="15">
        <f t="shared" si="17"/>
        <v>-5.6872912099447719</v>
      </c>
      <c r="I66" s="15">
        <f t="shared" si="18"/>
        <v>5.5615881259775053</v>
      </c>
      <c r="J66" s="15">
        <f t="shared" si="19"/>
        <v>333.57398388174158</v>
      </c>
      <c r="K66" s="15">
        <f t="shared" si="20"/>
        <v>137.75</v>
      </c>
      <c r="L66" s="15">
        <f t="shared" si="21"/>
        <v>0</v>
      </c>
      <c r="M66" s="14" t="str">
        <f t="shared" si="22"/>
        <v>Y</v>
      </c>
      <c r="N66" s="12" t="str">
        <f t="shared" si="10"/>
        <v>N</v>
      </c>
    </row>
    <row r="67" spans="1:14">
      <c r="A67" s="14">
        <v>58</v>
      </c>
      <c r="B67" s="14">
        <v>67</v>
      </c>
      <c r="C67" s="14">
        <v>1</v>
      </c>
      <c r="D67" s="15">
        <f t="shared" si="13"/>
        <v>67</v>
      </c>
      <c r="E67" s="15">
        <f t="shared" si="14"/>
        <v>172.96008378291651</v>
      </c>
      <c r="F67" s="15">
        <f t="shared" si="15"/>
        <v>137.75</v>
      </c>
      <c r="G67" s="15">
        <f t="shared" si="16"/>
        <v>102.53991621708349</v>
      </c>
      <c r="H67" s="15">
        <f t="shared" si="17"/>
        <v>-6.0281026682186152</v>
      </c>
      <c r="I67" s="15">
        <f t="shared" si="18"/>
        <v>5.5615881259775053</v>
      </c>
      <c r="J67" s="15">
        <f t="shared" si="19"/>
        <v>333.57398388174158</v>
      </c>
      <c r="K67" s="15">
        <f t="shared" si="20"/>
        <v>137.75</v>
      </c>
      <c r="L67" s="15">
        <f t="shared" si="21"/>
        <v>0</v>
      </c>
      <c r="M67" s="14" t="str">
        <f t="shared" si="22"/>
        <v>Y</v>
      </c>
      <c r="N67" s="12" t="str">
        <f t="shared" si="10"/>
        <v>N</v>
      </c>
    </row>
    <row r="68" spans="1:14">
      <c r="A68" s="14">
        <v>59</v>
      </c>
      <c r="B68" s="14">
        <v>67</v>
      </c>
      <c r="C68" s="14">
        <v>1</v>
      </c>
      <c r="D68" s="15">
        <f t="shared" si="13"/>
        <v>67</v>
      </c>
      <c r="E68" s="15">
        <f t="shared" si="14"/>
        <v>172.96008378291651</v>
      </c>
      <c r="F68" s="15">
        <f t="shared" si="15"/>
        <v>137.75</v>
      </c>
      <c r="G68" s="15">
        <f t="shared" si="16"/>
        <v>102.53991621708349</v>
      </c>
      <c r="H68" s="15">
        <f t="shared" si="17"/>
        <v>-6.0281026682186152</v>
      </c>
      <c r="I68" s="15">
        <f t="shared" si="18"/>
        <v>5.5615881259775053</v>
      </c>
      <c r="J68" s="15">
        <f t="shared" si="19"/>
        <v>333.57398388174158</v>
      </c>
      <c r="K68" s="15">
        <f t="shared" si="20"/>
        <v>137.75</v>
      </c>
      <c r="L68" s="15">
        <f t="shared" si="21"/>
        <v>0</v>
      </c>
      <c r="M68" s="14" t="str">
        <f t="shared" si="22"/>
        <v>Y</v>
      </c>
      <c r="N68" s="12" t="str">
        <f t="shared" si="10"/>
        <v>N</v>
      </c>
    </row>
    <row r="69" spans="1:14">
      <c r="A69" s="14">
        <v>60</v>
      </c>
      <c r="B69" s="14">
        <v>101</v>
      </c>
      <c r="C69" s="14">
        <v>1</v>
      </c>
      <c r="D69" s="15">
        <f t="shared" si="13"/>
        <v>101</v>
      </c>
      <c r="E69" s="15">
        <f t="shared" si="14"/>
        <v>172.96008378291651</v>
      </c>
      <c r="F69" s="15">
        <f t="shared" si="15"/>
        <v>137.75</v>
      </c>
      <c r="G69" s="15">
        <f t="shared" si="16"/>
        <v>102.53991621708349</v>
      </c>
      <c r="H69" s="15">
        <f t="shared" si="17"/>
        <v>-3.1312052728909414</v>
      </c>
      <c r="I69" s="15">
        <f t="shared" si="18"/>
        <v>5.5615881259775053</v>
      </c>
      <c r="J69" s="15">
        <f t="shared" si="19"/>
        <v>333.57398388174158</v>
      </c>
      <c r="K69" s="15">
        <f t="shared" si="20"/>
        <v>137.75</v>
      </c>
      <c r="L69" s="15">
        <f t="shared" si="21"/>
        <v>0</v>
      </c>
      <c r="M69" s="14" t="str">
        <f t="shared" si="22"/>
        <v>Y</v>
      </c>
      <c r="N69" s="12" t="str">
        <f t="shared" si="10"/>
        <v>N</v>
      </c>
    </row>
    <row r="70" spans="1:14">
      <c r="A70" s="14">
        <v>61</v>
      </c>
      <c r="B70" s="14">
        <v>97</v>
      </c>
      <c r="C70" s="14">
        <v>1</v>
      </c>
      <c r="D70" s="15">
        <f t="shared" si="13"/>
        <v>97</v>
      </c>
      <c r="E70" s="15">
        <f t="shared" si="14"/>
        <v>172.96008378291651</v>
      </c>
      <c r="F70" s="15">
        <f t="shared" si="15"/>
        <v>137.75</v>
      </c>
      <c r="G70" s="15">
        <f t="shared" si="16"/>
        <v>102.53991621708349</v>
      </c>
      <c r="H70" s="15">
        <f t="shared" si="17"/>
        <v>-3.4720167311647856</v>
      </c>
      <c r="I70" s="15">
        <f t="shared" si="18"/>
        <v>5.5615881259775053</v>
      </c>
      <c r="J70" s="15">
        <f t="shared" si="19"/>
        <v>333.57398388174158</v>
      </c>
      <c r="K70" s="15">
        <f t="shared" si="20"/>
        <v>137.75</v>
      </c>
      <c r="L70" s="15">
        <f t="shared" si="21"/>
        <v>0</v>
      </c>
      <c r="M70" s="14" t="str">
        <f t="shared" si="22"/>
        <v>Y</v>
      </c>
      <c r="N70" s="12" t="str">
        <f t="shared" si="10"/>
        <v>N</v>
      </c>
    </row>
    <row r="71" spans="1:14">
      <c r="A71" s="14">
        <v>62</v>
      </c>
      <c r="B71" s="14">
        <v>124</v>
      </c>
      <c r="C71" s="14">
        <v>1</v>
      </c>
      <c r="D71" s="15">
        <f t="shared" si="13"/>
        <v>124</v>
      </c>
      <c r="E71" s="15">
        <f t="shared" si="14"/>
        <v>172.96008378291651</v>
      </c>
      <c r="F71" s="15">
        <f t="shared" si="15"/>
        <v>137.75</v>
      </c>
      <c r="G71" s="15">
        <f t="shared" si="16"/>
        <v>102.53991621708349</v>
      </c>
      <c r="H71" s="15">
        <f t="shared" si="17"/>
        <v>-1.1715393878163387</v>
      </c>
      <c r="I71" s="15">
        <f t="shared" si="18"/>
        <v>5.5615881259775053</v>
      </c>
      <c r="J71" s="15">
        <f t="shared" si="19"/>
        <v>333.57398388174158</v>
      </c>
      <c r="K71" s="15">
        <f t="shared" si="20"/>
        <v>137.75</v>
      </c>
      <c r="L71" s="15">
        <f t="shared" si="21"/>
        <v>0</v>
      </c>
      <c r="M71" s="14" t="str">
        <f t="shared" si="22"/>
        <v>N</v>
      </c>
      <c r="N71" s="12" t="str">
        <f t="shared" si="10"/>
        <v>N</v>
      </c>
    </row>
    <row r="72" spans="1:14">
      <c r="A72" s="14">
        <v>63</v>
      </c>
      <c r="B72" s="14">
        <v>148</v>
      </c>
      <c r="C72" s="14">
        <v>1</v>
      </c>
      <c r="D72" s="15">
        <f t="shared" si="13"/>
        <v>148</v>
      </c>
      <c r="E72" s="15">
        <f t="shared" si="14"/>
        <v>172.96008378291651</v>
      </c>
      <c r="F72" s="15">
        <f t="shared" si="15"/>
        <v>137.75</v>
      </c>
      <c r="G72" s="15">
        <f t="shared" si="16"/>
        <v>102.53991621708349</v>
      </c>
      <c r="H72" s="15">
        <f t="shared" si="17"/>
        <v>0.87332936182672516</v>
      </c>
      <c r="I72" s="15">
        <f t="shared" si="18"/>
        <v>5.5615881259775053</v>
      </c>
      <c r="J72" s="15">
        <f t="shared" si="19"/>
        <v>333.57398388174158</v>
      </c>
      <c r="K72" s="15">
        <f t="shared" si="20"/>
        <v>137.75</v>
      </c>
      <c r="L72" s="15">
        <f t="shared" si="21"/>
        <v>0</v>
      </c>
      <c r="M72" s="14" t="str">
        <f t="shared" si="22"/>
        <v>N</v>
      </c>
      <c r="N72" s="12" t="str">
        <f t="shared" si="10"/>
        <v>N</v>
      </c>
    </row>
    <row r="73" spans="1:14">
      <c r="A73" s="14">
        <v>64</v>
      </c>
      <c r="B73" s="14">
        <v>141</v>
      </c>
      <c r="C73" s="14">
        <v>1</v>
      </c>
      <c r="D73" s="15">
        <f t="shared" si="13"/>
        <v>141</v>
      </c>
      <c r="E73" s="15">
        <f t="shared" si="14"/>
        <v>172.96008378291651</v>
      </c>
      <c r="F73" s="15">
        <f t="shared" si="15"/>
        <v>137.75</v>
      </c>
      <c r="G73" s="15">
        <f t="shared" si="16"/>
        <v>102.53991621708349</v>
      </c>
      <c r="H73" s="15">
        <f t="shared" si="17"/>
        <v>0.27690930984749823</v>
      </c>
      <c r="I73" s="15">
        <f t="shared" si="18"/>
        <v>5.5615881259775053</v>
      </c>
      <c r="J73" s="15">
        <f t="shared" si="19"/>
        <v>333.57398388174158</v>
      </c>
      <c r="K73" s="15">
        <f t="shared" si="20"/>
        <v>137.75</v>
      </c>
      <c r="L73" s="15">
        <f t="shared" si="21"/>
        <v>0</v>
      </c>
      <c r="M73" s="14" t="str">
        <f t="shared" si="22"/>
        <v>N</v>
      </c>
      <c r="N73" s="12" t="str">
        <f t="shared" si="10"/>
        <v>N</v>
      </c>
    </row>
    <row r="74" spans="1:14">
      <c r="A74" s="14">
        <v>65</v>
      </c>
      <c r="B74" s="14">
        <v>105</v>
      </c>
      <c r="C74" s="14">
        <v>1</v>
      </c>
      <c r="D74" s="15">
        <f t="shared" ref="D74:D105" si="23">IF(C74=0,"",B74/C74)</f>
        <v>105</v>
      </c>
      <c r="E74" s="15">
        <f t="shared" ref="E74:E105" si="24">IF(C74=0,"",$F$6 + 3*SQRT($F$6/C74))</f>
        <v>172.96008378291651</v>
      </c>
      <c r="F74" s="15">
        <f t="shared" ref="F74:F105" si="25">$F$6</f>
        <v>137.75</v>
      </c>
      <c r="G74" s="15">
        <f t="shared" ref="G74:G105" si="26">IF(C74=0,"",MAX(0,$F$6 - 3*SQRT($F$6/C74)))</f>
        <v>102.53991621708349</v>
      </c>
      <c r="H74" s="15">
        <f t="shared" ref="H74:H105" si="27">IF(C74=0,"",(D74-$F$6)/SQRT($F$6/C74))</f>
        <v>-2.7903938146170977</v>
      </c>
      <c r="I74" s="15">
        <f t="shared" ref="I74:I105" si="28">$I$6</f>
        <v>5.5615881259775053</v>
      </c>
      <c r="J74" s="15">
        <f t="shared" ref="J74:J105" si="29">IF(C74=0,"",$F$6 + 3*$I$6*SQRT($F$6/C74))</f>
        <v>333.57398388174158</v>
      </c>
      <c r="K74" s="15">
        <f t="shared" ref="K74:K105" si="30">$F$6</f>
        <v>137.75</v>
      </c>
      <c r="L74" s="15">
        <f t="shared" ref="L74:L105" si="31">IF(C74=0,"",MAX(0,$F$6 - 3*$I$6*SQRT($F$6/C74)))</f>
        <v>0</v>
      </c>
      <c r="M74" s="14" t="str">
        <f t="shared" si="22"/>
        <v>N</v>
      </c>
      <c r="N74" s="12" t="str">
        <f t="shared" si="10"/>
        <v>N</v>
      </c>
    </row>
    <row r="75" spans="1:14">
      <c r="A75" s="14">
        <v>66</v>
      </c>
      <c r="B75" s="14">
        <v>204</v>
      </c>
      <c r="C75" s="14">
        <v>1</v>
      </c>
      <c r="D75" s="15">
        <f t="shared" si="23"/>
        <v>204</v>
      </c>
      <c r="E75" s="15">
        <f t="shared" si="24"/>
        <v>172.96008378291651</v>
      </c>
      <c r="F75" s="15">
        <f t="shared" si="25"/>
        <v>137.75</v>
      </c>
      <c r="G75" s="15">
        <f t="shared" si="26"/>
        <v>102.53991621708349</v>
      </c>
      <c r="H75" s="15">
        <f t="shared" si="27"/>
        <v>5.6446897776605409</v>
      </c>
      <c r="I75" s="15">
        <f t="shared" si="28"/>
        <v>5.5615881259775053</v>
      </c>
      <c r="J75" s="15">
        <f t="shared" si="29"/>
        <v>333.57398388174158</v>
      </c>
      <c r="K75" s="15">
        <f t="shared" si="30"/>
        <v>137.75</v>
      </c>
      <c r="L75" s="15">
        <f t="shared" si="31"/>
        <v>0</v>
      </c>
      <c r="M75" s="14" t="str">
        <f t="shared" si="22"/>
        <v>Y</v>
      </c>
      <c r="N75" s="12" t="str">
        <f t="shared" ref="N75:N138" si="32">IF(OR(D75&gt;J75,D75&lt;L75),"Y","N")</f>
        <v>N</v>
      </c>
    </row>
    <row r="76" spans="1:14">
      <c r="A76" s="14">
        <v>67</v>
      </c>
      <c r="B76" s="14">
        <v>146</v>
      </c>
      <c r="C76" s="14">
        <v>1</v>
      </c>
      <c r="D76" s="15">
        <f t="shared" si="23"/>
        <v>146</v>
      </c>
      <c r="E76" s="15">
        <f t="shared" si="24"/>
        <v>172.96008378291651</v>
      </c>
      <c r="F76" s="15">
        <f t="shared" si="25"/>
        <v>137.75</v>
      </c>
      <c r="G76" s="15">
        <f t="shared" si="26"/>
        <v>102.53991621708349</v>
      </c>
      <c r="H76" s="15">
        <f t="shared" si="27"/>
        <v>0.70292363268980318</v>
      </c>
      <c r="I76" s="15">
        <f t="shared" si="28"/>
        <v>5.5615881259775053</v>
      </c>
      <c r="J76" s="15">
        <f t="shared" si="29"/>
        <v>333.57398388174158</v>
      </c>
      <c r="K76" s="15">
        <f t="shared" si="30"/>
        <v>137.75</v>
      </c>
      <c r="L76" s="15">
        <f t="shared" si="31"/>
        <v>0</v>
      </c>
      <c r="M76" s="14" t="str">
        <f t="shared" si="22"/>
        <v>N</v>
      </c>
      <c r="N76" s="12" t="str">
        <f t="shared" si="32"/>
        <v>N</v>
      </c>
    </row>
    <row r="77" spans="1:14">
      <c r="A77" s="14">
        <v>68</v>
      </c>
      <c r="B77" s="14">
        <v>62</v>
      </c>
      <c r="C77" s="14">
        <v>1</v>
      </c>
      <c r="D77" s="15">
        <f t="shared" si="23"/>
        <v>62</v>
      </c>
      <c r="E77" s="15">
        <f t="shared" si="24"/>
        <v>172.96008378291651</v>
      </c>
      <c r="F77" s="15">
        <f t="shared" si="25"/>
        <v>137.75</v>
      </c>
      <c r="G77" s="15">
        <f t="shared" si="26"/>
        <v>102.53991621708349</v>
      </c>
      <c r="H77" s="15">
        <f t="shared" si="27"/>
        <v>-6.4541169910609204</v>
      </c>
      <c r="I77" s="15">
        <f t="shared" si="28"/>
        <v>5.5615881259775053</v>
      </c>
      <c r="J77" s="15">
        <f t="shared" si="29"/>
        <v>333.57398388174158</v>
      </c>
      <c r="K77" s="15">
        <f t="shared" si="30"/>
        <v>137.75</v>
      </c>
      <c r="L77" s="15">
        <f t="shared" si="31"/>
        <v>0</v>
      </c>
      <c r="M77" s="14" t="str">
        <f t="shared" si="22"/>
        <v>Y</v>
      </c>
      <c r="N77" s="12" t="str">
        <f t="shared" si="32"/>
        <v>N</v>
      </c>
    </row>
    <row r="78" spans="1:14">
      <c r="A78" s="14">
        <v>69</v>
      </c>
      <c r="B78" s="14">
        <v>64</v>
      </c>
      <c r="C78" s="14">
        <v>1</v>
      </c>
      <c r="D78" s="15">
        <f t="shared" si="23"/>
        <v>64</v>
      </c>
      <c r="E78" s="15">
        <f t="shared" si="24"/>
        <v>172.96008378291651</v>
      </c>
      <c r="F78" s="15">
        <f t="shared" si="25"/>
        <v>137.75</v>
      </c>
      <c r="G78" s="15">
        <f t="shared" si="26"/>
        <v>102.53991621708349</v>
      </c>
      <c r="H78" s="15">
        <f t="shared" si="27"/>
        <v>-6.2837112619239983</v>
      </c>
      <c r="I78" s="15">
        <f t="shared" si="28"/>
        <v>5.5615881259775053</v>
      </c>
      <c r="J78" s="15">
        <f t="shared" si="29"/>
        <v>333.57398388174158</v>
      </c>
      <c r="K78" s="15">
        <f t="shared" si="30"/>
        <v>137.75</v>
      </c>
      <c r="L78" s="15">
        <f t="shared" si="31"/>
        <v>0</v>
      </c>
      <c r="M78" s="14" t="str">
        <f t="shared" si="22"/>
        <v>Y</v>
      </c>
      <c r="N78" s="12" t="str">
        <f t="shared" si="32"/>
        <v>N</v>
      </c>
    </row>
    <row r="79" spans="1:14">
      <c r="A79" s="14">
        <v>70</v>
      </c>
      <c r="B79" s="14">
        <v>248</v>
      </c>
      <c r="C79" s="14">
        <v>1</v>
      </c>
      <c r="D79" s="15">
        <f t="shared" si="23"/>
        <v>248</v>
      </c>
      <c r="E79" s="15">
        <f t="shared" si="24"/>
        <v>172.96008378291651</v>
      </c>
      <c r="F79" s="15">
        <f t="shared" si="25"/>
        <v>137.75</v>
      </c>
      <c r="G79" s="15">
        <f t="shared" si="26"/>
        <v>102.53991621708349</v>
      </c>
      <c r="H79" s="15">
        <f t="shared" si="27"/>
        <v>9.3936158186728242</v>
      </c>
      <c r="I79" s="15">
        <f t="shared" si="28"/>
        <v>5.5615881259775053</v>
      </c>
      <c r="J79" s="15">
        <f t="shared" si="29"/>
        <v>333.57398388174158</v>
      </c>
      <c r="K79" s="15">
        <f t="shared" si="30"/>
        <v>137.75</v>
      </c>
      <c r="L79" s="15">
        <f t="shared" si="31"/>
        <v>0</v>
      </c>
      <c r="M79" s="14" t="str">
        <f t="shared" si="22"/>
        <v>Y</v>
      </c>
      <c r="N79" s="12" t="str">
        <f t="shared" si="32"/>
        <v>N</v>
      </c>
    </row>
    <row r="80" spans="1:14">
      <c r="A80" s="14">
        <v>71</v>
      </c>
      <c r="B80" s="14">
        <v>259</v>
      </c>
      <c r="C80" s="14">
        <v>1</v>
      </c>
      <c r="D80" s="15">
        <f t="shared" si="23"/>
        <v>259</v>
      </c>
      <c r="E80" s="15">
        <f t="shared" si="24"/>
        <v>172.96008378291651</v>
      </c>
      <c r="F80" s="15">
        <f t="shared" si="25"/>
        <v>137.75</v>
      </c>
      <c r="G80" s="15">
        <f t="shared" si="26"/>
        <v>102.53991621708349</v>
      </c>
      <c r="H80" s="15">
        <f t="shared" si="27"/>
        <v>10.330847328925895</v>
      </c>
      <c r="I80" s="15">
        <f t="shared" si="28"/>
        <v>5.5615881259775053</v>
      </c>
      <c r="J80" s="15">
        <f t="shared" si="29"/>
        <v>333.57398388174158</v>
      </c>
      <c r="K80" s="15">
        <f t="shared" si="30"/>
        <v>137.75</v>
      </c>
      <c r="L80" s="15">
        <f t="shared" si="31"/>
        <v>0</v>
      </c>
      <c r="M80" s="14" t="str">
        <f t="shared" si="22"/>
        <v>Y</v>
      </c>
      <c r="N80" s="12" t="str">
        <f t="shared" si="32"/>
        <v>N</v>
      </c>
    </row>
    <row r="81" spans="1:14">
      <c r="A81" s="14">
        <v>72</v>
      </c>
      <c r="B81" s="14">
        <v>46</v>
      </c>
      <c r="C81" s="14">
        <v>1</v>
      </c>
      <c r="D81" s="15">
        <f t="shared" si="23"/>
        <v>46</v>
      </c>
      <c r="E81" s="15">
        <f t="shared" si="24"/>
        <v>172.96008378291651</v>
      </c>
      <c r="F81" s="15">
        <f t="shared" si="25"/>
        <v>137.75</v>
      </c>
      <c r="G81" s="15">
        <f t="shared" si="26"/>
        <v>102.53991621708349</v>
      </c>
      <c r="H81" s="15">
        <f t="shared" si="27"/>
        <v>-7.8173628241562962</v>
      </c>
      <c r="I81" s="15">
        <f t="shared" si="28"/>
        <v>5.5615881259775053</v>
      </c>
      <c r="J81" s="15">
        <f t="shared" si="29"/>
        <v>333.57398388174158</v>
      </c>
      <c r="K81" s="15">
        <f t="shared" si="30"/>
        <v>137.75</v>
      </c>
      <c r="L81" s="15">
        <f t="shared" si="31"/>
        <v>0</v>
      </c>
      <c r="M81" s="14" t="str">
        <f t="shared" si="22"/>
        <v>Y</v>
      </c>
      <c r="N81" s="12" t="str">
        <f t="shared" si="32"/>
        <v>N</v>
      </c>
    </row>
    <row r="82" spans="1:14">
      <c r="A82" s="14">
        <v>73</v>
      </c>
      <c r="B82" s="14">
        <v>118</v>
      </c>
      <c r="C82" s="14">
        <v>1</v>
      </c>
      <c r="D82" s="15">
        <f t="shared" si="23"/>
        <v>118</v>
      </c>
      <c r="E82" s="15">
        <f t="shared" si="24"/>
        <v>172.96008378291651</v>
      </c>
      <c r="F82" s="15">
        <f t="shared" si="25"/>
        <v>137.75</v>
      </c>
      <c r="G82" s="15">
        <f t="shared" si="26"/>
        <v>102.53991621708349</v>
      </c>
      <c r="H82" s="15">
        <f t="shared" si="27"/>
        <v>-1.6827565752271048</v>
      </c>
      <c r="I82" s="15">
        <f t="shared" si="28"/>
        <v>5.5615881259775053</v>
      </c>
      <c r="J82" s="15">
        <f t="shared" si="29"/>
        <v>333.57398388174158</v>
      </c>
      <c r="K82" s="15">
        <f t="shared" si="30"/>
        <v>137.75</v>
      </c>
      <c r="L82" s="15">
        <f t="shared" si="31"/>
        <v>0</v>
      </c>
      <c r="M82" s="14" t="str">
        <f t="shared" si="22"/>
        <v>N</v>
      </c>
      <c r="N82" s="12" t="str">
        <f t="shared" si="32"/>
        <v>N</v>
      </c>
    </row>
    <row r="83" spans="1:14">
      <c r="A83" s="14">
        <v>74</v>
      </c>
      <c r="B83" s="14">
        <v>124</v>
      </c>
      <c r="C83" s="14">
        <v>1</v>
      </c>
      <c r="D83" s="15">
        <f t="shared" si="23"/>
        <v>124</v>
      </c>
      <c r="E83" s="15">
        <f t="shared" si="24"/>
        <v>172.96008378291651</v>
      </c>
      <c r="F83" s="15">
        <f t="shared" si="25"/>
        <v>137.75</v>
      </c>
      <c r="G83" s="15">
        <f t="shared" si="26"/>
        <v>102.53991621708349</v>
      </c>
      <c r="H83" s="15">
        <f t="shared" si="27"/>
        <v>-1.1715393878163387</v>
      </c>
      <c r="I83" s="15">
        <f t="shared" si="28"/>
        <v>5.5615881259775053</v>
      </c>
      <c r="J83" s="15">
        <f t="shared" si="29"/>
        <v>333.57398388174158</v>
      </c>
      <c r="K83" s="15">
        <f t="shared" si="30"/>
        <v>137.75</v>
      </c>
      <c r="L83" s="15">
        <f t="shared" si="31"/>
        <v>0</v>
      </c>
      <c r="M83" s="14" t="str">
        <f t="shared" si="22"/>
        <v>N</v>
      </c>
      <c r="N83" s="12" t="str">
        <f t="shared" si="32"/>
        <v>N</v>
      </c>
    </row>
    <row r="84" spans="1:14">
      <c r="A84" s="14">
        <v>75</v>
      </c>
      <c r="B84" s="14">
        <v>146</v>
      </c>
      <c r="C84" s="14">
        <v>1</v>
      </c>
      <c r="D84" s="15">
        <f t="shared" si="23"/>
        <v>146</v>
      </c>
      <c r="E84" s="15">
        <f t="shared" si="24"/>
        <v>172.96008378291651</v>
      </c>
      <c r="F84" s="15">
        <f t="shared" si="25"/>
        <v>137.75</v>
      </c>
      <c r="G84" s="15">
        <f t="shared" si="26"/>
        <v>102.53991621708349</v>
      </c>
      <c r="H84" s="15">
        <f t="shared" si="27"/>
        <v>0.70292363268980318</v>
      </c>
      <c r="I84" s="15">
        <f t="shared" si="28"/>
        <v>5.5615881259775053</v>
      </c>
      <c r="J84" s="15">
        <f t="shared" si="29"/>
        <v>333.57398388174158</v>
      </c>
      <c r="K84" s="15">
        <f t="shared" si="30"/>
        <v>137.75</v>
      </c>
      <c r="L84" s="15">
        <f t="shared" si="31"/>
        <v>0</v>
      </c>
      <c r="M84" s="14" t="str">
        <f t="shared" si="22"/>
        <v>N</v>
      </c>
      <c r="N84" s="12" t="str">
        <f t="shared" si="32"/>
        <v>N</v>
      </c>
    </row>
    <row r="85" spans="1:14">
      <c r="A85" s="14">
        <v>76</v>
      </c>
      <c r="B85" s="14">
        <v>30</v>
      </c>
      <c r="C85" s="14">
        <v>1</v>
      </c>
      <c r="D85" s="15">
        <f t="shared" si="23"/>
        <v>30</v>
      </c>
      <c r="E85" s="15">
        <f t="shared" si="24"/>
        <v>172.96008378291651</v>
      </c>
      <c r="F85" s="15">
        <f t="shared" si="25"/>
        <v>137.75</v>
      </c>
      <c r="G85" s="15">
        <f t="shared" si="26"/>
        <v>102.53991621708349</v>
      </c>
      <c r="H85" s="15">
        <f t="shared" si="27"/>
        <v>-9.180608657251673</v>
      </c>
      <c r="I85" s="15">
        <f t="shared" si="28"/>
        <v>5.5615881259775053</v>
      </c>
      <c r="J85" s="15">
        <f t="shared" si="29"/>
        <v>333.57398388174158</v>
      </c>
      <c r="K85" s="15">
        <f t="shared" si="30"/>
        <v>137.75</v>
      </c>
      <c r="L85" s="15">
        <f t="shared" si="31"/>
        <v>0</v>
      </c>
      <c r="M85" s="14" t="str">
        <f t="shared" si="22"/>
        <v>Y</v>
      </c>
      <c r="N85" s="12" t="str">
        <f t="shared" si="32"/>
        <v>N</v>
      </c>
    </row>
    <row r="86" spans="1:14">
      <c r="A86" s="14">
        <v>77</v>
      </c>
      <c r="B86" s="14">
        <v>237</v>
      </c>
      <c r="C86" s="14">
        <v>1</v>
      </c>
      <c r="D86" s="15">
        <f t="shared" si="23"/>
        <v>237</v>
      </c>
      <c r="E86" s="15">
        <f t="shared" si="24"/>
        <v>172.96008378291651</v>
      </c>
      <c r="F86" s="15">
        <f t="shared" si="25"/>
        <v>137.75</v>
      </c>
      <c r="G86" s="15">
        <f t="shared" si="26"/>
        <v>102.53991621708349</v>
      </c>
      <c r="H86" s="15">
        <f t="shared" si="27"/>
        <v>8.4563843084197536</v>
      </c>
      <c r="I86" s="15">
        <f t="shared" si="28"/>
        <v>5.5615881259775053</v>
      </c>
      <c r="J86" s="15">
        <f t="shared" si="29"/>
        <v>333.57398388174158</v>
      </c>
      <c r="K86" s="15">
        <f t="shared" si="30"/>
        <v>137.75</v>
      </c>
      <c r="L86" s="15">
        <f t="shared" si="31"/>
        <v>0</v>
      </c>
      <c r="M86" s="14" t="str">
        <f t="shared" si="22"/>
        <v>Y</v>
      </c>
      <c r="N86" s="12" t="str">
        <f t="shared" si="32"/>
        <v>N</v>
      </c>
    </row>
    <row r="87" spans="1:14">
      <c r="A87" s="14">
        <v>78</v>
      </c>
      <c r="B87" s="14">
        <v>228</v>
      </c>
      <c r="C87" s="14">
        <v>1</v>
      </c>
      <c r="D87" s="15">
        <f t="shared" si="23"/>
        <v>228</v>
      </c>
      <c r="E87" s="15">
        <f t="shared" si="24"/>
        <v>172.96008378291651</v>
      </c>
      <c r="F87" s="15">
        <f t="shared" si="25"/>
        <v>137.75</v>
      </c>
      <c r="G87" s="15">
        <f t="shared" si="26"/>
        <v>102.53991621708349</v>
      </c>
      <c r="H87" s="15">
        <f t="shared" si="27"/>
        <v>7.6895585273036051</v>
      </c>
      <c r="I87" s="15">
        <f t="shared" si="28"/>
        <v>5.5615881259775053</v>
      </c>
      <c r="J87" s="15">
        <f t="shared" si="29"/>
        <v>333.57398388174158</v>
      </c>
      <c r="K87" s="15">
        <f t="shared" si="30"/>
        <v>137.75</v>
      </c>
      <c r="L87" s="15">
        <f t="shared" si="31"/>
        <v>0</v>
      </c>
      <c r="M87" s="14" t="str">
        <f t="shared" si="22"/>
        <v>Y</v>
      </c>
      <c r="N87" s="12" t="str">
        <f t="shared" si="32"/>
        <v>N</v>
      </c>
    </row>
    <row r="88" spans="1:14">
      <c r="A88" s="14">
        <v>79</v>
      </c>
      <c r="B88" s="14">
        <v>226</v>
      </c>
      <c r="C88" s="14">
        <v>1</v>
      </c>
      <c r="D88" s="15">
        <f t="shared" si="23"/>
        <v>226</v>
      </c>
      <c r="E88" s="15">
        <f t="shared" si="24"/>
        <v>172.96008378291651</v>
      </c>
      <c r="F88" s="15">
        <f t="shared" si="25"/>
        <v>137.75</v>
      </c>
      <c r="G88" s="15">
        <f t="shared" si="26"/>
        <v>102.53991621708349</v>
      </c>
      <c r="H88" s="15">
        <f t="shared" si="27"/>
        <v>7.519152798166683</v>
      </c>
      <c r="I88" s="15">
        <f t="shared" si="28"/>
        <v>5.5615881259775053</v>
      </c>
      <c r="J88" s="15">
        <f t="shared" si="29"/>
        <v>333.57398388174158</v>
      </c>
      <c r="K88" s="15">
        <f t="shared" si="30"/>
        <v>137.75</v>
      </c>
      <c r="L88" s="15">
        <f t="shared" si="31"/>
        <v>0</v>
      </c>
      <c r="M88" s="14" t="str">
        <f t="shared" si="22"/>
        <v>Y</v>
      </c>
      <c r="N88" s="12" t="str">
        <f t="shared" si="32"/>
        <v>N</v>
      </c>
    </row>
    <row r="89" spans="1:14">
      <c r="A89" s="14">
        <v>80</v>
      </c>
      <c r="B89" s="14">
        <v>235</v>
      </c>
      <c r="C89" s="14">
        <v>1</v>
      </c>
      <c r="D89" s="15">
        <f t="shared" si="23"/>
        <v>235</v>
      </c>
      <c r="E89" s="15">
        <f t="shared" si="24"/>
        <v>172.96008378291651</v>
      </c>
      <c r="F89" s="15">
        <f t="shared" si="25"/>
        <v>137.75</v>
      </c>
      <c r="G89" s="15">
        <f t="shared" si="26"/>
        <v>102.53991621708349</v>
      </c>
      <c r="H89" s="15">
        <f t="shared" si="27"/>
        <v>8.2859785792828315</v>
      </c>
      <c r="I89" s="15">
        <f t="shared" si="28"/>
        <v>5.5615881259775053</v>
      </c>
      <c r="J89" s="15">
        <f t="shared" si="29"/>
        <v>333.57398388174158</v>
      </c>
      <c r="K89" s="15">
        <f t="shared" si="30"/>
        <v>137.75</v>
      </c>
      <c r="L89" s="15">
        <f t="shared" si="31"/>
        <v>0</v>
      </c>
      <c r="M89" s="14" t="str">
        <f t="shared" si="22"/>
        <v>Y</v>
      </c>
      <c r="N89" s="12" t="str">
        <f t="shared" si="32"/>
        <v>N</v>
      </c>
    </row>
    <row r="90" spans="1:14">
      <c r="A90" s="14">
        <v>81</v>
      </c>
      <c r="B90" s="14">
        <v>68</v>
      </c>
      <c r="C90" s="14">
        <v>1</v>
      </c>
      <c r="D90" s="15">
        <f t="shared" si="23"/>
        <v>68</v>
      </c>
      <c r="E90" s="15">
        <f t="shared" si="24"/>
        <v>172.96008378291651</v>
      </c>
      <c r="F90" s="15">
        <f t="shared" si="25"/>
        <v>137.75</v>
      </c>
      <c r="G90" s="15">
        <f t="shared" si="26"/>
        <v>102.53991621708349</v>
      </c>
      <c r="H90" s="15">
        <f t="shared" si="27"/>
        <v>-5.9428998036501541</v>
      </c>
      <c r="I90" s="15">
        <f t="shared" si="28"/>
        <v>5.5615881259775053</v>
      </c>
      <c r="J90" s="15">
        <f t="shared" si="29"/>
        <v>333.57398388174158</v>
      </c>
      <c r="K90" s="15">
        <f t="shared" si="30"/>
        <v>137.75</v>
      </c>
      <c r="L90" s="15">
        <f t="shared" si="31"/>
        <v>0</v>
      </c>
      <c r="M90" s="14" t="str">
        <f t="shared" si="22"/>
        <v>Y</v>
      </c>
      <c r="N90" s="12" t="str">
        <f t="shared" si="32"/>
        <v>N</v>
      </c>
    </row>
    <row r="91" spans="1:14">
      <c r="A91" s="14">
        <v>82</v>
      </c>
      <c r="B91" s="14">
        <v>71</v>
      </c>
      <c r="C91" s="14">
        <v>1</v>
      </c>
      <c r="D91" s="15">
        <f t="shared" si="23"/>
        <v>71</v>
      </c>
      <c r="E91" s="15">
        <f t="shared" si="24"/>
        <v>172.96008378291651</v>
      </c>
      <c r="F91" s="15">
        <f t="shared" si="25"/>
        <v>137.75</v>
      </c>
      <c r="G91" s="15">
        <f t="shared" si="26"/>
        <v>102.53991621708349</v>
      </c>
      <c r="H91" s="15">
        <f t="shared" si="27"/>
        <v>-5.6872912099447719</v>
      </c>
      <c r="I91" s="15">
        <f t="shared" si="28"/>
        <v>5.5615881259775053</v>
      </c>
      <c r="J91" s="15">
        <f t="shared" si="29"/>
        <v>333.57398388174158</v>
      </c>
      <c r="K91" s="15">
        <f t="shared" si="30"/>
        <v>137.75</v>
      </c>
      <c r="L91" s="15">
        <f t="shared" si="31"/>
        <v>0</v>
      </c>
      <c r="M91" s="14" t="str">
        <f t="shared" si="22"/>
        <v>Y</v>
      </c>
      <c r="N91" s="12" t="str">
        <f t="shared" si="32"/>
        <v>N</v>
      </c>
    </row>
    <row r="92" spans="1:14">
      <c r="A92" s="14">
        <v>83</v>
      </c>
      <c r="B92" s="14">
        <v>67</v>
      </c>
      <c r="C92" s="14">
        <v>1</v>
      </c>
      <c r="D92" s="15">
        <f t="shared" si="23"/>
        <v>67</v>
      </c>
      <c r="E92" s="15">
        <f t="shared" si="24"/>
        <v>172.96008378291651</v>
      </c>
      <c r="F92" s="15">
        <f t="shared" si="25"/>
        <v>137.75</v>
      </c>
      <c r="G92" s="15">
        <f t="shared" si="26"/>
        <v>102.53991621708349</v>
      </c>
      <c r="H92" s="15">
        <f t="shared" si="27"/>
        <v>-6.0281026682186152</v>
      </c>
      <c r="I92" s="15">
        <f t="shared" si="28"/>
        <v>5.5615881259775053</v>
      </c>
      <c r="J92" s="15">
        <f t="shared" si="29"/>
        <v>333.57398388174158</v>
      </c>
      <c r="K92" s="15">
        <f t="shared" si="30"/>
        <v>137.75</v>
      </c>
      <c r="L92" s="15">
        <f t="shared" si="31"/>
        <v>0</v>
      </c>
      <c r="M92" s="14" t="str">
        <f t="shared" si="22"/>
        <v>Y</v>
      </c>
      <c r="N92" s="12" t="str">
        <f t="shared" si="32"/>
        <v>N</v>
      </c>
    </row>
    <row r="93" spans="1:14">
      <c r="A93" s="14">
        <v>84</v>
      </c>
      <c r="B93" s="14">
        <v>67</v>
      </c>
      <c r="C93" s="14">
        <v>1</v>
      </c>
      <c r="D93" s="15">
        <f t="shared" si="23"/>
        <v>67</v>
      </c>
      <c r="E93" s="15">
        <f t="shared" si="24"/>
        <v>172.96008378291651</v>
      </c>
      <c r="F93" s="15">
        <f t="shared" si="25"/>
        <v>137.75</v>
      </c>
      <c r="G93" s="15">
        <f t="shared" si="26"/>
        <v>102.53991621708349</v>
      </c>
      <c r="H93" s="15">
        <f t="shared" si="27"/>
        <v>-6.0281026682186152</v>
      </c>
      <c r="I93" s="15">
        <f t="shared" si="28"/>
        <v>5.5615881259775053</v>
      </c>
      <c r="J93" s="15">
        <f t="shared" si="29"/>
        <v>333.57398388174158</v>
      </c>
      <c r="K93" s="15">
        <f t="shared" si="30"/>
        <v>137.75</v>
      </c>
      <c r="L93" s="15">
        <f t="shared" si="31"/>
        <v>0</v>
      </c>
      <c r="M93" s="14" t="str">
        <f t="shared" si="22"/>
        <v>Y</v>
      </c>
      <c r="N93" s="12" t="str">
        <f t="shared" si="32"/>
        <v>N</v>
      </c>
    </row>
    <row r="94" spans="1:14">
      <c r="A94" s="14">
        <v>85</v>
      </c>
      <c r="B94" s="14">
        <v>101</v>
      </c>
      <c r="C94" s="14">
        <v>1</v>
      </c>
      <c r="D94" s="15">
        <f t="shared" si="23"/>
        <v>101</v>
      </c>
      <c r="E94" s="15">
        <f t="shared" si="24"/>
        <v>172.96008378291651</v>
      </c>
      <c r="F94" s="15">
        <f t="shared" si="25"/>
        <v>137.75</v>
      </c>
      <c r="G94" s="15">
        <f t="shared" si="26"/>
        <v>102.53991621708349</v>
      </c>
      <c r="H94" s="15">
        <f t="shared" si="27"/>
        <v>-3.1312052728909414</v>
      </c>
      <c r="I94" s="15">
        <f t="shared" si="28"/>
        <v>5.5615881259775053</v>
      </c>
      <c r="J94" s="15">
        <f t="shared" si="29"/>
        <v>333.57398388174158</v>
      </c>
      <c r="K94" s="15">
        <f t="shared" si="30"/>
        <v>137.75</v>
      </c>
      <c r="L94" s="15">
        <f t="shared" si="31"/>
        <v>0</v>
      </c>
      <c r="M94" s="14" t="str">
        <f t="shared" si="22"/>
        <v>Y</v>
      </c>
      <c r="N94" s="12" t="str">
        <f t="shared" si="32"/>
        <v>N</v>
      </c>
    </row>
    <row r="95" spans="1:14">
      <c r="A95" s="14">
        <v>86</v>
      </c>
      <c r="B95" s="14">
        <v>97</v>
      </c>
      <c r="C95" s="14">
        <v>1</v>
      </c>
      <c r="D95" s="15">
        <f t="shared" si="23"/>
        <v>97</v>
      </c>
      <c r="E95" s="15">
        <f t="shared" si="24"/>
        <v>172.96008378291651</v>
      </c>
      <c r="F95" s="15">
        <f t="shared" si="25"/>
        <v>137.75</v>
      </c>
      <c r="G95" s="15">
        <f t="shared" si="26"/>
        <v>102.53991621708349</v>
      </c>
      <c r="H95" s="15">
        <f t="shared" si="27"/>
        <v>-3.4720167311647856</v>
      </c>
      <c r="I95" s="15">
        <f t="shared" si="28"/>
        <v>5.5615881259775053</v>
      </c>
      <c r="J95" s="15">
        <f t="shared" si="29"/>
        <v>333.57398388174158</v>
      </c>
      <c r="K95" s="15">
        <f t="shared" si="30"/>
        <v>137.75</v>
      </c>
      <c r="L95" s="15">
        <f t="shared" si="31"/>
        <v>0</v>
      </c>
      <c r="M95" s="14" t="str">
        <f t="shared" si="22"/>
        <v>Y</v>
      </c>
      <c r="N95" s="12" t="str">
        <f t="shared" si="32"/>
        <v>N</v>
      </c>
    </row>
    <row r="96" spans="1:14">
      <c r="A96" s="14">
        <v>87</v>
      </c>
      <c r="B96" s="14">
        <v>124</v>
      </c>
      <c r="C96" s="14">
        <v>1</v>
      </c>
      <c r="D96" s="15">
        <f t="shared" si="23"/>
        <v>124</v>
      </c>
      <c r="E96" s="15">
        <f t="shared" si="24"/>
        <v>172.96008378291651</v>
      </c>
      <c r="F96" s="15">
        <f t="shared" si="25"/>
        <v>137.75</v>
      </c>
      <c r="G96" s="15">
        <f t="shared" si="26"/>
        <v>102.53991621708349</v>
      </c>
      <c r="H96" s="15">
        <f t="shared" si="27"/>
        <v>-1.1715393878163387</v>
      </c>
      <c r="I96" s="15">
        <f t="shared" si="28"/>
        <v>5.5615881259775053</v>
      </c>
      <c r="J96" s="15">
        <f t="shared" si="29"/>
        <v>333.57398388174158</v>
      </c>
      <c r="K96" s="15">
        <f t="shared" si="30"/>
        <v>137.75</v>
      </c>
      <c r="L96" s="15">
        <f t="shared" si="31"/>
        <v>0</v>
      </c>
      <c r="M96" s="14" t="str">
        <f t="shared" si="22"/>
        <v>N</v>
      </c>
      <c r="N96" s="12" t="str">
        <f t="shared" si="32"/>
        <v>N</v>
      </c>
    </row>
    <row r="97" spans="1:14">
      <c r="A97" s="14">
        <v>88</v>
      </c>
      <c r="B97" s="14">
        <v>148</v>
      </c>
      <c r="C97" s="14">
        <v>1</v>
      </c>
      <c r="D97" s="15">
        <f t="shared" si="23"/>
        <v>148</v>
      </c>
      <c r="E97" s="15">
        <f t="shared" si="24"/>
        <v>172.96008378291651</v>
      </c>
      <c r="F97" s="15">
        <f t="shared" si="25"/>
        <v>137.75</v>
      </c>
      <c r="G97" s="15">
        <f t="shared" si="26"/>
        <v>102.53991621708349</v>
      </c>
      <c r="H97" s="15">
        <f t="shared" si="27"/>
        <v>0.87332936182672516</v>
      </c>
      <c r="I97" s="15">
        <f t="shared" si="28"/>
        <v>5.5615881259775053</v>
      </c>
      <c r="J97" s="15">
        <f t="shared" si="29"/>
        <v>333.57398388174158</v>
      </c>
      <c r="K97" s="15">
        <f t="shared" si="30"/>
        <v>137.75</v>
      </c>
      <c r="L97" s="15">
        <f t="shared" si="31"/>
        <v>0</v>
      </c>
      <c r="M97" s="14" t="str">
        <f t="shared" si="22"/>
        <v>N</v>
      </c>
      <c r="N97" s="12" t="str">
        <f t="shared" si="32"/>
        <v>N</v>
      </c>
    </row>
    <row r="98" spans="1:14">
      <c r="A98" s="14">
        <v>89</v>
      </c>
      <c r="B98" s="14">
        <v>141</v>
      </c>
      <c r="C98" s="14">
        <v>1</v>
      </c>
      <c r="D98" s="15">
        <f t="shared" si="23"/>
        <v>141</v>
      </c>
      <c r="E98" s="15">
        <f t="shared" si="24"/>
        <v>172.96008378291651</v>
      </c>
      <c r="F98" s="15">
        <f t="shared" si="25"/>
        <v>137.75</v>
      </c>
      <c r="G98" s="15">
        <f t="shared" si="26"/>
        <v>102.53991621708349</v>
      </c>
      <c r="H98" s="15">
        <f t="shared" si="27"/>
        <v>0.27690930984749823</v>
      </c>
      <c r="I98" s="15">
        <f t="shared" si="28"/>
        <v>5.5615881259775053</v>
      </c>
      <c r="J98" s="15">
        <f t="shared" si="29"/>
        <v>333.57398388174158</v>
      </c>
      <c r="K98" s="15">
        <f t="shared" si="30"/>
        <v>137.75</v>
      </c>
      <c r="L98" s="15">
        <f t="shared" si="31"/>
        <v>0</v>
      </c>
      <c r="M98" s="14" t="str">
        <f t="shared" si="22"/>
        <v>N</v>
      </c>
      <c r="N98" s="12" t="str">
        <f t="shared" si="32"/>
        <v>N</v>
      </c>
    </row>
    <row r="99" spans="1:14">
      <c r="A99" s="14">
        <v>90</v>
      </c>
      <c r="B99" s="14">
        <v>105</v>
      </c>
      <c r="C99" s="14">
        <v>1</v>
      </c>
      <c r="D99" s="15">
        <f t="shared" si="23"/>
        <v>105</v>
      </c>
      <c r="E99" s="15">
        <f t="shared" si="24"/>
        <v>172.96008378291651</v>
      </c>
      <c r="F99" s="15">
        <f t="shared" si="25"/>
        <v>137.75</v>
      </c>
      <c r="G99" s="15">
        <f t="shared" si="26"/>
        <v>102.53991621708349</v>
      </c>
      <c r="H99" s="15">
        <f t="shared" si="27"/>
        <v>-2.7903938146170977</v>
      </c>
      <c r="I99" s="15">
        <f t="shared" si="28"/>
        <v>5.5615881259775053</v>
      </c>
      <c r="J99" s="15">
        <f t="shared" si="29"/>
        <v>333.57398388174158</v>
      </c>
      <c r="K99" s="15">
        <f t="shared" si="30"/>
        <v>137.75</v>
      </c>
      <c r="L99" s="15">
        <f t="shared" si="31"/>
        <v>0</v>
      </c>
      <c r="M99" s="14" t="str">
        <f t="shared" si="22"/>
        <v>N</v>
      </c>
      <c r="N99" s="12" t="str">
        <f t="shared" si="32"/>
        <v>N</v>
      </c>
    </row>
    <row r="100" spans="1:14">
      <c r="A100" s="14">
        <v>91</v>
      </c>
      <c r="B100" s="14">
        <v>204</v>
      </c>
      <c r="C100" s="14">
        <v>1</v>
      </c>
      <c r="D100" s="15">
        <f t="shared" si="23"/>
        <v>204</v>
      </c>
      <c r="E100" s="15">
        <f t="shared" si="24"/>
        <v>172.96008378291651</v>
      </c>
      <c r="F100" s="15">
        <f t="shared" si="25"/>
        <v>137.75</v>
      </c>
      <c r="G100" s="15">
        <f t="shared" si="26"/>
        <v>102.53991621708349</v>
      </c>
      <c r="H100" s="15">
        <f t="shared" si="27"/>
        <v>5.6446897776605409</v>
      </c>
      <c r="I100" s="15">
        <f t="shared" si="28"/>
        <v>5.5615881259775053</v>
      </c>
      <c r="J100" s="15">
        <f t="shared" si="29"/>
        <v>333.57398388174158</v>
      </c>
      <c r="K100" s="15">
        <f t="shared" si="30"/>
        <v>137.75</v>
      </c>
      <c r="L100" s="15">
        <f t="shared" si="31"/>
        <v>0</v>
      </c>
      <c r="M100" s="14" t="str">
        <f t="shared" si="22"/>
        <v>Y</v>
      </c>
      <c r="N100" s="12" t="str">
        <f t="shared" si="32"/>
        <v>N</v>
      </c>
    </row>
    <row r="101" spans="1:14">
      <c r="A101" s="14">
        <v>92</v>
      </c>
      <c r="B101" s="14">
        <v>146</v>
      </c>
      <c r="C101" s="14">
        <v>1</v>
      </c>
      <c r="D101" s="15">
        <f t="shared" si="23"/>
        <v>146</v>
      </c>
      <c r="E101" s="15">
        <f t="shared" si="24"/>
        <v>172.96008378291651</v>
      </c>
      <c r="F101" s="15">
        <f t="shared" si="25"/>
        <v>137.75</v>
      </c>
      <c r="G101" s="15">
        <f t="shared" si="26"/>
        <v>102.53991621708349</v>
      </c>
      <c r="H101" s="15">
        <f t="shared" si="27"/>
        <v>0.70292363268980318</v>
      </c>
      <c r="I101" s="15">
        <f t="shared" si="28"/>
        <v>5.5615881259775053</v>
      </c>
      <c r="J101" s="15">
        <f t="shared" si="29"/>
        <v>333.57398388174158</v>
      </c>
      <c r="K101" s="15">
        <f t="shared" si="30"/>
        <v>137.75</v>
      </c>
      <c r="L101" s="15">
        <f t="shared" si="31"/>
        <v>0</v>
      </c>
      <c r="M101" s="14" t="str">
        <f t="shared" si="22"/>
        <v>N</v>
      </c>
      <c r="N101" s="12" t="str">
        <f t="shared" si="32"/>
        <v>N</v>
      </c>
    </row>
    <row r="102" spans="1:14">
      <c r="A102" s="14">
        <v>93</v>
      </c>
      <c r="B102" s="14">
        <v>62</v>
      </c>
      <c r="C102" s="14">
        <v>1</v>
      </c>
      <c r="D102" s="15">
        <f t="shared" si="23"/>
        <v>62</v>
      </c>
      <c r="E102" s="15">
        <f t="shared" si="24"/>
        <v>172.96008378291651</v>
      </c>
      <c r="F102" s="15">
        <f t="shared" si="25"/>
        <v>137.75</v>
      </c>
      <c r="G102" s="15">
        <f t="shared" si="26"/>
        <v>102.53991621708349</v>
      </c>
      <c r="H102" s="15">
        <f t="shared" si="27"/>
        <v>-6.4541169910609204</v>
      </c>
      <c r="I102" s="15">
        <f t="shared" si="28"/>
        <v>5.5615881259775053</v>
      </c>
      <c r="J102" s="15">
        <f t="shared" si="29"/>
        <v>333.57398388174158</v>
      </c>
      <c r="K102" s="15">
        <f t="shared" si="30"/>
        <v>137.75</v>
      </c>
      <c r="L102" s="15">
        <f t="shared" si="31"/>
        <v>0</v>
      </c>
      <c r="M102" s="14" t="str">
        <f t="shared" si="22"/>
        <v>Y</v>
      </c>
      <c r="N102" s="12" t="str">
        <f t="shared" si="32"/>
        <v>N</v>
      </c>
    </row>
    <row r="103" spans="1:14">
      <c r="A103" s="14">
        <v>94</v>
      </c>
      <c r="B103" s="14">
        <v>64</v>
      </c>
      <c r="C103" s="14">
        <v>1</v>
      </c>
      <c r="D103" s="15">
        <f t="shared" si="23"/>
        <v>64</v>
      </c>
      <c r="E103" s="15">
        <f t="shared" si="24"/>
        <v>172.96008378291651</v>
      </c>
      <c r="F103" s="15">
        <f t="shared" si="25"/>
        <v>137.75</v>
      </c>
      <c r="G103" s="15">
        <f t="shared" si="26"/>
        <v>102.53991621708349</v>
      </c>
      <c r="H103" s="15">
        <f t="shared" si="27"/>
        <v>-6.2837112619239983</v>
      </c>
      <c r="I103" s="15">
        <f t="shared" si="28"/>
        <v>5.5615881259775053</v>
      </c>
      <c r="J103" s="15">
        <f t="shared" si="29"/>
        <v>333.57398388174158</v>
      </c>
      <c r="K103" s="15">
        <f t="shared" si="30"/>
        <v>137.75</v>
      </c>
      <c r="L103" s="15">
        <f t="shared" si="31"/>
        <v>0</v>
      </c>
      <c r="M103" s="14" t="str">
        <f t="shared" si="22"/>
        <v>Y</v>
      </c>
      <c r="N103" s="12" t="str">
        <f t="shared" si="32"/>
        <v>N</v>
      </c>
    </row>
    <row r="104" spans="1:14">
      <c r="A104" s="14">
        <v>95</v>
      </c>
      <c r="B104" s="14">
        <v>248</v>
      </c>
      <c r="C104" s="14">
        <v>1</v>
      </c>
      <c r="D104" s="15">
        <f t="shared" si="23"/>
        <v>248</v>
      </c>
      <c r="E104" s="15">
        <f t="shared" si="24"/>
        <v>172.96008378291651</v>
      </c>
      <c r="F104" s="15">
        <f t="shared" si="25"/>
        <v>137.75</v>
      </c>
      <c r="G104" s="15">
        <f t="shared" si="26"/>
        <v>102.53991621708349</v>
      </c>
      <c r="H104" s="15">
        <f t="shared" si="27"/>
        <v>9.3936158186728242</v>
      </c>
      <c r="I104" s="15">
        <f t="shared" si="28"/>
        <v>5.5615881259775053</v>
      </c>
      <c r="J104" s="15">
        <f t="shared" si="29"/>
        <v>333.57398388174158</v>
      </c>
      <c r="K104" s="15">
        <f t="shared" si="30"/>
        <v>137.75</v>
      </c>
      <c r="L104" s="15">
        <f t="shared" si="31"/>
        <v>0</v>
      </c>
      <c r="M104" s="14" t="str">
        <f t="shared" si="22"/>
        <v>Y</v>
      </c>
      <c r="N104" s="12" t="str">
        <f t="shared" si="32"/>
        <v>N</v>
      </c>
    </row>
    <row r="105" spans="1:14">
      <c r="A105" s="14">
        <v>96</v>
      </c>
      <c r="B105" s="14">
        <v>259</v>
      </c>
      <c r="C105" s="14">
        <v>1</v>
      </c>
      <c r="D105" s="15">
        <f t="shared" si="23"/>
        <v>259</v>
      </c>
      <c r="E105" s="15">
        <f t="shared" si="24"/>
        <v>172.96008378291651</v>
      </c>
      <c r="F105" s="15">
        <f t="shared" si="25"/>
        <v>137.75</v>
      </c>
      <c r="G105" s="15">
        <f t="shared" si="26"/>
        <v>102.53991621708349</v>
      </c>
      <c r="H105" s="15">
        <f t="shared" si="27"/>
        <v>10.330847328925895</v>
      </c>
      <c r="I105" s="15">
        <f t="shared" si="28"/>
        <v>5.5615881259775053</v>
      </c>
      <c r="J105" s="15">
        <f t="shared" si="29"/>
        <v>333.57398388174158</v>
      </c>
      <c r="K105" s="15">
        <f t="shared" si="30"/>
        <v>137.75</v>
      </c>
      <c r="L105" s="15">
        <f t="shared" si="31"/>
        <v>0</v>
      </c>
      <c r="M105" s="14" t="str">
        <f t="shared" si="22"/>
        <v>Y</v>
      </c>
      <c r="N105" s="12" t="str">
        <f t="shared" si="32"/>
        <v>N</v>
      </c>
    </row>
    <row r="106" spans="1:14">
      <c r="A106" s="14">
        <v>97</v>
      </c>
      <c r="B106" s="14">
        <v>46</v>
      </c>
      <c r="C106" s="14">
        <v>1</v>
      </c>
      <c r="D106" s="15">
        <f t="shared" ref="D106:D137" si="33">IF(C106=0,"",B106/C106)</f>
        <v>46</v>
      </c>
      <c r="E106" s="15">
        <f t="shared" ref="E106:E137" si="34">IF(C106=0,"",$F$6 + 3*SQRT($F$6/C106))</f>
        <v>172.96008378291651</v>
      </c>
      <c r="F106" s="15">
        <f t="shared" ref="F106:F137" si="35">$F$6</f>
        <v>137.75</v>
      </c>
      <c r="G106" s="15">
        <f t="shared" ref="G106:G137" si="36">IF(C106=0,"",MAX(0,$F$6 - 3*SQRT($F$6/C106)))</f>
        <v>102.53991621708349</v>
      </c>
      <c r="H106" s="15">
        <f t="shared" ref="H106:H137" si="37">IF(C106=0,"",(D106-$F$6)/SQRT($F$6/C106))</f>
        <v>-7.8173628241562962</v>
      </c>
      <c r="I106" s="15">
        <f t="shared" ref="I106:I137" si="38">$I$6</f>
        <v>5.5615881259775053</v>
      </c>
      <c r="J106" s="15">
        <f t="shared" ref="J106:J137" si="39">IF(C106=0,"",$F$6 + 3*$I$6*SQRT($F$6/C106))</f>
        <v>333.57398388174158</v>
      </c>
      <c r="K106" s="15">
        <f t="shared" ref="K106:K137" si="40">$F$6</f>
        <v>137.75</v>
      </c>
      <c r="L106" s="15">
        <f t="shared" ref="L106:L137" si="41">IF(C106=0,"",MAX(0,$F$6 - 3*$I$6*SQRT($F$6/C106)))</f>
        <v>0</v>
      </c>
      <c r="M106" s="14" t="str">
        <f t="shared" ref="M106:M169" si="42">IF(OR(D106&gt;E106,D106&lt;G106),"Y","N")</f>
        <v>Y</v>
      </c>
      <c r="N106" s="12" t="str">
        <f t="shared" si="32"/>
        <v>N</v>
      </c>
    </row>
    <row r="107" spans="1:14">
      <c r="A107" s="14">
        <v>98</v>
      </c>
      <c r="B107" s="14">
        <v>118</v>
      </c>
      <c r="C107" s="14">
        <v>1</v>
      </c>
      <c r="D107" s="15">
        <f t="shared" si="33"/>
        <v>118</v>
      </c>
      <c r="E107" s="15">
        <f t="shared" si="34"/>
        <v>172.96008378291651</v>
      </c>
      <c r="F107" s="15">
        <f t="shared" si="35"/>
        <v>137.75</v>
      </c>
      <c r="G107" s="15">
        <f t="shared" si="36"/>
        <v>102.53991621708349</v>
      </c>
      <c r="H107" s="15">
        <f t="shared" si="37"/>
        <v>-1.6827565752271048</v>
      </c>
      <c r="I107" s="15">
        <f t="shared" si="38"/>
        <v>5.5615881259775053</v>
      </c>
      <c r="J107" s="15">
        <f t="shared" si="39"/>
        <v>333.57398388174158</v>
      </c>
      <c r="K107" s="15">
        <f t="shared" si="40"/>
        <v>137.75</v>
      </c>
      <c r="L107" s="15">
        <f t="shared" si="41"/>
        <v>0</v>
      </c>
      <c r="M107" s="14" t="str">
        <f t="shared" si="42"/>
        <v>N</v>
      </c>
      <c r="N107" s="12" t="str">
        <f t="shared" si="32"/>
        <v>N</v>
      </c>
    </row>
    <row r="108" spans="1:14">
      <c r="A108" s="14">
        <v>99</v>
      </c>
      <c r="B108" s="14">
        <v>124</v>
      </c>
      <c r="C108" s="14">
        <v>1</v>
      </c>
      <c r="D108" s="15">
        <f t="shared" si="33"/>
        <v>124</v>
      </c>
      <c r="E108" s="15">
        <f t="shared" si="34"/>
        <v>172.96008378291651</v>
      </c>
      <c r="F108" s="15">
        <f t="shared" si="35"/>
        <v>137.75</v>
      </c>
      <c r="G108" s="15">
        <f t="shared" si="36"/>
        <v>102.53991621708349</v>
      </c>
      <c r="H108" s="15">
        <f t="shared" si="37"/>
        <v>-1.1715393878163387</v>
      </c>
      <c r="I108" s="15">
        <f t="shared" si="38"/>
        <v>5.5615881259775053</v>
      </c>
      <c r="J108" s="15">
        <f t="shared" si="39"/>
        <v>333.57398388174158</v>
      </c>
      <c r="K108" s="15">
        <f t="shared" si="40"/>
        <v>137.75</v>
      </c>
      <c r="L108" s="15">
        <f t="shared" si="41"/>
        <v>0</v>
      </c>
      <c r="M108" s="14" t="str">
        <f t="shared" si="42"/>
        <v>N</v>
      </c>
      <c r="N108" s="12" t="str">
        <f t="shared" si="32"/>
        <v>N</v>
      </c>
    </row>
    <row r="109" spans="1:14">
      <c r="A109" s="14">
        <v>100</v>
      </c>
      <c r="B109" s="14">
        <v>146</v>
      </c>
      <c r="C109" s="14">
        <v>1</v>
      </c>
      <c r="D109" s="15">
        <f t="shared" si="33"/>
        <v>146</v>
      </c>
      <c r="E109" s="15">
        <f t="shared" si="34"/>
        <v>172.96008378291651</v>
      </c>
      <c r="F109" s="15">
        <f t="shared" si="35"/>
        <v>137.75</v>
      </c>
      <c r="G109" s="15">
        <f t="shared" si="36"/>
        <v>102.53991621708349</v>
      </c>
      <c r="H109" s="15">
        <f t="shared" si="37"/>
        <v>0.70292363268980318</v>
      </c>
      <c r="I109" s="15">
        <f t="shared" si="38"/>
        <v>5.5615881259775053</v>
      </c>
      <c r="J109" s="15">
        <f t="shared" si="39"/>
        <v>333.57398388174158</v>
      </c>
      <c r="K109" s="15">
        <f t="shared" si="40"/>
        <v>137.75</v>
      </c>
      <c r="L109" s="15">
        <f t="shared" si="41"/>
        <v>0</v>
      </c>
      <c r="M109" s="14" t="str">
        <f t="shared" si="42"/>
        <v>N</v>
      </c>
      <c r="N109" s="12" t="str">
        <f t="shared" si="32"/>
        <v>N</v>
      </c>
    </row>
    <row r="110" spans="1:14">
      <c r="A110" s="14">
        <v>101</v>
      </c>
      <c r="B110" s="14">
        <v>37</v>
      </c>
      <c r="C110" s="14">
        <v>1</v>
      </c>
      <c r="D110" s="15">
        <f t="shared" si="33"/>
        <v>37</v>
      </c>
      <c r="E110" s="15">
        <f t="shared" si="34"/>
        <v>172.96008378291651</v>
      </c>
      <c r="F110" s="15">
        <f t="shared" si="35"/>
        <v>137.75</v>
      </c>
      <c r="G110" s="15">
        <f t="shared" si="36"/>
        <v>102.53991621708349</v>
      </c>
      <c r="H110" s="15">
        <f t="shared" si="37"/>
        <v>-8.5841886052724448</v>
      </c>
      <c r="I110" s="15">
        <f t="shared" si="38"/>
        <v>5.5615881259775053</v>
      </c>
      <c r="J110" s="15">
        <f t="shared" si="39"/>
        <v>333.57398388174158</v>
      </c>
      <c r="K110" s="15">
        <f t="shared" si="40"/>
        <v>137.75</v>
      </c>
      <c r="L110" s="15">
        <f t="shared" si="41"/>
        <v>0</v>
      </c>
      <c r="M110" s="14" t="str">
        <f t="shared" si="42"/>
        <v>Y</v>
      </c>
      <c r="N110" s="12" t="str">
        <f t="shared" si="32"/>
        <v>N</v>
      </c>
    </row>
    <row r="111" spans="1:14">
      <c r="A111" s="14">
        <v>102</v>
      </c>
      <c r="B111" s="14">
        <v>212</v>
      </c>
      <c r="C111" s="14">
        <v>1</v>
      </c>
      <c r="D111" s="15">
        <f t="shared" si="33"/>
        <v>212</v>
      </c>
      <c r="E111" s="15">
        <f t="shared" si="34"/>
        <v>172.96008378291651</v>
      </c>
      <c r="F111" s="15">
        <f t="shared" si="35"/>
        <v>137.75</v>
      </c>
      <c r="G111" s="15">
        <f t="shared" si="36"/>
        <v>102.53991621708349</v>
      </c>
      <c r="H111" s="15">
        <f t="shared" si="37"/>
        <v>6.3263126942082293</v>
      </c>
      <c r="I111" s="15">
        <f t="shared" si="38"/>
        <v>5.5615881259775053</v>
      </c>
      <c r="J111" s="15">
        <f t="shared" si="39"/>
        <v>333.57398388174158</v>
      </c>
      <c r="K111" s="15">
        <f t="shared" si="40"/>
        <v>137.75</v>
      </c>
      <c r="L111" s="15">
        <f t="shared" si="41"/>
        <v>0</v>
      </c>
      <c r="M111" s="14" t="str">
        <f t="shared" si="42"/>
        <v>Y</v>
      </c>
      <c r="N111" s="12" t="str">
        <f t="shared" si="32"/>
        <v>N</v>
      </c>
    </row>
    <row r="112" spans="1:14">
      <c r="A112" s="14">
        <v>103</v>
      </c>
      <c r="B112" s="14">
        <v>210</v>
      </c>
      <c r="C112" s="14">
        <v>1</v>
      </c>
      <c r="D112" s="15">
        <f t="shared" si="33"/>
        <v>210</v>
      </c>
      <c r="E112" s="15">
        <f t="shared" si="34"/>
        <v>172.96008378291651</v>
      </c>
      <c r="F112" s="15">
        <f t="shared" si="35"/>
        <v>137.75</v>
      </c>
      <c r="G112" s="15">
        <f t="shared" si="36"/>
        <v>102.53991621708349</v>
      </c>
      <c r="H112" s="15">
        <f t="shared" si="37"/>
        <v>6.1559069650713072</v>
      </c>
      <c r="I112" s="15">
        <f t="shared" si="38"/>
        <v>5.5615881259775053</v>
      </c>
      <c r="J112" s="15">
        <f t="shared" si="39"/>
        <v>333.57398388174158</v>
      </c>
      <c r="K112" s="15">
        <f t="shared" si="40"/>
        <v>137.75</v>
      </c>
      <c r="L112" s="15">
        <f t="shared" si="41"/>
        <v>0</v>
      </c>
      <c r="M112" s="14" t="str">
        <f t="shared" si="42"/>
        <v>Y</v>
      </c>
      <c r="N112" s="12" t="str">
        <f t="shared" si="32"/>
        <v>N</v>
      </c>
    </row>
    <row r="113" spans="1:14">
      <c r="A113" s="14">
        <v>104</v>
      </c>
      <c r="B113" s="14">
        <v>170</v>
      </c>
      <c r="C113" s="14">
        <v>1</v>
      </c>
      <c r="D113" s="15">
        <f t="shared" si="33"/>
        <v>170</v>
      </c>
      <c r="E113" s="15">
        <f t="shared" si="34"/>
        <v>172.96008378291651</v>
      </c>
      <c r="F113" s="15">
        <f t="shared" si="35"/>
        <v>137.75</v>
      </c>
      <c r="G113" s="15">
        <f t="shared" si="36"/>
        <v>102.53991621708349</v>
      </c>
      <c r="H113" s="15">
        <f t="shared" si="37"/>
        <v>2.7477923823328672</v>
      </c>
      <c r="I113" s="15">
        <f t="shared" si="38"/>
        <v>5.5615881259775053</v>
      </c>
      <c r="J113" s="15">
        <f t="shared" si="39"/>
        <v>333.57398388174158</v>
      </c>
      <c r="K113" s="15">
        <f t="shared" si="40"/>
        <v>137.75</v>
      </c>
      <c r="L113" s="15">
        <f t="shared" si="41"/>
        <v>0</v>
      </c>
      <c r="M113" s="14" t="str">
        <f t="shared" si="42"/>
        <v>N</v>
      </c>
      <c r="N113" s="12" t="str">
        <f t="shared" si="32"/>
        <v>N</v>
      </c>
    </row>
    <row r="114" spans="1:14">
      <c r="A114" s="14">
        <v>105</v>
      </c>
      <c r="B114" s="14">
        <v>167</v>
      </c>
      <c r="C114" s="14">
        <v>1</v>
      </c>
      <c r="D114" s="15">
        <f t="shared" si="33"/>
        <v>167</v>
      </c>
      <c r="E114" s="15">
        <f t="shared" si="34"/>
        <v>172.96008378291651</v>
      </c>
      <c r="F114" s="15">
        <f t="shared" si="35"/>
        <v>137.75</v>
      </c>
      <c r="G114" s="15">
        <f t="shared" si="36"/>
        <v>102.53991621708349</v>
      </c>
      <c r="H114" s="15">
        <f t="shared" si="37"/>
        <v>2.492183788627484</v>
      </c>
      <c r="I114" s="15">
        <f t="shared" si="38"/>
        <v>5.5615881259775053</v>
      </c>
      <c r="J114" s="15">
        <f t="shared" si="39"/>
        <v>333.57398388174158</v>
      </c>
      <c r="K114" s="15">
        <f t="shared" si="40"/>
        <v>137.75</v>
      </c>
      <c r="L114" s="15">
        <f t="shared" si="41"/>
        <v>0</v>
      </c>
      <c r="M114" s="14" t="str">
        <f t="shared" si="42"/>
        <v>N</v>
      </c>
      <c r="N114" s="12" t="str">
        <f t="shared" si="32"/>
        <v>N</v>
      </c>
    </row>
    <row r="115" spans="1:14">
      <c r="A115" s="14">
        <v>106</v>
      </c>
      <c r="B115" s="14">
        <v>172</v>
      </c>
      <c r="C115" s="14">
        <v>1</v>
      </c>
      <c r="D115" s="15">
        <f t="shared" si="33"/>
        <v>172</v>
      </c>
      <c r="E115" s="15">
        <f t="shared" si="34"/>
        <v>172.96008378291651</v>
      </c>
      <c r="F115" s="15">
        <f t="shared" si="35"/>
        <v>137.75</v>
      </c>
      <c r="G115" s="15">
        <f t="shared" si="36"/>
        <v>102.53991621708349</v>
      </c>
      <c r="H115" s="15">
        <f t="shared" si="37"/>
        <v>2.9181981114697892</v>
      </c>
      <c r="I115" s="15">
        <f t="shared" si="38"/>
        <v>5.5615881259775053</v>
      </c>
      <c r="J115" s="15">
        <f t="shared" si="39"/>
        <v>333.57398388174158</v>
      </c>
      <c r="K115" s="15">
        <f t="shared" si="40"/>
        <v>137.75</v>
      </c>
      <c r="L115" s="15">
        <f t="shared" si="41"/>
        <v>0</v>
      </c>
      <c r="M115" s="14" t="str">
        <f t="shared" si="42"/>
        <v>N</v>
      </c>
      <c r="N115" s="12" t="str">
        <f t="shared" si="32"/>
        <v>N</v>
      </c>
    </row>
    <row r="116" spans="1:14">
      <c r="A116" s="14">
        <v>107</v>
      </c>
      <c r="B116" s="14">
        <v>204</v>
      </c>
      <c r="C116" s="14">
        <v>1</v>
      </c>
      <c r="D116" s="15">
        <f t="shared" si="33"/>
        <v>204</v>
      </c>
      <c r="E116" s="15">
        <f t="shared" si="34"/>
        <v>172.96008378291651</v>
      </c>
      <c r="F116" s="15">
        <f t="shared" si="35"/>
        <v>137.75</v>
      </c>
      <c r="G116" s="15">
        <f t="shared" si="36"/>
        <v>102.53991621708349</v>
      </c>
      <c r="H116" s="15">
        <f t="shared" si="37"/>
        <v>5.6446897776605409</v>
      </c>
      <c r="I116" s="15">
        <f t="shared" si="38"/>
        <v>5.5615881259775053</v>
      </c>
      <c r="J116" s="15">
        <f t="shared" si="39"/>
        <v>333.57398388174158</v>
      </c>
      <c r="K116" s="15">
        <f t="shared" si="40"/>
        <v>137.75</v>
      </c>
      <c r="L116" s="15">
        <f t="shared" si="41"/>
        <v>0</v>
      </c>
      <c r="M116" s="14" t="str">
        <f t="shared" si="42"/>
        <v>Y</v>
      </c>
      <c r="N116" s="12" t="str">
        <f t="shared" si="32"/>
        <v>N</v>
      </c>
    </row>
    <row r="117" spans="1:14">
      <c r="A117" s="14">
        <v>108</v>
      </c>
      <c r="B117" s="14">
        <v>209</v>
      </c>
      <c r="C117" s="14">
        <v>1</v>
      </c>
      <c r="D117" s="15">
        <f t="shared" si="33"/>
        <v>209</v>
      </c>
      <c r="E117" s="15">
        <f t="shared" si="34"/>
        <v>172.96008378291651</v>
      </c>
      <c r="F117" s="15">
        <f t="shared" si="35"/>
        <v>137.75</v>
      </c>
      <c r="G117" s="15">
        <f t="shared" si="36"/>
        <v>102.53991621708349</v>
      </c>
      <c r="H117" s="15">
        <f t="shared" si="37"/>
        <v>6.0707041005028461</v>
      </c>
      <c r="I117" s="15">
        <f t="shared" si="38"/>
        <v>5.5615881259775053</v>
      </c>
      <c r="J117" s="15">
        <f t="shared" si="39"/>
        <v>333.57398388174158</v>
      </c>
      <c r="K117" s="15">
        <f t="shared" si="40"/>
        <v>137.75</v>
      </c>
      <c r="L117" s="15">
        <f t="shared" si="41"/>
        <v>0</v>
      </c>
      <c r="M117" s="14" t="str">
        <f t="shared" si="42"/>
        <v>Y</v>
      </c>
      <c r="N117" s="12" t="str">
        <f t="shared" si="32"/>
        <v>N</v>
      </c>
    </row>
    <row r="118" spans="1:14">
      <c r="A118" s="14">
        <v>109</v>
      </c>
      <c r="B118" s="14">
        <v>250</v>
      </c>
      <c r="C118" s="14">
        <v>1</v>
      </c>
      <c r="D118" s="15">
        <f t="shared" si="33"/>
        <v>250</v>
      </c>
      <c r="E118" s="15">
        <f t="shared" si="34"/>
        <v>172.96008378291651</v>
      </c>
      <c r="F118" s="15">
        <f t="shared" si="35"/>
        <v>137.75</v>
      </c>
      <c r="G118" s="15">
        <f t="shared" si="36"/>
        <v>102.53991621708349</v>
      </c>
      <c r="H118" s="15">
        <f t="shared" si="37"/>
        <v>9.5640215478097463</v>
      </c>
      <c r="I118" s="15">
        <f t="shared" si="38"/>
        <v>5.5615881259775053</v>
      </c>
      <c r="J118" s="15">
        <f t="shared" si="39"/>
        <v>333.57398388174158</v>
      </c>
      <c r="K118" s="15">
        <f t="shared" si="40"/>
        <v>137.75</v>
      </c>
      <c r="L118" s="15">
        <f t="shared" si="41"/>
        <v>0</v>
      </c>
      <c r="M118" s="14" t="str">
        <f t="shared" si="42"/>
        <v>Y</v>
      </c>
      <c r="N118" s="12" t="str">
        <f t="shared" si="32"/>
        <v>N</v>
      </c>
    </row>
    <row r="119" spans="1:14">
      <c r="A119" s="14">
        <v>110</v>
      </c>
      <c r="B119" s="14">
        <v>88</v>
      </c>
      <c r="C119" s="14">
        <v>1</v>
      </c>
      <c r="D119" s="15">
        <f t="shared" si="33"/>
        <v>88</v>
      </c>
      <c r="E119" s="15">
        <f t="shared" si="34"/>
        <v>172.96008378291651</v>
      </c>
      <c r="F119" s="15">
        <f t="shared" si="35"/>
        <v>137.75</v>
      </c>
      <c r="G119" s="15">
        <f t="shared" si="36"/>
        <v>102.53991621708349</v>
      </c>
      <c r="H119" s="15">
        <f t="shared" si="37"/>
        <v>-4.2388425122809341</v>
      </c>
      <c r="I119" s="15">
        <f t="shared" si="38"/>
        <v>5.5615881259775053</v>
      </c>
      <c r="J119" s="15">
        <f t="shared" si="39"/>
        <v>333.57398388174158</v>
      </c>
      <c r="K119" s="15">
        <f t="shared" si="40"/>
        <v>137.75</v>
      </c>
      <c r="L119" s="15">
        <f t="shared" si="41"/>
        <v>0</v>
      </c>
      <c r="M119" s="14" t="str">
        <f t="shared" si="42"/>
        <v>Y</v>
      </c>
      <c r="N119" s="12" t="str">
        <f t="shared" si="32"/>
        <v>N</v>
      </c>
    </row>
    <row r="120" spans="1:14">
      <c r="A120" s="14">
        <v>111</v>
      </c>
      <c r="B120" s="14">
        <v>161</v>
      </c>
      <c r="C120" s="14">
        <v>1</v>
      </c>
      <c r="D120" s="15">
        <f t="shared" si="33"/>
        <v>161</v>
      </c>
      <c r="E120" s="15">
        <f t="shared" si="34"/>
        <v>172.96008378291651</v>
      </c>
      <c r="F120" s="15">
        <f t="shared" si="35"/>
        <v>137.75</v>
      </c>
      <c r="G120" s="15">
        <f t="shared" si="36"/>
        <v>102.53991621708349</v>
      </c>
      <c r="H120" s="15">
        <f t="shared" si="37"/>
        <v>1.9809666012167182</v>
      </c>
      <c r="I120" s="15">
        <f t="shared" si="38"/>
        <v>5.5615881259775053</v>
      </c>
      <c r="J120" s="15">
        <f t="shared" si="39"/>
        <v>333.57398388174158</v>
      </c>
      <c r="K120" s="15">
        <f t="shared" si="40"/>
        <v>137.75</v>
      </c>
      <c r="L120" s="15">
        <f t="shared" si="41"/>
        <v>0</v>
      </c>
      <c r="M120" s="14" t="str">
        <f t="shared" si="42"/>
        <v>N</v>
      </c>
      <c r="N120" s="12" t="str">
        <f t="shared" si="32"/>
        <v>N</v>
      </c>
    </row>
    <row r="121" spans="1:14">
      <c r="A121" s="14">
        <v>112</v>
      </c>
      <c r="B121" s="14">
        <v>208</v>
      </c>
      <c r="C121" s="14">
        <v>1</v>
      </c>
      <c r="D121" s="15">
        <f t="shared" si="33"/>
        <v>208</v>
      </c>
      <c r="E121" s="15">
        <f t="shared" si="34"/>
        <v>172.96008378291651</v>
      </c>
      <c r="F121" s="15">
        <f t="shared" si="35"/>
        <v>137.75</v>
      </c>
      <c r="G121" s="15">
        <f t="shared" si="36"/>
        <v>102.53991621708349</v>
      </c>
      <c r="H121" s="15">
        <f t="shared" si="37"/>
        <v>5.9855012359343851</v>
      </c>
      <c r="I121" s="15">
        <f t="shared" si="38"/>
        <v>5.5615881259775053</v>
      </c>
      <c r="J121" s="15">
        <f t="shared" si="39"/>
        <v>333.57398388174158</v>
      </c>
      <c r="K121" s="15">
        <f t="shared" si="40"/>
        <v>137.75</v>
      </c>
      <c r="L121" s="15">
        <f t="shared" si="41"/>
        <v>0</v>
      </c>
      <c r="M121" s="14" t="str">
        <f t="shared" si="42"/>
        <v>Y</v>
      </c>
      <c r="N121" s="12" t="str">
        <f t="shared" si="32"/>
        <v>N</v>
      </c>
    </row>
    <row r="122" spans="1:14">
      <c r="A122" s="14">
        <v>113</v>
      </c>
      <c r="B122" s="14">
        <v>210</v>
      </c>
      <c r="C122" s="14">
        <v>1</v>
      </c>
      <c r="D122" s="15">
        <f t="shared" si="33"/>
        <v>210</v>
      </c>
      <c r="E122" s="15">
        <f t="shared" si="34"/>
        <v>172.96008378291651</v>
      </c>
      <c r="F122" s="15">
        <f t="shared" si="35"/>
        <v>137.75</v>
      </c>
      <c r="G122" s="15">
        <f t="shared" si="36"/>
        <v>102.53991621708349</v>
      </c>
      <c r="H122" s="15">
        <f t="shared" si="37"/>
        <v>6.1559069650713072</v>
      </c>
      <c r="I122" s="15">
        <f t="shared" si="38"/>
        <v>5.5615881259775053</v>
      </c>
      <c r="J122" s="15">
        <f t="shared" si="39"/>
        <v>333.57398388174158</v>
      </c>
      <c r="K122" s="15">
        <f t="shared" si="40"/>
        <v>137.75</v>
      </c>
      <c r="L122" s="15">
        <f t="shared" si="41"/>
        <v>0</v>
      </c>
      <c r="M122" s="14" t="str">
        <f t="shared" si="42"/>
        <v>Y</v>
      </c>
      <c r="N122" s="12" t="str">
        <f t="shared" si="32"/>
        <v>N</v>
      </c>
    </row>
    <row r="123" spans="1:14">
      <c r="A123" s="14">
        <v>114</v>
      </c>
      <c r="B123" s="14">
        <v>266</v>
      </c>
      <c r="C123" s="14">
        <v>1</v>
      </c>
      <c r="D123" s="15">
        <f t="shared" si="33"/>
        <v>266</v>
      </c>
      <c r="E123" s="15">
        <f t="shared" si="34"/>
        <v>172.96008378291651</v>
      </c>
      <c r="F123" s="15">
        <f t="shared" si="35"/>
        <v>137.75</v>
      </c>
      <c r="G123" s="15">
        <f t="shared" si="36"/>
        <v>102.53991621708349</v>
      </c>
      <c r="H123" s="15">
        <f t="shared" si="37"/>
        <v>10.927267380905123</v>
      </c>
      <c r="I123" s="15">
        <f t="shared" si="38"/>
        <v>5.5615881259775053</v>
      </c>
      <c r="J123" s="15">
        <f t="shared" si="39"/>
        <v>333.57398388174158</v>
      </c>
      <c r="K123" s="15">
        <f t="shared" si="40"/>
        <v>137.75</v>
      </c>
      <c r="L123" s="15">
        <f t="shared" si="41"/>
        <v>0</v>
      </c>
      <c r="M123" s="14" t="str">
        <f t="shared" si="42"/>
        <v>Y</v>
      </c>
      <c r="N123" s="12" t="str">
        <f t="shared" si="32"/>
        <v>N</v>
      </c>
    </row>
    <row r="124" spans="1:14">
      <c r="A124" s="14">
        <v>115</v>
      </c>
      <c r="B124" s="14">
        <v>130</v>
      </c>
      <c r="C124" s="14">
        <v>1</v>
      </c>
      <c r="D124" s="15">
        <f t="shared" si="33"/>
        <v>130</v>
      </c>
      <c r="E124" s="15">
        <f t="shared" si="34"/>
        <v>172.96008378291651</v>
      </c>
      <c r="F124" s="15">
        <f t="shared" si="35"/>
        <v>137.75</v>
      </c>
      <c r="G124" s="15">
        <f t="shared" si="36"/>
        <v>102.53991621708349</v>
      </c>
      <c r="H124" s="15">
        <f t="shared" si="37"/>
        <v>-0.66032220040557277</v>
      </c>
      <c r="I124" s="15">
        <f t="shared" si="38"/>
        <v>5.5615881259775053</v>
      </c>
      <c r="J124" s="15">
        <f t="shared" si="39"/>
        <v>333.57398388174158</v>
      </c>
      <c r="K124" s="15">
        <f t="shared" si="40"/>
        <v>137.75</v>
      </c>
      <c r="L124" s="15">
        <f t="shared" si="41"/>
        <v>0</v>
      </c>
      <c r="M124" s="14" t="str">
        <f t="shared" si="42"/>
        <v>N</v>
      </c>
      <c r="N124" s="12" t="str">
        <f t="shared" si="32"/>
        <v>N</v>
      </c>
    </row>
    <row r="125" spans="1:14">
      <c r="A125" s="14">
        <v>116</v>
      </c>
      <c r="B125" s="14">
        <v>163</v>
      </c>
      <c r="C125" s="14">
        <v>1</v>
      </c>
      <c r="D125" s="15">
        <f t="shared" si="33"/>
        <v>163</v>
      </c>
      <c r="E125" s="15">
        <f t="shared" si="34"/>
        <v>172.96008378291651</v>
      </c>
      <c r="F125" s="15">
        <f t="shared" si="35"/>
        <v>137.75</v>
      </c>
      <c r="G125" s="15">
        <f t="shared" si="36"/>
        <v>102.53991621708349</v>
      </c>
      <c r="H125" s="15">
        <f t="shared" si="37"/>
        <v>2.1513723303536403</v>
      </c>
      <c r="I125" s="15">
        <f t="shared" si="38"/>
        <v>5.5615881259775053</v>
      </c>
      <c r="J125" s="15">
        <f t="shared" si="39"/>
        <v>333.57398388174158</v>
      </c>
      <c r="K125" s="15">
        <f t="shared" si="40"/>
        <v>137.75</v>
      </c>
      <c r="L125" s="15">
        <f t="shared" si="41"/>
        <v>0</v>
      </c>
      <c r="M125" s="14" t="str">
        <f t="shared" si="42"/>
        <v>N</v>
      </c>
      <c r="N125" s="12" t="str">
        <f t="shared" si="32"/>
        <v>N</v>
      </c>
    </row>
    <row r="126" spans="1:14">
      <c r="A126" s="14">
        <v>117</v>
      </c>
      <c r="B126" s="14">
        <v>160</v>
      </c>
      <c r="C126" s="14">
        <v>1</v>
      </c>
      <c r="D126" s="15">
        <f t="shared" si="33"/>
        <v>160</v>
      </c>
      <c r="E126" s="15">
        <f t="shared" si="34"/>
        <v>172.96008378291651</v>
      </c>
      <c r="F126" s="15">
        <f t="shared" si="35"/>
        <v>137.75</v>
      </c>
      <c r="G126" s="15">
        <f t="shared" si="36"/>
        <v>102.53991621708349</v>
      </c>
      <c r="H126" s="15">
        <f t="shared" si="37"/>
        <v>1.8957637366482571</v>
      </c>
      <c r="I126" s="15">
        <f t="shared" si="38"/>
        <v>5.5615881259775053</v>
      </c>
      <c r="J126" s="15">
        <f t="shared" si="39"/>
        <v>333.57398388174158</v>
      </c>
      <c r="K126" s="15">
        <f t="shared" si="40"/>
        <v>137.75</v>
      </c>
      <c r="L126" s="15">
        <f t="shared" si="41"/>
        <v>0</v>
      </c>
      <c r="M126" s="14" t="str">
        <f t="shared" si="42"/>
        <v>N</v>
      </c>
      <c r="N126" s="12" t="str">
        <f t="shared" si="32"/>
        <v>N</v>
      </c>
    </row>
    <row r="127" spans="1:14">
      <c r="A127" s="14">
        <v>118</v>
      </c>
      <c r="B127" s="14">
        <v>128</v>
      </c>
      <c r="C127" s="14">
        <v>1</v>
      </c>
      <c r="D127" s="15">
        <f t="shared" si="33"/>
        <v>128</v>
      </c>
      <c r="E127" s="15">
        <f t="shared" si="34"/>
        <v>172.96008378291651</v>
      </c>
      <c r="F127" s="15">
        <f t="shared" si="35"/>
        <v>137.75</v>
      </c>
      <c r="G127" s="15">
        <f t="shared" si="36"/>
        <v>102.53991621708349</v>
      </c>
      <c r="H127" s="15">
        <f t="shared" si="37"/>
        <v>-0.83072792954249475</v>
      </c>
      <c r="I127" s="15">
        <f t="shared" si="38"/>
        <v>5.5615881259775053</v>
      </c>
      <c r="J127" s="15">
        <f t="shared" si="39"/>
        <v>333.57398388174158</v>
      </c>
      <c r="K127" s="15">
        <f t="shared" si="40"/>
        <v>137.75</v>
      </c>
      <c r="L127" s="15">
        <f t="shared" si="41"/>
        <v>0</v>
      </c>
      <c r="M127" s="14" t="str">
        <f t="shared" si="42"/>
        <v>N</v>
      </c>
      <c r="N127" s="12" t="str">
        <f t="shared" si="32"/>
        <v>N</v>
      </c>
    </row>
    <row r="128" spans="1:14">
      <c r="A128" s="14">
        <v>119</v>
      </c>
      <c r="B128" s="14">
        <v>226</v>
      </c>
      <c r="C128" s="14">
        <v>1</v>
      </c>
      <c r="D128" s="15">
        <f t="shared" si="33"/>
        <v>226</v>
      </c>
      <c r="E128" s="15">
        <f t="shared" si="34"/>
        <v>172.96008378291651</v>
      </c>
      <c r="F128" s="15">
        <f t="shared" si="35"/>
        <v>137.75</v>
      </c>
      <c r="G128" s="15">
        <f t="shared" si="36"/>
        <v>102.53991621708349</v>
      </c>
      <c r="H128" s="15">
        <f t="shared" si="37"/>
        <v>7.519152798166683</v>
      </c>
      <c r="I128" s="15">
        <f t="shared" si="38"/>
        <v>5.5615881259775053</v>
      </c>
      <c r="J128" s="15">
        <f t="shared" si="39"/>
        <v>333.57398388174158</v>
      </c>
      <c r="K128" s="15">
        <f t="shared" si="40"/>
        <v>137.75</v>
      </c>
      <c r="L128" s="15">
        <f t="shared" si="41"/>
        <v>0</v>
      </c>
      <c r="M128" s="14" t="str">
        <f t="shared" si="42"/>
        <v>Y</v>
      </c>
      <c r="N128" s="12" t="str">
        <f t="shared" si="32"/>
        <v>N</v>
      </c>
    </row>
    <row r="129" spans="1:14">
      <c r="A129" s="14">
        <v>120</v>
      </c>
      <c r="B129" s="14">
        <v>180</v>
      </c>
      <c r="C129" s="14">
        <v>1</v>
      </c>
      <c r="D129" s="15">
        <f t="shared" si="33"/>
        <v>180</v>
      </c>
      <c r="E129" s="15">
        <f t="shared" si="34"/>
        <v>172.96008378291651</v>
      </c>
      <c r="F129" s="15">
        <f t="shared" si="35"/>
        <v>137.75</v>
      </c>
      <c r="G129" s="15">
        <f t="shared" si="36"/>
        <v>102.53991621708349</v>
      </c>
      <c r="H129" s="15">
        <f t="shared" si="37"/>
        <v>3.5998210280174772</v>
      </c>
      <c r="I129" s="15">
        <f t="shared" si="38"/>
        <v>5.5615881259775053</v>
      </c>
      <c r="J129" s="15">
        <f t="shared" si="39"/>
        <v>333.57398388174158</v>
      </c>
      <c r="K129" s="15">
        <f t="shared" si="40"/>
        <v>137.75</v>
      </c>
      <c r="L129" s="15">
        <f t="shared" si="41"/>
        <v>0</v>
      </c>
      <c r="M129" s="14" t="str">
        <f t="shared" si="42"/>
        <v>Y</v>
      </c>
      <c r="N129" s="12" t="str">
        <f t="shared" si="32"/>
        <v>N</v>
      </c>
    </row>
    <row r="130" spans="1:14">
      <c r="A130" s="14">
        <v>121</v>
      </c>
      <c r="B130" s="14">
        <v>206</v>
      </c>
      <c r="C130" s="14">
        <v>1</v>
      </c>
      <c r="D130" s="15">
        <f t="shared" si="33"/>
        <v>206</v>
      </c>
      <c r="E130" s="15">
        <f t="shared" si="34"/>
        <v>172.96008378291651</v>
      </c>
      <c r="F130" s="15">
        <f t="shared" si="35"/>
        <v>137.75</v>
      </c>
      <c r="G130" s="15">
        <f t="shared" si="36"/>
        <v>102.53991621708349</v>
      </c>
      <c r="H130" s="15">
        <f t="shared" si="37"/>
        <v>5.815095506797463</v>
      </c>
      <c r="I130" s="15">
        <f t="shared" si="38"/>
        <v>5.5615881259775053</v>
      </c>
      <c r="J130" s="15">
        <f t="shared" si="39"/>
        <v>333.57398388174158</v>
      </c>
      <c r="K130" s="15">
        <f t="shared" si="40"/>
        <v>137.75</v>
      </c>
      <c r="L130" s="15">
        <f t="shared" si="41"/>
        <v>0</v>
      </c>
      <c r="M130" s="14" t="str">
        <f t="shared" si="42"/>
        <v>Y</v>
      </c>
      <c r="N130" s="12" t="str">
        <f t="shared" si="32"/>
        <v>N</v>
      </c>
    </row>
    <row r="131" spans="1:14">
      <c r="A131" s="14">
        <v>122</v>
      </c>
      <c r="B131" s="14">
        <v>233</v>
      </c>
      <c r="C131" s="14">
        <v>1</v>
      </c>
      <c r="D131" s="15">
        <f t="shared" si="33"/>
        <v>233</v>
      </c>
      <c r="E131" s="15">
        <f t="shared" si="34"/>
        <v>172.96008378291651</v>
      </c>
      <c r="F131" s="15">
        <f t="shared" si="35"/>
        <v>137.75</v>
      </c>
      <c r="G131" s="15">
        <f t="shared" si="36"/>
        <v>102.53991621708349</v>
      </c>
      <c r="H131" s="15">
        <f t="shared" si="37"/>
        <v>8.1155728501459095</v>
      </c>
      <c r="I131" s="15">
        <f t="shared" si="38"/>
        <v>5.5615881259775053</v>
      </c>
      <c r="J131" s="15">
        <f t="shared" si="39"/>
        <v>333.57398388174158</v>
      </c>
      <c r="K131" s="15">
        <f t="shared" si="40"/>
        <v>137.75</v>
      </c>
      <c r="L131" s="15">
        <f t="shared" si="41"/>
        <v>0</v>
      </c>
      <c r="M131" s="14" t="str">
        <f t="shared" si="42"/>
        <v>Y</v>
      </c>
      <c r="N131" s="12" t="str">
        <f t="shared" si="32"/>
        <v>N</v>
      </c>
    </row>
    <row r="132" spans="1:14">
      <c r="A132" s="14">
        <v>123</v>
      </c>
      <c r="B132" s="14">
        <v>41</v>
      </c>
      <c r="C132" s="14">
        <v>1</v>
      </c>
      <c r="D132" s="15">
        <f t="shared" si="33"/>
        <v>41</v>
      </c>
      <c r="E132" s="15">
        <f t="shared" si="34"/>
        <v>172.96008378291651</v>
      </c>
      <c r="F132" s="15">
        <f t="shared" si="35"/>
        <v>137.75</v>
      </c>
      <c r="G132" s="15">
        <f t="shared" si="36"/>
        <v>102.53991621708349</v>
      </c>
      <c r="H132" s="15">
        <f t="shared" si="37"/>
        <v>-8.2433771469986006</v>
      </c>
      <c r="I132" s="15">
        <f t="shared" si="38"/>
        <v>5.5615881259775053</v>
      </c>
      <c r="J132" s="15">
        <f t="shared" si="39"/>
        <v>333.57398388174158</v>
      </c>
      <c r="K132" s="15">
        <f t="shared" si="40"/>
        <v>137.75</v>
      </c>
      <c r="L132" s="15">
        <f t="shared" si="41"/>
        <v>0</v>
      </c>
      <c r="M132" s="14" t="str">
        <f t="shared" si="42"/>
        <v>Y</v>
      </c>
      <c r="N132" s="12" t="str">
        <f t="shared" si="32"/>
        <v>N</v>
      </c>
    </row>
    <row r="133" spans="1:14">
      <c r="A133" s="14">
        <v>124</v>
      </c>
      <c r="B133" s="14">
        <v>264</v>
      </c>
      <c r="C133" s="14">
        <v>1</v>
      </c>
      <c r="D133" s="15">
        <f t="shared" si="33"/>
        <v>264</v>
      </c>
      <c r="E133" s="15">
        <f t="shared" si="34"/>
        <v>172.96008378291651</v>
      </c>
      <c r="F133" s="15">
        <f t="shared" si="35"/>
        <v>137.75</v>
      </c>
      <c r="G133" s="15">
        <f t="shared" si="36"/>
        <v>102.53991621708349</v>
      </c>
      <c r="H133" s="15">
        <f t="shared" si="37"/>
        <v>10.756861651768201</v>
      </c>
      <c r="I133" s="15">
        <f t="shared" si="38"/>
        <v>5.5615881259775053</v>
      </c>
      <c r="J133" s="15">
        <f t="shared" si="39"/>
        <v>333.57398388174158</v>
      </c>
      <c r="K133" s="15">
        <f t="shared" si="40"/>
        <v>137.75</v>
      </c>
      <c r="L133" s="15">
        <f t="shared" si="41"/>
        <v>0</v>
      </c>
      <c r="M133" s="14" t="str">
        <f t="shared" si="42"/>
        <v>Y</v>
      </c>
      <c r="N133" s="12" t="str">
        <f t="shared" si="32"/>
        <v>N</v>
      </c>
    </row>
    <row r="134" spans="1:14">
      <c r="A134" s="14">
        <v>125</v>
      </c>
      <c r="B134" s="14">
        <v>117</v>
      </c>
      <c r="C134" s="14">
        <v>1</v>
      </c>
      <c r="D134" s="15">
        <f t="shared" si="33"/>
        <v>117</v>
      </c>
      <c r="E134" s="15">
        <f t="shared" si="34"/>
        <v>172.96008378291651</v>
      </c>
      <c r="F134" s="15">
        <f t="shared" si="35"/>
        <v>137.75</v>
      </c>
      <c r="G134" s="15">
        <f t="shared" si="36"/>
        <v>102.53991621708349</v>
      </c>
      <c r="H134" s="15">
        <f t="shared" si="37"/>
        <v>-1.7679594397955656</v>
      </c>
      <c r="I134" s="15">
        <f t="shared" si="38"/>
        <v>5.5615881259775053</v>
      </c>
      <c r="J134" s="15">
        <f t="shared" si="39"/>
        <v>333.57398388174158</v>
      </c>
      <c r="K134" s="15">
        <f t="shared" si="40"/>
        <v>137.75</v>
      </c>
      <c r="L134" s="15">
        <f t="shared" si="41"/>
        <v>0</v>
      </c>
      <c r="M134" s="14" t="str">
        <f t="shared" si="42"/>
        <v>N</v>
      </c>
      <c r="N134" s="12" t="str">
        <f t="shared" si="32"/>
        <v>N</v>
      </c>
    </row>
    <row r="135" spans="1:14">
      <c r="A135" s="14">
        <v>126</v>
      </c>
      <c r="B135" s="14">
        <v>58</v>
      </c>
      <c r="C135" s="14">
        <v>1</v>
      </c>
      <c r="D135" s="15">
        <f t="shared" si="33"/>
        <v>58</v>
      </c>
      <c r="E135" s="15">
        <f t="shared" si="34"/>
        <v>172.96008378291651</v>
      </c>
      <c r="F135" s="15">
        <f t="shared" si="35"/>
        <v>137.75</v>
      </c>
      <c r="G135" s="15">
        <f t="shared" si="36"/>
        <v>102.53991621708349</v>
      </c>
      <c r="H135" s="15">
        <f t="shared" si="37"/>
        <v>-6.7949284493347646</v>
      </c>
      <c r="I135" s="15">
        <f t="shared" si="38"/>
        <v>5.5615881259775053</v>
      </c>
      <c r="J135" s="15">
        <f t="shared" si="39"/>
        <v>333.57398388174158</v>
      </c>
      <c r="K135" s="15">
        <f t="shared" si="40"/>
        <v>137.75</v>
      </c>
      <c r="L135" s="15">
        <f t="shared" si="41"/>
        <v>0</v>
      </c>
      <c r="M135" s="14" t="str">
        <f t="shared" si="42"/>
        <v>Y</v>
      </c>
      <c r="N135" s="12" t="str">
        <f t="shared" si="32"/>
        <v>N</v>
      </c>
    </row>
    <row r="136" spans="1:14">
      <c r="A136" s="14">
        <v>127</v>
      </c>
      <c r="B136" s="14">
        <v>79</v>
      </c>
      <c r="C136" s="14">
        <v>1</v>
      </c>
      <c r="D136" s="15">
        <f t="shared" si="33"/>
        <v>79</v>
      </c>
      <c r="E136" s="15">
        <f t="shared" si="34"/>
        <v>172.96008378291651</v>
      </c>
      <c r="F136" s="15">
        <f t="shared" si="35"/>
        <v>137.75</v>
      </c>
      <c r="G136" s="15">
        <f t="shared" si="36"/>
        <v>102.53991621708349</v>
      </c>
      <c r="H136" s="15">
        <f t="shared" si="37"/>
        <v>-5.0056682933970835</v>
      </c>
      <c r="I136" s="15">
        <f t="shared" si="38"/>
        <v>5.5615881259775053</v>
      </c>
      <c r="J136" s="15">
        <f t="shared" si="39"/>
        <v>333.57398388174158</v>
      </c>
      <c r="K136" s="15">
        <f t="shared" si="40"/>
        <v>137.75</v>
      </c>
      <c r="L136" s="15">
        <f t="shared" si="41"/>
        <v>0</v>
      </c>
      <c r="M136" s="14" t="str">
        <f t="shared" si="42"/>
        <v>Y</v>
      </c>
      <c r="N136" s="12" t="str">
        <f t="shared" si="32"/>
        <v>N</v>
      </c>
    </row>
    <row r="137" spans="1:14">
      <c r="A137" s="14">
        <v>128</v>
      </c>
      <c r="B137" s="14">
        <v>140</v>
      </c>
      <c r="C137" s="14">
        <v>1</v>
      </c>
      <c r="D137" s="15">
        <f t="shared" si="33"/>
        <v>140</v>
      </c>
      <c r="E137" s="15">
        <f t="shared" si="34"/>
        <v>172.96008378291651</v>
      </c>
      <c r="F137" s="15">
        <f t="shared" si="35"/>
        <v>137.75</v>
      </c>
      <c r="G137" s="15">
        <f t="shared" si="36"/>
        <v>102.53991621708349</v>
      </c>
      <c r="H137" s="15">
        <f t="shared" si="37"/>
        <v>0.19170644527903724</v>
      </c>
      <c r="I137" s="15">
        <f t="shared" si="38"/>
        <v>5.5615881259775053</v>
      </c>
      <c r="J137" s="15">
        <f t="shared" si="39"/>
        <v>333.57398388174158</v>
      </c>
      <c r="K137" s="15">
        <f t="shared" si="40"/>
        <v>137.75</v>
      </c>
      <c r="L137" s="15">
        <f t="shared" si="41"/>
        <v>0</v>
      </c>
      <c r="M137" s="14" t="str">
        <f t="shared" si="42"/>
        <v>N</v>
      </c>
      <c r="N137" s="12" t="str">
        <f t="shared" si="32"/>
        <v>N</v>
      </c>
    </row>
    <row r="138" spans="1:14">
      <c r="A138" s="14">
        <v>129</v>
      </c>
      <c r="B138" s="14">
        <v>71</v>
      </c>
      <c r="C138" s="14">
        <v>1</v>
      </c>
      <c r="D138" s="15">
        <f t="shared" ref="D138:D169" si="43">IF(C138=0,"",B138/C138)</f>
        <v>71</v>
      </c>
      <c r="E138" s="15">
        <f t="shared" ref="E138:E169" si="44">IF(C138=0,"",$F$6 + 3*SQRT($F$6/C138))</f>
        <v>172.96008378291651</v>
      </c>
      <c r="F138" s="15">
        <f t="shared" ref="F138:F169" si="45">$F$6</f>
        <v>137.75</v>
      </c>
      <c r="G138" s="15">
        <f t="shared" ref="G138:G169" si="46">IF(C138=0,"",MAX(0,$F$6 - 3*SQRT($F$6/C138)))</f>
        <v>102.53991621708349</v>
      </c>
      <c r="H138" s="15">
        <f t="shared" ref="H138:H169" si="47">IF(C138=0,"",(D138-$F$6)/SQRT($F$6/C138))</f>
        <v>-5.6872912099447719</v>
      </c>
      <c r="I138" s="15">
        <f t="shared" ref="I138:I169" si="48">$I$6</f>
        <v>5.5615881259775053</v>
      </c>
      <c r="J138" s="15">
        <f t="shared" ref="J138:J169" si="49">IF(C138=0,"",$F$6 + 3*$I$6*SQRT($F$6/C138))</f>
        <v>333.57398388174158</v>
      </c>
      <c r="K138" s="15">
        <f t="shared" ref="K138:K169" si="50">$F$6</f>
        <v>137.75</v>
      </c>
      <c r="L138" s="15">
        <f t="shared" ref="L138:L169" si="51">IF(C138=0,"",MAX(0,$F$6 - 3*$I$6*SQRT($F$6/C138)))</f>
        <v>0</v>
      </c>
      <c r="M138" s="14" t="str">
        <f t="shared" si="42"/>
        <v>Y</v>
      </c>
      <c r="N138" s="12" t="str">
        <f t="shared" si="32"/>
        <v>N</v>
      </c>
    </row>
    <row r="139" spans="1:14">
      <c r="A139" s="14">
        <v>130</v>
      </c>
      <c r="B139" s="14">
        <v>107</v>
      </c>
      <c r="C139" s="14">
        <v>1</v>
      </c>
      <c r="D139" s="15">
        <f t="shared" si="43"/>
        <v>107</v>
      </c>
      <c r="E139" s="15">
        <f t="shared" si="44"/>
        <v>172.96008378291651</v>
      </c>
      <c r="F139" s="15">
        <f t="shared" si="45"/>
        <v>137.75</v>
      </c>
      <c r="G139" s="15">
        <f t="shared" si="46"/>
        <v>102.53991621708349</v>
      </c>
      <c r="H139" s="15">
        <f t="shared" si="47"/>
        <v>-2.6199880854801756</v>
      </c>
      <c r="I139" s="15">
        <f t="shared" si="48"/>
        <v>5.5615881259775053</v>
      </c>
      <c r="J139" s="15">
        <f t="shared" si="49"/>
        <v>333.57398388174158</v>
      </c>
      <c r="K139" s="15">
        <f t="shared" si="50"/>
        <v>137.75</v>
      </c>
      <c r="L139" s="15">
        <f t="shared" si="51"/>
        <v>0</v>
      </c>
      <c r="M139" s="14" t="str">
        <f t="shared" si="42"/>
        <v>N</v>
      </c>
      <c r="N139" s="12" t="str">
        <f t="shared" ref="N139:N202" si="52">IF(OR(D139&gt;J139,D139&lt;L139),"Y","N")</f>
        <v>N</v>
      </c>
    </row>
    <row r="140" spans="1:14">
      <c r="A140" s="14">
        <v>131</v>
      </c>
      <c r="B140" s="14">
        <v>102</v>
      </c>
      <c r="C140" s="14">
        <v>1</v>
      </c>
      <c r="D140" s="15">
        <f t="shared" si="43"/>
        <v>102</v>
      </c>
      <c r="E140" s="15">
        <f t="shared" si="44"/>
        <v>172.96008378291651</v>
      </c>
      <c r="F140" s="15">
        <f t="shared" si="45"/>
        <v>137.75</v>
      </c>
      <c r="G140" s="15">
        <f t="shared" si="46"/>
        <v>102.53991621708349</v>
      </c>
      <c r="H140" s="15">
        <f t="shared" si="47"/>
        <v>-3.0460024083224804</v>
      </c>
      <c r="I140" s="15">
        <f t="shared" si="48"/>
        <v>5.5615881259775053</v>
      </c>
      <c r="J140" s="15">
        <f t="shared" si="49"/>
        <v>333.57398388174158</v>
      </c>
      <c r="K140" s="15">
        <f t="shared" si="50"/>
        <v>137.75</v>
      </c>
      <c r="L140" s="15">
        <f t="shared" si="51"/>
        <v>0</v>
      </c>
      <c r="M140" s="14" t="str">
        <f t="shared" si="42"/>
        <v>Y</v>
      </c>
      <c r="N140" s="12" t="str">
        <f t="shared" si="52"/>
        <v>N</v>
      </c>
    </row>
    <row r="141" spans="1:14">
      <c r="A141" s="14">
        <v>132</v>
      </c>
      <c r="B141" s="14">
        <v>86</v>
      </c>
      <c r="C141" s="14">
        <v>1</v>
      </c>
      <c r="D141" s="15">
        <f t="shared" si="43"/>
        <v>86</v>
      </c>
      <c r="E141" s="15">
        <f t="shared" si="44"/>
        <v>172.96008378291651</v>
      </c>
      <c r="F141" s="15">
        <f t="shared" si="45"/>
        <v>137.75</v>
      </c>
      <c r="G141" s="15">
        <f t="shared" si="46"/>
        <v>102.53991621708349</v>
      </c>
      <c r="H141" s="15">
        <f t="shared" si="47"/>
        <v>-4.4092482414178562</v>
      </c>
      <c r="I141" s="15">
        <f t="shared" si="48"/>
        <v>5.5615881259775053</v>
      </c>
      <c r="J141" s="15">
        <f t="shared" si="49"/>
        <v>333.57398388174158</v>
      </c>
      <c r="K141" s="15">
        <f t="shared" si="50"/>
        <v>137.75</v>
      </c>
      <c r="L141" s="15">
        <f t="shared" si="51"/>
        <v>0</v>
      </c>
      <c r="M141" s="14" t="str">
        <f t="shared" si="42"/>
        <v>Y</v>
      </c>
      <c r="N141" s="12" t="str">
        <f t="shared" si="52"/>
        <v>N</v>
      </c>
    </row>
    <row r="142" spans="1:14">
      <c r="A142" s="14">
        <v>133</v>
      </c>
      <c r="B142" s="14">
        <v>96</v>
      </c>
      <c r="C142" s="14">
        <v>1</v>
      </c>
      <c r="D142" s="15">
        <f t="shared" si="43"/>
        <v>96</v>
      </c>
      <c r="E142" s="15">
        <f t="shared" si="44"/>
        <v>172.96008378291651</v>
      </c>
      <c r="F142" s="15">
        <f t="shared" si="45"/>
        <v>137.75</v>
      </c>
      <c r="G142" s="15">
        <f t="shared" si="46"/>
        <v>102.53991621708349</v>
      </c>
      <c r="H142" s="15">
        <f t="shared" si="47"/>
        <v>-3.5572195957332466</v>
      </c>
      <c r="I142" s="15">
        <f t="shared" si="48"/>
        <v>5.5615881259775053</v>
      </c>
      <c r="J142" s="15">
        <f t="shared" si="49"/>
        <v>333.57398388174158</v>
      </c>
      <c r="K142" s="15">
        <f t="shared" si="50"/>
        <v>137.75</v>
      </c>
      <c r="L142" s="15">
        <f t="shared" si="51"/>
        <v>0</v>
      </c>
      <c r="M142" s="14" t="str">
        <f t="shared" si="42"/>
        <v>Y</v>
      </c>
      <c r="N142" s="12" t="str">
        <f t="shared" si="52"/>
        <v>N</v>
      </c>
    </row>
    <row r="143" spans="1:14">
      <c r="A143" s="14">
        <v>134</v>
      </c>
      <c r="B143" s="14">
        <v>43</v>
      </c>
      <c r="C143" s="14">
        <v>1</v>
      </c>
      <c r="D143" s="15">
        <f t="shared" si="43"/>
        <v>43</v>
      </c>
      <c r="E143" s="15">
        <f t="shared" si="44"/>
        <v>172.96008378291651</v>
      </c>
      <c r="F143" s="15">
        <f t="shared" si="45"/>
        <v>137.75</v>
      </c>
      <c r="G143" s="15">
        <f t="shared" si="46"/>
        <v>102.53991621708349</v>
      </c>
      <c r="H143" s="15">
        <f t="shared" si="47"/>
        <v>-8.0729714178616785</v>
      </c>
      <c r="I143" s="15">
        <f t="shared" si="48"/>
        <v>5.5615881259775053</v>
      </c>
      <c r="J143" s="15">
        <f t="shared" si="49"/>
        <v>333.57398388174158</v>
      </c>
      <c r="K143" s="15">
        <f t="shared" si="50"/>
        <v>137.75</v>
      </c>
      <c r="L143" s="15">
        <f t="shared" si="51"/>
        <v>0</v>
      </c>
      <c r="M143" s="14" t="str">
        <f t="shared" si="42"/>
        <v>Y</v>
      </c>
      <c r="N143" s="12" t="str">
        <f t="shared" si="52"/>
        <v>N</v>
      </c>
    </row>
    <row r="144" spans="1:14">
      <c r="A144" s="14">
        <v>135</v>
      </c>
      <c r="B144" s="14">
        <v>32</v>
      </c>
      <c r="C144" s="14">
        <v>1</v>
      </c>
      <c r="D144" s="15">
        <f t="shared" si="43"/>
        <v>32</v>
      </c>
      <c r="E144" s="15">
        <f t="shared" si="44"/>
        <v>172.96008378291651</v>
      </c>
      <c r="F144" s="15">
        <f t="shared" si="45"/>
        <v>137.75</v>
      </c>
      <c r="G144" s="15">
        <f t="shared" si="46"/>
        <v>102.53991621708349</v>
      </c>
      <c r="H144" s="15">
        <f t="shared" si="47"/>
        <v>-9.0102029281147509</v>
      </c>
      <c r="I144" s="15">
        <f t="shared" si="48"/>
        <v>5.5615881259775053</v>
      </c>
      <c r="J144" s="15">
        <f t="shared" si="49"/>
        <v>333.57398388174158</v>
      </c>
      <c r="K144" s="15">
        <f t="shared" si="50"/>
        <v>137.75</v>
      </c>
      <c r="L144" s="15">
        <f t="shared" si="51"/>
        <v>0</v>
      </c>
      <c r="M144" s="14" t="str">
        <f t="shared" si="42"/>
        <v>Y</v>
      </c>
      <c r="N144" s="12" t="str">
        <f t="shared" si="52"/>
        <v>N</v>
      </c>
    </row>
    <row r="145" spans="1:14">
      <c r="A145" s="14">
        <v>136</v>
      </c>
      <c r="B145" s="14">
        <v>51</v>
      </c>
      <c r="C145" s="14">
        <v>1</v>
      </c>
      <c r="D145" s="15">
        <f t="shared" si="43"/>
        <v>51</v>
      </c>
      <c r="E145" s="15">
        <f t="shared" si="44"/>
        <v>172.96008378291651</v>
      </c>
      <c r="F145" s="15">
        <f t="shared" si="45"/>
        <v>137.75</v>
      </c>
      <c r="G145" s="15">
        <f t="shared" si="46"/>
        <v>102.53991621708349</v>
      </c>
      <c r="H145" s="15">
        <f t="shared" si="47"/>
        <v>-7.391348501313991</v>
      </c>
      <c r="I145" s="15">
        <f t="shared" si="48"/>
        <v>5.5615881259775053</v>
      </c>
      <c r="J145" s="15">
        <f t="shared" si="49"/>
        <v>333.57398388174158</v>
      </c>
      <c r="K145" s="15">
        <f t="shared" si="50"/>
        <v>137.75</v>
      </c>
      <c r="L145" s="15">
        <f t="shared" si="51"/>
        <v>0</v>
      </c>
      <c r="M145" s="14" t="str">
        <f t="shared" si="42"/>
        <v>Y</v>
      </c>
      <c r="N145" s="12" t="str">
        <f t="shared" si="52"/>
        <v>N</v>
      </c>
    </row>
    <row r="146" spans="1:14">
      <c r="A146" s="14">
        <v>137</v>
      </c>
      <c r="B146" s="14">
        <v>51</v>
      </c>
      <c r="C146" s="14">
        <v>1</v>
      </c>
      <c r="D146" s="15">
        <f t="shared" si="43"/>
        <v>51</v>
      </c>
      <c r="E146" s="15">
        <f t="shared" si="44"/>
        <v>172.96008378291651</v>
      </c>
      <c r="F146" s="15">
        <f t="shared" si="45"/>
        <v>137.75</v>
      </c>
      <c r="G146" s="15">
        <f t="shared" si="46"/>
        <v>102.53991621708349</v>
      </c>
      <c r="H146" s="15">
        <f t="shared" si="47"/>
        <v>-7.391348501313991</v>
      </c>
      <c r="I146" s="15">
        <f t="shared" si="48"/>
        <v>5.5615881259775053</v>
      </c>
      <c r="J146" s="15">
        <f t="shared" si="49"/>
        <v>333.57398388174158</v>
      </c>
      <c r="K146" s="15">
        <f t="shared" si="50"/>
        <v>137.75</v>
      </c>
      <c r="L146" s="15">
        <f t="shared" si="51"/>
        <v>0</v>
      </c>
      <c r="M146" s="14" t="str">
        <f t="shared" si="42"/>
        <v>Y</v>
      </c>
      <c r="N146" s="12" t="str">
        <f t="shared" si="52"/>
        <v>N</v>
      </c>
    </row>
    <row r="147" spans="1:14">
      <c r="A147" s="14">
        <v>138</v>
      </c>
      <c r="B147" s="14">
        <v>43</v>
      </c>
      <c r="C147" s="14">
        <v>1</v>
      </c>
      <c r="D147" s="15">
        <f t="shared" si="43"/>
        <v>43</v>
      </c>
      <c r="E147" s="15">
        <f t="shared" si="44"/>
        <v>172.96008378291651</v>
      </c>
      <c r="F147" s="15">
        <f t="shared" si="45"/>
        <v>137.75</v>
      </c>
      <c r="G147" s="15">
        <f t="shared" si="46"/>
        <v>102.53991621708349</v>
      </c>
      <c r="H147" s="15">
        <f t="shared" si="47"/>
        <v>-8.0729714178616785</v>
      </c>
      <c r="I147" s="15">
        <f t="shared" si="48"/>
        <v>5.5615881259775053</v>
      </c>
      <c r="J147" s="15">
        <f t="shared" si="49"/>
        <v>333.57398388174158</v>
      </c>
      <c r="K147" s="15">
        <f t="shared" si="50"/>
        <v>137.75</v>
      </c>
      <c r="L147" s="15">
        <f t="shared" si="51"/>
        <v>0</v>
      </c>
      <c r="M147" s="14" t="str">
        <f t="shared" si="42"/>
        <v>Y</v>
      </c>
      <c r="N147" s="12" t="str">
        <f t="shared" si="52"/>
        <v>N</v>
      </c>
    </row>
    <row r="148" spans="1:14">
      <c r="A148" s="14">
        <v>139</v>
      </c>
      <c r="B148" s="14">
        <v>66</v>
      </c>
      <c r="C148" s="14">
        <v>1</v>
      </c>
      <c r="D148" s="15">
        <f t="shared" si="43"/>
        <v>66</v>
      </c>
      <c r="E148" s="15">
        <f t="shared" si="44"/>
        <v>172.96008378291651</v>
      </c>
      <c r="F148" s="15">
        <f t="shared" si="45"/>
        <v>137.75</v>
      </c>
      <c r="G148" s="15">
        <f t="shared" si="46"/>
        <v>102.53991621708349</v>
      </c>
      <c r="H148" s="15">
        <f t="shared" si="47"/>
        <v>-6.1133055327870762</v>
      </c>
      <c r="I148" s="15">
        <f t="shared" si="48"/>
        <v>5.5615881259775053</v>
      </c>
      <c r="J148" s="15">
        <f t="shared" si="49"/>
        <v>333.57398388174158</v>
      </c>
      <c r="K148" s="15">
        <f t="shared" si="50"/>
        <v>137.75</v>
      </c>
      <c r="L148" s="15">
        <f t="shared" si="51"/>
        <v>0</v>
      </c>
      <c r="M148" s="14" t="str">
        <f t="shared" si="42"/>
        <v>Y</v>
      </c>
      <c r="N148" s="12" t="str">
        <f t="shared" si="52"/>
        <v>N</v>
      </c>
    </row>
    <row r="149" spans="1:14">
      <c r="A149" s="14">
        <v>140</v>
      </c>
      <c r="B149" s="14">
        <v>86</v>
      </c>
      <c r="C149" s="14">
        <v>1</v>
      </c>
      <c r="D149" s="15">
        <f t="shared" si="43"/>
        <v>86</v>
      </c>
      <c r="E149" s="15">
        <f t="shared" si="44"/>
        <v>172.96008378291651</v>
      </c>
      <c r="F149" s="15">
        <f t="shared" si="45"/>
        <v>137.75</v>
      </c>
      <c r="G149" s="15">
        <f t="shared" si="46"/>
        <v>102.53991621708349</v>
      </c>
      <c r="H149" s="15">
        <f t="shared" si="47"/>
        <v>-4.4092482414178562</v>
      </c>
      <c r="I149" s="15">
        <f t="shared" si="48"/>
        <v>5.5615881259775053</v>
      </c>
      <c r="J149" s="15">
        <f t="shared" si="49"/>
        <v>333.57398388174158</v>
      </c>
      <c r="K149" s="15">
        <f t="shared" si="50"/>
        <v>137.75</v>
      </c>
      <c r="L149" s="15">
        <f t="shared" si="51"/>
        <v>0</v>
      </c>
      <c r="M149" s="14" t="str">
        <f t="shared" si="42"/>
        <v>Y</v>
      </c>
      <c r="N149" s="12" t="str">
        <f t="shared" si="52"/>
        <v>N</v>
      </c>
    </row>
    <row r="150" spans="1:14">
      <c r="A150" s="14">
        <v>141</v>
      </c>
      <c r="B150" s="14">
        <v>74</v>
      </c>
      <c r="C150" s="14">
        <v>1</v>
      </c>
      <c r="D150" s="15">
        <f t="shared" si="43"/>
        <v>74</v>
      </c>
      <c r="E150" s="15">
        <f t="shared" si="44"/>
        <v>172.96008378291651</v>
      </c>
      <c r="F150" s="15">
        <f t="shared" si="45"/>
        <v>137.75</v>
      </c>
      <c r="G150" s="15">
        <f t="shared" si="46"/>
        <v>102.53991621708349</v>
      </c>
      <c r="H150" s="15">
        <f t="shared" si="47"/>
        <v>-5.4316826162393888</v>
      </c>
      <c r="I150" s="15">
        <f t="shared" si="48"/>
        <v>5.5615881259775053</v>
      </c>
      <c r="J150" s="15">
        <f t="shared" si="49"/>
        <v>333.57398388174158</v>
      </c>
      <c r="K150" s="15">
        <f t="shared" si="50"/>
        <v>137.75</v>
      </c>
      <c r="L150" s="15">
        <f t="shared" si="51"/>
        <v>0</v>
      </c>
      <c r="M150" s="14" t="str">
        <f t="shared" si="42"/>
        <v>Y</v>
      </c>
      <c r="N150" s="12" t="str">
        <f t="shared" si="52"/>
        <v>N</v>
      </c>
    </row>
    <row r="151" spans="1:14">
      <c r="A151" s="14">
        <v>142</v>
      </c>
      <c r="B151" s="14">
        <v>94</v>
      </c>
      <c r="C151" s="14">
        <v>1</v>
      </c>
      <c r="D151" s="15">
        <f t="shared" si="43"/>
        <v>94</v>
      </c>
      <c r="E151" s="15">
        <f t="shared" si="44"/>
        <v>172.96008378291651</v>
      </c>
      <c r="F151" s="15">
        <f t="shared" si="45"/>
        <v>137.75</v>
      </c>
      <c r="G151" s="15">
        <f t="shared" si="46"/>
        <v>102.53991621708349</v>
      </c>
      <c r="H151" s="15">
        <f t="shared" si="47"/>
        <v>-3.7276253248701687</v>
      </c>
      <c r="I151" s="15">
        <f t="shared" si="48"/>
        <v>5.5615881259775053</v>
      </c>
      <c r="J151" s="15">
        <f t="shared" si="49"/>
        <v>333.57398388174158</v>
      </c>
      <c r="K151" s="15">
        <f t="shared" si="50"/>
        <v>137.75</v>
      </c>
      <c r="L151" s="15">
        <f t="shared" si="51"/>
        <v>0</v>
      </c>
      <c r="M151" s="14" t="str">
        <f t="shared" si="42"/>
        <v>Y</v>
      </c>
      <c r="N151" s="12" t="str">
        <f t="shared" si="52"/>
        <v>N</v>
      </c>
    </row>
    <row r="152" spans="1:14">
      <c r="A152" s="14">
        <v>143</v>
      </c>
      <c r="B152" s="14">
        <v>88</v>
      </c>
      <c r="C152" s="14">
        <v>1</v>
      </c>
      <c r="D152" s="15">
        <f t="shared" si="43"/>
        <v>88</v>
      </c>
      <c r="E152" s="15">
        <f t="shared" si="44"/>
        <v>172.96008378291651</v>
      </c>
      <c r="F152" s="15">
        <f t="shared" si="45"/>
        <v>137.75</v>
      </c>
      <c r="G152" s="15">
        <f t="shared" si="46"/>
        <v>102.53991621708349</v>
      </c>
      <c r="H152" s="15">
        <f t="shared" si="47"/>
        <v>-4.2388425122809341</v>
      </c>
      <c r="I152" s="15">
        <f t="shared" si="48"/>
        <v>5.5615881259775053</v>
      </c>
      <c r="J152" s="15">
        <f t="shared" si="49"/>
        <v>333.57398388174158</v>
      </c>
      <c r="K152" s="15">
        <f t="shared" si="50"/>
        <v>137.75</v>
      </c>
      <c r="L152" s="15">
        <f t="shared" si="51"/>
        <v>0</v>
      </c>
      <c r="M152" s="14" t="str">
        <f t="shared" si="42"/>
        <v>Y</v>
      </c>
      <c r="N152" s="12" t="str">
        <f t="shared" si="52"/>
        <v>N</v>
      </c>
    </row>
    <row r="153" spans="1:14">
      <c r="A153" s="14">
        <v>144</v>
      </c>
      <c r="B153" s="14">
        <v>115</v>
      </c>
      <c r="C153" s="14">
        <v>1</v>
      </c>
      <c r="D153" s="15">
        <f t="shared" si="43"/>
        <v>115</v>
      </c>
      <c r="E153" s="15">
        <f t="shared" si="44"/>
        <v>172.96008378291651</v>
      </c>
      <c r="F153" s="15">
        <f t="shared" si="45"/>
        <v>137.75</v>
      </c>
      <c r="G153" s="15">
        <f t="shared" si="46"/>
        <v>102.53991621708349</v>
      </c>
      <c r="H153" s="15">
        <f t="shared" si="47"/>
        <v>-1.9383651689324877</v>
      </c>
      <c r="I153" s="15">
        <f t="shared" si="48"/>
        <v>5.5615881259775053</v>
      </c>
      <c r="J153" s="15">
        <f t="shared" si="49"/>
        <v>333.57398388174158</v>
      </c>
      <c r="K153" s="15">
        <f t="shared" si="50"/>
        <v>137.75</v>
      </c>
      <c r="L153" s="15">
        <f t="shared" si="51"/>
        <v>0</v>
      </c>
      <c r="M153" s="14" t="str">
        <f t="shared" si="42"/>
        <v>N</v>
      </c>
      <c r="N153" s="12" t="str">
        <f t="shared" si="52"/>
        <v>N</v>
      </c>
    </row>
    <row r="154" spans="1:14">
      <c r="A154" s="14">
        <v>145</v>
      </c>
      <c r="B154" s="14">
        <v>99</v>
      </c>
      <c r="C154" s="14">
        <v>1</v>
      </c>
      <c r="D154" s="15">
        <f t="shared" si="43"/>
        <v>99</v>
      </c>
      <c r="E154" s="15">
        <f t="shared" si="44"/>
        <v>172.96008378291651</v>
      </c>
      <c r="F154" s="15">
        <f t="shared" si="45"/>
        <v>137.75</v>
      </c>
      <c r="G154" s="15">
        <f t="shared" si="46"/>
        <v>102.53991621708349</v>
      </c>
      <c r="H154" s="15">
        <f t="shared" si="47"/>
        <v>-3.3016110020278635</v>
      </c>
      <c r="I154" s="15">
        <f t="shared" si="48"/>
        <v>5.5615881259775053</v>
      </c>
      <c r="J154" s="15">
        <f t="shared" si="49"/>
        <v>333.57398388174158</v>
      </c>
      <c r="K154" s="15">
        <f t="shared" si="50"/>
        <v>137.75</v>
      </c>
      <c r="L154" s="15">
        <f t="shared" si="51"/>
        <v>0</v>
      </c>
      <c r="M154" s="14" t="str">
        <f t="shared" si="42"/>
        <v>Y</v>
      </c>
      <c r="N154" s="12" t="str">
        <f t="shared" si="52"/>
        <v>N</v>
      </c>
    </row>
    <row r="155" spans="1:14">
      <c r="A155" s="14">
        <v>146</v>
      </c>
      <c r="B155" s="14">
        <v>110</v>
      </c>
      <c r="C155" s="14">
        <v>1</v>
      </c>
      <c r="D155" s="15">
        <f t="shared" si="43"/>
        <v>110</v>
      </c>
      <c r="E155" s="15">
        <f t="shared" si="44"/>
        <v>172.96008378291651</v>
      </c>
      <c r="F155" s="15">
        <f t="shared" si="45"/>
        <v>137.75</v>
      </c>
      <c r="G155" s="15">
        <f t="shared" si="46"/>
        <v>102.53991621708349</v>
      </c>
      <c r="H155" s="15">
        <f t="shared" si="47"/>
        <v>-2.3643794917747925</v>
      </c>
      <c r="I155" s="15">
        <f t="shared" si="48"/>
        <v>5.5615881259775053</v>
      </c>
      <c r="J155" s="15">
        <f t="shared" si="49"/>
        <v>333.57398388174158</v>
      </c>
      <c r="K155" s="15">
        <f t="shared" si="50"/>
        <v>137.75</v>
      </c>
      <c r="L155" s="15">
        <f t="shared" si="51"/>
        <v>0</v>
      </c>
      <c r="M155" s="14" t="str">
        <f t="shared" si="42"/>
        <v>N</v>
      </c>
      <c r="N155" s="12" t="str">
        <f t="shared" si="52"/>
        <v>N</v>
      </c>
    </row>
    <row r="156" spans="1:14">
      <c r="A156" s="14">
        <v>147</v>
      </c>
      <c r="B156" s="14">
        <v>89</v>
      </c>
      <c r="C156" s="14">
        <v>1</v>
      </c>
      <c r="D156" s="15">
        <f t="shared" si="43"/>
        <v>89</v>
      </c>
      <c r="E156" s="15">
        <f t="shared" si="44"/>
        <v>172.96008378291651</v>
      </c>
      <c r="F156" s="15">
        <f t="shared" si="45"/>
        <v>137.75</v>
      </c>
      <c r="G156" s="15">
        <f t="shared" si="46"/>
        <v>102.53991621708349</v>
      </c>
      <c r="H156" s="15">
        <f t="shared" si="47"/>
        <v>-4.153639647712474</v>
      </c>
      <c r="I156" s="15">
        <f t="shared" si="48"/>
        <v>5.5615881259775053</v>
      </c>
      <c r="J156" s="15">
        <f t="shared" si="49"/>
        <v>333.57398388174158</v>
      </c>
      <c r="K156" s="15">
        <f t="shared" si="50"/>
        <v>137.75</v>
      </c>
      <c r="L156" s="15">
        <f t="shared" si="51"/>
        <v>0</v>
      </c>
      <c r="M156" s="14" t="str">
        <f t="shared" si="42"/>
        <v>Y</v>
      </c>
      <c r="N156" s="12" t="str">
        <f t="shared" si="52"/>
        <v>N</v>
      </c>
    </row>
    <row r="157" spans="1:14">
      <c r="A157" s="14">
        <v>148</v>
      </c>
      <c r="B157" s="14">
        <v>102</v>
      </c>
      <c r="C157" s="14">
        <v>1</v>
      </c>
      <c r="D157" s="15">
        <f t="shared" si="43"/>
        <v>102</v>
      </c>
      <c r="E157" s="15">
        <f t="shared" si="44"/>
        <v>172.96008378291651</v>
      </c>
      <c r="F157" s="15">
        <f t="shared" si="45"/>
        <v>137.75</v>
      </c>
      <c r="G157" s="15">
        <f t="shared" si="46"/>
        <v>102.53991621708349</v>
      </c>
      <c r="H157" s="15">
        <f t="shared" si="47"/>
        <v>-3.0460024083224804</v>
      </c>
      <c r="I157" s="15">
        <f t="shared" si="48"/>
        <v>5.5615881259775053</v>
      </c>
      <c r="J157" s="15">
        <f t="shared" si="49"/>
        <v>333.57398388174158</v>
      </c>
      <c r="K157" s="15">
        <f t="shared" si="50"/>
        <v>137.75</v>
      </c>
      <c r="L157" s="15">
        <f t="shared" si="51"/>
        <v>0</v>
      </c>
      <c r="M157" s="14" t="str">
        <f t="shared" si="42"/>
        <v>Y</v>
      </c>
      <c r="N157" s="12" t="str">
        <f t="shared" si="52"/>
        <v>N</v>
      </c>
    </row>
    <row r="158" spans="1:14">
      <c r="A158" s="14">
        <v>149</v>
      </c>
      <c r="B158" s="14">
        <v>114</v>
      </c>
      <c r="C158" s="14">
        <v>1</v>
      </c>
      <c r="D158" s="15">
        <f t="shared" si="43"/>
        <v>114</v>
      </c>
      <c r="E158" s="15">
        <f t="shared" si="44"/>
        <v>172.96008378291651</v>
      </c>
      <c r="F158" s="15">
        <f t="shared" si="45"/>
        <v>137.75</v>
      </c>
      <c r="G158" s="15">
        <f t="shared" si="46"/>
        <v>102.53991621708349</v>
      </c>
      <c r="H158" s="15">
        <f t="shared" si="47"/>
        <v>-2.0235680335009487</v>
      </c>
      <c r="I158" s="15">
        <f t="shared" si="48"/>
        <v>5.5615881259775053</v>
      </c>
      <c r="J158" s="15">
        <f t="shared" si="49"/>
        <v>333.57398388174158</v>
      </c>
      <c r="K158" s="15">
        <f t="shared" si="50"/>
        <v>137.75</v>
      </c>
      <c r="L158" s="15">
        <f t="shared" si="51"/>
        <v>0</v>
      </c>
      <c r="M158" s="14" t="str">
        <f t="shared" si="42"/>
        <v>N</v>
      </c>
      <c r="N158" s="12" t="str">
        <f t="shared" si="52"/>
        <v>N</v>
      </c>
    </row>
    <row r="159" spans="1:14">
      <c r="A159" s="14">
        <v>150</v>
      </c>
      <c r="B159" s="14">
        <v>100</v>
      </c>
      <c r="C159" s="14">
        <v>1</v>
      </c>
      <c r="D159" s="15">
        <f t="shared" si="43"/>
        <v>100</v>
      </c>
      <c r="E159" s="15">
        <f t="shared" si="44"/>
        <v>172.96008378291651</v>
      </c>
      <c r="F159" s="15">
        <f t="shared" si="45"/>
        <v>137.75</v>
      </c>
      <c r="G159" s="15">
        <f t="shared" si="46"/>
        <v>102.53991621708349</v>
      </c>
      <c r="H159" s="15">
        <f t="shared" si="47"/>
        <v>-3.2164081374594025</v>
      </c>
      <c r="I159" s="15">
        <f t="shared" si="48"/>
        <v>5.5615881259775053</v>
      </c>
      <c r="J159" s="15">
        <f t="shared" si="49"/>
        <v>333.57398388174158</v>
      </c>
      <c r="K159" s="15">
        <f t="shared" si="50"/>
        <v>137.75</v>
      </c>
      <c r="L159" s="15">
        <f t="shared" si="51"/>
        <v>0</v>
      </c>
      <c r="M159" s="14" t="str">
        <f t="shared" si="42"/>
        <v>Y</v>
      </c>
      <c r="N159" s="12" t="str">
        <f t="shared" si="52"/>
        <v>N</v>
      </c>
    </row>
    <row r="160" spans="1:14">
      <c r="A160" s="14">
        <v>151</v>
      </c>
      <c r="B160" s="14">
        <v>83</v>
      </c>
      <c r="C160" s="14">
        <v>1</v>
      </c>
      <c r="D160" s="15">
        <f t="shared" si="43"/>
        <v>83</v>
      </c>
      <c r="E160" s="15">
        <f t="shared" si="44"/>
        <v>172.96008378291651</v>
      </c>
      <c r="F160" s="15">
        <f t="shared" si="45"/>
        <v>137.75</v>
      </c>
      <c r="G160" s="15">
        <f t="shared" si="46"/>
        <v>102.53991621708349</v>
      </c>
      <c r="H160" s="15">
        <f t="shared" si="47"/>
        <v>-4.6648568351232393</v>
      </c>
      <c r="I160" s="15">
        <f t="shared" si="48"/>
        <v>5.5615881259775053</v>
      </c>
      <c r="J160" s="15">
        <f t="shared" si="49"/>
        <v>333.57398388174158</v>
      </c>
      <c r="K160" s="15">
        <f t="shared" si="50"/>
        <v>137.75</v>
      </c>
      <c r="L160" s="15">
        <f t="shared" si="51"/>
        <v>0</v>
      </c>
      <c r="M160" s="14" t="str">
        <f t="shared" si="42"/>
        <v>Y</v>
      </c>
      <c r="N160" s="12" t="str">
        <f t="shared" si="52"/>
        <v>N</v>
      </c>
    </row>
    <row r="161" spans="1:14">
      <c r="A161" s="14">
        <v>152</v>
      </c>
      <c r="B161" s="14">
        <v>116</v>
      </c>
      <c r="C161" s="14">
        <v>1</v>
      </c>
      <c r="D161" s="15">
        <f t="shared" si="43"/>
        <v>116</v>
      </c>
      <c r="E161" s="15">
        <f t="shared" si="44"/>
        <v>172.96008378291651</v>
      </c>
      <c r="F161" s="15">
        <f t="shared" si="45"/>
        <v>137.75</v>
      </c>
      <c r="G161" s="15">
        <f t="shared" si="46"/>
        <v>102.53991621708349</v>
      </c>
      <c r="H161" s="15">
        <f t="shared" si="47"/>
        <v>-1.8531623043640266</v>
      </c>
      <c r="I161" s="15">
        <f t="shared" si="48"/>
        <v>5.5615881259775053</v>
      </c>
      <c r="J161" s="15">
        <f t="shared" si="49"/>
        <v>333.57398388174158</v>
      </c>
      <c r="K161" s="15">
        <f t="shared" si="50"/>
        <v>137.75</v>
      </c>
      <c r="L161" s="15">
        <f t="shared" si="51"/>
        <v>0</v>
      </c>
      <c r="M161" s="14" t="str">
        <f t="shared" si="42"/>
        <v>N</v>
      </c>
      <c r="N161" s="12" t="str">
        <f t="shared" si="52"/>
        <v>N</v>
      </c>
    </row>
    <row r="162" spans="1:14">
      <c r="A162" s="14">
        <v>153</v>
      </c>
      <c r="B162" s="14">
        <v>142</v>
      </c>
      <c r="C162" s="14">
        <v>1</v>
      </c>
      <c r="D162" s="15">
        <f t="shared" si="43"/>
        <v>142</v>
      </c>
      <c r="E162" s="15">
        <f t="shared" si="44"/>
        <v>172.96008378291651</v>
      </c>
      <c r="F162" s="15">
        <f t="shared" si="45"/>
        <v>137.75</v>
      </c>
      <c r="G162" s="15">
        <f t="shared" si="46"/>
        <v>102.53991621708349</v>
      </c>
      <c r="H162" s="15">
        <f t="shared" si="47"/>
        <v>0.36211217441595922</v>
      </c>
      <c r="I162" s="15">
        <f t="shared" si="48"/>
        <v>5.5615881259775053</v>
      </c>
      <c r="J162" s="15">
        <f t="shared" si="49"/>
        <v>333.57398388174158</v>
      </c>
      <c r="K162" s="15">
        <f t="shared" si="50"/>
        <v>137.75</v>
      </c>
      <c r="L162" s="15">
        <f t="shared" si="51"/>
        <v>0</v>
      </c>
      <c r="M162" s="14" t="str">
        <f t="shared" si="42"/>
        <v>N</v>
      </c>
      <c r="N162" s="12" t="str">
        <f t="shared" si="52"/>
        <v>N</v>
      </c>
    </row>
    <row r="163" spans="1:14">
      <c r="A163" s="14">
        <v>154</v>
      </c>
      <c r="B163" s="14">
        <v>202</v>
      </c>
      <c r="C163" s="14">
        <v>1</v>
      </c>
      <c r="D163" s="15">
        <f t="shared" si="43"/>
        <v>202</v>
      </c>
      <c r="E163" s="15">
        <f t="shared" si="44"/>
        <v>172.96008378291651</v>
      </c>
      <c r="F163" s="15">
        <f t="shared" si="45"/>
        <v>137.75</v>
      </c>
      <c r="G163" s="15">
        <f t="shared" si="46"/>
        <v>102.53991621708349</v>
      </c>
      <c r="H163" s="15">
        <f t="shared" si="47"/>
        <v>5.4742840485236188</v>
      </c>
      <c r="I163" s="15">
        <f t="shared" si="48"/>
        <v>5.5615881259775053</v>
      </c>
      <c r="J163" s="15">
        <f t="shared" si="49"/>
        <v>333.57398388174158</v>
      </c>
      <c r="K163" s="15">
        <f t="shared" si="50"/>
        <v>137.75</v>
      </c>
      <c r="L163" s="15">
        <f t="shared" si="51"/>
        <v>0</v>
      </c>
      <c r="M163" s="14" t="str">
        <f t="shared" si="42"/>
        <v>Y</v>
      </c>
      <c r="N163" s="12" t="str">
        <f t="shared" si="52"/>
        <v>N</v>
      </c>
    </row>
    <row r="164" spans="1:14">
      <c r="A164" s="14">
        <v>155</v>
      </c>
      <c r="B164" s="14">
        <v>115</v>
      </c>
      <c r="C164" s="14">
        <v>1</v>
      </c>
      <c r="D164" s="15">
        <f t="shared" si="43"/>
        <v>115</v>
      </c>
      <c r="E164" s="15">
        <f t="shared" si="44"/>
        <v>172.96008378291651</v>
      </c>
      <c r="F164" s="15">
        <f t="shared" si="45"/>
        <v>137.75</v>
      </c>
      <c r="G164" s="15">
        <f t="shared" si="46"/>
        <v>102.53991621708349</v>
      </c>
      <c r="H164" s="15">
        <f t="shared" si="47"/>
        <v>-1.9383651689324877</v>
      </c>
      <c r="I164" s="15">
        <f t="shared" si="48"/>
        <v>5.5615881259775053</v>
      </c>
      <c r="J164" s="15">
        <f t="shared" si="49"/>
        <v>333.57398388174158</v>
      </c>
      <c r="K164" s="15">
        <f t="shared" si="50"/>
        <v>137.75</v>
      </c>
      <c r="L164" s="15">
        <f t="shared" si="51"/>
        <v>0</v>
      </c>
      <c r="M164" s="14" t="str">
        <f t="shared" si="42"/>
        <v>N</v>
      </c>
      <c r="N164" s="12" t="str">
        <f t="shared" si="52"/>
        <v>N</v>
      </c>
    </row>
    <row r="165" spans="1:14">
      <c r="A165" s="14">
        <v>156</v>
      </c>
      <c r="B165" s="14">
        <v>138</v>
      </c>
      <c r="C165" s="14">
        <v>1</v>
      </c>
      <c r="D165" s="15">
        <f t="shared" si="43"/>
        <v>138</v>
      </c>
      <c r="E165" s="15">
        <f t="shared" si="44"/>
        <v>172.96008378291651</v>
      </c>
      <c r="F165" s="15">
        <f t="shared" si="45"/>
        <v>137.75</v>
      </c>
      <c r="G165" s="15">
        <f t="shared" si="46"/>
        <v>102.53991621708349</v>
      </c>
      <c r="H165" s="15">
        <f t="shared" si="47"/>
        <v>2.1300716142115247E-2</v>
      </c>
      <c r="I165" s="15">
        <f t="shared" si="48"/>
        <v>5.5615881259775053</v>
      </c>
      <c r="J165" s="15">
        <f t="shared" si="49"/>
        <v>333.57398388174158</v>
      </c>
      <c r="K165" s="15">
        <f t="shared" si="50"/>
        <v>137.75</v>
      </c>
      <c r="L165" s="15">
        <f t="shared" si="51"/>
        <v>0</v>
      </c>
      <c r="M165" s="14" t="str">
        <f t="shared" si="42"/>
        <v>N</v>
      </c>
      <c r="N165" s="12" t="str">
        <f t="shared" si="52"/>
        <v>N</v>
      </c>
    </row>
    <row r="166" spans="1:14">
      <c r="A166" s="14">
        <v>157</v>
      </c>
      <c r="B166" s="14">
        <v>226</v>
      </c>
      <c r="C166" s="14">
        <v>1</v>
      </c>
      <c r="D166" s="15">
        <f t="shared" si="43"/>
        <v>226</v>
      </c>
      <c r="E166" s="15">
        <f t="shared" si="44"/>
        <v>172.96008378291651</v>
      </c>
      <c r="F166" s="15">
        <f t="shared" si="45"/>
        <v>137.75</v>
      </c>
      <c r="G166" s="15">
        <f t="shared" si="46"/>
        <v>102.53991621708349</v>
      </c>
      <c r="H166" s="15">
        <f t="shared" si="47"/>
        <v>7.519152798166683</v>
      </c>
      <c r="I166" s="15">
        <f t="shared" si="48"/>
        <v>5.5615881259775053</v>
      </c>
      <c r="J166" s="15">
        <f t="shared" si="49"/>
        <v>333.57398388174158</v>
      </c>
      <c r="K166" s="15">
        <f t="shared" si="50"/>
        <v>137.75</v>
      </c>
      <c r="L166" s="15">
        <f t="shared" si="51"/>
        <v>0</v>
      </c>
      <c r="M166" s="14" t="str">
        <f t="shared" si="42"/>
        <v>Y</v>
      </c>
      <c r="N166" s="12" t="str">
        <f t="shared" si="52"/>
        <v>N</v>
      </c>
    </row>
    <row r="167" spans="1:14">
      <c r="A167" s="14">
        <v>158</v>
      </c>
      <c r="B167" s="14">
        <v>48</v>
      </c>
      <c r="C167" s="14">
        <v>1</v>
      </c>
      <c r="D167" s="15">
        <f t="shared" si="43"/>
        <v>48</v>
      </c>
      <c r="E167" s="15">
        <f t="shared" si="44"/>
        <v>172.96008378291651</v>
      </c>
      <c r="F167" s="15">
        <f t="shared" si="45"/>
        <v>137.75</v>
      </c>
      <c r="G167" s="15">
        <f t="shared" si="46"/>
        <v>102.53991621708349</v>
      </c>
      <c r="H167" s="15">
        <f t="shared" si="47"/>
        <v>-7.6469570950193742</v>
      </c>
      <c r="I167" s="15">
        <f t="shared" si="48"/>
        <v>5.5615881259775053</v>
      </c>
      <c r="J167" s="15">
        <f t="shared" si="49"/>
        <v>333.57398388174158</v>
      </c>
      <c r="K167" s="15">
        <f t="shared" si="50"/>
        <v>137.75</v>
      </c>
      <c r="L167" s="15">
        <f t="shared" si="51"/>
        <v>0</v>
      </c>
      <c r="M167" s="14" t="str">
        <f t="shared" si="42"/>
        <v>Y</v>
      </c>
      <c r="N167" s="12" t="str">
        <f t="shared" si="52"/>
        <v>N</v>
      </c>
    </row>
    <row r="168" spans="1:14">
      <c r="A168" s="14">
        <v>159</v>
      </c>
      <c r="B168" s="14">
        <v>62</v>
      </c>
      <c r="C168" s="14">
        <v>1</v>
      </c>
      <c r="D168" s="15">
        <f t="shared" si="43"/>
        <v>62</v>
      </c>
      <c r="E168" s="15">
        <f t="shared" si="44"/>
        <v>172.96008378291651</v>
      </c>
      <c r="F168" s="15">
        <f t="shared" si="45"/>
        <v>137.75</v>
      </c>
      <c r="G168" s="15">
        <f t="shared" si="46"/>
        <v>102.53991621708349</v>
      </c>
      <c r="H168" s="15">
        <f t="shared" si="47"/>
        <v>-6.4541169910609204</v>
      </c>
      <c r="I168" s="15">
        <f t="shared" si="48"/>
        <v>5.5615881259775053</v>
      </c>
      <c r="J168" s="15">
        <f t="shared" si="49"/>
        <v>333.57398388174158</v>
      </c>
      <c r="K168" s="15">
        <f t="shared" si="50"/>
        <v>137.75</v>
      </c>
      <c r="L168" s="15">
        <f t="shared" si="51"/>
        <v>0</v>
      </c>
      <c r="M168" s="14" t="str">
        <f t="shared" si="42"/>
        <v>Y</v>
      </c>
      <c r="N168" s="12" t="str">
        <f t="shared" si="52"/>
        <v>N</v>
      </c>
    </row>
    <row r="169" spans="1:14">
      <c r="A169" s="14">
        <v>160</v>
      </c>
      <c r="B169" s="14">
        <v>139</v>
      </c>
      <c r="C169" s="14">
        <v>1</v>
      </c>
      <c r="D169" s="15">
        <f t="shared" si="43"/>
        <v>139</v>
      </c>
      <c r="E169" s="15">
        <f t="shared" si="44"/>
        <v>172.96008378291651</v>
      </c>
      <c r="F169" s="15">
        <f t="shared" si="45"/>
        <v>137.75</v>
      </c>
      <c r="G169" s="15">
        <f t="shared" si="46"/>
        <v>102.53991621708349</v>
      </c>
      <c r="H169" s="15">
        <f t="shared" si="47"/>
        <v>0.10650358071057625</v>
      </c>
      <c r="I169" s="15">
        <f t="shared" si="48"/>
        <v>5.5615881259775053</v>
      </c>
      <c r="J169" s="15">
        <f t="shared" si="49"/>
        <v>333.57398388174158</v>
      </c>
      <c r="K169" s="15">
        <f t="shared" si="50"/>
        <v>137.75</v>
      </c>
      <c r="L169" s="15">
        <f t="shared" si="51"/>
        <v>0</v>
      </c>
      <c r="M169" s="14" t="str">
        <f t="shared" si="42"/>
        <v>N</v>
      </c>
      <c r="N169" s="12" t="str">
        <f t="shared" si="52"/>
        <v>N</v>
      </c>
    </row>
    <row r="170" spans="1:14">
      <c r="A170" s="14">
        <v>161</v>
      </c>
      <c r="B170" s="14">
        <v>183</v>
      </c>
      <c r="C170" s="14">
        <v>1</v>
      </c>
      <c r="D170" s="15">
        <f t="shared" ref="D170:D201" si="53">IF(C170=0,"",B170/C170)</f>
        <v>183</v>
      </c>
      <c r="E170" s="15">
        <f t="shared" ref="E170:E201" si="54">IF(C170=0,"",$F$6 + 3*SQRT($F$6/C170))</f>
        <v>172.96008378291651</v>
      </c>
      <c r="F170" s="15">
        <f t="shared" ref="F170:F201" si="55">$F$6</f>
        <v>137.75</v>
      </c>
      <c r="G170" s="15">
        <f t="shared" ref="G170:G201" si="56">IF(C170=0,"",MAX(0,$F$6 - 3*SQRT($F$6/C170)))</f>
        <v>102.53991621708349</v>
      </c>
      <c r="H170" s="15">
        <f t="shared" ref="H170:H201" si="57">IF(C170=0,"",(D170-$F$6)/SQRT($F$6/C170))</f>
        <v>3.8554296217228599</v>
      </c>
      <c r="I170" s="15">
        <f t="shared" ref="I170:I201" si="58">$I$6</f>
        <v>5.5615881259775053</v>
      </c>
      <c r="J170" s="15">
        <f t="shared" ref="J170:J201" si="59">IF(C170=0,"",$F$6 + 3*$I$6*SQRT($F$6/C170))</f>
        <v>333.57398388174158</v>
      </c>
      <c r="K170" s="15">
        <f t="shared" ref="K170:K201" si="60">$F$6</f>
        <v>137.75</v>
      </c>
      <c r="L170" s="15">
        <f t="shared" ref="L170:L201" si="61">IF(C170=0,"",MAX(0,$F$6 - 3*$I$6*SQRT($F$6/C170)))</f>
        <v>0</v>
      </c>
      <c r="M170" s="14" t="str">
        <f t="shared" ref="M170:M209" si="62">IF(OR(D170&gt;E170,D170&lt;G170),"Y","N")</f>
        <v>Y</v>
      </c>
      <c r="N170" s="12" t="str">
        <f t="shared" si="52"/>
        <v>N</v>
      </c>
    </row>
    <row r="171" spans="1:14">
      <c r="A171" s="14">
        <v>162</v>
      </c>
      <c r="B171" s="14">
        <v>207</v>
      </c>
      <c r="C171" s="14">
        <v>1</v>
      </c>
      <c r="D171" s="15">
        <f t="shared" si="53"/>
        <v>207</v>
      </c>
      <c r="E171" s="15">
        <f t="shared" si="54"/>
        <v>172.96008378291651</v>
      </c>
      <c r="F171" s="15">
        <f t="shared" si="55"/>
        <v>137.75</v>
      </c>
      <c r="G171" s="15">
        <f t="shared" si="56"/>
        <v>102.53991621708349</v>
      </c>
      <c r="H171" s="15">
        <f t="shared" si="57"/>
        <v>5.9002983713659241</v>
      </c>
      <c r="I171" s="15">
        <f t="shared" si="58"/>
        <v>5.5615881259775053</v>
      </c>
      <c r="J171" s="15">
        <f t="shared" si="59"/>
        <v>333.57398388174158</v>
      </c>
      <c r="K171" s="15">
        <f t="shared" si="60"/>
        <v>137.75</v>
      </c>
      <c r="L171" s="15">
        <f t="shared" si="61"/>
        <v>0</v>
      </c>
      <c r="M171" s="14" t="str">
        <f t="shared" si="62"/>
        <v>Y</v>
      </c>
      <c r="N171" s="12" t="str">
        <f t="shared" si="52"/>
        <v>N</v>
      </c>
    </row>
    <row r="172" spans="1:14">
      <c r="A172" s="14">
        <v>163</v>
      </c>
      <c r="B172" s="14">
        <v>193</v>
      </c>
      <c r="C172" s="14">
        <v>1</v>
      </c>
      <c r="D172" s="15">
        <f t="shared" si="53"/>
        <v>193</v>
      </c>
      <c r="E172" s="15">
        <f t="shared" si="54"/>
        <v>172.96008378291651</v>
      </c>
      <c r="F172" s="15">
        <f t="shared" si="55"/>
        <v>137.75</v>
      </c>
      <c r="G172" s="15">
        <f t="shared" si="56"/>
        <v>102.53991621708349</v>
      </c>
      <c r="H172" s="15">
        <f t="shared" si="57"/>
        <v>4.7074582674074703</v>
      </c>
      <c r="I172" s="15">
        <f t="shared" si="58"/>
        <v>5.5615881259775053</v>
      </c>
      <c r="J172" s="15">
        <f t="shared" si="59"/>
        <v>333.57398388174158</v>
      </c>
      <c r="K172" s="15">
        <f t="shared" si="60"/>
        <v>137.75</v>
      </c>
      <c r="L172" s="15">
        <f t="shared" si="61"/>
        <v>0</v>
      </c>
      <c r="M172" s="14" t="str">
        <f t="shared" si="62"/>
        <v>Y</v>
      </c>
      <c r="N172" s="12" t="str">
        <f t="shared" si="52"/>
        <v>N</v>
      </c>
    </row>
    <row r="173" spans="1:14">
      <c r="A173" s="14">
        <v>164</v>
      </c>
      <c r="B173" s="14">
        <v>229</v>
      </c>
      <c r="C173" s="14">
        <v>1</v>
      </c>
      <c r="D173" s="15">
        <f t="shared" si="53"/>
        <v>229</v>
      </c>
      <c r="E173" s="15">
        <f t="shared" si="54"/>
        <v>172.96008378291651</v>
      </c>
      <c r="F173" s="15">
        <f t="shared" si="55"/>
        <v>137.75</v>
      </c>
      <c r="G173" s="15">
        <f t="shared" si="56"/>
        <v>102.53991621708349</v>
      </c>
      <c r="H173" s="15">
        <f t="shared" si="57"/>
        <v>7.7747613918720662</v>
      </c>
      <c r="I173" s="15">
        <f t="shared" si="58"/>
        <v>5.5615881259775053</v>
      </c>
      <c r="J173" s="15">
        <f t="shared" si="59"/>
        <v>333.57398388174158</v>
      </c>
      <c r="K173" s="15">
        <f t="shared" si="60"/>
        <v>137.75</v>
      </c>
      <c r="L173" s="15">
        <f t="shared" si="61"/>
        <v>0</v>
      </c>
      <c r="M173" s="14" t="str">
        <f t="shared" si="62"/>
        <v>Y</v>
      </c>
      <c r="N173" s="12" t="str">
        <f t="shared" si="52"/>
        <v>N</v>
      </c>
    </row>
    <row r="174" spans="1:14">
      <c r="A174" s="14">
        <v>165</v>
      </c>
      <c r="B174" s="14">
        <v>177</v>
      </c>
      <c r="C174" s="14">
        <v>1</v>
      </c>
      <c r="D174" s="15">
        <f t="shared" si="53"/>
        <v>177</v>
      </c>
      <c r="E174" s="15">
        <f t="shared" si="54"/>
        <v>172.96008378291651</v>
      </c>
      <c r="F174" s="15">
        <f t="shared" si="55"/>
        <v>137.75</v>
      </c>
      <c r="G174" s="15">
        <f t="shared" si="56"/>
        <v>102.53991621708349</v>
      </c>
      <c r="H174" s="15">
        <f t="shared" si="57"/>
        <v>3.344212434312094</v>
      </c>
      <c r="I174" s="15">
        <f t="shared" si="58"/>
        <v>5.5615881259775053</v>
      </c>
      <c r="J174" s="15">
        <f t="shared" si="59"/>
        <v>333.57398388174158</v>
      </c>
      <c r="K174" s="15">
        <f t="shared" si="60"/>
        <v>137.75</v>
      </c>
      <c r="L174" s="15">
        <f t="shared" si="61"/>
        <v>0</v>
      </c>
      <c r="M174" s="14" t="str">
        <f t="shared" si="62"/>
        <v>Y</v>
      </c>
      <c r="N174" s="12" t="str">
        <f t="shared" si="52"/>
        <v>N</v>
      </c>
    </row>
    <row r="175" spans="1:14">
      <c r="A175" s="14">
        <v>166</v>
      </c>
      <c r="B175" s="14">
        <v>51</v>
      </c>
      <c r="C175" s="14">
        <v>1</v>
      </c>
      <c r="D175" s="15">
        <f t="shared" si="53"/>
        <v>51</v>
      </c>
      <c r="E175" s="15">
        <f t="shared" si="54"/>
        <v>172.96008378291651</v>
      </c>
      <c r="F175" s="15">
        <f t="shared" si="55"/>
        <v>137.75</v>
      </c>
      <c r="G175" s="15">
        <f t="shared" si="56"/>
        <v>102.53991621708349</v>
      </c>
      <c r="H175" s="15">
        <f t="shared" si="57"/>
        <v>-7.391348501313991</v>
      </c>
      <c r="I175" s="15">
        <f t="shared" si="58"/>
        <v>5.5615881259775053</v>
      </c>
      <c r="J175" s="15">
        <f t="shared" si="59"/>
        <v>333.57398388174158</v>
      </c>
      <c r="K175" s="15">
        <f t="shared" si="60"/>
        <v>137.75</v>
      </c>
      <c r="L175" s="15">
        <f t="shared" si="61"/>
        <v>0</v>
      </c>
      <c r="M175" s="14" t="str">
        <f t="shared" si="62"/>
        <v>Y</v>
      </c>
      <c r="N175" s="12" t="str">
        <f t="shared" si="52"/>
        <v>N</v>
      </c>
    </row>
    <row r="176" spans="1:14">
      <c r="A176" s="14">
        <v>167</v>
      </c>
      <c r="B176" s="14">
        <v>59</v>
      </c>
      <c r="C176" s="14">
        <v>1</v>
      </c>
      <c r="D176" s="15">
        <f t="shared" si="53"/>
        <v>59</v>
      </c>
      <c r="E176" s="15">
        <f t="shared" si="54"/>
        <v>172.96008378291651</v>
      </c>
      <c r="F176" s="15">
        <f t="shared" si="55"/>
        <v>137.75</v>
      </c>
      <c r="G176" s="15">
        <f t="shared" si="56"/>
        <v>102.53991621708349</v>
      </c>
      <c r="H176" s="15">
        <f t="shared" si="57"/>
        <v>-6.7097255847663035</v>
      </c>
      <c r="I176" s="15">
        <f t="shared" si="58"/>
        <v>5.5615881259775053</v>
      </c>
      <c r="J176" s="15">
        <f t="shared" si="59"/>
        <v>333.57398388174158</v>
      </c>
      <c r="K176" s="15">
        <f t="shared" si="60"/>
        <v>137.75</v>
      </c>
      <c r="L176" s="15">
        <f t="shared" si="61"/>
        <v>0</v>
      </c>
      <c r="M176" s="14" t="str">
        <f t="shared" si="62"/>
        <v>Y</v>
      </c>
      <c r="N176" s="12" t="str">
        <f t="shared" si="52"/>
        <v>N</v>
      </c>
    </row>
    <row r="177" spans="1:14">
      <c r="A177" s="14">
        <v>168</v>
      </c>
      <c r="B177" s="14">
        <v>72</v>
      </c>
      <c r="C177" s="14">
        <v>1</v>
      </c>
      <c r="D177" s="15">
        <f t="shared" si="53"/>
        <v>72</v>
      </c>
      <c r="E177" s="15">
        <f t="shared" si="54"/>
        <v>172.96008378291651</v>
      </c>
      <c r="F177" s="15">
        <f t="shared" si="55"/>
        <v>137.75</v>
      </c>
      <c r="G177" s="15">
        <f t="shared" si="56"/>
        <v>102.53991621708349</v>
      </c>
      <c r="H177" s="15">
        <f t="shared" si="57"/>
        <v>-5.6020883453763108</v>
      </c>
      <c r="I177" s="15">
        <f t="shared" si="58"/>
        <v>5.5615881259775053</v>
      </c>
      <c r="J177" s="15">
        <f t="shared" si="59"/>
        <v>333.57398388174158</v>
      </c>
      <c r="K177" s="15">
        <f t="shared" si="60"/>
        <v>137.75</v>
      </c>
      <c r="L177" s="15">
        <f t="shared" si="61"/>
        <v>0</v>
      </c>
      <c r="M177" s="14" t="str">
        <f t="shared" si="62"/>
        <v>Y</v>
      </c>
      <c r="N177" s="12" t="str">
        <f t="shared" si="52"/>
        <v>N</v>
      </c>
    </row>
    <row r="178" spans="1:14">
      <c r="A178" s="14">
        <v>169</v>
      </c>
      <c r="B178" s="14">
        <v>86</v>
      </c>
      <c r="C178" s="14">
        <v>1</v>
      </c>
      <c r="D178" s="15">
        <f t="shared" si="53"/>
        <v>86</v>
      </c>
      <c r="E178" s="15">
        <f t="shared" si="54"/>
        <v>172.96008378291651</v>
      </c>
      <c r="F178" s="15">
        <f t="shared" si="55"/>
        <v>137.75</v>
      </c>
      <c r="G178" s="15">
        <f t="shared" si="56"/>
        <v>102.53991621708349</v>
      </c>
      <c r="H178" s="15">
        <f t="shared" si="57"/>
        <v>-4.4092482414178562</v>
      </c>
      <c r="I178" s="15">
        <f t="shared" si="58"/>
        <v>5.5615881259775053</v>
      </c>
      <c r="J178" s="15">
        <f t="shared" si="59"/>
        <v>333.57398388174158</v>
      </c>
      <c r="K178" s="15">
        <f t="shared" si="60"/>
        <v>137.75</v>
      </c>
      <c r="L178" s="15">
        <f t="shared" si="61"/>
        <v>0</v>
      </c>
      <c r="M178" s="14" t="str">
        <f t="shared" si="62"/>
        <v>Y</v>
      </c>
      <c r="N178" s="12" t="str">
        <f t="shared" si="52"/>
        <v>N</v>
      </c>
    </row>
    <row r="179" spans="1:14">
      <c r="A179" s="14">
        <v>170</v>
      </c>
      <c r="B179" s="14">
        <v>93</v>
      </c>
      <c r="C179" s="14">
        <v>1</v>
      </c>
      <c r="D179" s="15">
        <f t="shared" si="53"/>
        <v>93</v>
      </c>
      <c r="E179" s="15">
        <f t="shared" si="54"/>
        <v>172.96008378291651</v>
      </c>
      <c r="F179" s="15">
        <f t="shared" si="55"/>
        <v>137.75</v>
      </c>
      <c r="G179" s="15">
        <f t="shared" si="56"/>
        <v>102.53991621708349</v>
      </c>
      <c r="H179" s="15">
        <f t="shared" si="57"/>
        <v>-3.8128281894386293</v>
      </c>
      <c r="I179" s="15">
        <f t="shared" si="58"/>
        <v>5.5615881259775053</v>
      </c>
      <c r="J179" s="15">
        <f t="shared" si="59"/>
        <v>333.57398388174158</v>
      </c>
      <c r="K179" s="15">
        <f t="shared" si="60"/>
        <v>137.75</v>
      </c>
      <c r="L179" s="15">
        <f t="shared" si="61"/>
        <v>0</v>
      </c>
      <c r="M179" s="14" t="str">
        <f t="shared" si="62"/>
        <v>Y</v>
      </c>
      <c r="N179" s="12" t="str">
        <f t="shared" si="52"/>
        <v>N</v>
      </c>
    </row>
    <row r="180" spans="1:14">
      <c r="A180" s="14">
        <v>171</v>
      </c>
      <c r="B180" s="14">
        <v>112</v>
      </c>
      <c r="C180" s="14">
        <v>1</v>
      </c>
      <c r="D180" s="15">
        <f t="shared" si="53"/>
        <v>112</v>
      </c>
      <c r="E180" s="15">
        <f t="shared" si="54"/>
        <v>172.96008378291651</v>
      </c>
      <c r="F180" s="15">
        <f t="shared" si="55"/>
        <v>137.75</v>
      </c>
      <c r="G180" s="15">
        <f t="shared" si="56"/>
        <v>102.53991621708349</v>
      </c>
      <c r="H180" s="15">
        <f t="shared" si="57"/>
        <v>-2.1939737626378708</v>
      </c>
      <c r="I180" s="15">
        <f t="shared" si="58"/>
        <v>5.5615881259775053</v>
      </c>
      <c r="J180" s="15">
        <f t="shared" si="59"/>
        <v>333.57398388174158</v>
      </c>
      <c r="K180" s="15">
        <f t="shared" si="60"/>
        <v>137.75</v>
      </c>
      <c r="L180" s="15">
        <f t="shared" si="61"/>
        <v>0</v>
      </c>
      <c r="M180" s="14" t="str">
        <f t="shared" si="62"/>
        <v>N</v>
      </c>
      <c r="N180" s="12" t="str">
        <f t="shared" si="52"/>
        <v>N</v>
      </c>
    </row>
    <row r="181" spans="1:14">
      <c r="A181" s="14">
        <v>172</v>
      </c>
      <c r="B181" s="14">
        <v>90</v>
      </c>
      <c r="C181" s="14">
        <v>1</v>
      </c>
      <c r="D181" s="15">
        <f t="shared" si="53"/>
        <v>90</v>
      </c>
      <c r="E181" s="15">
        <f t="shared" si="54"/>
        <v>172.96008378291651</v>
      </c>
      <c r="F181" s="15">
        <f t="shared" si="55"/>
        <v>137.75</v>
      </c>
      <c r="G181" s="15">
        <f t="shared" si="56"/>
        <v>102.53991621708349</v>
      </c>
      <c r="H181" s="15">
        <f t="shared" si="57"/>
        <v>-4.0684367831440129</v>
      </c>
      <c r="I181" s="15">
        <f t="shared" si="58"/>
        <v>5.5615881259775053</v>
      </c>
      <c r="J181" s="15">
        <f t="shared" si="59"/>
        <v>333.57398388174158</v>
      </c>
      <c r="K181" s="15">
        <f t="shared" si="60"/>
        <v>137.75</v>
      </c>
      <c r="L181" s="15">
        <f t="shared" si="61"/>
        <v>0</v>
      </c>
      <c r="M181" s="14" t="str">
        <f t="shared" si="62"/>
        <v>Y</v>
      </c>
      <c r="N181" s="12" t="str">
        <f t="shared" si="52"/>
        <v>N</v>
      </c>
    </row>
    <row r="182" spans="1:14">
      <c r="A182" s="14">
        <v>173</v>
      </c>
      <c r="B182" s="14">
        <v>98</v>
      </c>
      <c r="C182" s="14">
        <v>1</v>
      </c>
      <c r="D182" s="15">
        <f t="shared" si="53"/>
        <v>98</v>
      </c>
      <c r="E182" s="15">
        <f t="shared" si="54"/>
        <v>172.96008378291651</v>
      </c>
      <c r="F182" s="15">
        <f t="shared" si="55"/>
        <v>137.75</v>
      </c>
      <c r="G182" s="15">
        <f t="shared" si="56"/>
        <v>102.53991621708349</v>
      </c>
      <c r="H182" s="15">
        <f t="shared" si="57"/>
        <v>-3.3868138665963246</v>
      </c>
      <c r="I182" s="15">
        <f t="shared" si="58"/>
        <v>5.5615881259775053</v>
      </c>
      <c r="J182" s="15">
        <f t="shared" si="59"/>
        <v>333.57398388174158</v>
      </c>
      <c r="K182" s="15">
        <f t="shared" si="60"/>
        <v>137.75</v>
      </c>
      <c r="L182" s="15">
        <f t="shared" si="61"/>
        <v>0</v>
      </c>
      <c r="M182" s="14" t="str">
        <f t="shared" si="62"/>
        <v>Y</v>
      </c>
      <c r="N182" s="12" t="str">
        <f t="shared" si="52"/>
        <v>N</v>
      </c>
    </row>
    <row r="183" spans="1:14">
      <c r="A183" s="14">
        <v>174</v>
      </c>
      <c r="B183" s="14">
        <v>138</v>
      </c>
      <c r="C183" s="14">
        <v>1</v>
      </c>
      <c r="D183" s="15">
        <f t="shared" si="53"/>
        <v>138</v>
      </c>
      <c r="E183" s="15">
        <f t="shared" si="54"/>
        <v>172.96008378291651</v>
      </c>
      <c r="F183" s="15">
        <f t="shared" si="55"/>
        <v>137.75</v>
      </c>
      <c r="G183" s="15">
        <f t="shared" si="56"/>
        <v>102.53991621708349</v>
      </c>
      <c r="H183" s="15">
        <f t="shared" si="57"/>
        <v>2.1300716142115247E-2</v>
      </c>
      <c r="I183" s="15">
        <f t="shared" si="58"/>
        <v>5.5615881259775053</v>
      </c>
      <c r="J183" s="15">
        <f t="shared" si="59"/>
        <v>333.57398388174158</v>
      </c>
      <c r="K183" s="15">
        <f t="shared" si="60"/>
        <v>137.75</v>
      </c>
      <c r="L183" s="15">
        <f t="shared" si="61"/>
        <v>0</v>
      </c>
      <c r="M183" s="14" t="str">
        <f t="shared" si="62"/>
        <v>N</v>
      </c>
      <c r="N183" s="12" t="str">
        <f t="shared" si="52"/>
        <v>N</v>
      </c>
    </row>
    <row r="184" spans="1:14">
      <c r="A184" s="14">
        <v>175</v>
      </c>
      <c r="B184" s="14">
        <v>132</v>
      </c>
      <c r="C184" s="14">
        <v>1</v>
      </c>
      <c r="D184" s="15">
        <f t="shared" si="53"/>
        <v>132</v>
      </c>
      <c r="E184" s="15">
        <f t="shared" si="54"/>
        <v>172.96008378291651</v>
      </c>
      <c r="F184" s="15">
        <f t="shared" si="55"/>
        <v>137.75</v>
      </c>
      <c r="G184" s="15">
        <f t="shared" si="56"/>
        <v>102.53991621708349</v>
      </c>
      <c r="H184" s="15">
        <f t="shared" si="57"/>
        <v>-0.48991647126865073</v>
      </c>
      <c r="I184" s="15">
        <f t="shared" si="58"/>
        <v>5.5615881259775053</v>
      </c>
      <c r="J184" s="15">
        <f t="shared" si="59"/>
        <v>333.57398388174158</v>
      </c>
      <c r="K184" s="15">
        <f t="shared" si="60"/>
        <v>137.75</v>
      </c>
      <c r="L184" s="15">
        <f t="shared" si="61"/>
        <v>0</v>
      </c>
      <c r="M184" s="14" t="str">
        <f t="shared" si="62"/>
        <v>N</v>
      </c>
      <c r="N184" s="12" t="str">
        <f t="shared" si="52"/>
        <v>N</v>
      </c>
    </row>
    <row r="185" spans="1:14">
      <c r="A185" s="14">
        <v>176</v>
      </c>
      <c r="B185" s="14">
        <v>111</v>
      </c>
      <c r="C185" s="14">
        <v>1</v>
      </c>
      <c r="D185" s="15">
        <f t="shared" si="53"/>
        <v>111</v>
      </c>
      <c r="E185" s="15">
        <f t="shared" si="54"/>
        <v>172.96008378291651</v>
      </c>
      <c r="F185" s="15">
        <f t="shared" si="55"/>
        <v>137.75</v>
      </c>
      <c r="G185" s="15">
        <f t="shared" si="56"/>
        <v>102.53991621708349</v>
      </c>
      <c r="H185" s="15">
        <f t="shared" si="57"/>
        <v>-2.2791766272063314</v>
      </c>
      <c r="I185" s="15">
        <f t="shared" si="58"/>
        <v>5.5615881259775053</v>
      </c>
      <c r="J185" s="15">
        <f t="shared" si="59"/>
        <v>333.57398388174158</v>
      </c>
      <c r="K185" s="15">
        <f t="shared" si="60"/>
        <v>137.75</v>
      </c>
      <c r="L185" s="15">
        <f t="shared" si="61"/>
        <v>0</v>
      </c>
      <c r="M185" s="14" t="str">
        <f t="shared" si="62"/>
        <v>N</v>
      </c>
      <c r="N185" s="12" t="str">
        <f t="shared" si="52"/>
        <v>N</v>
      </c>
    </row>
    <row r="186" spans="1:14">
      <c r="A186" s="14">
        <v>177</v>
      </c>
      <c r="B186" s="14">
        <v>176</v>
      </c>
      <c r="C186" s="14">
        <v>1</v>
      </c>
      <c r="D186" s="15">
        <f t="shared" si="53"/>
        <v>176</v>
      </c>
      <c r="E186" s="15">
        <f t="shared" si="54"/>
        <v>172.96008378291651</v>
      </c>
      <c r="F186" s="15">
        <f t="shared" si="55"/>
        <v>137.75</v>
      </c>
      <c r="G186" s="15">
        <f t="shared" si="56"/>
        <v>102.53991621708349</v>
      </c>
      <c r="H186" s="15">
        <f t="shared" si="57"/>
        <v>3.259009569743633</v>
      </c>
      <c r="I186" s="15">
        <f t="shared" si="58"/>
        <v>5.5615881259775053</v>
      </c>
      <c r="J186" s="15">
        <f t="shared" si="59"/>
        <v>333.57398388174158</v>
      </c>
      <c r="K186" s="15">
        <f t="shared" si="60"/>
        <v>137.75</v>
      </c>
      <c r="L186" s="15">
        <f t="shared" si="61"/>
        <v>0</v>
      </c>
      <c r="M186" s="14" t="str">
        <f t="shared" si="62"/>
        <v>Y</v>
      </c>
      <c r="N186" s="12" t="str">
        <f t="shared" si="52"/>
        <v>N</v>
      </c>
    </row>
    <row r="187" spans="1:14">
      <c r="A187" s="14">
        <v>178</v>
      </c>
      <c r="B187" s="14">
        <v>165</v>
      </c>
      <c r="C187" s="14">
        <v>1</v>
      </c>
      <c r="D187" s="15">
        <f t="shared" si="53"/>
        <v>165</v>
      </c>
      <c r="E187" s="15">
        <f t="shared" si="54"/>
        <v>172.96008378291651</v>
      </c>
      <c r="F187" s="15">
        <f t="shared" si="55"/>
        <v>137.75</v>
      </c>
      <c r="G187" s="15">
        <f t="shared" si="56"/>
        <v>102.53991621708349</v>
      </c>
      <c r="H187" s="15">
        <f t="shared" si="57"/>
        <v>2.3217780594905619</v>
      </c>
      <c r="I187" s="15">
        <f t="shared" si="58"/>
        <v>5.5615881259775053</v>
      </c>
      <c r="J187" s="15">
        <f t="shared" si="59"/>
        <v>333.57398388174158</v>
      </c>
      <c r="K187" s="15">
        <f t="shared" si="60"/>
        <v>137.75</v>
      </c>
      <c r="L187" s="15">
        <f t="shared" si="61"/>
        <v>0</v>
      </c>
      <c r="M187" s="14" t="str">
        <f t="shared" si="62"/>
        <v>N</v>
      </c>
      <c r="N187" s="12" t="str">
        <f t="shared" si="52"/>
        <v>N</v>
      </c>
    </row>
    <row r="188" spans="1:14">
      <c r="A188" s="14">
        <v>179</v>
      </c>
      <c r="B188" s="14">
        <v>156</v>
      </c>
      <c r="C188" s="14">
        <v>1</v>
      </c>
      <c r="D188" s="15">
        <f t="shared" si="53"/>
        <v>156</v>
      </c>
      <c r="E188" s="15">
        <f t="shared" si="54"/>
        <v>172.96008378291651</v>
      </c>
      <c r="F188" s="15">
        <f t="shared" si="55"/>
        <v>137.75</v>
      </c>
      <c r="G188" s="15">
        <f t="shared" si="56"/>
        <v>102.53991621708349</v>
      </c>
      <c r="H188" s="15">
        <f t="shared" si="57"/>
        <v>1.5549522783744132</v>
      </c>
      <c r="I188" s="15">
        <f t="shared" si="58"/>
        <v>5.5615881259775053</v>
      </c>
      <c r="J188" s="15">
        <f t="shared" si="59"/>
        <v>333.57398388174158</v>
      </c>
      <c r="K188" s="15">
        <f t="shared" si="60"/>
        <v>137.75</v>
      </c>
      <c r="L188" s="15">
        <f t="shared" si="61"/>
        <v>0</v>
      </c>
      <c r="M188" s="14" t="str">
        <f t="shared" si="62"/>
        <v>N</v>
      </c>
      <c r="N188" s="12" t="str">
        <f t="shared" si="52"/>
        <v>N</v>
      </c>
    </row>
    <row r="189" spans="1:14">
      <c r="A189" s="14">
        <v>180</v>
      </c>
      <c r="B189" s="14">
        <v>170</v>
      </c>
      <c r="C189" s="14">
        <v>1</v>
      </c>
      <c r="D189" s="15">
        <f t="shared" si="53"/>
        <v>170</v>
      </c>
      <c r="E189" s="15">
        <f t="shared" si="54"/>
        <v>172.96008378291651</v>
      </c>
      <c r="F189" s="15">
        <f t="shared" si="55"/>
        <v>137.75</v>
      </c>
      <c r="G189" s="15">
        <f t="shared" si="56"/>
        <v>102.53991621708349</v>
      </c>
      <c r="H189" s="15">
        <f t="shared" si="57"/>
        <v>2.7477923823328672</v>
      </c>
      <c r="I189" s="15">
        <f t="shared" si="58"/>
        <v>5.5615881259775053</v>
      </c>
      <c r="J189" s="15">
        <f t="shared" si="59"/>
        <v>333.57398388174158</v>
      </c>
      <c r="K189" s="15">
        <f t="shared" si="60"/>
        <v>137.75</v>
      </c>
      <c r="L189" s="15">
        <f t="shared" si="61"/>
        <v>0</v>
      </c>
      <c r="M189" s="14" t="str">
        <f t="shared" si="62"/>
        <v>N</v>
      </c>
      <c r="N189" s="12" t="str">
        <f t="shared" si="52"/>
        <v>N</v>
      </c>
    </row>
    <row r="190" spans="1:14">
      <c r="A190" s="14">
        <v>181</v>
      </c>
      <c r="B190" s="14">
        <v>154</v>
      </c>
      <c r="C190" s="14">
        <v>1</v>
      </c>
      <c r="D190" s="15">
        <f t="shared" si="53"/>
        <v>154</v>
      </c>
      <c r="E190" s="15">
        <f t="shared" si="54"/>
        <v>172.96008378291651</v>
      </c>
      <c r="F190" s="15">
        <f t="shared" si="55"/>
        <v>137.75</v>
      </c>
      <c r="G190" s="15">
        <f t="shared" si="56"/>
        <v>102.53991621708349</v>
      </c>
      <c r="H190" s="15">
        <f t="shared" si="57"/>
        <v>1.3845465492374911</v>
      </c>
      <c r="I190" s="15">
        <f t="shared" si="58"/>
        <v>5.5615881259775053</v>
      </c>
      <c r="J190" s="15">
        <f t="shared" si="59"/>
        <v>333.57398388174158</v>
      </c>
      <c r="K190" s="15">
        <f t="shared" si="60"/>
        <v>137.75</v>
      </c>
      <c r="L190" s="15">
        <f t="shared" si="61"/>
        <v>0</v>
      </c>
      <c r="M190" s="14" t="str">
        <f t="shared" si="62"/>
        <v>N</v>
      </c>
      <c r="N190" s="12" t="str">
        <f t="shared" si="52"/>
        <v>N</v>
      </c>
    </row>
    <row r="191" spans="1:14">
      <c r="A191" s="14">
        <v>182</v>
      </c>
      <c r="B191" s="14">
        <v>189</v>
      </c>
      <c r="C191" s="14">
        <v>1</v>
      </c>
      <c r="D191" s="15">
        <f t="shared" si="53"/>
        <v>189</v>
      </c>
      <c r="E191" s="15">
        <f t="shared" si="54"/>
        <v>172.96008378291651</v>
      </c>
      <c r="F191" s="15">
        <f t="shared" si="55"/>
        <v>137.75</v>
      </c>
      <c r="G191" s="15">
        <f t="shared" si="56"/>
        <v>102.53991621708349</v>
      </c>
      <c r="H191" s="15">
        <f t="shared" si="57"/>
        <v>4.3666468091336261</v>
      </c>
      <c r="I191" s="15">
        <f t="shared" si="58"/>
        <v>5.5615881259775053</v>
      </c>
      <c r="J191" s="15">
        <f t="shared" si="59"/>
        <v>333.57398388174158</v>
      </c>
      <c r="K191" s="15">
        <f t="shared" si="60"/>
        <v>137.75</v>
      </c>
      <c r="L191" s="15">
        <f t="shared" si="61"/>
        <v>0</v>
      </c>
      <c r="M191" s="14" t="str">
        <f t="shared" si="62"/>
        <v>Y</v>
      </c>
      <c r="N191" s="12" t="str">
        <f t="shared" si="52"/>
        <v>N</v>
      </c>
    </row>
    <row r="192" spans="1:14">
      <c r="A192" s="14">
        <v>183</v>
      </c>
      <c r="B192" s="14">
        <v>149</v>
      </c>
      <c r="C192" s="14">
        <v>1</v>
      </c>
      <c r="D192" s="15">
        <f t="shared" si="53"/>
        <v>149</v>
      </c>
      <c r="E192" s="15">
        <f t="shared" si="54"/>
        <v>172.96008378291651</v>
      </c>
      <c r="F192" s="15">
        <f t="shared" si="55"/>
        <v>137.75</v>
      </c>
      <c r="G192" s="15">
        <f t="shared" si="56"/>
        <v>102.53991621708349</v>
      </c>
      <c r="H192" s="15">
        <f t="shared" si="57"/>
        <v>0.9585322263951862</v>
      </c>
      <c r="I192" s="15">
        <f t="shared" si="58"/>
        <v>5.5615881259775053</v>
      </c>
      <c r="J192" s="15">
        <f t="shared" si="59"/>
        <v>333.57398388174158</v>
      </c>
      <c r="K192" s="15">
        <f t="shared" si="60"/>
        <v>137.75</v>
      </c>
      <c r="L192" s="15">
        <f t="shared" si="61"/>
        <v>0</v>
      </c>
      <c r="M192" s="14" t="str">
        <f t="shared" si="62"/>
        <v>N</v>
      </c>
      <c r="N192" s="12" t="str">
        <f t="shared" si="52"/>
        <v>N</v>
      </c>
    </row>
    <row r="193" spans="1:14">
      <c r="A193" s="14">
        <v>184</v>
      </c>
      <c r="B193" s="14">
        <v>208</v>
      </c>
      <c r="C193" s="14">
        <v>1</v>
      </c>
      <c r="D193" s="15">
        <f t="shared" si="53"/>
        <v>208</v>
      </c>
      <c r="E193" s="15">
        <f t="shared" si="54"/>
        <v>172.96008378291651</v>
      </c>
      <c r="F193" s="15">
        <f t="shared" si="55"/>
        <v>137.75</v>
      </c>
      <c r="G193" s="15">
        <f t="shared" si="56"/>
        <v>102.53991621708349</v>
      </c>
      <c r="H193" s="15">
        <f t="shared" si="57"/>
        <v>5.9855012359343851</v>
      </c>
      <c r="I193" s="15">
        <f t="shared" si="58"/>
        <v>5.5615881259775053</v>
      </c>
      <c r="J193" s="15">
        <f t="shared" si="59"/>
        <v>333.57398388174158</v>
      </c>
      <c r="K193" s="15">
        <f t="shared" si="60"/>
        <v>137.75</v>
      </c>
      <c r="L193" s="15">
        <f t="shared" si="61"/>
        <v>0</v>
      </c>
      <c r="M193" s="14" t="str">
        <f t="shared" si="62"/>
        <v>Y</v>
      </c>
      <c r="N193" s="12" t="str">
        <f t="shared" si="52"/>
        <v>N</v>
      </c>
    </row>
    <row r="194" spans="1:14">
      <c r="A194" s="14">
        <v>185</v>
      </c>
      <c r="B194" s="14">
        <v>203</v>
      </c>
      <c r="C194" s="14">
        <v>1</v>
      </c>
      <c r="D194" s="15">
        <f t="shared" si="53"/>
        <v>203</v>
      </c>
      <c r="E194" s="15">
        <f t="shared" si="54"/>
        <v>172.96008378291651</v>
      </c>
      <c r="F194" s="15">
        <f t="shared" si="55"/>
        <v>137.75</v>
      </c>
      <c r="G194" s="15">
        <f t="shared" si="56"/>
        <v>102.53991621708349</v>
      </c>
      <c r="H194" s="15">
        <f t="shared" si="57"/>
        <v>5.5594869130920799</v>
      </c>
      <c r="I194" s="15">
        <f t="shared" si="58"/>
        <v>5.5615881259775053</v>
      </c>
      <c r="J194" s="15">
        <f t="shared" si="59"/>
        <v>333.57398388174158</v>
      </c>
      <c r="K194" s="15">
        <f t="shared" si="60"/>
        <v>137.75</v>
      </c>
      <c r="L194" s="15">
        <f t="shared" si="61"/>
        <v>0</v>
      </c>
      <c r="M194" s="14" t="str">
        <f t="shared" si="62"/>
        <v>Y</v>
      </c>
      <c r="N194" s="12" t="str">
        <f t="shared" si="52"/>
        <v>N</v>
      </c>
    </row>
    <row r="195" spans="1:14">
      <c r="A195" s="14">
        <v>186</v>
      </c>
      <c r="B195" s="14">
        <v>205</v>
      </c>
      <c r="C195" s="14">
        <v>1</v>
      </c>
      <c r="D195" s="15">
        <f t="shared" si="53"/>
        <v>205</v>
      </c>
      <c r="E195" s="15">
        <f t="shared" si="54"/>
        <v>172.96008378291651</v>
      </c>
      <c r="F195" s="15">
        <f t="shared" si="55"/>
        <v>137.75</v>
      </c>
      <c r="G195" s="15">
        <f t="shared" si="56"/>
        <v>102.53991621708349</v>
      </c>
      <c r="H195" s="15">
        <f t="shared" si="57"/>
        <v>5.729892642229002</v>
      </c>
      <c r="I195" s="15">
        <f t="shared" si="58"/>
        <v>5.5615881259775053</v>
      </c>
      <c r="J195" s="15">
        <f t="shared" si="59"/>
        <v>333.57398388174158</v>
      </c>
      <c r="K195" s="15">
        <f t="shared" si="60"/>
        <v>137.75</v>
      </c>
      <c r="L195" s="15">
        <f t="shared" si="61"/>
        <v>0</v>
      </c>
      <c r="M195" s="14" t="str">
        <f t="shared" si="62"/>
        <v>Y</v>
      </c>
      <c r="N195" s="12" t="str">
        <f t="shared" si="52"/>
        <v>N</v>
      </c>
    </row>
    <row r="196" spans="1:14">
      <c r="A196" s="14">
        <v>187</v>
      </c>
      <c r="B196" s="14">
        <v>233</v>
      </c>
      <c r="C196" s="14">
        <v>1</v>
      </c>
      <c r="D196" s="15">
        <f t="shared" si="53"/>
        <v>233</v>
      </c>
      <c r="E196" s="15">
        <f t="shared" si="54"/>
        <v>172.96008378291651</v>
      </c>
      <c r="F196" s="15">
        <f t="shared" si="55"/>
        <v>137.75</v>
      </c>
      <c r="G196" s="15">
        <f t="shared" si="56"/>
        <v>102.53991621708349</v>
      </c>
      <c r="H196" s="15">
        <f t="shared" si="57"/>
        <v>8.1155728501459095</v>
      </c>
      <c r="I196" s="15">
        <f t="shared" si="58"/>
        <v>5.5615881259775053</v>
      </c>
      <c r="J196" s="15">
        <f t="shared" si="59"/>
        <v>333.57398388174158</v>
      </c>
      <c r="K196" s="15">
        <f t="shared" si="60"/>
        <v>137.75</v>
      </c>
      <c r="L196" s="15">
        <f t="shared" si="61"/>
        <v>0</v>
      </c>
      <c r="M196" s="14" t="str">
        <f t="shared" si="62"/>
        <v>Y</v>
      </c>
      <c r="N196" s="12" t="str">
        <f t="shared" si="52"/>
        <v>N</v>
      </c>
    </row>
    <row r="197" spans="1:14">
      <c r="A197" s="14">
        <v>188</v>
      </c>
      <c r="B197" s="14">
        <v>60</v>
      </c>
      <c r="C197" s="14">
        <v>1</v>
      </c>
      <c r="D197" s="15">
        <f t="shared" si="53"/>
        <v>60</v>
      </c>
      <c r="E197" s="15">
        <f t="shared" si="54"/>
        <v>172.96008378291651</v>
      </c>
      <c r="F197" s="15">
        <f t="shared" si="55"/>
        <v>137.75</v>
      </c>
      <c r="G197" s="15">
        <f t="shared" si="56"/>
        <v>102.53991621708349</v>
      </c>
      <c r="H197" s="15">
        <f t="shared" si="57"/>
        <v>-6.6245227201978425</v>
      </c>
      <c r="I197" s="15">
        <f t="shared" si="58"/>
        <v>5.5615881259775053</v>
      </c>
      <c r="J197" s="15">
        <f t="shared" si="59"/>
        <v>333.57398388174158</v>
      </c>
      <c r="K197" s="15">
        <f t="shared" si="60"/>
        <v>137.75</v>
      </c>
      <c r="L197" s="15">
        <f t="shared" si="61"/>
        <v>0</v>
      </c>
      <c r="M197" s="14" t="str">
        <f t="shared" si="62"/>
        <v>Y</v>
      </c>
      <c r="N197" s="12" t="str">
        <f t="shared" si="52"/>
        <v>N</v>
      </c>
    </row>
    <row r="198" spans="1:14">
      <c r="A198" s="14">
        <v>189</v>
      </c>
      <c r="B198" s="14">
        <v>46</v>
      </c>
      <c r="C198" s="14">
        <v>1</v>
      </c>
      <c r="D198" s="15">
        <f t="shared" si="53"/>
        <v>46</v>
      </c>
      <c r="E198" s="15">
        <f t="shared" si="54"/>
        <v>172.96008378291651</v>
      </c>
      <c r="F198" s="15">
        <f t="shared" si="55"/>
        <v>137.75</v>
      </c>
      <c r="G198" s="15">
        <f t="shared" si="56"/>
        <v>102.53991621708349</v>
      </c>
      <c r="H198" s="15">
        <f t="shared" si="57"/>
        <v>-7.8173628241562962</v>
      </c>
      <c r="I198" s="15">
        <f t="shared" si="58"/>
        <v>5.5615881259775053</v>
      </c>
      <c r="J198" s="15">
        <f t="shared" si="59"/>
        <v>333.57398388174158</v>
      </c>
      <c r="K198" s="15">
        <f t="shared" si="60"/>
        <v>137.75</v>
      </c>
      <c r="L198" s="15">
        <f t="shared" si="61"/>
        <v>0</v>
      </c>
      <c r="M198" s="14" t="str">
        <f t="shared" si="62"/>
        <v>Y</v>
      </c>
      <c r="N198" s="12" t="str">
        <f t="shared" si="52"/>
        <v>N</v>
      </c>
    </row>
    <row r="199" spans="1:14">
      <c r="A199" s="14">
        <v>190</v>
      </c>
      <c r="B199" s="14">
        <v>50</v>
      </c>
      <c r="C199" s="14">
        <v>1</v>
      </c>
      <c r="D199" s="15">
        <f t="shared" si="53"/>
        <v>50</v>
      </c>
      <c r="E199" s="15">
        <f t="shared" si="54"/>
        <v>172.96008378291651</v>
      </c>
      <c r="F199" s="15">
        <f t="shared" si="55"/>
        <v>137.75</v>
      </c>
      <c r="G199" s="15">
        <f t="shared" si="56"/>
        <v>102.53991621708349</v>
      </c>
      <c r="H199" s="15">
        <f t="shared" si="57"/>
        <v>-7.4765513658824521</v>
      </c>
      <c r="I199" s="15">
        <f t="shared" si="58"/>
        <v>5.5615881259775053</v>
      </c>
      <c r="J199" s="15">
        <f t="shared" si="59"/>
        <v>333.57398388174158</v>
      </c>
      <c r="K199" s="15">
        <f t="shared" si="60"/>
        <v>137.75</v>
      </c>
      <c r="L199" s="15">
        <f t="shared" si="61"/>
        <v>0</v>
      </c>
      <c r="M199" s="14" t="str">
        <f t="shared" si="62"/>
        <v>Y</v>
      </c>
      <c r="N199" s="12" t="str">
        <f t="shared" si="52"/>
        <v>N</v>
      </c>
    </row>
    <row r="200" spans="1:14">
      <c r="A200" s="14">
        <v>191</v>
      </c>
      <c r="B200" s="14">
        <v>72</v>
      </c>
      <c r="C200" s="14">
        <v>1</v>
      </c>
      <c r="D200" s="15">
        <f t="shared" si="53"/>
        <v>72</v>
      </c>
      <c r="E200" s="15">
        <f t="shared" si="54"/>
        <v>172.96008378291651</v>
      </c>
      <c r="F200" s="15">
        <f t="shared" si="55"/>
        <v>137.75</v>
      </c>
      <c r="G200" s="15">
        <f t="shared" si="56"/>
        <v>102.53991621708349</v>
      </c>
      <c r="H200" s="15">
        <f t="shared" si="57"/>
        <v>-5.6020883453763108</v>
      </c>
      <c r="I200" s="15">
        <f t="shared" si="58"/>
        <v>5.5615881259775053</v>
      </c>
      <c r="J200" s="15">
        <f t="shared" si="59"/>
        <v>333.57398388174158</v>
      </c>
      <c r="K200" s="15">
        <f t="shared" si="60"/>
        <v>137.75</v>
      </c>
      <c r="L200" s="15">
        <f t="shared" si="61"/>
        <v>0</v>
      </c>
      <c r="M200" s="14" t="str">
        <f t="shared" si="62"/>
        <v>Y</v>
      </c>
      <c r="N200" s="12" t="str">
        <f t="shared" si="52"/>
        <v>N</v>
      </c>
    </row>
    <row r="201" spans="1:14">
      <c r="A201" s="14">
        <v>192</v>
      </c>
      <c r="B201" s="14">
        <v>40</v>
      </c>
      <c r="C201" s="14">
        <v>1</v>
      </c>
      <c r="D201" s="15">
        <f t="shared" si="53"/>
        <v>40</v>
      </c>
      <c r="E201" s="15">
        <f t="shared" si="54"/>
        <v>172.96008378291651</v>
      </c>
      <c r="F201" s="15">
        <f t="shared" si="55"/>
        <v>137.75</v>
      </c>
      <c r="G201" s="15">
        <f t="shared" si="56"/>
        <v>102.53991621708349</v>
      </c>
      <c r="H201" s="15">
        <f t="shared" si="57"/>
        <v>-8.3285800115670625</v>
      </c>
      <c r="I201" s="15">
        <f t="shared" si="58"/>
        <v>5.5615881259775053</v>
      </c>
      <c r="J201" s="15">
        <f t="shared" si="59"/>
        <v>333.57398388174158</v>
      </c>
      <c r="K201" s="15">
        <f t="shared" si="60"/>
        <v>137.75</v>
      </c>
      <c r="L201" s="15">
        <f t="shared" si="61"/>
        <v>0</v>
      </c>
      <c r="M201" s="14" t="str">
        <f t="shared" si="62"/>
        <v>Y</v>
      </c>
      <c r="N201" s="12" t="str">
        <f t="shared" si="52"/>
        <v>N</v>
      </c>
    </row>
    <row r="202" spans="1:14">
      <c r="A202" s="14">
        <v>193</v>
      </c>
      <c r="B202" s="14">
        <v>36</v>
      </c>
      <c r="C202" s="14">
        <v>1</v>
      </c>
      <c r="D202" s="15">
        <f t="shared" ref="D202:D209" si="63">IF(C202=0,"",B202/C202)</f>
        <v>36</v>
      </c>
      <c r="E202" s="15">
        <f t="shared" ref="E202:E209" si="64">IF(C202=0,"",$F$6 + 3*SQRT($F$6/C202))</f>
        <v>172.96008378291651</v>
      </c>
      <c r="F202" s="15">
        <f t="shared" ref="F202:F209" si="65">$F$6</f>
        <v>137.75</v>
      </c>
      <c r="G202" s="15">
        <f t="shared" ref="G202:G209" si="66">IF(C202=0,"",MAX(0,$F$6 - 3*SQRT($F$6/C202)))</f>
        <v>102.53991621708349</v>
      </c>
      <c r="H202" s="15">
        <f t="shared" ref="H202:H209" si="67">IF(C202=0,"",(D202-$F$6)/SQRT($F$6/C202))</f>
        <v>-8.6693914698409067</v>
      </c>
      <c r="I202" s="15">
        <f t="shared" ref="I202:I209" si="68">$I$6</f>
        <v>5.5615881259775053</v>
      </c>
      <c r="J202" s="15">
        <f t="shared" ref="J202:J209" si="69">IF(C202=0,"",$F$6 + 3*$I$6*SQRT($F$6/C202))</f>
        <v>333.57398388174158</v>
      </c>
      <c r="K202" s="15">
        <f t="shared" ref="K202:K209" si="70">$F$6</f>
        <v>137.75</v>
      </c>
      <c r="L202" s="15">
        <f t="shared" ref="L202:L209" si="71">IF(C202=0,"",MAX(0,$F$6 - 3*$I$6*SQRT($F$6/C202)))</f>
        <v>0</v>
      </c>
      <c r="M202" s="14" t="str">
        <f t="shared" si="62"/>
        <v>Y</v>
      </c>
      <c r="N202" s="12" t="str">
        <f t="shared" si="52"/>
        <v>N</v>
      </c>
    </row>
    <row r="203" spans="1:14">
      <c r="A203" s="14">
        <v>194</v>
      </c>
      <c r="B203" s="14">
        <v>79</v>
      </c>
      <c r="C203" s="14">
        <v>1</v>
      </c>
      <c r="D203" s="15">
        <f t="shared" si="63"/>
        <v>79</v>
      </c>
      <c r="E203" s="15">
        <f t="shared" si="64"/>
        <v>172.96008378291651</v>
      </c>
      <c r="F203" s="15">
        <f t="shared" si="65"/>
        <v>137.75</v>
      </c>
      <c r="G203" s="15">
        <f t="shared" si="66"/>
        <v>102.53991621708349</v>
      </c>
      <c r="H203" s="15">
        <f t="shared" si="67"/>
        <v>-5.0056682933970835</v>
      </c>
      <c r="I203" s="15">
        <f t="shared" si="68"/>
        <v>5.5615881259775053</v>
      </c>
      <c r="J203" s="15">
        <f t="shared" si="69"/>
        <v>333.57398388174158</v>
      </c>
      <c r="K203" s="15">
        <f t="shared" si="70"/>
        <v>137.75</v>
      </c>
      <c r="L203" s="15">
        <f t="shared" si="71"/>
        <v>0</v>
      </c>
      <c r="M203" s="14" t="str">
        <f t="shared" si="62"/>
        <v>Y</v>
      </c>
      <c r="N203" s="12" t="str">
        <f t="shared" ref="N203:N209" si="72">IF(OR(D203&gt;J203,D203&lt;L203),"Y","N")</f>
        <v>N</v>
      </c>
    </row>
    <row r="204" spans="1:14">
      <c r="A204" s="14">
        <v>195</v>
      </c>
      <c r="B204" s="14">
        <v>43</v>
      </c>
      <c r="C204" s="14">
        <v>1</v>
      </c>
      <c r="D204" s="15">
        <f t="shared" si="63"/>
        <v>43</v>
      </c>
      <c r="E204" s="15">
        <f t="shared" si="64"/>
        <v>172.96008378291651</v>
      </c>
      <c r="F204" s="15">
        <f t="shared" si="65"/>
        <v>137.75</v>
      </c>
      <c r="G204" s="15">
        <f t="shared" si="66"/>
        <v>102.53991621708349</v>
      </c>
      <c r="H204" s="15">
        <f t="shared" si="67"/>
        <v>-8.0729714178616785</v>
      </c>
      <c r="I204" s="15">
        <f t="shared" si="68"/>
        <v>5.5615881259775053</v>
      </c>
      <c r="J204" s="15">
        <f t="shared" si="69"/>
        <v>333.57398388174158</v>
      </c>
      <c r="K204" s="15">
        <f t="shared" si="70"/>
        <v>137.75</v>
      </c>
      <c r="L204" s="15">
        <f t="shared" si="71"/>
        <v>0</v>
      </c>
      <c r="M204" s="14" t="str">
        <f t="shared" si="62"/>
        <v>Y</v>
      </c>
      <c r="N204" s="12" t="str">
        <f t="shared" si="72"/>
        <v>N</v>
      </c>
    </row>
    <row r="205" spans="1:14">
      <c r="A205" s="14">
        <v>196</v>
      </c>
      <c r="B205" s="14">
        <v>63</v>
      </c>
      <c r="C205" s="14">
        <v>1</v>
      </c>
      <c r="D205" s="15">
        <f t="shared" si="63"/>
        <v>63</v>
      </c>
      <c r="E205" s="15">
        <f t="shared" si="64"/>
        <v>172.96008378291651</v>
      </c>
      <c r="F205" s="15">
        <f t="shared" si="65"/>
        <v>137.75</v>
      </c>
      <c r="G205" s="15">
        <f t="shared" si="66"/>
        <v>102.53991621708349</v>
      </c>
      <c r="H205" s="15">
        <f t="shared" si="67"/>
        <v>-6.3689141264924594</v>
      </c>
      <c r="I205" s="15">
        <f t="shared" si="68"/>
        <v>5.5615881259775053</v>
      </c>
      <c r="J205" s="15">
        <f t="shared" si="69"/>
        <v>333.57398388174158</v>
      </c>
      <c r="K205" s="15">
        <f t="shared" si="70"/>
        <v>137.75</v>
      </c>
      <c r="L205" s="15">
        <f t="shared" si="71"/>
        <v>0</v>
      </c>
      <c r="M205" s="14" t="str">
        <f t="shared" si="62"/>
        <v>Y</v>
      </c>
      <c r="N205" s="12" t="str">
        <f t="shared" si="72"/>
        <v>N</v>
      </c>
    </row>
    <row r="206" spans="1:14">
      <c r="A206" s="14">
        <v>197</v>
      </c>
      <c r="B206" s="14">
        <v>81</v>
      </c>
      <c r="C206" s="14">
        <v>1</v>
      </c>
      <c r="D206" s="15">
        <f t="shared" si="63"/>
        <v>81</v>
      </c>
      <c r="E206" s="15">
        <f t="shared" si="64"/>
        <v>172.96008378291651</v>
      </c>
      <c r="F206" s="15">
        <f t="shared" si="65"/>
        <v>137.75</v>
      </c>
      <c r="G206" s="15">
        <f t="shared" si="66"/>
        <v>102.53991621708349</v>
      </c>
      <c r="H206" s="15">
        <f t="shared" si="67"/>
        <v>-4.8352625642601614</v>
      </c>
      <c r="I206" s="15">
        <f t="shared" si="68"/>
        <v>5.5615881259775053</v>
      </c>
      <c r="J206" s="15">
        <f t="shared" si="69"/>
        <v>333.57398388174158</v>
      </c>
      <c r="K206" s="15">
        <f t="shared" si="70"/>
        <v>137.75</v>
      </c>
      <c r="L206" s="15">
        <f t="shared" si="71"/>
        <v>0</v>
      </c>
      <c r="M206" s="14" t="str">
        <f t="shared" si="62"/>
        <v>Y</v>
      </c>
      <c r="N206" s="12" t="str">
        <f t="shared" si="72"/>
        <v>N</v>
      </c>
    </row>
    <row r="207" spans="1:14">
      <c r="A207" s="14">
        <v>198</v>
      </c>
      <c r="B207" s="14">
        <v>83</v>
      </c>
      <c r="C207" s="14">
        <v>1</v>
      </c>
      <c r="D207" s="15">
        <f t="shared" si="63"/>
        <v>83</v>
      </c>
      <c r="E207" s="15">
        <f t="shared" si="64"/>
        <v>172.96008378291651</v>
      </c>
      <c r="F207" s="15">
        <f t="shared" si="65"/>
        <v>137.75</v>
      </c>
      <c r="G207" s="15">
        <f t="shared" si="66"/>
        <v>102.53991621708349</v>
      </c>
      <c r="H207" s="15">
        <f t="shared" si="67"/>
        <v>-4.6648568351232393</v>
      </c>
      <c r="I207" s="15">
        <f t="shared" si="68"/>
        <v>5.5615881259775053</v>
      </c>
      <c r="J207" s="15">
        <f t="shared" si="69"/>
        <v>333.57398388174158</v>
      </c>
      <c r="K207" s="15">
        <f t="shared" si="70"/>
        <v>137.75</v>
      </c>
      <c r="L207" s="15">
        <f t="shared" si="71"/>
        <v>0</v>
      </c>
      <c r="M207" s="14" t="str">
        <f t="shared" si="62"/>
        <v>Y</v>
      </c>
      <c r="N207" s="12" t="str">
        <f t="shared" si="72"/>
        <v>N</v>
      </c>
    </row>
    <row r="208" spans="1:14">
      <c r="A208" s="14">
        <v>199</v>
      </c>
      <c r="B208" s="14">
        <v>80</v>
      </c>
      <c r="C208" s="14">
        <v>1</v>
      </c>
      <c r="D208" s="15">
        <f t="shared" si="63"/>
        <v>80</v>
      </c>
      <c r="E208" s="15">
        <f t="shared" si="64"/>
        <v>172.96008378291651</v>
      </c>
      <c r="F208" s="15">
        <f t="shared" si="65"/>
        <v>137.75</v>
      </c>
      <c r="G208" s="15">
        <f t="shared" si="66"/>
        <v>102.53991621708349</v>
      </c>
      <c r="H208" s="15">
        <f t="shared" si="67"/>
        <v>-4.9204654288286225</v>
      </c>
      <c r="I208" s="15">
        <f t="shared" si="68"/>
        <v>5.5615881259775053</v>
      </c>
      <c r="J208" s="15">
        <f t="shared" si="69"/>
        <v>333.57398388174158</v>
      </c>
      <c r="K208" s="15">
        <f t="shared" si="70"/>
        <v>137.75</v>
      </c>
      <c r="L208" s="15">
        <f t="shared" si="71"/>
        <v>0</v>
      </c>
      <c r="M208" s="14" t="str">
        <f t="shared" si="62"/>
        <v>Y</v>
      </c>
      <c r="N208" s="12" t="str">
        <f t="shared" si="72"/>
        <v>N</v>
      </c>
    </row>
    <row r="209" spans="1:14">
      <c r="A209" s="14">
        <v>200</v>
      </c>
      <c r="B209" s="14">
        <v>85</v>
      </c>
      <c r="C209" s="14">
        <v>1</v>
      </c>
      <c r="D209" s="15">
        <f t="shared" si="63"/>
        <v>85</v>
      </c>
      <c r="E209" s="15">
        <f t="shared" si="64"/>
        <v>172.96008378291651</v>
      </c>
      <c r="F209" s="15">
        <f t="shared" si="65"/>
        <v>137.75</v>
      </c>
      <c r="G209" s="15">
        <f t="shared" si="66"/>
        <v>102.53991621708349</v>
      </c>
      <c r="H209" s="15">
        <f t="shared" si="67"/>
        <v>-4.4944511059863173</v>
      </c>
      <c r="I209" s="15">
        <f t="shared" si="68"/>
        <v>5.5615881259775053</v>
      </c>
      <c r="J209" s="15">
        <f t="shared" si="69"/>
        <v>333.57398388174158</v>
      </c>
      <c r="K209" s="15">
        <f t="shared" si="70"/>
        <v>137.75</v>
      </c>
      <c r="L209" s="15">
        <f t="shared" si="71"/>
        <v>0</v>
      </c>
      <c r="M209" s="14" t="str">
        <f t="shared" si="62"/>
        <v>Y</v>
      </c>
      <c r="N209" s="12" t="str">
        <f t="shared" si="72"/>
        <v>N</v>
      </c>
    </row>
  </sheetData>
  <phoneticPr fontId="5" type="noConversion"/>
  <pageMargins left="0.75" right="0.75" top="1" bottom="1" header="0.5" footer="0.5"/>
  <headerFooter>
    <oddHeader>&amp;L&amp;C&amp;BAOI_u_Laney&amp;B&amp;RMR12-03(001)A  生效日: 2025-12-21</oddHeader>
    <evenHeader>&amp;L&amp;C&amp;BAOI_u_Laney&amp;B&amp;RMR12-03(001)A  生效日: 2025-12-21</even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workbookViewId="0">
      <selection activeCell="J3" sqref="J3"/>
    </sheetView>
  </sheetViews>
  <sheetFormatPr defaultRowHeight="15.75"/>
  <cols>
    <col min="1" max="30" width="18" customWidth="1"/>
  </cols>
  <sheetData>
    <row r="1" spans="1:9" ht="21">
      <c r="A1" s="1" t="s">
        <v>76</v>
      </c>
    </row>
    <row r="3" spans="1:9" ht="17.25">
      <c r="A3" s="4" t="s">
        <v>51</v>
      </c>
      <c r="F3" s="4" t="s">
        <v>77</v>
      </c>
    </row>
    <row r="4" spans="1:9">
      <c r="A4" s="13" t="s">
        <v>32</v>
      </c>
      <c r="B4" s="14">
        <v>705</v>
      </c>
      <c r="F4" s="13" t="s">
        <v>78</v>
      </c>
      <c r="G4" s="14">
        <v>701.34905853658529</v>
      </c>
    </row>
    <row r="5" spans="1:9">
      <c r="A5" s="13" t="s">
        <v>31</v>
      </c>
      <c r="B5" s="14">
        <v>695</v>
      </c>
      <c r="F5" s="13" t="s">
        <v>79</v>
      </c>
      <c r="G5" s="14">
        <v>2.7250487804877959</v>
      </c>
    </row>
    <row r="6" spans="1:9">
      <c r="A6" s="13" t="s">
        <v>80</v>
      </c>
      <c r="B6" s="14">
        <v>5</v>
      </c>
      <c r="F6" s="13" t="s">
        <v>81</v>
      </c>
      <c r="G6" s="14">
        <v>702.92141168292676</v>
      </c>
    </row>
    <row r="7" spans="1:9">
      <c r="A7" s="13" t="s">
        <v>82</v>
      </c>
      <c r="B7" s="14">
        <v>41</v>
      </c>
      <c r="F7" s="13" t="s">
        <v>83</v>
      </c>
      <c r="G7" s="14">
        <v>699.77670539024382</v>
      </c>
    </row>
    <row r="8" spans="1:9">
      <c r="F8" s="13" t="s">
        <v>84</v>
      </c>
      <c r="G8" s="14">
        <v>5.7607531219511996</v>
      </c>
    </row>
    <row r="9" spans="1:9">
      <c r="A9" s="7" t="s">
        <v>85</v>
      </c>
      <c r="B9" s="7" t="s">
        <v>86</v>
      </c>
      <c r="C9" s="7" t="s">
        <v>87</v>
      </c>
      <c r="D9" s="7" t="s">
        <v>81</v>
      </c>
      <c r="E9" s="7" t="s">
        <v>88</v>
      </c>
      <c r="F9" s="7" t="s">
        <v>83</v>
      </c>
      <c r="G9" s="7" t="s">
        <v>84</v>
      </c>
      <c r="H9" s="7" t="s">
        <v>89</v>
      </c>
      <c r="I9" s="7" t="s">
        <v>90</v>
      </c>
    </row>
    <row r="10" spans="1:9">
      <c r="A10" s="9">
        <v>1</v>
      </c>
      <c r="B10" s="9">
        <v>701.66</v>
      </c>
      <c r="C10" s="9">
        <v>3.285999999999945</v>
      </c>
      <c r="D10" s="9">
        <v>702.92141168292676</v>
      </c>
      <c r="E10" s="9">
        <v>701.34905853658529</v>
      </c>
      <c r="F10" s="9">
        <v>699.77670539024382</v>
      </c>
      <c r="G10" s="9">
        <v>5.7607531219511996</v>
      </c>
      <c r="H10" s="9">
        <v>2.7250487804877959</v>
      </c>
      <c r="I10" s="9">
        <v>0</v>
      </c>
    </row>
    <row r="11" spans="1:9">
      <c r="A11" s="9">
        <v>2</v>
      </c>
      <c r="B11" s="9">
        <v>701.61400000000015</v>
      </c>
      <c r="C11" s="9">
        <v>0.82999999999992724</v>
      </c>
      <c r="D11" s="9">
        <v>702.92141168292676</v>
      </c>
      <c r="E11" s="9">
        <v>701.34905853658529</v>
      </c>
      <c r="F11" s="9">
        <v>699.77670539024382</v>
      </c>
      <c r="G11" s="9">
        <v>5.7607531219511996</v>
      </c>
      <c r="H11" s="9">
        <v>2.7250487804877959</v>
      </c>
      <c r="I11" s="9">
        <v>0</v>
      </c>
    </row>
    <row r="12" spans="1:9">
      <c r="A12" s="9">
        <v>3</v>
      </c>
      <c r="B12" s="9">
        <v>701.40339999999992</v>
      </c>
      <c r="C12" s="9">
        <v>0.85099999999999909</v>
      </c>
      <c r="D12" s="9">
        <v>702.92141168292676</v>
      </c>
      <c r="E12" s="9">
        <v>701.34905853658529</v>
      </c>
      <c r="F12" s="9">
        <v>699.77670539024382</v>
      </c>
      <c r="G12" s="9">
        <v>5.7607531219511996</v>
      </c>
      <c r="H12" s="9">
        <v>2.7250487804877959</v>
      </c>
      <c r="I12" s="9">
        <v>0</v>
      </c>
    </row>
    <row r="13" spans="1:9">
      <c r="A13" s="9">
        <v>4</v>
      </c>
      <c r="B13" s="9">
        <v>701.39640000000009</v>
      </c>
      <c r="C13" s="9">
        <v>1.035999999999945</v>
      </c>
      <c r="D13" s="9">
        <v>702.92141168292676</v>
      </c>
      <c r="E13" s="9">
        <v>701.34905853658529</v>
      </c>
      <c r="F13" s="9">
        <v>699.77670539024382</v>
      </c>
      <c r="G13" s="9">
        <v>5.7607531219511996</v>
      </c>
      <c r="H13" s="9">
        <v>2.7250487804877959</v>
      </c>
      <c r="I13" s="9">
        <v>0</v>
      </c>
    </row>
    <row r="14" spans="1:9">
      <c r="A14" s="9">
        <v>5</v>
      </c>
      <c r="B14" s="9">
        <v>701.79140000000007</v>
      </c>
      <c r="C14" s="9">
        <v>2.8680000000000518</v>
      </c>
      <c r="D14" s="9">
        <v>702.92141168292676</v>
      </c>
      <c r="E14" s="9">
        <v>701.34905853658529</v>
      </c>
      <c r="F14" s="9">
        <v>699.77670539024382</v>
      </c>
      <c r="G14" s="9">
        <v>5.7607531219511996</v>
      </c>
      <c r="H14" s="9">
        <v>2.7250487804877959</v>
      </c>
      <c r="I14" s="9">
        <v>0</v>
      </c>
    </row>
    <row r="15" spans="1:9">
      <c r="A15" s="9">
        <v>6</v>
      </c>
      <c r="B15" s="9">
        <v>702.38980000000004</v>
      </c>
      <c r="C15" s="9">
        <v>1.269000000000005</v>
      </c>
      <c r="D15" s="9">
        <v>702.92141168292676</v>
      </c>
      <c r="E15" s="9">
        <v>701.34905853658529</v>
      </c>
      <c r="F15" s="9">
        <v>699.77670539024382</v>
      </c>
      <c r="G15" s="9">
        <v>5.7607531219511996</v>
      </c>
      <c r="H15" s="9">
        <v>2.7250487804877959</v>
      </c>
      <c r="I15" s="9">
        <v>0</v>
      </c>
    </row>
    <row r="16" spans="1:9">
      <c r="A16" s="9">
        <v>7</v>
      </c>
      <c r="B16" s="9">
        <v>701.63139999999999</v>
      </c>
      <c r="C16" s="9">
        <v>1.2709999999999579</v>
      </c>
      <c r="D16" s="9">
        <v>702.92141168292676</v>
      </c>
      <c r="E16" s="9">
        <v>701.34905853658529</v>
      </c>
      <c r="F16" s="9">
        <v>699.77670539024382</v>
      </c>
      <c r="G16" s="9">
        <v>5.7607531219511996</v>
      </c>
      <c r="H16" s="9">
        <v>2.7250487804877959</v>
      </c>
      <c r="I16" s="9">
        <v>0</v>
      </c>
    </row>
    <row r="17" spans="1:9">
      <c r="A17" s="9">
        <v>8</v>
      </c>
      <c r="B17" s="9">
        <v>701.18539999999996</v>
      </c>
      <c r="C17" s="9">
        <v>0.61599999999998545</v>
      </c>
      <c r="D17" s="9">
        <v>702.92141168292676</v>
      </c>
      <c r="E17" s="9">
        <v>701.34905853658529</v>
      </c>
      <c r="F17" s="9">
        <v>699.77670539024382</v>
      </c>
      <c r="G17" s="9">
        <v>5.7607531219511996</v>
      </c>
      <c r="H17" s="9">
        <v>2.7250487804877959</v>
      </c>
      <c r="I17" s="9">
        <v>0</v>
      </c>
    </row>
    <row r="18" spans="1:9">
      <c r="A18" s="9">
        <v>9</v>
      </c>
      <c r="B18" s="9">
        <v>701.65260000000001</v>
      </c>
      <c r="C18" s="9">
        <v>1.33299999999997</v>
      </c>
      <c r="D18" s="9">
        <v>702.92141168292676</v>
      </c>
      <c r="E18" s="9">
        <v>701.34905853658529</v>
      </c>
      <c r="F18" s="9">
        <v>699.77670539024382</v>
      </c>
      <c r="G18" s="9">
        <v>5.7607531219511996</v>
      </c>
      <c r="H18" s="9">
        <v>2.7250487804877959</v>
      </c>
      <c r="I18" s="9">
        <v>0</v>
      </c>
    </row>
    <row r="19" spans="1:9">
      <c r="A19" s="9">
        <v>10</v>
      </c>
      <c r="B19" s="9">
        <v>701.24959999999999</v>
      </c>
      <c r="C19" s="9">
        <v>0.57000000000005002</v>
      </c>
      <c r="D19" s="9">
        <v>702.92141168292676</v>
      </c>
      <c r="E19" s="9">
        <v>701.34905853658529</v>
      </c>
      <c r="F19" s="9">
        <v>699.77670539024382</v>
      </c>
      <c r="G19" s="9">
        <v>5.7607531219511996</v>
      </c>
      <c r="H19" s="9">
        <v>2.7250487804877959</v>
      </c>
      <c r="I19" s="9">
        <v>0</v>
      </c>
    </row>
    <row r="20" spans="1:9">
      <c r="A20" s="9">
        <v>11</v>
      </c>
      <c r="B20" s="9">
        <v>700.05780000000004</v>
      </c>
      <c r="C20" s="9">
        <v>3.2050000000000409</v>
      </c>
      <c r="D20" s="9">
        <v>702.92141168292676</v>
      </c>
      <c r="E20" s="9">
        <v>701.34905853658529</v>
      </c>
      <c r="F20" s="9">
        <v>699.77670539024382</v>
      </c>
      <c r="G20" s="9">
        <v>5.7607531219511996</v>
      </c>
      <c r="H20" s="9">
        <v>2.7250487804877959</v>
      </c>
      <c r="I20" s="9">
        <v>0</v>
      </c>
    </row>
    <row r="21" spans="1:9">
      <c r="A21" s="9">
        <v>12</v>
      </c>
      <c r="B21" s="9">
        <v>701.46439999999996</v>
      </c>
      <c r="C21" s="9">
        <v>3.4429999999999841</v>
      </c>
      <c r="D21" s="9">
        <v>702.92141168292676</v>
      </c>
      <c r="E21" s="9">
        <v>701.34905853658529</v>
      </c>
      <c r="F21" s="9">
        <v>699.77670539024382</v>
      </c>
      <c r="G21" s="9">
        <v>5.7607531219511996</v>
      </c>
      <c r="H21" s="9">
        <v>2.7250487804877959</v>
      </c>
      <c r="I21" s="9">
        <v>0</v>
      </c>
    </row>
    <row r="22" spans="1:9">
      <c r="A22" s="9">
        <v>13</v>
      </c>
      <c r="B22" s="9">
        <v>702.07259999999997</v>
      </c>
      <c r="C22" s="9">
        <v>3.26400000000001</v>
      </c>
      <c r="D22" s="9">
        <v>702.92141168292676</v>
      </c>
      <c r="E22" s="9">
        <v>701.34905853658529</v>
      </c>
      <c r="F22" s="9">
        <v>699.77670539024382</v>
      </c>
      <c r="G22" s="9">
        <v>5.7607531219511996</v>
      </c>
      <c r="H22" s="9">
        <v>2.7250487804877959</v>
      </c>
      <c r="I22" s="9">
        <v>0</v>
      </c>
    </row>
    <row r="23" spans="1:9">
      <c r="A23" s="9">
        <v>14</v>
      </c>
      <c r="B23" s="9">
        <v>702.21360000000004</v>
      </c>
      <c r="C23" s="9">
        <v>2.2949999999999591</v>
      </c>
      <c r="D23" s="9">
        <v>702.92141168292676</v>
      </c>
      <c r="E23" s="9">
        <v>701.34905853658529</v>
      </c>
      <c r="F23" s="9">
        <v>699.77670539024382</v>
      </c>
      <c r="G23" s="9">
        <v>5.7607531219511996</v>
      </c>
      <c r="H23" s="9">
        <v>2.7250487804877959</v>
      </c>
      <c r="I23" s="9">
        <v>0</v>
      </c>
    </row>
    <row r="24" spans="1:9">
      <c r="A24" s="9">
        <v>15</v>
      </c>
      <c r="B24" s="9">
        <v>701.17439999999999</v>
      </c>
      <c r="C24" s="9">
        <v>10.13199999999995</v>
      </c>
      <c r="D24" s="9">
        <v>702.92141168292676</v>
      </c>
      <c r="E24" s="9">
        <v>701.34905853658529</v>
      </c>
      <c r="F24" s="9">
        <v>699.77670539024382</v>
      </c>
      <c r="G24" s="9">
        <v>5.7607531219511996</v>
      </c>
      <c r="H24" s="9">
        <v>2.7250487804877959</v>
      </c>
      <c r="I24" s="9">
        <v>0</v>
      </c>
    </row>
    <row r="25" spans="1:9">
      <c r="A25" s="9">
        <v>16</v>
      </c>
      <c r="B25" s="9">
        <v>697.3044000000001</v>
      </c>
      <c r="C25" s="9">
        <v>7.4459999999999127</v>
      </c>
      <c r="D25" s="9">
        <v>702.92141168292676</v>
      </c>
      <c r="E25" s="9">
        <v>701.34905853658529</v>
      </c>
      <c r="F25" s="9">
        <v>699.77670539024382</v>
      </c>
      <c r="G25" s="9">
        <v>5.7607531219511996</v>
      </c>
      <c r="H25" s="9">
        <v>2.7250487804877959</v>
      </c>
      <c r="I25" s="9">
        <v>0</v>
      </c>
    </row>
    <row r="26" spans="1:9">
      <c r="A26" s="9">
        <v>17</v>
      </c>
      <c r="B26" s="9">
        <v>701.74220000000003</v>
      </c>
      <c r="C26" s="9">
        <v>0.89999999999997726</v>
      </c>
      <c r="D26" s="9">
        <v>702.92141168292676</v>
      </c>
      <c r="E26" s="9">
        <v>701.34905853658529</v>
      </c>
      <c r="F26" s="9">
        <v>699.77670539024382</v>
      </c>
      <c r="G26" s="9">
        <v>5.7607531219511996</v>
      </c>
      <c r="H26" s="9">
        <v>2.7250487804877959</v>
      </c>
      <c r="I26" s="9">
        <v>0</v>
      </c>
    </row>
    <row r="27" spans="1:9">
      <c r="A27" s="9">
        <v>18</v>
      </c>
      <c r="B27" s="9">
        <v>701.86220000000003</v>
      </c>
      <c r="C27" s="9">
        <v>0.20699999999999361</v>
      </c>
      <c r="D27" s="9">
        <v>702.92141168292676</v>
      </c>
      <c r="E27" s="9">
        <v>701.34905853658529</v>
      </c>
      <c r="F27" s="9">
        <v>699.77670539024382</v>
      </c>
      <c r="G27" s="9">
        <v>5.7607531219511996</v>
      </c>
      <c r="H27" s="9">
        <v>2.7250487804877959</v>
      </c>
      <c r="I27" s="9">
        <v>0</v>
      </c>
    </row>
    <row r="28" spans="1:9">
      <c r="A28" s="9">
        <v>19</v>
      </c>
      <c r="B28" s="9">
        <v>701.42780000000005</v>
      </c>
      <c r="C28" s="9">
        <v>5.3479999999999563</v>
      </c>
      <c r="D28" s="9">
        <v>702.92141168292676</v>
      </c>
      <c r="E28" s="9">
        <v>701.34905853658529</v>
      </c>
      <c r="F28" s="9">
        <v>699.77670539024382</v>
      </c>
      <c r="G28" s="9">
        <v>5.7607531219511996</v>
      </c>
      <c r="H28" s="9">
        <v>2.7250487804877959</v>
      </c>
      <c r="I28" s="9">
        <v>0</v>
      </c>
    </row>
    <row r="29" spans="1:9">
      <c r="A29" s="9">
        <v>20</v>
      </c>
      <c r="B29" s="9">
        <v>702.22540000000004</v>
      </c>
      <c r="C29" s="9">
        <v>2.780000000000086</v>
      </c>
      <c r="D29" s="9">
        <v>702.92141168292676</v>
      </c>
      <c r="E29" s="9">
        <v>701.34905853658529</v>
      </c>
      <c r="F29" s="9">
        <v>699.77670539024382</v>
      </c>
      <c r="G29" s="9">
        <v>5.7607531219511996</v>
      </c>
      <c r="H29" s="9">
        <v>2.7250487804877959</v>
      </c>
      <c r="I29" s="9">
        <v>0</v>
      </c>
    </row>
    <row r="30" spans="1:9">
      <c r="A30" s="9">
        <v>21</v>
      </c>
      <c r="B30" s="9">
        <v>700.9842000000001</v>
      </c>
      <c r="C30" s="9">
        <v>8.8679999999999382</v>
      </c>
      <c r="D30" s="9">
        <v>702.92141168292676</v>
      </c>
      <c r="E30" s="9">
        <v>701.34905853658529</v>
      </c>
      <c r="F30" s="9">
        <v>699.77670539024382</v>
      </c>
      <c r="G30" s="9">
        <v>5.7607531219511996</v>
      </c>
      <c r="H30" s="9">
        <v>2.7250487804877959</v>
      </c>
      <c r="I30" s="9">
        <v>0</v>
      </c>
    </row>
    <row r="31" spans="1:9">
      <c r="A31" s="9">
        <v>22</v>
      </c>
      <c r="B31" s="9">
        <v>701.7328</v>
      </c>
      <c r="C31" s="9">
        <v>1.8650000000000091</v>
      </c>
      <c r="D31" s="9">
        <v>702.92141168292676</v>
      </c>
      <c r="E31" s="9">
        <v>701.34905853658529</v>
      </c>
      <c r="F31" s="9">
        <v>699.77670539024382</v>
      </c>
      <c r="G31" s="9">
        <v>5.7607531219511996</v>
      </c>
      <c r="H31" s="9">
        <v>2.7250487804877959</v>
      </c>
      <c r="I31" s="9">
        <v>0</v>
      </c>
    </row>
    <row r="32" spans="1:9">
      <c r="A32" s="9">
        <v>23</v>
      </c>
      <c r="B32" s="9">
        <v>700.34159999999997</v>
      </c>
      <c r="C32" s="9">
        <v>7.7010000000000218</v>
      </c>
      <c r="D32" s="9">
        <v>702.92141168292676</v>
      </c>
      <c r="E32" s="9">
        <v>701.34905853658529</v>
      </c>
      <c r="F32" s="9">
        <v>699.77670539024382</v>
      </c>
      <c r="G32" s="9">
        <v>5.7607531219511996</v>
      </c>
      <c r="H32" s="9">
        <v>2.7250487804877959</v>
      </c>
      <c r="I32" s="9">
        <v>0</v>
      </c>
    </row>
    <row r="33" spans="1:9">
      <c r="A33" s="9">
        <v>24</v>
      </c>
      <c r="B33" s="9">
        <v>701.57419999999991</v>
      </c>
      <c r="C33" s="9">
        <v>0.68899999999996453</v>
      </c>
      <c r="D33" s="9">
        <v>702.92141168292676</v>
      </c>
      <c r="E33" s="9">
        <v>701.34905853658529</v>
      </c>
      <c r="F33" s="9">
        <v>699.77670539024382</v>
      </c>
      <c r="G33" s="9">
        <v>5.7607531219511996</v>
      </c>
      <c r="H33" s="9">
        <v>2.7250487804877959</v>
      </c>
      <c r="I33" s="9">
        <v>0</v>
      </c>
    </row>
    <row r="34" spans="1:9">
      <c r="A34" s="9">
        <v>25</v>
      </c>
      <c r="B34" s="9">
        <v>701.36900000000003</v>
      </c>
      <c r="C34" s="9">
        <v>1.98700000000008</v>
      </c>
      <c r="D34" s="9">
        <v>702.92141168292676</v>
      </c>
      <c r="E34" s="9">
        <v>701.34905853658529</v>
      </c>
      <c r="F34" s="9">
        <v>699.77670539024382</v>
      </c>
      <c r="G34" s="9">
        <v>5.7607531219511996</v>
      </c>
      <c r="H34" s="9">
        <v>2.7250487804877959</v>
      </c>
      <c r="I34" s="9">
        <v>0</v>
      </c>
    </row>
    <row r="35" spans="1:9">
      <c r="A35" s="9">
        <v>26</v>
      </c>
      <c r="B35" s="9">
        <v>701.61959999999999</v>
      </c>
      <c r="C35" s="9">
        <v>2.1320000000000618</v>
      </c>
      <c r="D35" s="9">
        <v>702.92141168292676</v>
      </c>
      <c r="E35" s="9">
        <v>701.34905853658529</v>
      </c>
      <c r="F35" s="9">
        <v>699.77670539024382</v>
      </c>
      <c r="G35" s="9">
        <v>5.7607531219511996</v>
      </c>
      <c r="H35" s="9">
        <v>2.7250487804877959</v>
      </c>
      <c r="I35" s="9">
        <v>0</v>
      </c>
    </row>
    <row r="36" spans="1:9">
      <c r="A36" s="9">
        <v>27</v>
      </c>
      <c r="B36" s="9">
        <v>701.92100000000005</v>
      </c>
      <c r="C36" s="9">
        <v>2.7949999999999591</v>
      </c>
      <c r="D36" s="9">
        <v>702.92141168292676</v>
      </c>
      <c r="E36" s="9">
        <v>701.34905853658529</v>
      </c>
      <c r="F36" s="9">
        <v>699.77670539024382</v>
      </c>
      <c r="G36" s="9">
        <v>5.7607531219511996</v>
      </c>
      <c r="H36" s="9">
        <v>2.7250487804877959</v>
      </c>
      <c r="I36" s="9">
        <v>0</v>
      </c>
    </row>
    <row r="37" spans="1:9">
      <c r="A37" s="9">
        <v>28</v>
      </c>
      <c r="B37" s="9">
        <v>701.47720000000004</v>
      </c>
      <c r="C37" s="9">
        <v>2.259000000000015</v>
      </c>
      <c r="D37" s="9">
        <v>702.92141168292676</v>
      </c>
      <c r="E37" s="9">
        <v>701.34905853658529</v>
      </c>
      <c r="F37" s="9">
        <v>699.77670539024382</v>
      </c>
      <c r="G37" s="9">
        <v>5.7607531219511996</v>
      </c>
      <c r="H37" s="9">
        <v>2.7250487804877959</v>
      </c>
      <c r="I37" s="9">
        <v>0</v>
      </c>
    </row>
    <row r="38" spans="1:9">
      <c r="A38" s="9">
        <v>29</v>
      </c>
      <c r="B38" s="9">
        <v>701.12879999999996</v>
      </c>
      <c r="C38" s="9">
        <v>1.878000000000043</v>
      </c>
      <c r="D38" s="9">
        <v>702.92141168292676</v>
      </c>
      <c r="E38" s="9">
        <v>701.34905853658529</v>
      </c>
      <c r="F38" s="9">
        <v>699.77670539024382</v>
      </c>
      <c r="G38" s="9">
        <v>5.7607531219511996</v>
      </c>
      <c r="H38" s="9">
        <v>2.7250487804877959</v>
      </c>
      <c r="I38" s="9">
        <v>0</v>
      </c>
    </row>
    <row r="39" spans="1:9">
      <c r="A39" s="9">
        <v>30</v>
      </c>
      <c r="B39" s="9">
        <v>701.93700000000001</v>
      </c>
      <c r="C39" s="9">
        <v>2.783000000000015</v>
      </c>
      <c r="D39" s="9">
        <v>702.92141168292676</v>
      </c>
      <c r="E39" s="9">
        <v>701.34905853658529</v>
      </c>
      <c r="F39" s="9">
        <v>699.77670539024382</v>
      </c>
      <c r="G39" s="9">
        <v>5.7607531219511996</v>
      </c>
      <c r="H39" s="9">
        <v>2.7250487804877959</v>
      </c>
      <c r="I39" s="9">
        <v>0</v>
      </c>
    </row>
    <row r="40" spans="1:9">
      <c r="A40" s="9">
        <v>31</v>
      </c>
      <c r="B40" s="9">
        <v>701.94320000000005</v>
      </c>
      <c r="C40" s="9">
        <v>1.2060000000000171</v>
      </c>
      <c r="D40" s="9">
        <v>702.92141168292676</v>
      </c>
      <c r="E40" s="9">
        <v>701.34905853658529</v>
      </c>
      <c r="F40" s="9">
        <v>699.77670539024382</v>
      </c>
      <c r="G40" s="9">
        <v>5.7607531219511996</v>
      </c>
      <c r="H40" s="9">
        <v>2.7250487804877959</v>
      </c>
      <c r="I40" s="9">
        <v>0</v>
      </c>
    </row>
    <row r="41" spans="1:9">
      <c r="A41" s="9">
        <v>32</v>
      </c>
      <c r="B41" s="9">
        <v>701.56240000000003</v>
      </c>
      <c r="C41" s="9">
        <v>3.2250000000000232</v>
      </c>
      <c r="D41" s="9">
        <v>702.92141168292676</v>
      </c>
      <c r="E41" s="9">
        <v>701.34905853658529</v>
      </c>
      <c r="F41" s="9">
        <v>699.77670539024382</v>
      </c>
      <c r="G41" s="9">
        <v>5.7607531219511996</v>
      </c>
      <c r="H41" s="9">
        <v>2.7250487804877959</v>
      </c>
      <c r="I41" s="9">
        <v>0</v>
      </c>
    </row>
    <row r="42" spans="1:9">
      <c r="A42" s="9">
        <v>33</v>
      </c>
      <c r="B42" s="9">
        <v>701.27380000000016</v>
      </c>
      <c r="C42" s="9">
        <v>2.5009999999999759</v>
      </c>
      <c r="D42" s="9">
        <v>702.92141168292676</v>
      </c>
      <c r="E42" s="9">
        <v>701.34905853658529</v>
      </c>
      <c r="F42" s="9">
        <v>699.77670539024382</v>
      </c>
      <c r="G42" s="9">
        <v>5.7607531219511996</v>
      </c>
      <c r="H42" s="9">
        <v>2.7250487804877959</v>
      </c>
      <c r="I42" s="9">
        <v>0</v>
      </c>
    </row>
    <row r="43" spans="1:9">
      <c r="A43" s="9">
        <v>34</v>
      </c>
      <c r="B43" s="9">
        <v>700.94319999999993</v>
      </c>
      <c r="C43" s="9">
        <v>2.101999999999975</v>
      </c>
      <c r="D43" s="9">
        <v>702.92141168292676</v>
      </c>
      <c r="E43" s="9">
        <v>701.34905853658529</v>
      </c>
      <c r="F43" s="9">
        <v>699.77670539024382</v>
      </c>
      <c r="G43" s="9">
        <v>5.7607531219511996</v>
      </c>
      <c r="H43" s="9">
        <v>2.7250487804877959</v>
      </c>
      <c r="I43" s="9">
        <v>0</v>
      </c>
    </row>
    <row r="44" spans="1:9">
      <c r="A44" s="9">
        <v>35</v>
      </c>
      <c r="B44" s="9">
        <v>701.76799999999992</v>
      </c>
      <c r="C44" s="9">
        <v>2.0119999999999441</v>
      </c>
      <c r="D44" s="9">
        <v>702.92141168292676</v>
      </c>
      <c r="E44" s="9">
        <v>701.34905853658529</v>
      </c>
      <c r="F44" s="9">
        <v>699.77670539024382</v>
      </c>
      <c r="G44" s="9">
        <v>5.7607531219511996</v>
      </c>
      <c r="H44" s="9">
        <v>2.7250487804877959</v>
      </c>
      <c r="I44" s="9">
        <v>0</v>
      </c>
    </row>
    <row r="45" spans="1:9">
      <c r="A45" s="9">
        <v>36</v>
      </c>
      <c r="B45" s="9">
        <v>701.75319999999988</v>
      </c>
      <c r="C45" s="9">
        <v>1.5869999999999891</v>
      </c>
      <c r="D45" s="9">
        <v>702.92141168292676</v>
      </c>
      <c r="E45" s="9">
        <v>701.34905853658529</v>
      </c>
      <c r="F45" s="9">
        <v>699.77670539024382</v>
      </c>
      <c r="G45" s="9">
        <v>5.7607531219511996</v>
      </c>
      <c r="H45" s="9">
        <v>2.7250487804877959</v>
      </c>
      <c r="I45" s="9">
        <v>0</v>
      </c>
    </row>
    <row r="46" spans="1:9">
      <c r="A46" s="9">
        <v>37</v>
      </c>
      <c r="B46" s="9">
        <v>701.4384</v>
      </c>
      <c r="C46" s="9">
        <v>1.6559999999999491</v>
      </c>
      <c r="D46" s="9">
        <v>702.92141168292676</v>
      </c>
      <c r="E46" s="9">
        <v>701.34905853658529</v>
      </c>
      <c r="F46" s="9">
        <v>699.77670539024382</v>
      </c>
      <c r="G46" s="9">
        <v>5.7607531219511996</v>
      </c>
      <c r="H46" s="9">
        <v>2.7250487804877959</v>
      </c>
      <c r="I46" s="9">
        <v>0</v>
      </c>
    </row>
    <row r="47" spans="1:9">
      <c r="A47" s="9">
        <v>38</v>
      </c>
      <c r="B47" s="9">
        <v>699.82599999999991</v>
      </c>
      <c r="C47" s="9">
        <v>2.4819999999999709</v>
      </c>
      <c r="D47" s="9">
        <v>702.92141168292676</v>
      </c>
      <c r="E47" s="9">
        <v>701.34905853658529</v>
      </c>
      <c r="F47" s="9">
        <v>699.77670539024382</v>
      </c>
      <c r="G47" s="9">
        <v>5.7607531219511996</v>
      </c>
      <c r="H47" s="9">
        <v>2.7250487804877959</v>
      </c>
      <c r="I47" s="9">
        <v>0</v>
      </c>
    </row>
    <row r="48" spans="1:9">
      <c r="A48" s="9">
        <v>39</v>
      </c>
      <c r="B48" s="9">
        <v>700.27539999999988</v>
      </c>
      <c r="C48" s="9">
        <v>2.8759999999999759</v>
      </c>
      <c r="D48" s="9">
        <v>702.92141168292676</v>
      </c>
      <c r="E48" s="9">
        <v>701.34905853658529</v>
      </c>
      <c r="F48" s="9">
        <v>699.77670539024382</v>
      </c>
      <c r="G48" s="9">
        <v>5.7607531219511996</v>
      </c>
      <c r="H48" s="9">
        <v>2.7250487804877959</v>
      </c>
      <c r="I48" s="9">
        <v>0</v>
      </c>
    </row>
    <row r="49" spans="1:9">
      <c r="A49" s="9">
        <v>40</v>
      </c>
      <c r="B49" s="9">
        <v>701.85439999999994</v>
      </c>
      <c r="C49" s="9">
        <v>3.6770000000000209</v>
      </c>
      <c r="D49" s="9">
        <v>702.92141168292676</v>
      </c>
      <c r="E49" s="9">
        <v>701.34905853658529</v>
      </c>
      <c r="F49" s="9">
        <v>699.77670539024382</v>
      </c>
      <c r="G49" s="9">
        <v>5.7607531219511996</v>
      </c>
      <c r="H49" s="9">
        <v>2.7250487804877959</v>
      </c>
      <c r="I49" s="9">
        <v>0</v>
      </c>
    </row>
    <row r="50" spans="1:9">
      <c r="A50" s="9">
        <v>41</v>
      </c>
      <c r="B50" s="9">
        <v>701.06919999999991</v>
      </c>
      <c r="C50" s="9">
        <v>2.4959999999999809</v>
      </c>
      <c r="D50" s="9">
        <v>702.92141168292676</v>
      </c>
      <c r="E50" s="9">
        <v>701.34905853658529</v>
      </c>
      <c r="F50" s="9">
        <v>699.77670539024382</v>
      </c>
      <c r="G50" s="9">
        <v>5.7607531219511996</v>
      </c>
      <c r="H50" s="9">
        <v>2.7250487804877959</v>
      </c>
      <c r="I50" s="9">
        <v>0</v>
      </c>
    </row>
    <row r="53" spans="1:9" ht="17.25">
      <c r="A53" s="4" t="s">
        <v>91</v>
      </c>
    </row>
    <row r="54" spans="1:9">
      <c r="A54" s="8" t="s">
        <v>30</v>
      </c>
      <c r="B54" s="9">
        <v>205</v>
      </c>
    </row>
    <row r="55" spans="1:9">
      <c r="A55" s="8" t="s">
        <v>33</v>
      </c>
      <c r="B55" s="9">
        <v>701.3490585365854</v>
      </c>
    </row>
    <row r="56" spans="1:9">
      <c r="A56" s="8" t="s">
        <v>92</v>
      </c>
      <c r="B56" s="9">
        <v>1.171560094792689</v>
      </c>
    </row>
    <row r="57" spans="1:9">
      <c r="A57" s="8" t="s">
        <v>93</v>
      </c>
      <c r="B57" s="9">
        <v>1.5587733791469029</v>
      </c>
    </row>
    <row r="58" spans="1:9">
      <c r="A58" s="8" t="s">
        <v>94</v>
      </c>
      <c r="B58" s="9">
        <v>1.4226045032385539</v>
      </c>
    </row>
    <row r="59" spans="1:9">
      <c r="A59" s="8" t="s">
        <v>37</v>
      </c>
      <c r="B59" s="9">
        <v>1.0387691533827921</v>
      </c>
    </row>
    <row r="60" spans="1:9">
      <c r="A60" s="8" t="s">
        <v>95</v>
      </c>
      <c r="B60" s="9">
        <v>1.0692167886385211</v>
      </c>
    </row>
    <row r="61" spans="1:9">
      <c r="A61" s="8" t="s">
        <v>96</v>
      </c>
      <c r="B61" s="9">
        <v>0.78072958140387516</v>
      </c>
    </row>
    <row r="62" spans="1:9">
      <c r="A62" s="8" t="s">
        <v>97</v>
      </c>
      <c r="B62" s="9">
        <v>6</v>
      </c>
    </row>
  </sheetData>
  <phoneticPr fontId="5" type="noConversion"/>
  <pageMargins left="0.75" right="0.75" top="1" bottom="1" header="0.5" footer="0.5"/>
  <headerFooter>
    <oddHeader>&amp;L&amp;C&amp;BThickness_XbarR&amp;B&amp;RMR12-03(001)A  生效日: 2025-12-21</oddHeader>
    <evenHeader>&amp;L&amp;C&amp;BThickness_XbarR&amp;B&amp;RMR12-03(001)A  生效日: 2025-12-21</even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8"/>
  <sheetViews>
    <sheetView workbookViewId="0">
      <selection activeCell="J12" sqref="J12"/>
    </sheetView>
  </sheetViews>
  <sheetFormatPr defaultRowHeight="15.75"/>
  <cols>
    <col min="1" max="30" width="18" customWidth="1"/>
  </cols>
  <sheetData>
    <row r="1" spans="1:11" ht="21">
      <c r="A1" s="1" t="s">
        <v>98</v>
      </c>
      <c r="J1" s="4" t="s">
        <v>91</v>
      </c>
    </row>
    <row r="2" spans="1:11">
      <c r="J2" s="13" t="s">
        <v>30</v>
      </c>
      <c r="K2" s="14">
        <v>209</v>
      </c>
    </row>
    <row r="3" spans="1:11" ht="17.25">
      <c r="A3" s="4" t="s">
        <v>51</v>
      </c>
      <c r="J3" s="13" t="s">
        <v>33</v>
      </c>
      <c r="K3" s="14">
        <v>0.34828229665071769</v>
      </c>
    </row>
    <row r="4" spans="1:11">
      <c r="A4" s="13" t="s">
        <v>32</v>
      </c>
      <c r="B4" s="14">
        <v>1</v>
      </c>
      <c r="J4" s="13" t="s">
        <v>92</v>
      </c>
      <c r="K4" s="14">
        <v>0.10735048417894159</v>
      </c>
    </row>
    <row r="5" spans="1:11">
      <c r="A5" s="13" t="s">
        <v>31</v>
      </c>
      <c r="B5" s="14">
        <v>0</v>
      </c>
      <c r="J5" s="13" t="s">
        <v>93</v>
      </c>
      <c r="K5" s="14">
        <v>0.14327700350426639</v>
      </c>
    </row>
    <row r="6" spans="1:11">
      <c r="J6" s="13" t="s">
        <v>94</v>
      </c>
      <c r="K6" s="14">
        <v>1.552546948822805</v>
      </c>
    </row>
    <row r="7" spans="1:11">
      <c r="J7" s="7" t="s">
        <v>37</v>
      </c>
      <c r="K7" s="7">
        <v>1.0814492339881421</v>
      </c>
    </row>
    <row r="8" spans="1:11">
      <c r="J8" s="13" t="s">
        <v>95</v>
      </c>
      <c r="K8" s="9">
        <v>1.1632478526932879</v>
      </c>
    </row>
    <row r="9" spans="1:11">
      <c r="A9" s="2" t="s">
        <v>62</v>
      </c>
      <c r="B9" s="2" t="s">
        <v>99</v>
      </c>
      <c r="C9" s="2" t="s">
        <v>100</v>
      </c>
      <c r="D9" s="2" t="s">
        <v>101</v>
      </c>
      <c r="E9" s="2" t="s">
        <v>102</v>
      </c>
      <c r="F9" s="17"/>
      <c r="G9" s="17"/>
      <c r="H9" s="2" t="s">
        <v>103</v>
      </c>
      <c r="I9" s="2" t="s">
        <v>104</v>
      </c>
      <c r="J9" s="13" t="s">
        <v>96</v>
      </c>
      <c r="K9" s="9">
        <v>0.81027726742006823</v>
      </c>
    </row>
    <row r="10" spans="1:11">
      <c r="A10" s="14">
        <v>1</v>
      </c>
      <c r="B10" s="14">
        <v>0.442</v>
      </c>
      <c r="C10" s="14">
        <v>0.67033374918754252</v>
      </c>
      <c r="D10" s="14">
        <v>0.34828229665071769</v>
      </c>
      <c r="E10" s="18">
        <v>2.6230844113892818E-2</v>
      </c>
      <c r="F10" s="19"/>
      <c r="G10" s="19"/>
      <c r="H10" s="10">
        <v>0.1210913461538462</v>
      </c>
      <c r="I10" s="14">
        <v>0</v>
      </c>
      <c r="J10" s="13" t="s">
        <v>97</v>
      </c>
      <c r="K10" s="14">
        <v>0</v>
      </c>
    </row>
    <row r="11" spans="1:11">
      <c r="A11" s="14">
        <v>2</v>
      </c>
      <c r="B11" s="14">
        <v>0.52500000000000002</v>
      </c>
      <c r="C11" s="14">
        <v>0.67033374918754252</v>
      </c>
      <c r="D11" s="14">
        <v>0.34828229665071769</v>
      </c>
      <c r="E11" s="18">
        <v>2.6230844113892818E-2</v>
      </c>
      <c r="F11" s="19"/>
      <c r="G11" s="19"/>
      <c r="H11" s="10">
        <v>0.1210913461538462</v>
      </c>
      <c r="I11" s="14">
        <v>0</v>
      </c>
    </row>
    <row r="12" spans="1:11">
      <c r="A12" s="14">
        <v>3</v>
      </c>
      <c r="B12" s="14">
        <v>0.52900000000000003</v>
      </c>
      <c r="C12" s="14">
        <v>0.67033374918754252</v>
      </c>
      <c r="D12" s="14">
        <v>0.34828229665071769</v>
      </c>
      <c r="E12" s="18">
        <v>2.6230844113892818E-2</v>
      </c>
      <c r="F12" s="19"/>
      <c r="G12" s="19"/>
      <c r="H12" s="10">
        <v>0.1210913461538462</v>
      </c>
      <c r="I12" s="14">
        <v>0</v>
      </c>
    </row>
    <row r="13" spans="1:11">
      <c r="A13" s="14">
        <v>4</v>
      </c>
      <c r="B13" s="14">
        <v>0.32200000000000001</v>
      </c>
      <c r="C13" s="14">
        <v>0.67033374918754252</v>
      </c>
      <c r="D13" s="14">
        <v>0.34828229665071769</v>
      </c>
      <c r="E13" s="14">
        <v>2.6230844113892818E-2</v>
      </c>
      <c r="F13" s="20">
        <v>0.20699999999999999</v>
      </c>
      <c r="G13" s="20">
        <v>0.39560542788461539</v>
      </c>
      <c r="H13" s="14">
        <v>0.1210913461538462</v>
      </c>
      <c r="I13" s="14">
        <v>0</v>
      </c>
    </row>
    <row r="14" spans="1:11">
      <c r="A14" s="14">
        <v>5</v>
      </c>
      <c r="B14" s="14">
        <v>0.35899999999999999</v>
      </c>
      <c r="C14" s="14">
        <v>0.67033374918754252</v>
      </c>
      <c r="D14" s="14">
        <v>0.34828229665071769</v>
      </c>
      <c r="E14" s="14">
        <v>2.6230844113892818E-2</v>
      </c>
      <c r="F14" s="14">
        <v>3.6999999999999977E-2</v>
      </c>
      <c r="G14" s="14">
        <v>0.39560542788461539</v>
      </c>
      <c r="H14" s="14">
        <v>0.1210913461538462</v>
      </c>
      <c r="I14" s="14">
        <v>0</v>
      </c>
    </row>
    <row r="15" spans="1:11">
      <c r="A15" s="14">
        <v>6</v>
      </c>
      <c r="B15" s="14">
        <v>0.42899999999999999</v>
      </c>
      <c r="C15" s="14">
        <v>0.67033374918754252</v>
      </c>
      <c r="D15" s="14">
        <v>0.34828229665071769</v>
      </c>
      <c r="E15" s="14">
        <v>2.6230844113892818E-2</v>
      </c>
      <c r="F15" s="14">
        <v>7.0000000000000007E-2</v>
      </c>
      <c r="G15" s="14">
        <v>0.39560542788461539</v>
      </c>
      <c r="H15" s="14">
        <v>0.1210913461538462</v>
      </c>
      <c r="I15" s="14">
        <v>0</v>
      </c>
    </row>
    <row r="16" spans="1:11">
      <c r="A16" s="14">
        <v>7</v>
      </c>
      <c r="B16" s="14">
        <v>0.222</v>
      </c>
      <c r="C16" s="14">
        <v>0.67033374918754252</v>
      </c>
      <c r="D16" s="14">
        <v>0.34828229665071769</v>
      </c>
      <c r="E16" s="14">
        <v>2.6230844113892818E-2</v>
      </c>
      <c r="F16" s="14">
        <v>0.20699999999999999</v>
      </c>
      <c r="G16" s="14">
        <v>0.39560542788461539</v>
      </c>
      <c r="H16" s="14">
        <v>0.1210913461538462</v>
      </c>
      <c r="I16" s="14">
        <v>0</v>
      </c>
    </row>
    <row r="17" spans="1:9">
      <c r="A17" s="14">
        <v>8</v>
      </c>
      <c r="B17" s="14">
        <v>0.245</v>
      </c>
      <c r="C17" s="14">
        <v>0.67033374918754252</v>
      </c>
      <c r="D17" s="14">
        <v>0.34828229665071769</v>
      </c>
      <c r="E17" s="14">
        <v>2.6230844113892818E-2</v>
      </c>
      <c r="F17" s="14">
        <v>2.2999999999999989E-2</v>
      </c>
      <c r="G17" s="14">
        <v>0.39560542788461539</v>
      </c>
      <c r="H17" s="14">
        <v>0.1210913461538462</v>
      </c>
      <c r="I17" s="14">
        <v>0</v>
      </c>
    </row>
    <row r="18" spans="1:9">
      <c r="A18" s="14">
        <v>9</v>
      </c>
      <c r="B18" s="14">
        <v>0.39600000000000002</v>
      </c>
      <c r="C18" s="14">
        <v>0.67033374918754252</v>
      </c>
      <c r="D18" s="14">
        <v>0.34828229665071769</v>
      </c>
      <c r="E18" s="14">
        <v>2.6230844113892818E-2</v>
      </c>
      <c r="F18" s="14">
        <v>0.151</v>
      </c>
      <c r="G18" s="14">
        <v>0.39560542788461539</v>
      </c>
      <c r="H18" s="14">
        <v>0.1210913461538462</v>
      </c>
      <c r="I18" s="14">
        <v>0</v>
      </c>
    </row>
    <row r="19" spans="1:9">
      <c r="A19" s="14">
        <v>10</v>
      </c>
      <c r="B19" s="14">
        <v>0.182</v>
      </c>
      <c r="C19" s="14">
        <v>0.67033374918754252</v>
      </c>
      <c r="D19" s="14">
        <v>0.34828229665071769</v>
      </c>
      <c r="E19" s="14">
        <v>2.6230844113892818E-2</v>
      </c>
      <c r="F19" s="14">
        <v>0.214</v>
      </c>
      <c r="G19" s="14">
        <v>0.39560542788461539</v>
      </c>
      <c r="H19" s="14">
        <v>0.1210913461538462</v>
      </c>
      <c r="I19" s="14">
        <v>0</v>
      </c>
    </row>
    <row r="20" spans="1:9">
      <c r="A20" s="14">
        <v>11</v>
      </c>
      <c r="B20" s="14">
        <v>0.26900000000000002</v>
      </c>
      <c r="C20" s="14">
        <v>0.67033374918754252</v>
      </c>
      <c r="D20" s="14">
        <v>0.34828229665071769</v>
      </c>
      <c r="E20" s="14">
        <v>2.6230844113892818E-2</v>
      </c>
      <c r="F20" s="14">
        <v>8.7000000000000022E-2</v>
      </c>
      <c r="G20" s="14">
        <v>0.39560542788461539</v>
      </c>
      <c r="H20" s="14">
        <v>0.1210913461538462</v>
      </c>
      <c r="I20" s="14">
        <v>0</v>
      </c>
    </row>
    <row r="21" spans="1:9">
      <c r="A21" s="14">
        <v>12</v>
      </c>
      <c r="B21" s="14">
        <v>0.23799999999999999</v>
      </c>
      <c r="C21" s="14">
        <v>0.67033374918754252</v>
      </c>
      <c r="D21" s="14">
        <v>0.34828229665071769</v>
      </c>
      <c r="E21" s="14">
        <v>2.6230844113892818E-2</v>
      </c>
      <c r="F21" s="14">
        <v>3.1000000000000031E-2</v>
      </c>
      <c r="G21" s="14">
        <v>0.39560542788461539</v>
      </c>
      <c r="H21" s="14">
        <v>0.1210913461538462</v>
      </c>
      <c r="I21" s="14">
        <v>0</v>
      </c>
    </row>
    <row r="22" spans="1:9">
      <c r="A22" s="14">
        <v>13</v>
      </c>
      <c r="B22" s="14">
        <v>0.26100000000000001</v>
      </c>
      <c r="C22" s="14">
        <v>0.67033374918754252</v>
      </c>
      <c r="D22" s="14">
        <v>0.34828229665071769</v>
      </c>
      <c r="E22" s="14">
        <v>2.6230844113892818E-2</v>
      </c>
      <c r="F22" s="14">
        <v>2.300000000000002E-2</v>
      </c>
      <c r="G22" s="14">
        <v>0.39560542788461539</v>
      </c>
      <c r="H22" s="14">
        <v>0.1210913461538462</v>
      </c>
      <c r="I22" s="14">
        <v>0</v>
      </c>
    </row>
    <row r="23" spans="1:9">
      <c r="A23" s="14">
        <v>14</v>
      </c>
      <c r="B23" s="14">
        <v>0.41899999999999998</v>
      </c>
      <c r="C23" s="14">
        <v>0.67033374918754252</v>
      </c>
      <c r="D23" s="14">
        <v>0.34828229665071769</v>
      </c>
      <c r="E23" s="14">
        <v>2.6230844113892818E-2</v>
      </c>
      <c r="F23" s="14">
        <v>0.158</v>
      </c>
      <c r="G23" s="14">
        <v>0.39560542788461539</v>
      </c>
      <c r="H23" s="14">
        <v>0.1210913461538462</v>
      </c>
      <c r="I23" s="14">
        <v>0</v>
      </c>
    </row>
    <row r="24" spans="1:9">
      <c r="A24" s="14">
        <v>15</v>
      </c>
      <c r="B24" s="14">
        <v>0.19700000000000001</v>
      </c>
      <c r="C24" s="14">
        <v>0.67033374918754252</v>
      </c>
      <c r="D24" s="14">
        <v>0.34828229665071769</v>
      </c>
      <c r="E24" s="14">
        <v>2.6230844113892818E-2</v>
      </c>
      <c r="F24" s="14">
        <v>0.222</v>
      </c>
      <c r="G24" s="14">
        <v>0.39560542788461539</v>
      </c>
      <c r="H24" s="14">
        <v>0.1210913461538462</v>
      </c>
      <c r="I24" s="14">
        <v>0</v>
      </c>
    </row>
    <row r="25" spans="1:9">
      <c r="A25" s="14">
        <v>16</v>
      </c>
      <c r="B25" s="14">
        <v>0.26500000000000001</v>
      </c>
      <c r="C25" s="14">
        <v>0.67033374918754252</v>
      </c>
      <c r="D25" s="14">
        <v>0.34828229665071769</v>
      </c>
      <c r="E25" s="14">
        <v>2.6230844113892818E-2</v>
      </c>
      <c r="F25" s="14">
        <v>6.8000000000000005E-2</v>
      </c>
      <c r="G25" s="14">
        <v>0.39560542788461539</v>
      </c>
      <c r="H25" s="14">
        <v>0.1210913461538462</v>
      </c>
      <c r="I25" s="14">
        <v>0</v>
      </c>
    </row>
    <row r="26" spans="1:9">
      <c r="A26" s="14">
        <v>17</v>
      </c>
      <c r="B26" s="14">
        <v>0.248</v>
      </c>
      <c r="C26" s="14">
        <v>0.67033374918754252</v>
      </c>
      <c r="D26" s="14">
        <v>0.34828229665071769</v>
      </c>
      <c r="E26" s="14">
        <v>2.6230844113892818E-2</v>
      </c>
      <c r="F26" s="14">
        <v>1.7000000000000019E-2</v>
      </c>
      <c r="G26" s="14">
        <v>0.39560542788461539</v>
      </c>
      <c r="H26" s="14">
        <v>0.1210913461538462</v>
      </c>
      <c r="I26" s="14">
        <v>0</v>
      </c>
    </row>
    <row r="27" spans="1:9">
      <c r="A27" s="14">
        <v>18</v>
      </c>
      <c r="B27" s="14">
        <v>0.20899999999999999</v>
      </c>
      <c r="C27" s="14">
        <v>0.67033374918754252</v>
      </c>
      <c r="D27" s="14">
        <v>0.34828229665071769</v>
      </c>
      <c r="E27" s="14">
        <v>2.6230844113892818E-2</v>
      </c>
      <c r="F27" s="14">
        <v>3.9000000000000007E-2</v>
      </c>
      <c r="G27" s="14">
        <v>0.39560542788461539</v>
      </c>
      <c r="H27" s="14">
        <v>0.1210913461538462</v>
      </c>
      <c r="I27" s="14">
        <v>0</v>
      </c>
    </row>
    <row r="28" spans="1:9">
      <c r="A28" s="14">
        <v>19</v>
      </c>
      <c r="B28" s="14">
        <v>0.219</v>
      </c>
      <c r="C28" s="14">
        <v>0.67033374918754252</v>
      </c>
      <c r="D28" s="14">
        <v>0.34828229665071769</v>
      </c>
      <c r="E28" s="14">
        <v>2.6230844113892818E-2</v>
      </c>
      <c r="F28" s="14">
        <v>1.0000000000000011E-2</v>
      </c>
      <c r="G28" s="14">
        <v>0.39560542788461539</v>
      </c>
      <c r="H28" s="14">
        <v>0.1210913461538462</v>
      </c>
      <c r="I28" s="14">
        <v>0</v>
      </c>
    </row>
    <row r="29" spans="1:9">
      <c r="A29" s="14">
        <v>20</v>
      </c>
      <c r="B29" s="14">
        <v>0.438</v>
      </c>
      <c r="C29" s="14">
        <v>0.67033374918754252</v>
      </c>
      <c r="D29" s="14">
        <v>0.34828229665071769</v>
      </c>
      <c r="E29" s="14">
        <v>2.6230844113892818E-2</v>
      </c>
      <c r="F29" s="14">
        <v>0.219</v>
      </c>
      <c r="G29" s="14">
        <v>0.39560542788461539</v>
      </c>
      <c r="H29" s="14">
        <v>0.1210913461538462</v>
      </c>
      <c r="I29" s="14">
        <v>0</v>
      </c>
    </row>
    <row r="30" spans="1:9">
      <c r="A30" s="14">
        <v>21</v>
      </c>
      <c r="B30" s="14">
        <v>0.498</v>
      </c>
      <c r="C30" s="14">
        <v>0.67033374918754252</v>
      </c>
      <c r="D30" s="14">
        <v>0.34828229665071769</v>
      </c>
      <c r="E30" s="14">
        <v>2.6230844113892818E-2</v>
      </c>
      <c r="F30" s="14">
        <v>0.06</v>
      </c>
      <c r="G30" s="14">
        <v>0.39560542788461539</v>
      </c>
      <c r="H30" s="14">
        <v>0.1210913461538462</v>
      </c>
      <c r="I30" s="14">
        <v>0</v>
      </c>
    </row>
    <row r="31" spans="1:9">
      <c r="A31" s="14">
        <v>22</v>
      </c>
      <c r="B31" s="14">
        <v>0.23400000000000001</v>
      </c>
      <c r="C31" s="14">
        <v>0.67033374918754252</v>
      </c>
      <c r="D31" s="14">
        <v>0.34828229665071769</v>
      </c>
      <c r="E31" s="14">
        <v>2.6230844113892818E-2</v>
      </c>
      <c r="F31" s="14">
        <v>0.26400000000000001</v>
      </c>
      <c r="G31" s="14">
        <v>0.39560542788461539</v>
      </c>
      <c r="H31" s="14">
        <v>0.1210913461538462</v>
      </c>
      <c r="I31" s="14">
        <v>0</v>
      </c>
    </row>
    <row r="32" spans="1:9">
      <c r="A32" s="14">
        <v>23</v>
      </c>
      <c r="B32" s="14">
        <v>0.39600000000000002</v>
      </c>
      <c r="C32" s="14">
        <v>0.67033374918754252</v>
      </c>
      <c r="D32" s="14">
        <v>0.34828229665071769</v>
      </c>
      <c r="E32" s="14">
        <v>2.6230844113892818E-2</v>
      </c>
      <c r="F32" s="14">
        <v>0.16200000000000001</v>
      </c>
      <c r="G32" s="14">
        <v>0.39560542788461539</v>
      </c>
      <c r="H32" s="14">
        <v>0.1210913461538462</v>
      </c>
      <c r="I32" s="14">
        <v>0</v>
      </c>
    </row>
    <row r="33" spans="1:9">
      <c r="A33" s="14">
        <v>24</v>
      </c>
      <c r="B33" s="14">
        <v>0.2</v>
      </c>
      <c r="C33" s="14">
        <v>0.67033374918754252</v>
      </c>
      <c r="D33" s="14">
        <v>0.34828229665071769</v>
      </c>
      <c r="E33" s="14">
        <v>2.6230844113892818E-2</v>
      </c>
      <c r="F33" s="14">
        <v>0.19600000000000001</v>
      </c>
      <c r="G33" s="14">
        <v>0.39560542788461539</v>
      </c>
      <c r="H33" s="14">
        <v>0.1210913461538462</v>
      </c>
      <c r="I33" s="14">
        <v>0</v>
      </c>
    </row>
    <row r="34" spans="1:9">
      <c r="A34" s="14">
        <v>25</v>
      </c>
      <c r="B34" s="14">
        <v>0.498</v>
      </c>
      <c r="C34" s="14">
        <v>0.67033374918754252</v>
      </c>
      <c r="D34" s="14">
        <v>0.34828229665071769</v>
      </c>
      <c r="E34" s="14">
        <v>2.6230844113892818E-2</v>
      </c>
      <c r="F34" s="14">
        <v>0.29799999999999999</v>
      </c>
      <c r="G34" s="14">
        <v>0.39560542788461539</v>
      </c>
      <c r="H34" s="14">
        <v>0.1210913461538462</v>
      </c>
      <c r="I34" s="14">
        <v>0</v>
      </c>
    </row>
    <row r="35" spans="1:9">
      <c r="A35" s="14">
        <v>26</v>
      </c>
      <c r="B35" s="14">
        <v>0.44600000000000001</v>
      </c>
      <c r="C35" s="14">
        <v>0.67033374918754252</v>
      </c>
      <c r="D35" s="14">
        <v>0.34828229665071769</v>
      </c>
      <c r="E35" s="14">
        <v>2.6230844113892818E-2</v>
      </c>
      <c r="F35" s="14">
        <v>5.1999999999999991E-2</v>
      </c>
      <c r="G35" s="14">
        <v>0.39560542788461539</v>
      </c>
      <c r="H35" s="14">
        <v>0.1210913461538462</v>
      </c>
      <c r="I35" s="14">
        <v>0</v>
      </c>
    </row>
    <row r="36" spans="1:9">
      <c r="A36" s="14">
        <v>27</v>
      </c>
      <c r="B36" s="14">
        <v>0.41799999999999998</v>
      </c>
      <c r="C36" s="14">
        <v>0.67033374918754252</v>
      </c>
      <c r="D36" s="14">
        <v>0.34828229665071769</v>
      </c>
      <c r="E36" s="14">
        <v>2.6230844113892818E-2</v>
      </c>
      <c r="F36" s="14">
        <v>2.8000000000000021E-2</v>
      </c>
      <c r="G36" s="14">
        <v>0.39560542788461539</v>
      </c>
      <c r="H36" s="14">
        <v>0.1210913461538462</v>
      </c>
      <c r="I36" s="14">
        <v>0</v>
      </c>
    </row>
    <row r="37" spans="1:9">
      <c r="A37" s="14">
        <v>28</v>
      </c>
      <c r="B37" s="14">
        <v>0.34200000000000003</v>
      </c>
      <c r="C37" s="14">
        <v>0.67033374918754252</v>
      </c>
      <c r="D37" s="14">
        <v>0.34828229665071769</v>
      </c>
      <c r="E37" s="14">
        <v>2.6230844113892818E-2</v>
      </c>
      <c r="F37" s="14">
        <v>7.5999999999999956E-2</v>
      </c>
      <c r="G37" s="14">
        <v>0.39560542788461539</v>
      </c>
      <c r="H37" s="14">
        <v>0.1210913461538462</v>
      </c>
      <c r="I37" s="14">
        <v>0</v>
      </c>
    </row>
    <row r="38" spans="1:9">
      <c r="A38" s="14">
        <v>29</v>
      </c>
      <c r="B38" s="14">
        <v>0.307</v>
      </c>
      <c r="C38" s="14">
        <v>0.67033374918754252</v>
      </c>
      <c r="D38" s="14">
        <v>0.34828229665071769</v>
      </c>
      <c r="E38" s="14">
        <v>2.6230844113892818E-2</v>
      </c>
      <c r="F38" s="14">
        <v>3.5000000000000031E-2</v>
      </c>
      <c r="G38" s="14">
        <v>0.39560542788461539</v>
      </c>
      <c r="H38" s="14">
        <v>0.1210913461538462</v>
      </c>
      <c r="I38" s="14">
        <v>0</v>
      </c>
    </row>
    <row r="39" spans="1:9">
      <c r="A39" s="14">
        <v>30</v>
      </c>
      <c r="B39" s="14">
        <v>0.2</v>
      </c>
      <c r="C39" s="14">
        <v>0.67033374918754252</v>
      </c>
      <c r="D39" s="14">
        <v>0.34828229665071769</v>
      </c>
      <c r="E39" s="14">
        <v>2.6230844113892818E-2</v>
      </c>
      <c r="F39" s="14">
        <v>0.107</v>
      </c>
      <c r="G39" s="14">
        <v>0.39560542788461539</v>
      </c>
      <c r="H39" s="14">
        <v>0.1210913461538462</v>
      </c>
      <c r="I39" s="14">
        <v>0</v>
      </c>
    </row>
    <row r="40" spans="1:9">
      <c r="A40" s="14">
        <v>31</v>
      </c>
      <c r="B40" s="14">
        <v>0.32</v>
      </c>
      <c r="C40" s="14">
        <v>0.67033374918754252</v>
      </c>
      <c r="D40" s="14">
        <v>0.34828229665071769</v>
      </c>
      <c r="E40" s="14">
        <v>2.6230844113892818E-2</v>
      </c>
      <c r="F40" s="14">
        <v>0.12</v>
      </c>
      <c r="G40" s="14">
        <v>0.39560542788461539</v>
      </c>
      <c r="H40" s="14">
        <v>0.1210913461538462</v>
      </c>
      <c r="I40" s="14">
        <v>0</v>
      </c>
    </row>
    <row r="41" spans="1:9">
      <c r="A41" s="14">
        <v>32</v>
      </c>
      <c r="B41" s="14">
        <v>0.28399999999999997</v>
      </c>
      <c r="C41" s="14">
        <v>0.67033374918754252</v>
      </c>
      <c r="D41" s="14">
        <v>0.34828229665071769</v>
      </c>
      <c r="E41" s="14">
        <v>2.6230844113892818E-2</v>
      </c>
      <c r="F41" s="14">
        <v>3.6000000000000032E-2</v>
      </c>
      <c r="G41" s="14">
        <v>0.39560542788461539</v>
      </c>
      <c r="H41" s="14">
        <v>0.1210913461538462</v>
      </c>
      <c r="I41" s="14">
        <v>0</v>
      </c>
    </row>
    <row r="42" spans="1:9">
      <c r="A42" s="14">
        <v>33</v>
      </c>
      <c r="B42" s="14">
        <v>0.27600000000000002</v>
      </c>
      <c r="C42" s="14">
        <v>0.67033374918754252</v>
      </c>
      <c r="D42" s="14">
        <v>0.34828229665071769</v>
      </c>
      <c r="E42" s="14">
        <v>2.6230844113892818E-2</v>
      </c>
      <c r="F42" s="14">
        <v>7.9999999999999516E-3</v>
      </c>
      <c r="G42" s="14">
        <v>0.39560542788461539</v>
      </c>
      <c r="H42" s="14">
        <v>0.1210913461538462</v>
      </c>
      <c r="I42" s="14">
        <v>0</v>
      </c>
    </row>
    <row r="43" spans="1:9">
      <c r="A43" s="14">
        <v>34</v>
      </c>
      <c r="B43" s="14">
        <v>0.22900000000000001</v>
      </c>
      <c r="C43" s="14">
        <v>0.67033374918754252</v>
      </c>
      <c r="D43" s="14">
        <v>0.34828229665071769</v>
      </c>
      <c r="E43" s="14">
        <v>2.6230844113892818E-2</v>
      </c>
      <c r="F43" s="14">
        <v>4.7000000000000007E-2</v>
      </c>
      <c r="G43" s="14">
        <v>0.39560542788461539</v>
      </c>
      <c r="H43" s="14">
        <v>0.1210913461538462</v>
      </c>
      <c r="I43" s="14">
        <v>0</v>
      </c>
    </row>
    <row r="44" spans="1:9">
      <c r="A44" s="14">
        <v>35</v>
      </c>
      <c r="B44" s="14">
        <v>0.20599999999999999</v>
      </c>
      <c r="C44" s="14">
        <v>0.67033374918754252</v>
      </c>
      <c r="D44" s="14">
        <v>0.34828229665071769</v>
      </c>
      <c r="E44" s="14">
        <v>2.6230844113892818E-2</v>
      </c>
      <c r="F44" s="14">
        <v>2.300000000000002E-2</v>
      </c>
      <c r="G44" s="14">
        <v>0.39560542788461539</v>
      </c>
      <c r="H44" s="14">
        <v>0.1210913461538462</v>
      </c>
      <c r="I44" s="14">
        <v>0</v>
      </c>
    </row>
    <row r="45" spans="1:9">
      <c r="A45" s="14">
        <v>36</v>
      </c>
      <c r="B45" s="14">
        <v>0.20599999999999999</v>
      </c>
      <c r="C45" s="14">
        <v>0.67033374918754252</v>
      </c>
      <c r="D45" s="14">
        <v>0.34828229665071769</v>
      </c>
      <c r="E45" s="14">
        <v>2.6230844113892818E-2</v>
      </c>
      <c r="F45" s="14">
        <v>0</v>
      </c>
      <c r="G45" s="14">
        <v>0.39560542788461539</v>
      </c>
      <c r="H45" s="14">
        <v>0.1210913461538462</v>
      </c>
      <c r="I45" s="14">
        <v>0</v>
      </c>
    </row>
    <row r="46" spans="1:9">
      <c r="A46" s="14">
        <v>37</v>
      </c>
      <c r="B46" s="14">
        <v>0.24199999999999999</v>
      </c>
      <c r="C46" s="14">
        <v>0.67033374918754252</v>
      </c>
      <c r="D46" s="14">
        <v>0.34828229665071769</v>
      </c>
      <c r="E46" s="14">
        <v>2.6230844113892818E-2</v>
      </c>
      <c r="F46" s="14">
        <v>3.5999999999999997E-2</v>
      </c>
      <c r="G46" s="14">
        <v>0.39560542788461539</v>
      </c>
      <c r="H46" s="14">
        <v>0.1210913461538462</v>
      </c>
      <c r="I46" s="14">
        <v>0</v>
      </c>
    </row>
    <row r="47" spans="1:9">
      <c r="A47" s="14">
        <v>38</v>
      </c>
      <c r="B47" s="14">
        <v>0.35399999999999998</v>
      </c>
      <c r="C47" s="14">
        <v>0.67033374918754252</v>
      </c>
      <c r="D47" s="14">
        <v>0.34828229665071769</v>
      </c>
      <c r="E47" s="14">
        <v>2.6230844113892818E-2</v>
      </c>
      <c r="F47" s="14">
        <v>0.112</v>
      </c>
      <c r="G47" s="14">
        <v>0.39560542788461539</v>
      </c>
      <c r="H47" s="14">
        <v>0.1210913461538462</v>
      </c>
      <c r="I47" s="14">
        <v>0</v>
      </c>
    </row>
    <row r="48" spans="1:9">
      <c r="A48" s="14">
        <v>39</v>
      </c>
      <c r="B48" s="14">
        <v>0.34599999999999997</v>
      </c>
      <c r="C48" s="14">
        <v>0.67033374918754252</v>
      </c>
      <c r="D48" s="14">
        <v>0.34828229665071769</v>
      </c>
      <c r="E48" s="14">
        <v>2.6230844113892818E-2</v>
      </c>
      <c r="F48" s="14">
        <v>8.0000000000000071E-3</v>
      </c>
      <c r="G48" s="14">
        <v>0.39560542788461539</v>
      </c>
      <c r="H48" s="14">
        <v>0.1210913461538462</v>
      </c>
      <c r="I48" s="14">
        <v>0</v>
      </c>
    </row>
    <row r="49" spans="1:9">
      <c r="A49" s="14">
        <v>40</v>
      </c>
      <c r="B49" s="14">
        <v>0.28799999999999998</v>
      </c>
      <c r="C49" s="14">
        <v>0.67033374918754252</v>
      </c>
      <c r="D49" s="14">
        <v>0.34828229665071769</v>
      </c>
      <c r="E49" s="14">
        <v>2.6230844113892818E-2</v>
      </c>
      <c r="F49" s="14">
        <v>5.8000000000000003E-2</v>
      </c>
      <c r="G49" s="14">
        <v>0.39560542788461539</v>
      </c>
      <c r="H49" s="14">
        <v>0.1210913461538462</v>
      </c>
      <c r="I49" s="14">
        <v>0</v>
      </c>
    </row>
    <row r="50" spans="1:9">
      <c r="A50" s="14">
        <v>41</v>
      </c>
      <c r="B50" s="14">
        <v>0.54</v>
      </c>
      <c r="C50" s="14">
        <v>0.67033374918754252</v>
      </c>
      <c r="D50" s="14">
        <v>0.34828229665071769</v>
      </c>
      <c r="E50" s="14">
        <v>2.6230844113892818E-2</v>
      </c>
      <c r="F50" s="14">
        <v>0.25200000000000011</v>
      </c>
      <c r="G50" s="14">
        <v>0.39560542788461539</v>
      </c>
      <c r="H50" s="14">
        <v>0.1210913461538462</v>
      </c>
      <c r="I50" s="14">
        <v>0</v>
      </c>
    </row>
    <row r="51" spans="1:9">
      <c r="A51" s="14">
        <v>42</v>
      </c>
      <c r="B51" s="14">
        <v>0.42199999999999999</v>
      </c>
      <c r="C51" s="14">
        <v>0.67033374918754252</v>
      </c>
      <c r="D51" s="14">
        <v>0.34828229665071769</v>
      </c>
      <c r="E51" s="14">
        <v>2.6230844113892818E-2</v>
      </c>
      <c r="F51" s="14">
        <v>0.11799999999999999</v>
      </c>
      <c r="G51" s="14">
        <v>0.39560542788461539</v>
      </c>
      <c r="H51" s="14">
        <v>0.1210913461538462</v>
      </c>
      <c r="I51" s="14">
        <v>0</v>
      </c>
    </row>
    <row r="52" spans="1:9">
      <c r="A52" s="14">
        <v>43</v>
      </c>
      <c r="B52" s="14">
        <v>0.192</v>
      </c>
      <c r="C52" s="14">
        <v>0.67033374918754252</v>
      </c>
      <c r="D52" s="14">
        <v>0.34828229665071769</v>
      </c>
      <c r="E52" s="14">
        <v>2.6230844113892818E-2</v>
      </c>
      <c r="F52" s="14">
        <v>0.23</v>
      </c>
      <c r="G52" s="14">
        <v>0.39560542788461539</v>
      </c>
      <c r="H52" s="14">
        <v>0.1210913461538462</v>
      </c>
      <c r="I52" s="14">
        <v>0</v>
      </c>
    </row>
    <row r="53" spans="1:9">
      <c r="A53" s="14">
        <v>44</v>
      </c>
      <c r="B53" s="14">
        <v>0.72399999999999998</v>
      </c>
      <c r="C53" s="14">
        <v>0.67033374918754252</v>
      </c>
      <c r="D53" s="14">
        <v>0.34828229665071769</v>
      </c>
      <c r="E53" s="14">
        <v>2.6230844113892818E-2</v>
      </c>
      <c r="F53" s="14">
        <v>0.53200000000000003</v>
      </c>
      <c r="G53" s="14">
        <v>0.39560542788461539</v>
      </c>
      <c r="H53" s="14">
        <v>0.1210913461538462</v>
      </c>
      <c r="I53" s="14">
        <v>0</v>
      </c>
    </row>
    <row r="54" spans="1:9">
      <c r="A54" s="14">
        <v>45</v>
      </c>
      <c r="B54" s="14">
        <v>0.26700000000000002</v>
      </c>
      <c r="C54" s="14">
        <v>0.67033374918754252</v>
      </c>
      <c r="D54" s="14">
        <v>0.34828229665071769</v>
      </c>
      <c r="E54" s="14">
        <v>2.6230844113892818E-2</v>
      </c>
      <c r="F54" s="14">
        <v>0.45700000000000002</v>
      </c>
      <c r="G54" s="14">
        <v>0.39560542788461539</v>
      </c>
      <c r="H54" s="14">
        <v>0.1210913461538462</v>
      </c>
      <c r="I54" s="14">
        <v>0</v>
      </c>
    </row>
    <row r="55" spans="1:9">
      <c r="A55" s="14">
        <v>46</v>
      </c>
      <c r="B55" s="14">
        <v>0.28699999999999998</v>
      </c>
      <c r="C55" s="14">
        <v>0.67033374918754252</v>
      </c>
      <c r="D55" s="14">
        <v>0.34828229665071769</v>
      </c>
      <c r="E55" s="14">
        <v>2.6230844113892818E-2</v>
      </c>
      <c r="F55" s="14">
        <v>1.9999999999999959E-2</v>
      </c>
      <c r="G55" s="14">
        <v>0.39560542788461539</v>
      </c>
      <c r="H55" s="14">
        <v>0.1210913461538462</v>
      </c>
      <c r="I55" s="14">
        <v>0</v>
      </c>
    </row>
    <row r="56" spans="1:9">
      <c r="A56" s="14">
        <v>47</v>
      </c>
      <c r="B56" s="14">
        <v>0.32900000000000001</v>
      </c>
      <c r="C56" s="14">
        <v>0.67033374918754252</v>
      </c>
      <c r="D56" s="14">
        <v>0.34828229665071769</v>
      </c>
      <c r="E56" s="14">
        <v>2.6230844113892818E-2</v>
      </c>
      <c r="F56" s="14">
        <v>4.2000000000000037E-2</v>
      </c>
      <c r="G56" s="14">
        <v>0.39560542788461539</v>
      </c>
      <c r="H56" s="14">
        <v>0.1210913461538462</v>
      </c>
      <c r="I56" s="14">
        <v>0</v>
      </c>
    </row>
    <row r="57" spans="1:9">
      <c r="A57" s="14">
        <v>48</v>
      </c>
      <c r="B57" s="14">
        <v>0.17899999999999999</v>
      </c>
      <c r="C57" s="14">
        <v>0.67033374918754252</v>
      </c>
      <c r="D57" s="14">
        <v>0.34828229665071769</v>
      </c>
      <c r="E57" s="14">
        <v>2.6230844113892818E-2</v>
      </c>
      <c r="F57" s="14">
        <v>0.15</v>
      </c>
      <c r="G57" s="14">
        <v>0.39560542788461539</v>
      </c>
      <c r="H57" s="14">
        <v>0.1210913461538462</v>
      </c>
      <c r="I57" s="14">
        <v>0</v>
      </c>
    </row>
    <row r="58" spans="1:9">
      <c r="A58" s="14">
        <v>49</v>
      </c>
      <c r="B58" s="14">
        <v>0.19700000000000001</v>
      </c>
      <c r="C58" s="14">
        <v>0.67033374918754252</v>
      </c>
      <c r="D58" s="14">
        <v>0.34828229665071769</v>
      </c>
      <c r="E58" s="14">
        <v>2.6230844113892818E-2</v>
      </c>
      <c r="F58" s="14">
        <v>1.8000000000000019E-2</v>
      </c>
      <c r="G58" s="14">
        <v>0.39560542788461539</v>
      </c>
      <c r="H58" s="14">
        <v>0.1210913461538462</v>
      </c>
      <c r="I58" s="14">
        <v>0</v>
      </c>
    </row>
    <row r="59" spans="1:9">
      <c r="A59" s="14">
        <v>50</v>
      </c>
      <c r="B59" s="14">
        <v>0.17899999999999999</v>
      </c>
      <c r="C59" s="14">
        <v>0.67033374918754252</v>
      </c>
      <c r="D59" s="14">
        <v>0.34828229665071769</v>
      </c>
      <c r="E59" s="14">
        <v>2.6230844113892818E-2</v>
      </c>
      <c r="F59" s="14">
        <v>1.8000000000000019E-2</v>
      </c>
      <c r="G59" s="14">
        <v>0.39560542788461539</v>
      </c>
      <c r="H59" s="14">
        <v>0.1210913461538462</v>
      </c>
      <c r="I59" s="14">
        <v>0</v>
      </c>
    </row>
    <row r="60" spans="1:9">
      <c r="A60" s="14">
        <v>51</v>
      </c>
      <c r="B60" s="14">
        <v>0.44</v>
      </c>
      <c r="C60" s="14">
        <v>0.67033374918754252</v>
      </c>
      <c r="D60" s="14">
        <v>0.34828229665071769</v>
      </c>
      <c r="E60" s="14">
        <v>2.6230844113892818E-2</v>
      </c>
      <c r="F60" s="14">
        <v>0.26100000000000001</v>
      </c>
      <c r="G60" s="14">
        <v>0.39560542788461539</v>
      </c>
      <c r="H60" s="14">
        <v>0.1210913461538462</v>
      </c>
      <c r="I60" s="14">
        <v>0</v>
      </c>
    </row>
    <row r="61" spans="1:9">
      <c r="A61" s="14">
        <v>52</v>
      </c>
      <c r="B61" s="14">
        <v>0.28799999999999998</v>
      </c>
      <c r="C61" s="14">
        <v>0.67033374918754252</v>
      </c>
      <c r="D61" s="14">
        <v>0.34828229665071769</v>
      </c>
      <c r="E61" s="14">
        <v>2.6230844113892818E-2</v>
      </c>
      <c r="F61" s="14">
        <v>0.152</v>
      </c>
      <c r="G61" s="14">
        <v>0.39560542788461539</v>
      </c>
      <c r="H61" s="14">
        <v>0.1210913461538462</v>
      </c>
      <c r="I61" s="14">
        <v>0</v>
      </c>
    </row>
    <row r="62" spans="1:9">
      <c r="A62" s="14">
        <v>53</v>
      </c>
      <c r="B62" s="14">
        <v>0.35799999999999998</v>
      </c>
      <c r="C62" s="14">
        <v>0.67033374918754252</v>
      </c>
      <c r="D62" s="14">
        <v>0.34828229665071769</v>
      </c>
      <c r="E62" s="14">
        <v>2.6230844113892818E-2</v>
      </c>
      <c r="F62" s="14">
        <v>7.0000000000000007E-2</v>
      </c>
      <c r="G62" s="14">
        <v>0.39560542788461539</v>
      </c>
      <c r="H62" s="14">
        <v>0.1210913461538462</v>
      </c>
      <c r="I62" s="14">
        <v>0</v>
      </c>
    </row>
    <row r="63" spans="1:9">
      <c r="A63" s="14">
        <v>54</v>
      </c>
      <c r="B63" s="14">
        <v>0.46300000000000002</v>
      </c>
      <c r="C63" s="14">
        <v>0.67033374918754252</v>
      </c>
      <c r="D63" s="14">
        <v>0.34828229665071769</v>
      </c>
      <c r="E63" s="14">
        <v>2.6230844113892818E-2</v>
      </c>
      <c r="F63" s="14">
        <v>0.105</v>
      </c>
      <c r="G63" s="14">
        <v>0.39560542788461539</v>
      </c>
      <c r="H63" s="14">
        <v>0.1210913461538462</v>
      </c>
      <c r="I63" s="14">
        <v>0</v>
      </c>
    </row>
    <row r="64" spans="1:9">
      <c r="A64" s="14">
        <v>55</v>
      </c>
      <c r="B64" s="14">
        <v>0.35899999999999999</v>
      </c>
      <c r="C64" s="14">
        <v>0.67033374918754252</v>
      </c>
      <c r="D64" s="14">
        <v>0.34828229665071769</v>
      </c>
      <c r="E64" s="14">
        <v>2.6230844113892818E-2</v>
      </c>
      <c r="F64" s="14">
        <v>0.104</v>
      </c>
      <c r="G64" s="14">
        <v>0.39560542788461539</v>
      </c>
      <c r="H64" s="14">
        <v>0.1210913461538462</v>
      </c>
      <c r="I64" s="14">
        <v>0</v>
      </c>
    </row>
    <row r="65" spans="1:9">
      <c r="A65" s="14">
        <v>56</v>
      </c>
      <c r="B65" s="14">
        <v>0.14499999999999999</v>
      </c>
      <c r="C65" s="14">
        <v>0.67033374918754252</v>
      </c>
      <c r="D65" s="14">
        <v>0.34828229665071769</v>
      </c>
      <c r="E65" s="14">
        <v>2.6230844113892818E-2</v>
      </c>
      <c r="F65" s="14">
        <v>0.214</v>
      </c>
      <c r="G65" s="14">
        <v>0.39560542788461539</v>
      </c>
      <c r="H65" s="14">
        <v>0.1210913461538462</v>
      </c>
      <c r="I65" s="14">
        <v>0</v>
      </c>
    </row>
    <row r="66" spans="1:9">
      <c r="A66" s="14">
        <v>57</v>
      </c>
      <c r="B66" s="14">
        <v>0.25</v>
      </c>
      <c r="C66" s="14">
        <v>0.67033374918754252</v>
      </c>
      <c r="D66" s="14">
        <v>0.34828229665071769</v>
      </c>
      <c r="E66" s="14">
        <v>2.6230844113892818E-2</v>
      </c>
      <c r="F66" s="14">
        <v>0.105</v>
      </c>
      <c r="G66" s="14">
        <v>0.39560542788461539</v>
      </c>
      <c r="H66" s="14">
        <v>0.1210913461538462</v>
      </c>
      <c r="I66" s="14">
        <v>0</v>
      </c>
    </row>
    <row r="67" spans="1:9">
      <c r="A67" s="14">
        <v>58</v>
      </c>
      <c r="B67" s="14">
        <v>0.37</v>
      </c>
      <c r="C67" s="14">
        <v>0.67033374918754252</v>
      </c>
      <c r="D67" s="14">
        <v>0.34828229665071769</v>
      </c>
      <c r="E67" s="14">
        <v>2.6230844113892818E-2</v>
      </c>
      <c r="F67" s="14">
        <v>0.12</v>
      </c>
      <c r="G67" s="14">
        <v>0.39560542788461539</v>
      </c>
      <c r="H67" s="14">
        <v>0.1210913461538462</v>
      </c>
      <c r="I67" s="14">
        <v>0</v>
      </c>
    </row>
    <row r="68" spans="1:9">
      <c r="A68" s="14">
        <v>59</v>
      </c>
      <c r="B68" s="14">
        <v>0.40200000000000002</v>
      </c>
      <c r="C68" s="14">
        <v>0.67033374918754252</v>
      </c>
      <c r="D68" s="14">
        <v>0.34828229665071769</v>
      </c>
      <c r="E68" s="14">
        <v>2.6230844113892818E-2</v>
      </c>
      <c r="F68" s="14">
        <v>3.2000000000000028E-2</v>
      </c>
      <c r="G68" s="14">
        <v>0.39560542788461539</v>
      </c>
      <c r="H68" s="14">
        <v>0.1210913461538462</v>
      </c>
      <c r="I68" s="14">
        <v>0</v>
      </c>
    </row>
    <row r="69" spans="1:9">
      <c r="A69" s="14">
        <v>60</v>
      </c>
      <c r="B69" s="14">
        <v>0.50800000000000001</v>
      </c>
      <c r="C69" s="14">
        <v>0.67033374918754252</v>
      </c>
      <c r="D69" s="14">
        <v>0.34828229665071769</v>
      </c>
      <c r="E69" s="14">
        <v>2.6230844113892818E-2</v>
      </c>
      <c r="F69" s="14">
        <v>0.106</v>
      </c>
      <c r="G69" s="14">
        <v>0.39560542788461539</v>
      </c>
      <c r="H69" s="14">
        <v>0.1210913461538462</v>
      </c>
      <c r="I69" s="14">
        <v>0</v>
      </c>
    </row>
    <row r="70" spans="1:9">
      <c r="A70" s="14">
        <v>61</v>
      </c>
      <c r="B70" s="14">
        <v>0.25800000000000001</v>
      </c>
      <c r="C70" s="14">
        <v>0.67033374918754252</v>
      </c>
      <c r="D70" s="14">
        <v>0.34828229665071769</v>
      </c>
      <c r="E70" s="14">
        <v>2.6230844113892818E-2</v>
      </c>
      <c r="F70" s="14">
        <v>0.25</v>
      </c>
      <c r="G70" s="14">
        <v>0.39560542788461539</v>
      </c>
      <c r="H70" s="14">
        <v>0.1210913461538462</v>
      </c>
      <c r="I70" s="14">
        <v>0</v>
      </c>
    </row>
    <row r="71" spans="1:9">
      <c r="A71" s="14">
        <v>62</v>
      </c>
      <c r="B71" s="14">
        <v>0.53400000000000003</v>
      </c>
      <c r="C71" s="14">
        <v>0.67033374918754252</v>
      </c>
      <c r="D71" s="14">
        <v>0.34828229665071769</v>
      </c>
      <c r="E71" s="14">
        <v>2.6230844113892818E-2</v>
      </c>
      <c r="F71" s="14">
        <v>0.27600000000000002</v>
      </c>
      <c r="G71" s="14">
        <v>0.39560542788461539</v>
      </c>
      <c r="H71" s="14">
        <v>0.1210913461538462</v>
      </c>
      <c r="I71" s="14">
        <v>0</v>
      </c>
    </row>
    <row r="72" spans="1:9">
      <c r="A72" s="14">
        <v>63</v>
      </c>
      <c r="B72" s="14">
        <v>0.52</v>
      </c>
      <c r="C72" s="14">
        <v>0.67033374918754252</v>
      </c>
      <c r="D72" s="14">
        <v>0.34828229665071769</v>
      </c>
      <c r="E72" s="14">
        <v>2.6230844113892818E-2</v>
      </c>
      <c r="F72" s="14">
        <v>1.4000000000000011E-2</v>
      </c>
      <c r="G72" s="14">
        <v>0.39560542788461539</v>
      </c>
      <c r="H72" s="14">
        <v>0.1210913461538462</v>
      </c>
      <c r="I72" s="14">
        <v>0</v>
      </c>
    </row>
    <row r="73" spans="1:9">
      <c r="A73" s="14">
        <v>64</v>
      </c>
      <c r="B73" s="14">
        <v>0.17</v>
      </c>
      <c r="C73" s="14">
        <v>0.67033374918754252</v>
      </c>
      <c r="D73" s="14">
        <v>0.34828229665071769</v>
      </c>
      <c r="E73" s="14">
        <v>2.6230844113892818E-2</v>
      </c>
      <c r="F73" s="14">
        <v>0.35</v>
      </c>
      <c r="G73" s="14">
        <v>0.39560542788461539</v>
      </c>
      <c r="H73" s="14">
        <v>0.1210913461538462</v>
      </c>
      <c r="I73" s="14">
        <v>0</v>
      </c>
    </row>
    <row r="74" spans="1:9">
      <c r="A74" s="14">
        <v>65</v>
      </c>
      <c r="B74" s="14">
        <v>0.26500000000000001</v>
      </c>
      <c r="C74" s="14">
        <v>0.67033374918754252</v>
      </c>
      <c r="D74" s="14">
        <v>0.34828229665071769</v>
      </c>
      <c r="E74" s="14">
        <v>2.6230844113892818E-2</v>
      </c>
      <c r="F74" s="14">
        <v>9.5000000000000001E-2</v>
      </c>
      <c r="G74" s="14">
        <v>0.39560542788461539</v>
      </c>
      <c r="H74" s="14">
        <v>0.1210913461538462</v>
      </c>
      <c r="I74" s="14">
        <v>0</v>
      </c>
    </row>
    <row r="75" spans="1:9">
      <c r="A75" s="14">
        <v>66</v>
      </c>
      <c r="B75" s="14">
        <v>0.25600000000000001</v>
      </c>
      <c r="C75" s="14">
        <v>0.67033374918754252</v>
      </c>
      <c r="D75" s="14">
        <v>0.34828229665071769</v>
      </c>
      <c r="E75" s="14">
        <v>2.6230844113892818E-2</v>
      </c>
      <c r="F75" s="14">
        <v>9.000000000000008E-3</v>
      </c>
      <c r="G75" s="14">
        <v>0.39560542788461539</v>
      </c>
      <c r="H75" s="14">
        <v>0.1210913461538462</v>
      </c>
      <c r="I75" s="14">
        <v>0</v>
      </c>
    </row>
    <row r="76" spans="1:9">
      <c r="A76" s="14">
        <v>67</v>
      </c>
      <c r="B76" s="14">
        <v>0.442</v>
      </c>
      <c r="C76" s="14">
        <v>0.67033374918754252</v>
      </c>
      <c r="D76" s="14">
        <v>0.34828229665071769</v>
      </c>
      <c r="E76" s="14">
        <v>2.6230844113892818E-2</v>
      </c>
      <c r="F76" s="14">
        <v>0.186</v>
      </c>
      <c r="G76" s="14">
        <v>0.39560542788461539</v>
      </c>
      <c r="H76" s="14">
        <v>0.1210913461538462</v>
      </c>
      <c r="I76" s="14">
        <v>0</v>
      </c>
    </row>
    <row r="77" spans="1:9">
      <c r="A77" s="14">
        <v>68</v>
      </c>
      <c r="B77" s="14">
        <v>0.26500000000000001</v>
      </c>
      <c r="C77" s="14">
        <v>0.67033374918754252</v>
      </c>
      <c r="D77" s="14">
        <v>0.34828229665071769</v>
      </c>
      <c r="E77" s="14">
        <v>2.6230844113892818E-2</v>
      </c>
      <c r="F77" s="14">
        <v>0.17699999999999999</v>
      </c>
      <c r="G77" s="14">
        <v>0.39560542788461539</v>
      </c>
      <c r="H77" s="14">
        <v>0.1210913461538462</v>
      </c>
      <c r="I77" s="14">
        <v>0</v>
      </c>
    </row>
    <row r="78" spans="1:9">
      <c r="A78" s="14">
        <v>69</v>
      </c>
      <c r="B78" s="14">
        <v>0.26300000000000001</v>
      </c>
      <c r="C78" s="14">
        <v>0.67033374918754252</v>
      </c>
      <c r="D78" s="14">
        <v>0.34828229665071769</v>
      </c>
      <c r="E78" s="14">
        <v>2.6230844113892818E-2</v>
      </c>
      <c r="F78" s="14">
        <v>2.0000000000000022E-3</v>
      </c>
      <c r="G78" s="14">
        <v>0.39560542788461539</v>
      </c>
      <c r="H78" s="14">
        <v>0.1210913461538462</v>
      </c>
      <c r="I78" s="14">
        <v>0</v>
      </c>
    </row>
    <row r="79" spans="1:9">
      <c r="A79" s="14">
        <v>70</v>
      </c>
      <c r="B79" s="14">
        <v>0.44700000000000001</v>
      </c>
      <c r="C79" s="14">
        <v>0.67033374918754252</v>
      </c>
      <c r="D79" s="14">
        <v>0.34828229665071769</v>
      </c>
      <c r="E79" s="14">
        <v>2.6230844113892818E-2</v>
      </c>
      <c r="F79" s="14">
        <v>0.184</v>
      </c>
      <c r="G79" s="14">
        <v>0.39560542788461539</v>
      </c>
      <c r="H79" s="14">
        <v>0.1210913461538462</v>
      </c>
      <c r="I79" s="14">
        <v>0</v>
      </c>
    </row>
    <row r="80" spans="1:9">
      <c r="A80" s="14">
        <v>71</v>
      </c>
      <c r="B80" s="14">
        <v>0.35</v>
      </c>
      <c r="C80" s="14">
        <v>0.67033374918754252</v>
      </c>
      <c r="D80" s="14">
        <v>0.34828229665071769</v>
      </c>
      <c r="E80" s="14">
        <v>2.6230844113892818E-2</v>
      </c>
      <c r="F80" s="14">
        <v>9.7000000000000031E-2</v>
      </c>
      <c r="G80" s="14">
        <v>0.39560542788461539</v>
      </c>
      <c r="H80" s="14">
        <v>0.1210913461538462</v>
      </c>
      <c r="I80" s="14">
        <v>0</v>
      </c>
    </row>
    <row r="81" spans="1:9">
      <c r="A81" s="14">
        <v>72</v>
      </c>
      <c r="B81" s="14">
        <v>0.112</v>
      </c>
      <c r="C81" s="14">
        <v>0.67033374918754252</v>
      </c>
      <c r="D81" s="14">
        <v>0.34828229665071769</v>
      </c>
      <c r="E81" s="14">
        <v>2.6230844113892818E-2</v>
      </c>
      <c r="F81" s="14">
        <v>0.23799999999999999</v>
      </c>
      <c r="G81" s="14">
        <v>0.39560542788461539</v>
      </c>
      <c r="H81" s="14">
        <v>0.1210913461538462</v>
      </c>
      <c r="I81" s="14">
        <v>0</v>
      </c>
    </row>
    <row r="82" spans="1:9">
      <c r="A82" s="14">
        <v>73</v>
      </c>
      <c r="B82" s="14">
        <v>0.16300000000000001</v>
      </c>
      <c r="C82" s="14">
        <v>0.67033374918754252</v>
      </c>
      <c r="D82" s="14">
        <v>0.34828229665071769</v>
      </c>
      <c r="E82" s="14">
        <v>2.6230844113892818E-2</v>
      </c>
      <c r="F82" s="14">
        <v>5.0999999999999997E-2</v>
      </c>
      <c r="G82" s="14">
        <v>0.39560542788461539</v>
      </c>
      <c r="H82" s="14">
        <v>0.1210913461538462</v>
      </c>
      <c r="I82" s="14">
        <v>0</v>
      </c>
    </row>
    <row r="83" spans="1:9">
      <c r="A83" s="14">
        <v>74</v>
      </c>
      <c r="B83" s="14">
        <v>0.14499999999999999</v>
      </c>
      <c r="C83" s="14">
        <v>0.67033374918754252</v>
      </c>
      <c r="D83" s="14">
        <v>0.34828229665071769</v>
      </c>
      <c r="E83" s="14">
        <v>2.6230844113892818E-2</v>
      </c>
      <c r="F83" s="14">
        <v>1.8000000000000019E-2</v>
      </c>
      <c r="G83" s="14">
        <v>0.39560542788461539</v>
      </c>
      <c r="H83" s="14">
        <v>0.1210913461538462</v>
      </c>
      <c r="I83" s="14">
        <v>0</v>
      </c>
    </row>
    <row r="84" spans="1:9">
      <c r="A84" s="14">
        <v>75</v>
      </c>
      <c r="B84" s="14">
        <v>0.47299999999999998</v>
      </c>
      <c r="C84" s="14">
        <v>0.67033374918754252</v>
      </c>
      <c r="D84" s="14">
        <v>0.34828229665071769</v>
      </c>
      <c r="E84" s="14">
        <v>2.6230844113892818E-2</v>
      </c>
      <c r="F84" s="14">
        <v>0.32800000000000001</v>
      </c>
      <c r="G84" s="14">
        <v>0.39560542788461539</v>
      </c>
      <c r="H84" s="14">
        <v>0.1210913461538462</v>
      </c>
      <c r="I84" s="14">
        <v>0</v>
      </c>
    </row>
    <row r="85" spans="1:9">
      <c r="A85" s="14">
        <v>76</v>
      </c>
      <c r="B85" s="14">
        <v>0.29899999999999999</v>
      </c>
      <c r="C85" s="14">
        <v>0.67033374918754252</v>
      </c>
      <c r="D85" s="14">
        <v>0.34828229665071769</v>
      </c>
      <c r="E85" s="14">
        <v>2.6230844113892818E-2</v>
      </c>
      <c r="F85" s="14">
        <v>0.17399999999999999</v>
      </c>
      <c r="G85" s="14">
        <v>0.39560542788461539</v>
      </c>
      <c r="H85" s="14">
        <v>0.1210913461538462</v>
      </c>
      <c r="I85" s="14">
        <v>0</v>
      </c>
    </row>
    <row r="86" spans="1:9">
      <c r="A86" s="14">
        <v>77</v>
      </c>
      <c r="B86" s="14">
        <v>0.45</v>
      </c>
      <c r="C86" s="14">
        <v>0.67033374918754252</v>
      </c>
      <c r="D86" s="14">
        <v>0.34828229665071769</v>
      </c>
      <c r="E86" s="14">
        <v>2.6230844113892818E-2</v>
      </c>
      <c r="F86" s="14">
        <v>0.151</v>
      </c>
      <c r="G86" s="14">
        <v>0.39560542788461539</v>
      </c>
      <c r="H86" s="14">
        <v>0.1210913461538462</v>
      </c>
      <c r="I86" s="14">
        <v>0</v>
      </c>
    </row>
    <row r="87" spans="1:9">
      <c r="A87" s="14">
        <v>78</v>
      </c>
      <c r="B87" s="14">
        <v>0.51300000000000001</v>
      </c>
      <c r="C87" s="14">
        <v>0.67033374918754252</v>
      </c>
      <c r="D87" s="14">
        <v>0.34828229665071769</v>
      </c>
      <c r="E87" s="14">
        <v>2.6230844113892818E-2</v>
      </c>
      <c r="F87" s="14">
        <v>6.3E-2</v>
      </c>
      <c r="G87" s="14">
        <v>0.39560542788461539</v>
      </c>
      <c r="H87" s="14">
        <v>0.1210913461538462</v>
      </c>
      <c r="I87" s="14">
        <v>0</v>
      </c>
    </row>
    <row r="88" spans="1:9">
      <c r="A88" s="14">
        <v>79</v>
      </c>
      <c r="B88" s="14">
        <v>0.29599999999999999</v>
      </c>
      <c r="C88" s="14">
        <v>0.67033374918754252</v>
      </c>
      <c r="D88" s="14">
        <v>0.34828229665071769</v>
      </c>
      <c r="E88" s="14">
        <v>2.6230844113892818E-2</v>
      </c>
      <c r="F88" s="14">
        <v>0.217</v>
      </c>
      <c r="G88" s="14">
        <v>0.39560542788461539</v>
      </c>
      <c r="H88" s="14">
        <v>0.1210913461538462</v>
      </c>
      <c r="I88" s="14">
        <v>0</v>
      </c>
    </row>
    <row r="89" spans="1:9">
      <c r="A89" s="14">
        <v>80</v>
      </c>
      <c r="B89" s="14">
        <v>0.33100000000000002</v>
      </c>
      <c r="C89" s="14">
        <v>0.67033374918754252</v>
      </c>
      <c r="D89" s="14">
        <v>0.34828229665071769</v>
      </c>
      <c r="E89" s="14">
        <v>2.6230844113892818E-2</v>
      </c>
      <c r="F89" s="14">
        <v>3.5000000000000031E-2</v>
      </c>
      <c r="G89" s="14">
        <v>0.39560542788461539</v>
      </c>
      <c r="H89" s="14">
        <v>0.1210913461538462</v>
      </c>
      <c r="I89" s="14">
        <v>0</v>
      </c>
    </row>
    <row r="90" spans="1:9">
      <c r="A90" s="14">
        <v>81</v>
      </c>
      <c r="B90" s="14">
        <v>0.47899999999999998</v>
      </c>
      <c r="C90" s="14">
        <v>0.67033374918754252</v>
      </c>
      <c r="D90" s="14">
        <v>0.34828229665071769</v>
      </c>
      <c r="E90" s="14">
        <v>2.6230844113892818E-2</v>
      </c>
      <c r="F90" s="14">
        <v>0.14799999999999999</v>
      </c>
      <c r="G90" s="14">
        <v>0.39560542788461539</v>
      </c>
      <c r="H90" s="14">
        <v>0.1210913461538462</v>
      </c>
      <c r="I90" s="14">
        <v>0</v>
      </c>
    </row>
    <row r="91" spans="1:9">
      <c r="A91" s="14">
        <v>82</v>
      </c>
      <c r="B91" s="14">
        <v>0.54600000000000004</v>
      </c>
      <c r="C91" s="14">
        <v>0.67033374918754252</v>
      </c>
      <c r="D91" s="14">
        <v>0.34828229665071769</v>
      </c>
      <c r="E91" s="14">
        <v>2.6230844113892818E-2</v>
      </c>
      <c r="F91" s="14">
        <v>6.700000000000006E-2</v>
      </c>
      <c r="G91" s="14">
        <v>0.39560542788461539</v>
      </c>
      <c r="H91" s="14">
        <v>0.1210913461538462</v>
      </c>
      <c r="I91" s="14">
        <v>0</v>
      </c>
    </row>
    <row r="92" spans="1:9">
      <c r="A92" s="14">
        <v>83</v>
      </c>
      <c r="B92" s="14">
        <v>0.32700000000000001</v>
      </c>
      <c r="C92" s="14">
        <v>0.67033374918754252</v>
      </c>
      <c r="D92" s="14">
        <v>0.34828229665071769</v>
      </c>
      <c r="E92" s="14">
        <v>2.6230844113892818E-2</v>
      </c>
      <c r="F92" s="14">
        <v>0.219</v>
      </c>
      <c r="G92" s="14">
        <v>0.39560542788461539</v>
      </c>
      <c r="H92" s="14">
        <v>0.1210913461538462</v>
      </c>
      <c r="I92" s="14">
        <v>0</v>
      </c>
    </row>
    <row r="93" spans="1:9">
      <c r="A93" s="14">
        <v>84</v>
      </c>
      <c r="B93" s="14">
        <v>0.20100000000000001</v>
      </c>
      <c r="C93" s="14">
        <v>0.67033374918754252</v>
      </c>
      <c r="D93" s="14">
        <v>0.34828229665071769</v>
      </c>
      <c r="E93" s="14">
        <v>2.6230844113892818E-2</v>
      </c>
      <c r="F93" s="14">
        <v>0.126</v>
      </c>
      <c r="G93" s="14">
        <v>0.39560542788461539</v>
      </c>
      <c r="H93" s="14">
        <v>0.1210913461538462</v>
      </c>
      <c r="I93" s="14">
        <v>0</v>
      </c>
    </row>
    <row r="94" spans="1:9">
      <c r="A94" s="14">
        <v>85</v>
      </c>
      <c r="B94" s="14">
        <v>0.24</v>
      </c>
      <c r="C94" s="14">
        <v>0.67033374918754252</v>
      </c>
      <c r="D94" s="14">
        <v>0.34828229665071769</v>
      </c>
      <c r="E94" s="14">
        <v>2.6230844113892818E-2</v>
      </c>
      <c r="F94" s="14">
        <v>3.8999999999999979E-2</v>
      </c>
      <c r="G94" s="14">
        <v>0.39560542788461539</v>
      </c>
      <c r="H94" s="14">
        <v>0.1210913461538462</v>
      </c>
      <c r="I94" s="14">
        <v>0</v>
      </c>
    </row>
    <row r="95" spans="1:9">
      <c r="A95" s="14">
        <v>86</v>
      </c>
      <c r="B95" s="14">
        <v>0.23499999999999999</v>
      </c>
      <c r="C95" s="14">
        <v>0.67033374918754252</v>
      </c>
      <c r="D95" s="14">
        <v>0.34828229665071769</v>
      </c>
      <c r="E95" s="14">
        <v>2.6230844113892818E-2</v>
      </c>
      <c r="F95" s="14">
        <v>5.0000000000000036E-3</v>
      </c>
      <c r="G95" s="14">
        <v>0.39560542788461539</v>
      </c>
      <c r="H95" s="14">
        <v>0.1210913461538462</v>
      </c>
      <c r="I95" s="14">
        <v>0</v>
      </c>
    </row>
    <row r="96" spans="1:9">
      <c r="A96" s="14">
        <v>87</v>
      </c>
      <c r="B96" s="14">
        <v>0.23200000000000001</v>
      </c>
      <c r="C96" s="14">
        <v>0.67033374918754252</v>
      </c>
      <c r="D96" s="14">
        <v>0.34828229665071769</v>
      </c>
      <c r="E96" s="14">
        <v>2.6230844113892818E-2</v>
      </c>
      <c r="F96" s="14">
        <v>2.9999999999999749E-3</v>
      </c>
      <c r="G96" s="14">
        <v>0.39560542788461539</v>
      </c>
      <c r="H96" s="14">
        <v>0.1210913461538462</v>
      </c>
      <c r="I96" s="14">
        <v>0</v>
      </c>
    </row>
    <row r="97" spans="1:9">
      <c r="A97" s="14">
        <v>88</v>
      </c>
      <c r="B97" s="14">
        <v>0.54400000000000004</v>
      </c>
      <c r="C97" s="14">
        <v>0.67033374918754252</v>
      </c>
      <c r="D97" s="14">
        <v>0.34828229665071769</v>
      </c>
      <c r="E97" s="14">
        <v>2.6230844113892818E-2</v>
      </c>
      <c r="F97" s="14">
        <v>0.31200000000000011</v>
      </c>
      <c r="G97" s="14">
        <v>0.39560542788461539</v>
      </c>
      <c r="H97" s="14">
        <v>0.1210913461538462</v>
      </c>
      <c r="I97" s="14">
        <v>0</v>
      </c>
    </row>
    <row r="98" spans="1:9">
      <c r="A98" s="14">
        <v>89</v>
      </c>
      <c r="B98" s="14">
        <v>0.52</v>
      </c>
      <c r="C98" s="14">
        <v>0.67033374918754252</v>
      </c>
      <c r="D98" s="14">
        <v>0.34828229665071769</v>
      </c>
      <c r="E98" s="14">
        <v>2.6230844113892818E-2</v>
      </c>
      <c r="F98" s="14">
        <v>2.4000000000000021E-2</v>
      </c>
      <c r="G98" s="14">
        <v>0.39560542788461539</v>
      </c>
      <c r="H98" s="14">
        <v>0.1210913461538462</v>
      </c>
      <c r="I98" s="14">
        <v>0</v>
      </c>
    </row>
    <row r="99" spans="1:9">
      <c r="A99" s="14">
        <v>90</v>
      </c>
      <c r="B99" s="14">
        <v>0.432</v>
      </c>
      <c r="C99" s="14">
        <v>0.67033374918754252</v>
      </c>
      <c r="D99" s="14">
        <v>0.34828229665071769</v>
      </c>
      <c r="E99" s="14">
        <v>2.6230844113892818E-2</v>
      </c>
      <c r="F99" s="14">
        <v>8.8000000000000023E-2</v>
      </c>
      <c r="G99" s="14">
        <v>0.39560542788461539</v>
      </c>
      <c r="H99" s="14">
        <v>0.1210913461538462</v>
      </c>
      <c r="I99" s="14">
        <v>0</v>
      </c>
    </row>
    <row r="100" spans="1:9">
      <c r="A100" s="14">
        <v>91</v>
      </c>
      <c r="B100" s="14">
        <v>0.29799999999999999</v>
      </c>
      <c r="C100" s="14">
        <v>0.67033374918754252</v>
      </c>
      <c r="D100" s="14">
        <v>0.34828229665071769</v>
      </c>
      <c r="E100" s="14">
        <v>2.6230844113892818E-2</v>
      </c>
      <c r="F100" s="14">
        <v>0.13400000000000001</v>
      </c>
      <c r="G100" s="14">
        <v>0.39560542788461539</v>
      </c>
      <c r="H100" s="14">
        <v>0.1210913461538462</v>
      </c>
      <c r="I100" s="14">
        <v>0</v>
      </c>
    </row>
    <row r="101" spans="1:9">
      <c r="A101" s="14">
        <v>92</v>
      </c>
      <c r="B101" s="14">
        <v>0.55100000000000005</v>
      </c>
      <c r="C101" s="14">
        <v>0.67033374918754252</v>
      </c>
      <c r="D101" s="14">
        <v>0.34828229665071769</v>
      </c>
      <c r="E101" s="14">
        <v>2.6230844113892818E-2</v>
      </c>
      <c r="F101" s="14">
        <v>0.25300000000000011</v>
      </c>
      <c r="G101" s="14">
        <v>0.39560542788461539</v>
      </c>
      <c r="H101" s="14">
        <v>0.1210913461538462</v>
      </c>
      <c r="I101" s="14">
        <v>0</v>
      </c>
    </row>
    <row r="102" spans="1:9">
      <c r="A102" s="14">
        <v>93</v>
      </c>
      <c r="B102" s="14">
        <v>0.42499999999999999</v>
      </c>
      <c r="C102" s="14">
        <v>0.67033374918754252</v>
      </c>
      <c r="D102" s="14">
        <v>0.34828229665071769</v>
      </c>
      <c r="E102" s="14">
        <v>2.6230844113892818E-2</v>
      </c>
      <c r="F102" s="14">
        <v>0.12600000000000011</v>
      </c>
      <c r="G102" s="14">
        <v>0.39560542788461539</v>
      </c>
      <c r="H102" s="14">
        <v>0.1210913461538462</v>
      </c>
      <c r="I102" s="14">
        <v>0</v>
      </c>
    </row>
    <row r="103" spans="1:9">
      <c r="A103" s="14">
        <v>94</v>
      </c>
      <c r="B103" s="14">
        <v>0.40300000000000002</v>
      </c>
      <c r="C103" s="14">
        <v>0.67033374918754252</v>
      </c>
      <c r="D103" s="14">
        <v>0.34828229665071769</v>
      </c>
      <c r="E103" s="14">
        <v>2.6230844113892818E-2</v>
      </c>
      <c r="F103" s="14">
        <v>2.1999999999999961E-2</v>
      </c>
      <c r="G103" s="14">
        <v>0.39560542788461539</v>
      </c>
      <c r="H103" s="14">
        <v>0.1210913461538462</v>
      </c>
      <c r="I103" s="14">
        <v>0</v>
      </c>
    </row>
    <row r="104" spans="1:9">
      <c r="A104" s="14">
        <v>95</v>
      </c>
      <c r="B104" s="14">
        <v>0.40899999999999997</v>
      </c>
      <c r="C104" s="14">
        <v>0.67033374918754252</v>
      </c>
      <c r="D104" s="14">
        <v>0.34828229665071769</v>
      </c>
      <c r="E104" s="14">
        <v>2.6230844113892818E-2</v>
      </c>
      <c r="F104" s="14">
        <v>5.9999999999999498E-3</v>
      </c>
      <c r="G104" s="14">
        <v>0.39560542788461539</v>
      </c>
      <c r="H104" s="14">
        <v>0.1210913461538462</v>
      </c>
      <c r="I104" s="14">
        <v>0</v>
      </c>
    </row>
    <row r="105" spans="1:9">
      <c r="A105" s="14">
        <v>96</v>
      </c>
      <c r="B105" s="14">
        <v>0.218</v>
      </c>
      <c r="C105" s="14">
        <v>0.67033374918754252</v>
      </c>
      <c r="D105" s="14">
        <v>0.34828229665071769</v>
      </c>
      <c r="E105" s="14">
        <v>2.6230844113892818E-2</v>
      </c>
      <c r="F105" s="14">
        <v>0.191</v>
      </c>
      <c r="G105" s="14">
        <v>0.39560542788461539</v>
      </c>
      <c r="H105" s="14">
        <v>0.1210913461538462</v>
      </c>
      <c r="I105" s="14">
        <v>0</v>
      </c>
    </row>
    <row r="106" spans="1:9">
      <c r="A106" s="14">
        <v>97</v>
      </c>
      <c r="B106" s="14">
        <v>0.48099999999999998</v>
      </c>
      <c r="C106" s="14">
        <v>0.67033374918754252</v>
      </c>
      <c r="D106" s="14">
        <v>0.34828229665071769</v>
      </c>
      <c r="E106" s="14">
        <v>2.6230844113892818E-2</v>
      </c>
      <c r="F106" s="14">
        <v>0.26300000000000001</v>
      </c>
      <c r="G106" s="14">
        <v>0.39560542788461539</v>
      </c>
      <c r="H106" s="14">
        <v>0.1210913461538462</v>
      </c>
      <c r="I106" s="14">
        <v>0</v>
      </c>
    </row>
    <row r="107" spans="1:9">
      <c r="A107" s="14">
        <v>98</v>
      </c>
      <c r="B107" s="14">
        <v>0.161</v>
      </c>
      <c r="C107" s="14">
        <v>0.67033374918754252</v>
      </c>
      <c r="D107" s="14">
        <v>0.34828229665071769</v>
      </c>
      <c r="E107" s="14">
        <v>2.6230844113892818E-2</v>
      </c>
      <c r="F107" s="14">
        <v>0.32</v>
      </c>
      <c r="G107" s="14">
        <v>0.39560542788461539</v>
      </c>
      <c r="H107" s="14">
        <v>0.1210913461538462</v>
      </c>
      <c r="I107" s="14">
        <v>0</v>
      </c>
    </row>
    <row r="108" spans="1:9">
      <c r="A108" s="14">
        <v>99</v>
      </c>
      <c r="B108" s="14">
        <v>0.311</v>
      </c>
      <c r="C108" s="14">
        <v>0.67033374918754252</v>
      </c>
      <c r="D108" s="14">
        <v>0.34828229665071769</v>
      </c>
      <c r="E108" s="14">
        <v>2.6230844113892818E-2</v>
      </c>
      <c r="F108" s="14">
        <v>0.15</v>
      </c>
      <c r="G108" s="14">
        <v>0.39560542788461539</v>
      </c>
      <c r="H108" s="14">
        <v>0.1210913461538462</v>
      </c>
      <c r="I108" s="14">
        <v>0</v>
      </c>
    </row>
    <row r="109" spans="1:9">
      <c r="A109" s="14">
        <v>100</v>
      </c>
      <c r="B109" s="14">
        <v>0.26300000000000001</v>
      </c>
      <c r="C109" s="14">
        <v>0.67033374918754252</v>
      </c>
      <c r="D109" s="14">
        <v>0.34828229665071769</v>
      </c>
      <c r="E109" s="14">
        <v>2.6230844113892818E-2</v>
      </c>
      <c r="F109" s="14">
        <v>4.7999999999999987E-2</v>
      </c>
      <c r="G109" s="14">
        <v>0.39560542788461539</v>
      </c>
      <c r="H109" s="14">
        <v>0.1210913461538462</v>
      </c>
      <c r="I109" s="14">
        <v>0</v>
      </c>
    </row>
    <row r="110" spans="1:9">
      <c r="A110" s="14">
        <v>101</v>
      </c>
      <c r="B110" s="14">
        <v>0.105</v>
      </c>
      <c r="C110" s="14">
        <v>0.67033374918754252</v>
      </c>
      <c r="D110" s="14">
        <v>0.34828229665071769</v>
      </c>
      <c r="E110" s="14">
        <v>2.6230844113892818E-2</v>
      </c>
      <c r="F110" s="14">
        <v>0.158</v>
      </c>
      <c r="G110" s="14">
        <v>0.39560542788461539</v>
      </c>
      <c r="H110" s="14">
        <v>0.1210913461538462</v>
      </c>
      <c r="I110" s="14">
        <v>0</v>
      </c>
    </row>
    <row r="111" spans="1:9">
      <c r="A111" s="14">
        <v>102</v>
      </c>
      <c r="B111" s="14">
        <v>0.13600000000000001</v>
      </c>
      <c r="C111" s="14">
        <v>0.67033374918754252</v>
      </c>
      <c r="D111" s="14">
        <v>0.34828229665071769</v>
      </c>
      <c r="E111" s="14">
        <v>2.6230844113892818E-2</v>
      </c>
      <c r="F111" s="14">
        <v>3.100000000000001E-2</v>
      </c>
      <c r="G111" s="14">
        <v>0.39560542788461539</v>
      </c>
      <c r="H111" s="14">
        <v>0.1210913461538462</v>
      </c>
      <c r="I111" s="14">
        <v>0</v>
      </c>
    </row>
    <row r="112" spans="1:9">
      <c r="A112" s="14">
        <v>103</v>
      </c>
      <c r="B112" s="14">
        <v>0.186</v>
      </c>
      <c r="C112" s="14">
        <v>0.67033374918754252</v>
      </c>
      <c r="D112" s="14">
        <v>0.34828229665071769</v>
      </c>
      <c r="E112" s="14">
        <v>2.6230844113892818E-2</v>
      </c>
      <c r="F112" s="14">
        <v>4.9999999999999989E-2</v>
      </c>
      <c r="G112" s="14">
        <v>0.39560542788461539</v>
      </c>
      <c r="H112" s="14">
        <v>0.1210913461538462</v>
      </c>
      <c r="I112" s="14">
        <v>0</v>
      </c>
    </row>
    <row r="113" spans="1:9">
      <c r="A113" s="14">
        <v>104</v>
      </c>
      <c r="B113" s="14">
        <v>0.29099999999999998</v>
      </c>
      <c r="C113" s="14">
        <v>0.67033374918754252</v>
      </c>
      <c r="D113" s="14">
        <v>0.34828229665071769</v>
      </c>
      <c r="E113" s="14">
        <v>2.6230844113892818E-2</v>
      </c>
      <c r="F113" s="14">
        <v>0.105</v>
      </c>
      <c r="G113" s="14">
        <v>0.39560542788461539</v>
      </c>
      <c r="H113" s="14">
        <v>0.1210913461538462</v>
      </c>
      <c r="I113" s="14">
        <v>0</v>
      </c>
    </row>
    <row r="114" spans="1:9">
      <c r="A114" s="14">
        <v>105</v>
      </c>
      <c r="B114" s="14">
        <v>0.42399999999999999</v>
      </c>
      <c r="C114" s="14">
        <v>0.67033374918754252</v>
      </c>
      <c r="D114" s="14">
        <v>0.34828229665071769</v>
      </c>
      <c r="E114" s="14">
        <v>2.6230844113892818E-2</v>
      </c>
      <c r="F114" s="14">
        <v>0.13300000000000001</v>
      </c>
      <c r="G114" s="14">
        <v>0.39560542788461539</v>
      </c>
      <c r="H114" s="14">
        <v>0.1210913461538462</v>
      </c>
      <c r="I114" s="14">
        <v>0</v>
      </c>
    </row>
    <row r="115" spans="1:9">
      <c r="A115" s="14">
        <v>106</v>
      </c>
      <c r="B115" s="14">
        <v>0.11899999999999999</v>
      </c>
      <c r="C115" s="14">
        <v>0.67033374918754252</v>
      </c>
      <c r="D115" s="14">
        <v>0.34828229665071769</v>
      </c>
      <c r="E115" s="14">
        <v>2.6230844113892818E-2</v>
      </c>
      <c r="F115" s="14">
        <v>0.30499999999999999</v>
      </c>
      <c r="G115" s="14">
        <v>0.39560542788461539</v>
      </c>
      <c r="H115" s="14">
        <v>0.1210913461538462</v>
      </c>
      <c r="I115" s="14">
        <v>0</v>
      </c>
    </row>
    <row r="116" spans="1:9">
      <c r="A116" s="14">
        <v>107</v>
      </c>
      <c r="B116" s="14">
        <v>0.214</v>
      </c>
      <c r="C116" s="14">
        <v>0.67033374918754252</v>
      </c>
      <c r="D116" s="14">
        <v>0.34828229665071769</v>
      </c>
      <c r="E116" s="14">
        <v>2.6230844113892818E-2</v>
      </c>
      <c r="F116" s="14">
        <v>9.5000000000000001E-2</v>
      </c>
      <c r="G116" s="14">
        <v>0.39560542788461539</v>
      </c>
      <c r="H116" s="14">
        <v>0.1210913461538462</v>
      </c>
      <c r="I116" s="14">
        <v>0</v>
      </c>
    </row>
    <row r="117" spans="1:9">
      <c r="A117" s="14">
        <v>108</v>
      </c>
      <c r="B117" s="14">
        <v>0.26500000000000001</v>
      </c>
      <c r="C117" s="14">
        <v>0.67033374918754252</v>
      </c>
      <c r="D117" s="14">
        <v>0.34828229665071769</v>
      </c>
      <c r="E117" s="14">
        <v>2.6230844113892818E-2</v>
      </c>
      <c r="F117" s="14">
        <v>5.1000000000000018E-2</v>
      </c>
      <c r="G117" s="14">
        <v>0.39560542788461539</v>
      </c>
      <c r="H117" s="14">
        <v>0.1210913461538462</v>
      </c>
      <c r="I117" s="14">
        <v>0</v>
      </c>
    </row>
    <row r="118" spans="1:9">
      <c r="A118" s="14">
        <v>109</v>
      </c>
      <c r="B118" s="14">
        <v>0.34899999999999998</v>
      </c>
      <c r="C118" s="14">
        <v>0.67033374918754252</v>
      </c>
      <c r="D118" s="14">
        <v>0.34828229665071769</v>
      </c>
      <c r="E118" s="14">
        <v>2.6230844113892818E-2</v>
      </c>
      <c r="F118" s="14">
        <v>8.3999999999999964E-2</v>
      </c>
      <c r="G118" s="14">
        <v>0.39560542788461539</v>
      </c>
      <c r="H118" s="14">
        <v>0.1210913461538462</v>
      </c>
      <c r="I118" s="14">
        <v>0</v>
      </c>
    </row>
    <row r="119" spans="1:9">
      <c r="A119" s="14">
        <v>110</v>
      </c>
      <c r="B119" s="14">
        <v>0.45200000000000001</v>
      </c>
      <c r="C119" s="14">
        <v>0.67033374918754252</v>
      </c>
      <c r="D119" s="14">
        <v>0.34828229665071769</v>
      </c>
      <c r="E119" s="14">
        <v>2.6230844113892818E-2</v>
      </c>
      <c r="F119" s="14">
        <v>0.10299999999999999</v>
      </c>
      <c r="G119" s="14">
        <v>0.39560542788461539</v>
      </c>
      <c r="H119" s="14">
        <v>0.1210913461538462</v>
      </c>
      <c r="I119" s="14">
        <v>0</v>
      </c>
    </row>
    <row r="120" spans="1:9">
      <c r="A120" s="14">
        <v>111</v>
      </c>
      <c r="B120" s="14">
        <v>0.53800000000000003</v>
      </c>
      <c r="C120" s="14">
        <v>0.67033374918754252</v>
      </c>
      <c r="D120" s="14">
        <v>0.34828229665071769</v>
      </c>
      <c r="E120" s="14">
        <v>2.6230844113892818E-2</v>
      </c>
      <c r="F120" s="14">
        <v>8.6000000000000021E-2</v>
      </c>
      <c r="G120" s="14">
        <v>0.39560542788461539</v>
      </c>
      <c r="H120" s="14">
        <v>0.1210913461538462</v>
      </c>
      <c r="I120" s="14">
        <v>0</v>
      </c>
    </row>
    <row r="121" spans="1:9">
      <c r="A121" s="14">
        <v>112</v>
      </c>
      <c r="B121" s="14">
        <v>0.14299999999999999</v>
      </c>
      <c r="C121" s="14">
        <v>0.67033374918754252</v>
      </c>
      <c r="D121" s="14">
        <v>0.34828229665071769</v>
      </c>
      <c r="E121" s="14">
        <v>2.6230844113892818E-2</v>
      </c>
      <c r="F121" s="14">
        <v>0.39500000000000002</v>
      </c>
      <c r="G121" s="14">
        <v>0.39560542788461539</v>
      </c>
      <c r="H121" s="14">
        <v>0.1210913461538462</v>
      </c>
      <c r="I121" s="14">
        <v>0</v>
      </c>
    </row>
    <row r="122" spans="1:9">
      <c r="A122" s="14">
        <v>113</v>
      </c>
      <c r="B122" s="14">
        <v>0.11799999999999999</v>
      </c>
      <c r="C122" s="14">
        <v>0.67033374918754252</v>
      </c>
      <c r="D122" s="14">
        <v>0.34828229665071769</v>
      </c>
      <c r="E122" s="14">
        <v>2.6230844113892818E-2</v>
      </c>
      <c r="F122" s="14">
        <v>2.4999999999999991E-2</v>
      </c>
      <c r="G122" s="14">
        <v>0.39560542788461539</v>
      </c>
      <c r="H122" s="14">
        <v>0.1210913461538462</v>
      </c>
      <c r="I122" s="14">
        <v>0</v>
      </c>
    </row>
    <row r="123" spans="1:9">
      <c r="A123" s="14">
        <v>114</v>
      </c>
      <c r="B123" s="14">
        <v>0.153</v>
      </c>
      <c r="C123" s="14">
        <v>0.67033374918754252</v>
      </c>
      <c r="D123" s="14">
        <v>0.34828229665071769</v>
      </c>
      <c r="E123" s="14">
        <v>2.6230844113892818E-2</v>
      </c>
      <c r="F123" s="14">
        <v>3.5000000000000003E-2</v>
      </c>
      <c r="G123" s="14">
        <v>0.39560542788461539</v>
      </c>
      <c r="H123" s="14">
        <v>0.1210913461538462</v>
      </c>
      <c r="I123" s="14">
        <v>0</v>
      </c>
    </row>
    <row r="124" spans="1:9">
      <c r="A124" s="14">
        <v>115</v>
      </c>
      <c r="B124" s="14">
        <v>0.13</v>
      </c>
      <c r="C124" s="14">
        <v>0.67033374918754252</v>
      </c>
      <c r="D124" s="14">
        <v>0.34828229665071769</v>
      </c>
      <c r="E124" s="14">
        <v>2.6230844113892818E-2</v>
      </c>
      <c r="F124" s="14">
        <v>2.2999999999999989E-2</v>
      </c>
      <c r="G124" s="14">
        <v>0.39560542788461539</v>
      </c>
      <c r="H124" s="14">
        <v>0.1210913461538462</v>
      </c>
      <c r="I124" s="14">
        <v>0</v>
      </c>
    </row>
    <row r="125" spans="1:9">
      <c r="A125" s="14">
        <v>116</v>
      </c>
      <c r="B125" s="14">
        <v>0.76</v>
      </c>
      <c r="C125" s="14">
        <v>0.67033374918754252</v>
      </c>
      <c r="D125" s="14">
        <v>0.34828229665071769</v>
      </c>
      <c r="E125" s="14">
        <v>2.6230844113892818E-2</v>
      </c>
      <c r="F125" s="14">
        <v>0.63</v>
      </c>
      <c r="G125" s="14">
        <v>0.39560542788461539</v>
      </c>
      <c r="H125" s="14">
        <v>0.1210913461538462</v>
      </c>
      <c r="I125" s="14">
        <v>0</v>
      </c>
    </row>
    <row r="126" spans="1:9">
      <c r="A126" s="14">
        <v>117</v>
      </c>
      <c r="B126" s="14">
        <v>0.78400000000000003</v>
      </c>
      <c r="C126" s="14">
        <v>0.67033374918754252</v>
      </c>
      <c r="D126" s="14">
        <v>0.34828229665071769</v>
      </c>
      <c r="E126" s="14">
        <v>2.6230844113892818E-2</v>
      </c>
      <c r="F126" s="14">
        <v>2.4000000000000021E-2</v>
      </c>
      <c r="G126" s="14">
        <v>0.39560542788461539</v>
      </c>
      <c r="H126" s="14">
        <v>0.1210913461538462</v>
      </c>
      <c r="I126" s="14">
        <v>0</v>
      </c>
    </row>
    <row r="127" spans="1:9">
      <c r="A127" s="14">
        <v>118</v>
      </c>
      <c r="B127" s="14">
        <v>0.78</v>
      </c>
      <c r="C127" s="14">
        <v>0.67033374918754252</v>
      </c>
      <c r="D127" s="14">
        <v>0.34828229665071769</v>
      </c>
      <c r="E127" s="14">
        <v>2.6230844113892818E-2</v>
      </c>
      <c r="F127" s="14">
        <v>4.0000000000000044E-3</v>
      </c>
      <c r="G127" s="14">
        <v>0.39560542788461539</v>
      </c>
      <c r="H127" s="14">
        <v>0.1210913461538462</v>
      </c>
      <c r="I127" s="14">
        <v>0</v>
      </c>
    </row>
    <row r="128" spans="1:9">
      <c r="A128" s="14">
        <v>119</v>
      </c>
      <c r="B128" s="14">
        <v>0.67800000000000005</v>
      </c>
      <c r="C128" s="14">
        <v>0.67033374918754252</v>
      </c>
      <c r="D128" s="14">
        <v>0.34828229665071769</v>
      </c>
      <c r="E128" s="14">
        <v>2.6230844113892818E-2</v>
      </c>
      <c r="F128" s="14">
        <v>0.10199999999999999</v>
      </c>
      <c r="G128" s="14">
        <v>0.39560542788461539</v>
      </c>
      <c r="H128" s="14">
        <v>0.1210913461538462</v>
      </c>
      <c r="I128" s="14">
        <v>0</v>
      </c>
    </row>
    <row r="129" spans="1:9">
      <c r="A129" s="14">
        <v>120</v>
      </c>
      <c r="B129" s="14">
        <v>0.65400000000000003</v>
      </c>
      <c r="C129" s="14">
        <v>0.67033374918754252</v>
      </c>
      <c r="D129" s="14">
        <v>0.34828229665071769</v>
      </c>
      <c r="E129" s="14">
        <v>2.6230844113892818E-2</v>
      </c>
      <c r="F129" s="14">
        <v>2.4000000000000021E-2</v>
      </c>
      <c r="G129" s="14">
        <v>0.39560542788461539</v>
      </c>
      <c r="H129" s="14">
        <v>0.1210913461538462</v>
      </c>
      <c r="I129" s="14">
        <v>0</v>
      </c>
    </row>
    <row r="130" spans="1:9">
      <c r="A130" s="14">
        <v>121</v>
      </c>
      <c r="B130" s="14">
        <v>0.54500000000000004</v>
      </c>
      <c r="C130" s="14">
        <v>0.67033374918754252</v>
      </c>
      <c r="D130" s="14">
        <v>0.34828229665071769</v>
      </c>
      <c r="E130" s="14">
        <v>2.6230844113892818E-2</v>
      </c>
      <c r="F130" s="14">
        <v>0.109</v>
      </c>
      <c r="G130" s="14">
        <v>0.39560542788461539</v>
      </c>
      <c r="H130" s="14">
        <v>0.1210913461538462</v>
      </c>
      <c r="I130" s="14">
        <v>0</v>
      </c>
    </row>
    <row r="131" spans="1:9">
      <c r="A131" s="14">
        <v>122</v>
      </c>
      <c r="B131" s="14">
        <v>0.191</v>
      </c>
      <c r="C131" s="14">
        <v>0.67033374918754252</v>
      </c>
      <c r="D131" s="14">
        <v>0.34828229665071769</v>
      </c>
      <c r="E131" s="14">
        <v>2.6230844113892818E-2</v>
      </c>
      <c r="F131" s="14">
        <v>0.35399999999999998</v>
      </c>
      <c r="G131" s="14">
        <v>0.39560542788461539</v>
      </c>
      <c r="H131" s="14">
        <v>0.1210913461538462</v>
      </c>
      <c r="I131" s="14">
        <v>0</v>
      </c>
    </row>
    <row r="132" spans="1:9">
      <c r="A132" s="14">
        <v>123</v>
      </c>
      <c r="B132" s="14">
        <v>0.251</v>
      </c>
      <c r="C132" s="14">
        <v>0.67033374918754252</v>
      </c>
      <c r="D132" s="14">
        <v>0.34828229665071769</v>
      </c>
      <c r="E132" s="14">
        <v>2.6230844113892818E-2</v>
      </c>
      <c r="F132" s="14">
        <v>0.06</v>
      </c>
      <c r="G132" s="14">
        <v>0.39560542788461539</v>
      </c>
      <c r="H132" s="14">
        <v>0.1210913461538462</v>
      </c>
      <c r="I132" s="14">
        <v>0</v>
      </c>
    </row>
    <row r="133" spans="1:9">
      <c r="A133" s="14">
        <v>124</v>
      </c>
      <c r="B133" s="14">
        <v>0.25700000000000001</v>
      </c>
      <c r="C133" s="14">
        <v>0.67033374918754252</v>
      </c>
      <c r="D133" s="14">
        <v>0.34828229665071769</v>
      </c>
      <c r="E133" s="14">
        <v>2.6230844113892818E-2</v>
      </c>
      <c r="F133" s="14">
        <v>6.0000000000000053E-3</v>
      </c>
      <c r="G133" s="14">
        <v>0.39560542788461539</v>
      </c>
      <c r="H133" s="14">
        <v>0.1210913461538462</v>
      </c>
      <c r="I133" s="14">
        <v>0</v>
      </c>
    </row>
    <row r="134" spans="1:9">
      <c r="A134" s="14">
        <v>125</v>
      </c>
      <c r="B134" s="14">
        <v>0.47899999999999998</v>
      </c>
      <c r="C134" s="14">
        <v>0.67033374918754252</v>
      </c>
      <c r="D134" s="14">
        <v>0.34828229665071769</v>
      </c>
      <c r="E134" s="14">
        <v>2.6230844113892818E-2</v>
      </c>
      <c r="F134" s="14">
        <v>0.222</v>
      </c>
      <c r="G134" s="14">
        <v>0.39560542788461539</v>
      </c>
      <c r="H134" s="14">
        <v>0.1210913461538462</v>
      </c>
      <c r="I134" s="14">
        <v>0</v>
      </c>
    </row>
    <row r="135" spans="1:9">
      <c r="A135" s="14">
        <v>126</v>
      </c>
      <c r="B135" s="14">
        <v>0.39600000000000002</v>
      </c>
      <c r="C135" s="14">
        <v>0.67033374918754252</v>
      </c>
      <c r="D135" s="14">
        <v>0.34828229665071769</v>
      </c>
      <c r="E135" s="14">
        <v>2.6230844113892818E-2</v>
      </c>
      <c r="F135" s="14">
        <v>8.2999999999999963E-2</v>
      </c>
      <c r="G135" s="14">
        <v>0.39560542788461539</v>
      </c>
      <c r="H135" s="14">
        <v>0.1210913461538462</v>
      </c>
      <c r="I135" s="14">
        <v>0</v>
      </c>
    </row>
    <row r="136" spans="1:9">
      <c r="A136" s="14">
        <v>127</v>
      </c>
      <c r="B136" s="14">
        <v>0.41499999999999998</v>
      </c>
      <c r="C136" s="14">
        <v>0.67033374918754252</v>
      </c>
      <c r="D136" s="14">
        <v>0.34828229665071769</v>
      </c>
      <c r="E136" s="14">
        <v>2.6230844113892818E-2</v>
      </c>
      <c r="F136" s="14">
        <v>1.8999999999999961E-2</v>
      </c>
      <c r="G136" s="14">
        <v>0.39560542788461539</v>
      </c>
      <c r="H136" s="14">
        <v>0.1210913461538462</v>
      </c>
      <c r="I136" s="14">
        <v>0</v>
      </c>
    </row>
    <row r="137" spans="1:9">
      <c r="A137" s="14">
        <v>128</v>
      </c>
      <c r="B137" s="14">
        <v>0.39300000000000002</v>
      </c>
      <c r="C137" s="14">
        <v>0.67033374918754252</v>
      </c>
      <c r="D137" s="14">
        <v>0.34828229665071769</v>
      </c>
      <c r="E137" s="14">
        <v>2.6230844113892818E-2</v>
      </c>
      <c r="F137" s="14">
        <v>2.1999999999999961E-2</v>
      </c>
      <c r="G137" s="14">
        <v>0.39560542788461539</v>
      </c>
      <c r="H137" s="14">
        <v>0.1210913461538462</v>
      </c>
      <c r="I137" s="14">
        <v>0</v>
      </c>
    </row>
    <row r="138" spans="1:9">
      <c r="A138" s="14">
        <v>129</v>
      </c>
      <c r="B138" s="14">
        <v>0.54</v>
      </c>
      <c r="C138" s="14">
        <v>0.67033374918754252</v>
      </c>
      <c r="D138" s="14">
        <v>0.34828229665071769</v>
      </c>
      <c r="E138" s="14">
        <v>2.6230844113892818E-2</v>
      </c>
      <c r="F138" s="14">
        <v>0.14699999999999999</v>
      </c>
      <c r="G138" s="14">
        <v>0.39560542788461539</v>
      </c>
      <c r="H138" s="14">
        <v>0.1210913461538462</v>
      </c>
      <c r="I138" s="14">
        <v>0</v>
      </c>
    </row>
    <row r="139" spans="1:9">
      <c r="A139" s="14">
        <v>130</v>
      </c>
      <c r="B139" s="14">
        <v>0.38400000000000001</v>
      </c>
      <c r="C139" s="14">
        <v>0.67033374918754252</v>
      </c>
      <c r="D139" s="14">
        <v>0.34828229665071769</v>
      </c>
      <c r="E139" s="14">
        <v>2.6230844113892818E-2</v>
      </c>
      <c r="F139" s="14">
        <v>0.156</v>
      </c>
      <c r="G139" s="14">
        <v>0.39560542788461539</v>
      </c>
      <c r="H139" s="14">
        <v>0.1210913461538462</v>
      </c>
      <c r="I139" s="14">
        <v>0</v>
      </c>
    </row>
    <row r="140" spans="1:9">
      <c r="A140" s="14">
        <v>131</v>
      </c>
      <c r="B140" s="14">
        <v>0.41099999999999998</v>
      </c>
      <c r="C140" s="14">
        <v>0.67033374918754252</v>
      </c>
      <c r="D140" s="14">
        <v>0.34828229665071769</v>
      </c>
      <c r="E140" s="14">
        <v>2.6230844113892818E-2</v>
      </c>
      <c r="F140" s="14">
        <v>2.6999999999999968E-2</v>
      </c>
      <c r="G140" s="14">
        <v>0.39560542788461539</v>
      </c>
      <c r="H140" s="14">
        <v>0.1210913461538462</v>
      </c>
      <c r="I140" s="14">
        <v>0</v>
      </c>
    </row>
    <row r="141" spans="1:9">
      <c r="A141" s="14">
        <v>132</v>
      </c>
      <c r="B141" s="14">
        <v>0.41799999999999998</v>
      </c>
      <c r="C141" s="14">
        <v>0.67033374918754252</v>
      </c>
      <c r="D141" s="14">
        <v>0.34828229665071769</v>
      </c>
      <c r="E141" s="14">
        <v>2.6230844113892818E-2</v>
      </c>
      <c r="F141" s="14">
        <v>7.0000000000000062E-3</v>
      </c>
      <c r="G141" s="14">
        <v>0.39560542788461539</v>
      </c>
      <c r="H141" s="14">
        <v>0.1210913461538462</v>
      </c>
      <c r="I141" s="14">
        <v>0</v>
      </c>
    </row>
    <row r="142" spans="1:9">
      <c r="A142" s="14">
        <v>133</v>
      </c>
      <c r="B142" s="14">
        <v>0.42399999999999999</v>
      </c>
      <c r="C142" s="14">
        <v>0.67033374918754252</v>
      </c>
      <c r="D142" s="14">
        <v>0.34828229665071769</v>
      </c>
      <c r="E142" s="14">
        <v>2.6230844113892818E-2</v>
      </c>
      <c r="F142" s="14">
        <v>6.0000000000000053E-3</v>
      </c>
      <c r="G142" s="14">
        <v>0.39560542788461539</v>
      </c>
      <c r="H142" s="14">
        <v>0.1210913461538462</v>
      </c>
      <c r="I142" s="14">
        <v>0</v>
      </c>
    </row>
    <row r="143" spans="1:9">
      <c r="A143" s="14">
        <v>134</v>
      </c>
      <c r="B143" s="14">
        <v>0.42599999999999999</v>
      </c>
      <c r="C143" s="14">
        <v>0.67033374918754252</v>
      </c>
      <c r="D143" s="14">
        <v>0.34828229665071769</v>
      </c>
      <c r="E143" s="14">
        <v>2.6230844113892818E-2</v>
      </c>
      <c r="F143" s="14">
        <v>2.0000000000000022E-3</v>
      </c>
      <c r="G143" s="14">
        <v>0.39560542788461539</v>
      </c>
      <c r="H143" s="14">
        <v>0.1210913461538462</v>
      </c>
      <c r="I143" s="14">
        <v>0</v>
      </c>
    </row>
    <row r="144" spans="1:9">
      <c r="A144" s="14">
        <v>135</v>
      </c>
      <c r="B144" s="14">
        <v>0.47399999999999998</v>
      </c>
      <c r="C144" s="14">
        <v>0.67033374918754252</v>
      </c>
      <c r="D144" s="14">
        <v>0.34828229665071769</v>
      </c>
      <c r="E144" s="14">
        <v>2.6230844113892818E-2</v>
      </c>
      <c r="F144" s="14">
        <v>4.7999999999999987E-2</v>
      </c>
      <c r="G144" s="14">
        <v>0.39560542788461539</v>
      </c>
      <c r="H144" s="14">
        <v>0.1210913461538462</v>
      </c>
      <c r="I144" s="14">
        <v>0</v>
      </c>
    </row>
    <row r="145" spans="1:9">
      <c r="A145" s="14">
        <v>136</v>
      </c>
      <c r="B145" s="14">
        <v>0.51500000000000001</v>
      </c>
      <c r="C145" s="14">
        <v>0.67033374918754252</v>
      </c>
      <c r="D145" s="14">
        <v>0.34828229665071769</v>
      </c>
      <c r="E145" s="14">
        <v>2.6230844113892818E-2</v>
      </c>
      <c r="F145" s="14">
        <v>4.1000000000000043E-2</v>
      </c>
      <c r="G145" s="14">
        <v>0.39560542788461539</v>
      </c>
      <c r="H145" s="14">
        <v>0.1210913461538462</v>
      </c>
      <c r="I145" s="14">
        <v>0</v>
      </c>
    </row>
    <row r="146" spans="1:9">
      <c r="A146" s="14">
        <v>137</v>
      </c>
      <c r="B146" s="14">
        <v>0.19800000000000001</v>
      </c>
      <c r="C146" s="14">
        <v>0.67033374918754252</v>
      </c>
      <c r="D146" s="14">
        <v>0.34828229665071769</v>
      </c>
      <c r="E146" s="14">
        <v>2.6230844113892818E-2</v>
      </c>
      <c r="F146" s="14">
        <v>0.317</v>
      </c>
      <c r="G146" s="14">
        <v>0.39560542788461539</v>
      </c>
      <c r="H146" s="14">
        <v>0.1210913461538462</v>
      </c>
      <c r="I146" s="14">
        <v>0</v>
      </c>
    </row>
    <row r="147" spans="1:9">
      <c r="A147" s="14">
        <v>138</v>
      </c>
      <c r="B147" s="14">
        <v>0.13600000000000001</v>
      </c>
      <c r="C147" s="14">
        <v>0.67033374918754252</v>
      </c>
      <c r="D147" s="14">
        <v>0.34828229665071769</v>
      </c>
      <c r="E147" s="14">
        <v>2.6230844113892818E-2</v>
      </c>
      <c r="F147" s="14">
        <v>6.2E-2</v>
      </c>
      <c r="G147" s="14">
        <v>0.39560542788461539</v>
      </c>
      <c r="H147" s="14">
        <v>0.1210913461538462</v>
      </c>
      <c r="I147" s="14">
        <v>0</v>
      </c>
    </row>
    <row r="148" spans="1:9">
      <c r="A148" s="14">
        <v>139</v>
      </c>
      <c r="B148" s="14">
        <v>0.24399999999999999</v>
      </c>
      <c r="C148" s="14">
        <v>0.67033374918754252</v>
      </c>
      <c r="D148" s="14">
        <v>0.34828229665071769</v>
      </c>
      <c r="E148" s="14">
        <v>2.6230844113892818E-2</v>
      </c>
      <c r="F148" s="14">
        <v>0.108</v>
      </c>
      <c r="G148" s="14">
        <v>0.39560542788461539</v>
      </c>
      <c r="H148" s="14">
        <v>0.1210913461538462</v>
      </c>
      <c r="I148" s="14">
        <v>0</v>
      </c>
    </row>
    <row r="149" spans="1:9">
      <c r="A149" s="14">
        <v>140</v>
      </c>
      <c r="B149" s="14">
        <v>7.0000000000000007E-2</v>
      </c>
      <c r="C149" s="14">
        <v>0.67033374918754252</v>
      </c>
      <c r="D149" s="14">
        <v>0.34828229665071769</v>
      </c>
      <c r="E149" s="14">
        <v>2.6230844113892818E-2</v>
      </c>
      <c r="F149" s="14">
        <v>0.17399999999999999</v>
      </c>
      <c r="G149" s="14">
        <v>0.39560542788461539</v>
      </c>
      <c r="H149" s="14">
        <v>0.1210913461538462</v>
      </c>
      <c r="I149" s="14">
        <v>0</v>
      </c>
    </row>
    <row r="150" spans="1:9">
      <c r="A150" s="14">
        <v>141</v>
      </c>
      <c r="B150" s="14">
        <v>0.17799999999999999</v>
      </c>
      <c r="C150" s="14">
        <v>0.67033374918754252</v>
      </c>
      <c r="D150" s="14">
        <v>0.34828229665071769</v>
      </c>
      <c r="E150" s="14">
        <v>2.6230844113892818E-2</v>
      </c>
      <c r="F150" s="14">
        <v>0.108</v>
      </c>
      <c r="G150" s="14">
        <v>0.39560542788461539</v>
      </c>
      <c r="H150" s="14">
        <v>0.1210913461538462</v>
      </c>
      <c r="I150" s="14">
        <v>0</v>
      </c>
    </row>
    <row r="151" spans="1:9">
      <c r="A151" s="14">
        <v>142</v>
      </c>
      <c r="B151" s="14">
        <v>0.123</v>
      </c>
      <c r="C151" s="14">
        <v>0.67033374918754252</v>
      </c>
      <c r="D151" s="14">
        <v>0.34828229665071769</v>
      </c>
      <c r="E151" s="14">
        <v>2.6230844113892818E-2</v>
      </c>
      <c r="F151" s="14">
        <v>5.4999999999999993E-2</v>
      </c>
      <c r="G151" s="14">
        <v>0.39560542788461539</v>
      </c>
      <c r="H151" s="14">
        <v>0.1210913461538462</v>
      </c>
      <c r="I151" s="14">
        <v>0</v>
      </c>
    </row>
    <row r="152" spans="1:9">
      <c r="A152" s="14">
        <v>143</v>
      </c>
      <c r="B152" s="14">
        <v>0.32300000000000001</v>
      </c>
      <c r="C152" s="14">
        <v>0.67033374918754252</v>
      </c>
      <c r="D152" s="14">
        <v>0.34828229665071769</v>
      </c>
      <c r="E152" s="14">
        <v>2.6230844113892818E-2</v>
      </c>
      <c r="F152" s="14">
        <v>0.2</v>
      </c>
      <c r="G152" s="14">
        <v>0.39560542788461539</v>
      </c>
      <c r="H152" s="14">
        <v>0.1210913461538462</v>
      </c>
      <c r="I152" s="14">
        <v>0</v>
      </c>
    </row>
    <row r="153" spans="1:9">
      <c r="A153" s="14">
        <v>144</v>
      </c>
      <c r="B153" s="14">
        <v>0.28100000000000003</v>
      </c>
      <c r="C153" s="14">
        <v>0.67033374918754252</v>
      </c>
      <c r="D153" s="14">
        <v>0.34828229665071769</v>
      </c>
      <c r="E153" s="14">
        <v>2.6230844113892818E-2</v>
      </c>
      <c r="F153" s="14">
        <v>4.1999999999999982E-2</v>
      </c>
      <c r="G153" s="14">
        <v>0.39560542788461539</v>
      </c>
      <c r="H153" s="14">
        <v>0.1210913461538462</v>
      </c>
      <c r="I153" s="14">
        <v>0</v>
      </c>
    </row>
    <row r="154" spans="1:9">
      <c r="A154" s="14">
        <v>145</v>
      </c>
      <c r="B154" s="14">
        <v>0.24399999999999999</v>
      </c>
      <c r="C154" s="14">
        <v>0.67033374918754252</v>
      </c>
      <c r="D154" s="14">
        <v>0.34828229665071769</v>
      </c>
      <c r="E154" s="14">
        <v>2.6230844113892818E-2</v>
      </c>
      <c r="F154" s="14">
        <v>3.7000000000000033E-2</v>
      </c>
      <c r="G154" s="14">
        <v>0.39560542788461539</v>
      </c>
      <c r="H154" s="14">
        <v>0.1210913461538462</v>
      </c>
      <c r="I154" s="14">
        <v>0</v>
      </c>
    </row>
    <row r="155" spans="1:9">
      <c r="A155" s="14">
        <v>146</v>
      </c>
      <c r="B155" s="14">
        <v>0.124</v>
      </c>
      <c r="C155" s="14">
        <v>0.67033374918754252</v>
      </c>
      <c r="D155" s="14">
        <v>0.34828229665071769</v>
      </c>
      <c r="E155" s="14">
        <v>2.6230844113892818E-2</v>
      </c>
      <c r="F155" s="14">
        <v>0.12</v>
      </c>
      <c r="G155" s="14">
        <v>0.39560542788461539</v>
      </c>
      <c r="H155" s="14">
        <v>0.1210913461538462</v>
      </c>
      <c r="I155" s="14">
        <v>0</v>
      </c>
    </row>
    <row r="156" spans="1:9">
      <c r="A156" s="14">
        <v>147</v>
      </c>
      <c r="B156" s="14">
        <v>0.17699999999999999</v>
      </c>
      <c r="C156" s="14">
        <v>0.67033374918754252</v>
      </c>
      <c r="D156" s="14">
        <v>0.34828229665071769</v>
      </c>
      <c r="E156" s="14">
        <v>2.6230844113892818E-2</v>
      </c>
      <c r="F156" s="14">
        <v>5.2999999999999992E-2</v>
      </c>
      <c r="G156" s="14">
        <v>0.39560542788461539</v>
      </c>
      <c r="H156" s="14">
        <v>0.1210913461538462</v>
      </c>
      <c r="I156" s="14">
        <v>0</v>
      </c>
    </row>
    <row r="157" spans="1:9">
      <c r="A157" s="14">
        <v>148</v>
      </c>
      <c r="B157" s="14">
        <v>0.56100000000000005</v>
      </c>
      <c r="C157" s="14">
        <v>0.67033374918754252</v>
      </c>
      <c r="D157" s="14">
        <v>0.34828229665071769</v>
      </c>
      <c r="E157" s="14">
        <v>2.6230844113892818E-2</v>
      </c>
      <c r="F157" s="14">
        <v>0.38400000000000012</v>
      </c>
      <c r="G157" s="14">
        <v>0.39560542788461539</v>
      </c>
      <c r="H157" s="14">
        <v>0.1210913461538462</v>
      </c>
      <c r="I157" s="14">
        <v>0</v>
      </c>
    </row>
    <row r="158" spans="1:9">
      <c r="A158" s="14">
        <v>149</v>
      </c>
      <c r="B158" s="14">
        <v>0.36199999999999999</v>
      </c>
      <c r="C158" s="14">
        <v>0.67033374918754252</v>
      </c>
      <c r="D158" s="14">
        <v>0.34828229665071769</v>
      </c>
      <c r="E158" s="14">
        <v>2.6230844113892818E-2</v>
      </c>
      <c r="F158" s="14">
        <v>0.19900000000000009</v>
      </c>
      <c r="G158" s="14">
        <v>0.39560542788461539</v>
      </c>
      <c r="H158" s="14">
        <v>0.1210913461538462</v>
      </c>
      <c r="I158" s="14">
        <v>0</v>
      </c>
    </row>
    <row r="159" spans="1:9">
      <c r="A159" s="14">
        <v>150</v>
      </c>
      <c r="B159" s="14">
        <v>0.55900000000000005</v>
      </c>
      <c r="C159" s="14">
        <v>0.67033374918754252</v>
      </c>
      <c r="D159" s="14">
        <v>0.34828229665071769</v>
      </c>
      <c r="E159" s="14">
        <v>2.6230844113892818E-2</v>
      </c>
      <c r="F159" s="14">
        <v>0.19700000000000009</v>
      </c>
      <c r="G159" s="14">
        <v>0.39560542788461539</v>
      </c>
      <c r="H159" s="14">
        <v>0.1210913461538462</v>
      </c>
      <c r="I159" s="14">
        <v>0</v>
      </c>
    </row>
    <row r="160" spans="1:9">
      <c r="A160" s="14">
        <v>151</v>
      </c>
      <c r="B160" s="14">
        <v>0.245</v>
      </c>
      <c r="C160" s="14">
        <v>0.67033374918754252</v>
      </c>
      <c r="D160" s="14">
        <v>0.34828229665071769</v>
      </c>
      <c r="E160" s="14">
        <v>2.6230844113892818E-2</v>
      </c>
      <c r="F160" s="14">
        <v>0.31400000000000011</v>
      </c>
      <c r="G160" s="14">
        <v>0.39560542788461539</v>
      </c>
      <c r="H160" s="14">
        <v>0.1210913461538462</v>
      </c>
      <c r="I160" s="14">
        <v>0</v>
      </c>
    </row>
    <row r="161" spans="1:9">
      <c r="A161" s="14">
        <v>152</v>
      </c>
      <c r="B161" s="14">
        <v>0.39600000000000002</v>
      </c>
      <c r="C161" s="14">
        <v>0.67033374918754252</v>
      </c>
      <c r="D161" s="14">
        <v>0.34828229665071769</v>
      </c>
      <c r="E161" s="14">
        <v>2.6230844113892818E-2</v>
      </c>
      <c r="F161" s="14">
        <v>0.151</v>
      </c>
      <c r="G161" s="14">
        <v>0.39560542788461539</v>
      </c>
      <c r="H161" s="14">
        <v>0.1210913461538462</v>
      </c>
      <c r="I161" s="14">
        <v>0</v>
      </c>
    </row>
    <row r="162" spans="1:9">
      <c r="A162" s="14">
        <v>153</v>
      </c>
      <c r="B162" s="14">
        <v>0.26900000000000002</v>
      </c>
      <c r="C162" s="14">
        <v>0.67033374918754252</v>
      </c>
      <c r="D162" s="14">
        <v>0.34828229665071769</v>
      </c>
      <c r="E162" s="14">
        <v>2.6230844113892818E-2</v>
      </c>
      <c r="F162" s="14">
        <v>0.127</v>
      </c>
      <c r="G162" s="14">
        <v>0.39560542788461539</v>
      </c>
      <c r="H162" s="14">
        <v>0.1210913461538462</v>
      </c>
      <c r="I162" s="14">
        <v>0</v>
      </c>
    </row>
    <row r="163" spans="1:9">
      <c r="A163" s="14">
        <v>154</v>
      </c>
      <c r="B163" s="14">
        <v>0.26800000000000002</v>
      </c>
      <c r="C163" s="14">
        <v>0.67033374918754252</v>
      </c>
      <c r="D163" s="14">
        <v>0.34828229665071769</v>
      </c>
      <c r="E163" s="14">
        <v>2.6230844113892818E-2</v>
      </c>
      <c r="F163" s="14">
        <v>1.0000000000000011E-3</v>
      </c>
      <c r="G163" s="14">
        <v>0.39560542788461539</v>
      </c>
      <c r="H163" s="14">
        <v>0.1210913461538462</v>
      </c>
      <c r="I163" s="14">
        <v>0</v>
      </c>
    </row>
    <row r="164" spans="1:9">
      <c r="A164" s="14">
        <v>155</v>
      </c>
      <c r="B164" s="14">
        <v>0.32400000000000001</v>
      </c>
      <c r="C164" s="14">
        <v>0.67033374918754252</v>
      </c>
      <c r="D164" s="14">
        <v>0.34828229665071769</v>
      </c>
      <c r="E164" s="14">
        <v>2.6230844113892818E-2</v>
      </c>
      <c r="F164" s="14">
        <v>5.5999999999999987E-2</v>
      </c>
      <c r="G164" s="14">
        <v>0.39560542788461539</v>
      </c>
      <c r="H164" s="14">
        <v>0.1210913461538462</v>
      </c>
      <c r="I164" s="14">
        <v>0</v>
      </c>
    </row>
    <row r="165" spans="1:9">
      <c r="A165" s="14">
        <v>156</v>
      </c>
      <c r="B165" s="14">
        <v>0.46300000000000002</v>
      </c>
      <c r="C165" s="14">
        <v>0.67033374918754252</v>
      </c>
      <c r="D165" s="14">
        <v>0.34828229665071769</v>
      </c>
      <c r="E165" s="14">
        <v>2.6230844113892818E-2</v>
      </c>
      <c r="F165" s="14">
        <v>0.13900000000000001</v>
      </c>
      <c r="G165" s="14">
        <v>0.39560542788461539</v>
      </c>
      <c r="H165" s="14">
        <v>0.1210913461538462</v>
      </c>
      <c r="I165" s="14">
        <v>0</v>
      </c>
    </row>
    <row r="166" spans="1:9">
      <c r="A166" s="14">
        <v>157</v>
      </c>
      <c r="B166" s="14">
        <v>0.42399999999999999</v>
      </c>
      <c r="C166" s="14">
        <v>0.67033374918754252</v>
      </c>
      <c r="D166" s="14">
        <v>0.34828229665071769</v>
      </c>
      <c r="E166" s="14">
        <v>2.6230844113892818E-2</v>
      </c>
      <c r="F166" s="14">
        <v>3.9000000000000028E-2</v>
      </c>
      <c r="G166" s="14">
        <v>0.39560542788461539</v>
      </c>
      <c r="H166" s="14">
        <v>0.1210913461538462</v>
      </c>
      <c r="I166" s="14">
        <v>0</v>
      </c>
    </row>
    <row r="167" spans="1:9">
      <c r="A167" s="14">
        <v>158</v>
      </c>
      <c r="B167" s="14">
        <v>0.46200000000000002</v>
      </c>
      <c r="C167" s="14">
        <v>0.67033374918754252</v>
      </c>
      <c r="D167" s="14">
        <v>0.34828229665071769</v>
      </c>
      <c r="E167" s="14">
        <v>2.6230844113892818E-2</v>
      </c>
      <c r="F167" s="14">
        <v>3.8000000000000027E-2</v>
      </c>
      <c r="G167" s="14">
        <v>0.39560542788461539</v>
      </c>
      <c r="H167" s="14">
        <v>0.1210913461538462</v>
      </c>
      <c r="I167" s="14">
        <v>0</v>
      </c>
    </row>
    <row r="168" spans="1:9">
      <c r="A168" s="14">
        <v>159</v>
      </c>
      <c r="B168" s="14">
        <v>0.49099999999999999</v>
      </c>
      <c r="C168" s="14">
        <v>0.67033374918754252</v>
      </c>
      <c r="D168" s="14">
        <v>0.34828229665071769</v>
      </c>
      <c r="E168" s="14">
        <v>2.6230844113892818E-2</v>
      </c>
      <c r="F168" s="14">
        <v>2.899999999999997E-2</v>
      </c>
      <c r="G168" s="14">
        <v>0.39560542788461539</v>
      </c>
      <c r="H168" s="14">
        <v>0.1210913461538462</v>
      </c>
      <c r="I168" s="14">
        <v>0</v>
      </c>
    </row>
    <row r="169" spans="1:9">
      <c r="A169" s="14">
        <v>160</v>
      </c>
      <c r="B169" s="14">
        <v>0.41799999999999998</v>
      </c>
      <c r="C169" s="14">
        <v>0.67033374918754252</v>
      </c>
      <c r="D169" s="14">
        <v>0.34828229665071769</v>
      </c>
      <c r="E169" s="14">
        <v>2.6230844113892818E-2</v>
      </c>
      <c r="F169" s="14">
        <v>7.3000000000000009E-2</v>
      </c>
      <c r="G169" s="14">
        <v>0.39560542788461539</v>
      </c>
      <c r="H169" s="14">
        <v>0.1210913461538462</v>
      </c>
      <c r="I169" s="14">
        <v>0</v>
      </c>
    </row>
    <row r="170" spans="1:9">
      <c r="A170" s="14">
        <v>161</v>
      </c>
      <c r="B170" s="14">
        <v>0.502</v>
      </c>
      <c r="C170" s="14">
        <v>0.67033374918754252</v>
      </c>
      <c r="D170" s="14">
        <v>0.34828229665071769</v>
      </c>
      <c r="E170" s="14">
        <v>2.6230844113892818E-2</v>
      </c>
      <c r="F170" s="14">
        <v>8.4000000000000019E-2</v>
      </c>
      <c r="G170" s="14">
        <v>0.39560542788461539</v>
      </c>
      <c r="H170" s="14">
        <v>0.1210913461538462</v>
      </c>
      <c r="I170" s="14">
        <v>0</v>
      </c>
    </row>
    <row r="171" spans="1:9">
      <c r="A171" s="14">
        <v>162</v>
      </c>
      <c r="B171" s="14">
        <v>0.53200000000000003</v>
      </c>
      <c r="C171" s="14">
        <v>0.67033374918754252</v>
      </c>
      <c r="D171" s="14">
        <v>0.34828229665071769</v>
      </c>
      <c r="E171" s="14">
        <v>2.6230844113892818E-2</v>
      </c>
      <c r="F171" s="14">
        <v>3.000000000000003E-2</v>
      </c>
      <c r="G171" s="14">
        <v>0.39560542788461539</v>
      </c>
      <c r="H171" s="14">
        <v>0.1210913461538462</v>
      </c>
      <c r="I171" s="14">
        <v>0</v>
      </c>
    </row>
    <row r="172" spans="1:9">
      <c r="A172" s="14">
        <v>163</v>
      </c>
      <c r="B172" s="14">
        <v>0.3</v>
      </c>
      <c r="C172" s="14">
        <v>0.67033374918754252</v>
      </c>
      <c r="D172" s="14">
        <v>0.34828229665071769</v>
      </c>
      <c r="E172" s="14">
        <v>2.6230844113892818E-2</v>
      </c>
      <c r="F172" s="14">
        <v>0.23200000000000001</v>
      </c>
      <c r="G172" s="14">
        <v>0.39560542788461539</v>
      </c>
      <c r="H172" s="14">
        <v>0.1210913461538462</v>
      </c>
      <c r="I172" s="14">
        <v>0</v>
      </c>
    </row>
    <row r="173" spans="1:9">
      <c r="A173" s="14">
        <v>164</v>
      </c>
      <c r="B173" s="14">
        <v>0.34300000000000003</v>
      </c>
      <c r="C173" s="14">
        <v>0.67033374918754252</v>
      </c>
      <c r="D173" s="14">
        <v>0.34828229665071769</v>
      </c>
      <c r="E173" s="14">
        <v>2.6230844113892818E-2</v>
      </c>
      <c r="F173" s="14">
        <v>4.3000000000000038E-2</v>
      </c>
      <c r="G173" s="14">
        <v>0.39560542788461539</v>
      </c>
      <c r="H173" s="14">
        <v>0.1210913461538462</v>
      </c>
      <c r="I173" s="14">
        <v>0</v>
      </c>
    </row>
    <row r="174" spans="1:9">
      <c r="A174" s="14">
        <v>165</v>
      </c>
      <c r="B174" s="14">
        <v>0.36</v>
      </c>
      <c r="C174" s="14">
        <v>0.67033374918754252</v>
      </c>
      <c r="D174" s="14">
        <v>0.34828229665071769</v>
      </c>
      <c r="E174" s="14">
        <v>2.6230844113892818E-2</v>
      </c>
      <c r="F174" s="14">
        <v>1.699999999999996E-2</v>
      </c>
      <c r="G174" s="14">
        <v>0.39560542788461539</v>
      </c>
      <c r="H174" s="14">
        <v>0.1210913461538462</v>
      </c>
      <c r="I174" s="14">
        <v>0</v>
      </c>
    </row>
    <row r="175" spans="1:9">
      <c r="A175" s="14">
        <v>166</v>
      </c>
      <c r="B175" s="14">
        <v>0.45800000000000002</v>
      </c>
      <c r="C175" s="14">
        <v>0.67033374918754252</v>
      </c>
      <c r="D175" s="14">
        <v>0.34828229665071769</v>
      </c>
      <c r="E175" s="14">
        <v>2.6230844113892818E-2</v>
      </c>
      <c r="F175" s="14">
        <v>9.8000000000000032E-2</v>
      </c>
      <c r="G175" s="14">
        <v>0.39560542788461539</v>
      </c>
      <c r="H175" s="14">
        <v>0.1210913461538462</v>
      </c>
      <c r="I175" s="14">
        <v>0</v>
      </c>
    </row>
    <row r="176" spans="1:9">
      <c r="A176" s="14">
        <v>167</v>
      </c>
      <c r="B176" s="14">
        <v>0.41399999999999998</v>
      </c>
      <c r="C176" s="14">
        <v>0.67033374918754252</v>
      </c>
      <c r="D176" s="14">
        <v>0.34828229665071769</v>
      </c>
      <c r="E176" s="14">
        <v>2.6230844113892818E-2</v>
      </c>
      <c r="F176" s="14">
        <v>4.4000000000000039E-2</v>
      </c>
      <c r="G176" s="14">
        <v>0.39560542788461539</v>
      </c>
      <c r="H176" s="14">
        <v>0.1210913461538462</v>
      </c>
      <c r="I176" s="14">
        <v>0</v>
      </c>
    </row>
    <row r="177" spans="1:9">
      <c r="A177" s="14">
        <v>168</v>
      </c>
      <c r="B177" s="14">
        <v>0.24</v>
      </c>
      <c r="C177" s="14">
        <v>0.67033374918754252</v>
      </c>
      <c r="D177" s="14">
        <v>0.34828229665071769</v>
      </c>
      <c r="E177" s="14">
        <v>2.6230844113892818E-2</v>
      </c>
      <c r="F177" s="14">
        <v>0.17399999999999999</v>
      </c>
      <c r="G177" s="14">
        <v>0.39560542788461539</v>
      </c>
      <c r="H177" s="14">
        <v>0.1210913461538462</v>
      </c>
      <c r="I177" s="14">
        <v>0</v>
      </c>
    </row>
    <row r="178" spans="1:9">
      <c r="A178" s="14">
        <v>169</v>
      </c>
      <c r="B178" s="14">
        <v>0.26600000000000001</v>
      </c>
      <c r="C178" s="14">
        <v>0.67033374918754252</v>
      </c>
      <c r="D178" s="14">
        <v>0.34828229665071769</v>
      </c>
      <c r="E178" s="14">
        <v>2.6230844113892818E-2</v>
      </c>
      <c r="F178" s="14">
        <v>2.600000000000002E-2</v>
      </c>
      <c r="G178" s="14">
        <v>0.39560542788461539</v>
      </c>
      <c r="H178" s="14">
        <v>0.1210913461538462</v>
      </c>
      <c r="I178" s="14">
        <v>0</v>
      </c>
    </row>
    <row r="179" spans="1:9">
      <c r="A179" s="14">
        <v>170</v>
      </c>
      <c r="B179" s="14">
        <v>0.33400000000000002</v>
      </c>
      <c r="C179" s="14">
        <v>0.67033374918754252</v>
      </c>
      <c r="D179" s="14">
        <v>0.34828229665071769</v>
      </c>
      <c r="E179" s="14">
        <v>2.6230844113892818E-2</v>
      </c>
      <c r="F179" s="14">
        <v>6.8000000000000005E-2</v>
      </c>
      <c r="G179" s="14">
        <v>0.39560542788461539</v>
      </c>
      <c r="H179" s="14">
        <v>0.1210913461538462</v>
      </c>
      <c r="I179" s="14">
        <v>0</v>
      </c>
    </row>
    <row r="180" spans="1:9">
      <c r="A180" s="14">
        <v>171</v>
      </c>
      <c r="B180" s="14">
        <v>0.56599999999999995</v>
      </c>
      <c r="C180" s="14">
        <v>0.67033374918754252</v>
      </c>
      <c r="D180" s="14">
        <v>0.34828229665071769</v>
      </c>
      <c r="E180" s="14">
        <v>2.6230844113892818E-2</v>
      </c>
      <c r="F180" s="14">
        <v>0.2319999999999999</v>
      </c>
      <c r="G180" s="14">
        <v>0.39560542788461539</v>
      </c>
      <c r="H180" s="14">
        <v>0.1210913461538462</v>
      </c>
      <c r="I180" s="14">
        <v>0</v>
      </c>
    </row>
    <row r="181" spans="1:9">
      <c r="A181" s="14">
        <v>172</v>
      </c>
      <c r="B181" s="14">
        <v>0.439</v>
      </c>
      <c r="C181" s="14">
        <v>0.67033374918754252</v>
      </c>
      <c r="D181" s="14">
        <v>0.34828229665071769</v>
      </c>
      <c r="E181" s="14">
        <v>2.6230844113892818E-2</v>
      </c>
      <c r="F181" s="14">
        <v>0.12699999999999989</v>
      </c>
      <c r="G181" s="14">
        <v>0.39560542788461539</v>
      </c>
      <c r="H181" s="14">
        <v>0.1210913461538462</v>
      </c>
      <c r="I181" s="14">
        <v>0</v>
      </c>
    </row>
    <row r="182" spans="1:9">
      <c r="A182" s="14">
        <v>173</v>
      </c>
      <c r="B182" s="14">
        <v>0.51700000000000002</v>
      </c>
      <c r="C182" s="14">
        <v>0.67033374918754252</v>
      </c>
      <c r="D182" s="14">
        <v>0.34828229665071769</v>
      </c>
      <c r="E182" s="14">
        <v>2.6230844113892818E-2</v>
      </c>
      <c r="F182" s="14">
        <v>7.8000000000000014E-2</v>
      </c>
      <c r="G182" s="14">
        <v>0.39560542788461539</v>
      </c>
      <c r="H182" s="14">
        <v>0.1210913461538462</v>
      </c>
      <c r="I182" s="14">
        <v>0</v>
      </c>
    </row>
    <row r="183" spans="1:9">
      <c r="A183" s="14">
        <v>174</v>
      </c>
      <c r="B183" s="14">
        <v>0.23200000000000001</v>
      </c>
      <c r="C183" s="14">
        <v>0.67033374918754252</v>
      </c>
      <c r="D183" s="14">
        <v>0.34828229665071769</v>
      </c>
      <c r="E183" s="14">
        <v>2.6230844113892818E-2</v>
      </c>
      <c r="F183" s="14">
        <v>0.28499999999999998</v>
      </c>
      <c r="G183" s="14">
        <v>0.39560542788461539</v>
      </c>
      <c r="H183" s="14">
        <v>0.1210913461538462</v>
      </c>
      <c r="I183" s="14">
        <v>0</v>
      </c>
    </row>
    <row r="184" spans="1:9">
      <c r="A184" s="14">
        <v>175</v>
      </c>
      <c r="B184" s="14">
        <v>0.214</v>
      </c>
      <c r="C184" s="14">
        <v>0.67033374918754252</v>
      </c>
      <c r="D184" s="14">
        <v>0.34828229665071769</v>
      </c>
      <c r="E184" s="14">
        <v>2.6230844113892818E-2</v>
      </c>
      <c r="F184" s="14">
        <v>1.8000000000000019E-2</v>
      </c>
      <c r="G184" s="14">
        <v>0.39560542788461539</v>
      </c>
      <c r="H184" s="14">
        <v>0.1210913461538462</v>
      </c>
      <c r="I184" s="14">
        <v>0</v>
      </c>
    </row>
    <row r="185" spans="1:9">
      <c r="A185" s="14">
        <v>176</v>
      </c>
      <c r="B185" s="14">
        <v>0.253</v>
      </c>
      <c r="C185" s="14">
        <v>0.67033374918754252</v>
      </c>
      <c r="D185" s="14">
        <v>0.34828229665071769</v>
      </c>
      <c r="E185" s="14">
        <v>2.6230844113892818E-2</v>
      </c>
      <c r="F185" s="14">
        <v>3.9000000000000007E-2</v>
      </c>
      <c r="G185" s="14">
        <v>0.39560542788461539</v>
      </c>
      <c r="H185" s="14">
        <v>0.1210913461538462</v>
      </c>
      <c r="I185" s="14">
        <v>0</v>
      </c>
    </row>
    <row r="186" spans="1:9">
      <c r="A186" s="14">
        <v>177</v>
      </c>
      <c r="B186" s="14">
        <v>0.249</v>
      </c>
      <c r="C186" s="14">
        <v>0.67033374918754252</v>
      </c>
      <c r="D186" s="14">
        <v>0.34828229665071769</v>
      </c>
      <c r="E186" s="14">
        <v>2.6230844113892818E-2</v>
      </c>
      <c r="F186" s="14">
        <v>4.0000000000000044E-3</v>
      </c>
      <c r="G186" s="14">
        <v>0.39560542788461539</v>
      </c>
      <c r="H186" s="14">
        <v>0.1210913461538462</v>
      </c>
      <c r="I186" s="14">
        <v>0</v>
      </c>
    </row>
    <row r="187" spans="1:9">
      <c r="A187" s="14">
        <v>178</v>
      </c>
      <c r="B187" s="14">
        <v>0.26</v>
      </c>
      <c r="C187" s="14">
        <v>0.67033374918754252</v>
      </c>
      <c r="D187" s="14">
        <v>0.34828229665071769</v>
      </c>
      <c r="E187" s="14">
        <v>2.6230844113892818E-2</v>
      </c>
      <c r="F187" s="14">
        <v>1.100000000000001E-2</v>
      </c>
      <c r="G187" s="14">
        <v>0.39560542788461539</v>
      </c>
      <c r="H187" s="14">
        <v>0.1210913461538462</v>
      </c>
      <c r="I187" s="14">
        <v>0</v>
      </c>
    </row>
    <row r="188" spans="1:9">
      <c r="A188" s="14">
        <v>179</v>
      </c>
      <c r="B188" s="14">
        <v>0.224</v>
      </c>
      <c r="C188" s="14">
        <v>0.67033374918754252</v>
      </c>
      <c r="D188" s="14">
        <v>0.34828229665071769</v>
      </c>
      <c r="E188" s="14">
        <v>2.6230844113892818E-2</v>
      </c>
      <c r="F188" s="14">
        <v>3.5999999999999997E-2</v>
      </c>
      <c r="G188" s="14">
        <v>0.39560542788461539</v>
      </c>
      <c r="H188" s="14">
        <v>0.1210913461538462</v>
      </c>
      <c r="I188" s="14">
        <v>0</v>
      </c>
    </row>
    <row r="189" spans="1:9">
      <c r="A189" s="14">
        <v>180</v>
      </c>
      <c r="B189" s="14">
        <v>0.2</v>
      </c>
      <c r="C189" s="14">
        <v>0.67033374918754252</v>
      </c>
      <c r="D189" s="14">
        <v>0.34828229665071769</v>
      </c>
      <c r="E189" s="14">
        <v>2.6230844113892818E-2</v>
      </c>
      <c r="F189" s="14">
        <v>2.399999999999999E-2</v>
      </c>
      <c r="G189" s="14">
        <v>0.39560542788461539</v>
      </c>
      <c r="H189" s="14">
        <v>0.1210913461538462</v>
      </c>
      <c r="I189" s="14">
        <v>0</v>
      </c>
    </row>
    <row r="190" spans="1:9">
      <c r="A190" s="14">
        <v>181</v>
      </c>
      <c r="B190" s="14">
        <v>0.42099999999999999</v>
      </c>
      <c r="C190" s="14">
        <v>0.67033374918754252</v>
      </c>
      <c r="D190" s="14">
        <v>0.34828229665071769</v>
      </c>
      <c r="E190" s="14">
        <v>2.6230844113892818E-2</v>
      </c>
      <c r="F190" s="14">
        <v>0.221</v>
      </c>
      <c r="G190" s="14">
        <v>0.39560542788461539</v>
      </c>
      <c r="H190" s="14">
        <v>0.1210913461538462</v>
      </c>
      <c r="I190" s="14">
        <v>0</v>
      </c>
    </row>
    <row r="191" spans="1:9">
      <c r="A191" s="14">
        <v>182</v>
      </c>
      <c r="B191" s="14">
        <v>0.42</v>
      </c>
      <c r="C191" s="14">
        <v>0.67033374918754252</v>
      </c>
      <c r="D191" s="14">
        <v>0.34828229665071769</v>
      </c>
      <c r="E191" s="14">
        <v>2.6230844113892818E-2</v>
      </c>
      <c r="F191" s="14">
        <v>1.0000000000000011E-3</v>
      </c>
      <c r="G191" s="14">
        <v>0.39560542788461539</v>
      </c>
      <c r="H191" s="14">
        <v>0.1210913461538462</v>
      </c>
      <c r="I191" s="14">
        <v>0</v>
      </c>
    </row>
    <row r="192" spans="1:9">
      <c r="A192" s="14">
        <v>183</v>
      </c>
      <c r="B192" s="14">
        <v>0.28899999999999998</v>
      </c>
      <c r="C192" s="14">
        <v>0.67033374918754252</v>
      </c>
      <c r="D192" s="14">
        <v>0.34828229665071769</v>
      </c>
      <c r="E192" s="14">
        <v>2.6230844113892818E-2</v>
      </c>
      <c r="F192" s="14">
        <v>0.13100000000000001</v>
      </c>
      <c r="G192" s="14">
        <v>0.39560542788461539</v>
      </c>
      <c r="H192" s="14">
        <v>0.1210913461538462</v>
      </c>
      <c r="I192" s="14">
        <v>0</v>
      </c>
    </row>
    <row r="193" spans="1:9">
      <c r="A193" s="14">
        <v>184</v>
      </c>
      <c r="B193" s="14">
        <v>0.45600000000000002</v>
      </c>
      <c r="C193" s="14">
        <v>0.67033374918754252</v>
      </c>
      <c r="D193" s="14">
        <v>0.34828229665071769</v>
      </c>
      <c r="E193" s="14">
        <v>2.6230844113892818E-2</v>
      </c>
      <c r="F193" s="14">
        <v>0.16700000000000001</v>
      </c>
      <c r="G193" s="14">
        <v>0.39560542788461539</v>
      </c>
      <c r="H193" s="14">
        <v>0.1210913461538462</v>
      </c>
      <c r="I193" s="14">
        <v>0</v>
      </c>
    </row>
    <row r="194" spans="1:9">
      <c r="A194" s="14">
        <v>185</v>
      </c>
      <c r="B194" s="14">
        <v>0.45700000000000002</v>
      </c>
      <c r="C194" s="14">
        <v>0.67033374918754252</v>
      </c>
      <c r="D194" s="14">
        <v>0.34828229665071769</v>
      </c>
      <c r="E194" s="14">
        <v>2.6230844113892818E-2</v>
      </c>
      <c r="F194" s="14">
        <v>1.0000000000000011E-3</v>
      </c>
      <c r="G194" s="14">
        <v>0.39560542788461539</v>
      </c>
      <c r="H194" s="14">
        <v>0.1210913461538462</v>
      </c>
      <c r="I194" s="14">
        <v>0</v>
      </c>
    </row>
    <row r="195" spans="1:9">
      <c r="A195" s="14">
        <v>186</v>
      </c>
      <c r="B195" s="14">
        <v>0.184</v>
      </c>
      <c r="C195" s="14">
        <v>0.67033374918754252</v>
      </c>
      <c r="D195" s="14">
        <v>0.34828229665071769</v>
      </c>
      <c r="E195" s="14">
        <v>2.6230844113892818E-2</v>
      </c>
      <c r="F195" s="14">
        <v>0.27300000000000002</v>
      </c>
      <c r="G195" s="14">
        <v>0.39560542788461539</v>
      </c>
      <c r="H195" s="14">
        <v>0.1210913461538462</v>
      </c>
      <c r="I195" s="14">
        <v>0</v>
      </c>
    </row>
    <row r="196" spans="1:9">
      <c r="A196" s="14">
        <v>187</v>
      </c>
      <c r="B196" s="14">
        <v>0.443</v>
      </c>
      <c r="C196" s="14">
        <v>0.67033374918754252</v>
      </c>
      <c r="D196" s="14">
        <v>0.34828229665071769</v>
      </c>
      <c r="E196" s="14">
        <v>2.6230844113892818E-2</v>
      </c>
      <c r="F196" s="14">
        <v>0.25900000000000001</v>
      </c>
      <c r="G196" s="14">
        <v>0.39560542788461539</v>
      </c>
      <c r="H196" s="14">
        <v>0.1210913461538462</v>
      </c>
      <c r="I196" s="14">
        <v>0</v>
      </c>
    </row>
    <row r="197" spans="1:9">
      <c r="A197" s="14">
        <v>188</v>
      </c>
      <c r="B197" s="14">
        <v>0.53500000000000003</v>
      </c>
      <c r="C197" s="14">
        <v>0.67033374918754252</v>
      </c>
      <c r="D197" s="14">
        <v>0.34828229665071769</v>
      </c>
      <c r="E197" s="14">
        <v>2.6230844113892818E-2</v>
      </c>
      <c r="F197" s="14">
        <v>9.2000000000000026E-2</v>
      </c>
      <c r="G197" s="14">
        <v>0.39560542788461539</v>
      </c>
      <c r="H197" s="14">
        <v>0.1210913461538462</v>
      </c>
      <c r="I197" s="14">
        <v>0</v>
      </c>
    </row>
    <row r="198" spans="1:9">
      <c r="A198" s="14">
        <v>189</v>
      </c>
      <c r="B198" s="14">
        <v>0.499</v>
      </c>
      <c r="C198" s="14">
        <v>0.67033374918754252</v>
      </c>
      <c r="D198" s="14">
        <v>0.34828229665071769</v>
      </c>
      <c r="E198" s="14">
        <v>2.6230844113892818E-2</v>
      </c>
      <c r="F198" s="14">
        <v>3.6000000000000032E-2</v>
      </c>
      <c r="G198" s="14">
        <v>0.39560542788461539</v>
      </c>
      <c r="H198" s="14">
        <v>0.1210913461538462</v>
      </c>
      <c r="I198" s="14">
        <v>0</v>
      </c>
    </row>
    <row r="199" spans="1:9">
      <c r="A199" s="14">
        <v>190</v>
      </c>
      <c r="B199" s="14">
        <v>0.42699999999999999</v>
      </c>
      <c r="C199" s="14">
        <v>0.67033374918754252</v>
      </c>
      <c r="D199" s="14">
        <v>0.34828229665071769</v>
      </c>
      <c r="E199" s="14">
        <v>2.6230844113892818E-2</v>
      </c>
      <c r="F199" s="14">
        <v>7.2000000000000008E-2</v>
      </c>
      <c r="G199" s="14">
        <v>0.39560542788461539</v>
      </c>
      <c r="H199" s="14">
        <v>0.1210913461538462</v>
      </c>
      <c r="I199" s="14">
        <v>0</v>
      </c>
    </row>
    <row r="200" spans="1:9">
      <c r="A200" s="14">
        <v>191</v>
      </c>
      <c r="B200" s="14">
        <v>0.63300000000000001</v>
      </c>
      <c r="C200" s="14">
        <v>0.67033374918754252</v>
      </c>
      <c r="D200" s="14">
        <v>0.34828229665071769</v>
      </c>
      <c r="E200" s="14">
        <v>2.6230844113892818E-2</v>
      </c>
      <c r="F200" s="14">
        <v>0.20599999999999999</v>
      </c>
      <c r="G200" s="14">
        <v>0.39560542788461539</v>
      </c>
      <c r="H200" s="14">
        <v>0.1210913461538462</v>
      </c>
      <c r="I200" s="14">
        <v>0</v>
      </c>
    </row>
    <row r="201" spans="1:9">
      <c r="A201" s="14">
        <v>192</v>
      </c>
      <c r="B201" s="14">
        <v>0.16400000000000001</v>
      </c>
      <c r="C201" s="14">
        <v>0.67033374918754252</v>
      </c>
      <c r="D201" s="14">
        <v>0.34828229665071769</v>
      </c>
      <c r="E201" s="14">
        <v>2.6230844113892818E-2</v>
      </c>
      <c r="F201" s="14">
        <v>0.46899999999999997</v>
      </c>
      <c r="G201" s="14">
        <v>0.39560542788461539</v>
      </c>
      <c r="H201" s="14">
        <v>0.1210913461538462</v>
      </c>
      <c r="I201" s="14">
        <v>0</v>
      </c>
    </row>
    <row r="202" spans="1:9">
      <c r="A202" s="14">
        <v>193</v>
      </c>
      <c r="B202" s="14">
        <v>0.45600000000000002</v>
      </c>
      <c r="C202" s="14">
        <v>0.67033374918754252</v>
      </c>
      <c r="D202" s="14">
        <v>0.34828229665071769</v>
      </c>
      <c r="E202" s="14">
        <v>2.6230844113892818E-2</v>
      </c>
      <c r="F202" s="14">
        <v>0.29199999999999998</v>
      </c>
      <c r="G202" s="14">
        <v>0.39560542788461539</v>
      </c>
      <c r="H202" s="14">
        <v>0.1210913461538462</v>
      </c>
      <c r="I202" s="14">
        <v>0</v>
      </c>
    </row>
    <row r="203" spans="1:9">
      <c r="A203" s="14">
        <v>194</v>
      </c>
      <c r="B203" s="14">
        <v>0.46800000000000003</v>
      </c>
      <c r="C203" s="14">
        <v>0.67033374918754252</v>
      </c>
      <c r="D203" s="14">
        <v>0.34828229665071769</v>
      </c>
      <c r="E203" s="14">
        <v>2.6230844113892818E-2</v>
      </c>
      <c r="F203" s="14">
        <v>1.2000000000000011E-2</v>
      </c>
      <c r="G203" s="14">
        <v>0.39560542788461539</v>
      </c>
      <c r="H203" s="14">
        <v>0.1210913461538462</v>
      </c>
      <c r="I203" s="14">
        <v>0</v>
      </c>
    </row>
    <row r="204" spans="1:9">
      <c r="A204" s="14">
        <v>195</v>
      </c>
      <c r="B204" s="14">
        <v>0.57099999999999995</v>
      </c>
      <c r="C204" s="14">
        <v>0.67033374918754252</v>
      </c>
      <c r="D204" s="14">
        <v>0.34828229665071769</v>
      </c>
      <c r="E204" s="14">
        <v>2.6230844113892818E-2</v>
      </c>
      <c r="F204" s="14">
        <v>0.1029999999999999</v>
      </c>
      <c r="G204" s="14">
        <v>0.39560542788461539</v>
      </c>
      <c r="H204" s="14">
        <v>0.1210913461538462</v>
      </c>
      <c r="I204" s="14">
        <v>0</v>
      </c>
    </row>
    <row r="205" spans="1:9">
      <c r="A205" s="14">
        <v>196</v>
      </c>
      <c r="B205" s="14">
        <v>0.23400000000000001</v>
      </c>
      <c r="C205" s="14">
        <v>0.67033374918754252</v>
      </c>
      <c r="D205" s="14">
        <v>0.34828229665071769</v>
      </c>
      <c r="E205" s="14">
        <v>2.6230844113892818E-2</v>
      </c>
      <c r="F205" s="14">
        <v>0.33700000000000002</v>
      </c>
      <c r="G205" s="14">
        <v>0.39560542788461539</v>
      </c>
      <c r="H205" s="14">
        <v>0.1210913461538462</v>
      </c>
      <c r="I205" s="14">
        <v>0</v>
      </c>
    </row>
    <row r="206" spans="1:9">
      <c r="A206" s="14">
        <v>197</v>
      </c>
      <c r="B206" s="14">
        <v>0.56499999999999995</v>
      </c>
      <c r="C206" s="14">
        <v>0.67033374918754252</v>
      </c>
      <c r="D206" s="14">
        <v>0.34828229665071769</v>
      </c>
      <c r="E206" s="14">
        <v>2.6230844113892818E-2</v>
      </c>
      <c r="F206" s="14">
        <v>0.33100000000000002</v>
      </c>
      <c r="G206" s="14">
        <v>0.39560542788461539</v>
      </c>
      <c r="H206" s="14">
        <v>0.1210913461538462</v>
      </c>
      <c r="I206" s="14">
        <v>0</v>
      </c>
    </row>
    <row r="207" spans="1:9">
      <c r="A207" s="14">
        <v>198</v>
      </c>
      <c r="B207" s="14">
        <v>0.218</v>
      </c>
      <c r="C207" s="14">
        <v>0.67033374918754252</v>
      </c>
      <c r="D207" s="14">
        <v>0.34828229665071769</v>
      </c>
      <c r="E207" s="14">
        <v>2.6230844113892818E-2</v>
      </c>
      <c r="F207" s="14">
        <v>0.34699999999999998</v>
      </c>
      <c r="G207" s="14">
        <v>0.39560542788461539</v>
      </c>
      <c r="H207" s="14">
        <v>0.1210913461538462</v>
      </c>
      <c r="I207" s="14">
        <v>0</v>
      </c>
    </row>
    <row r="208" spans="1:9">
      <c r="A208" s="14">
        <v>199</v>
      </c>
      <c r="B208" s="14">
        <v>0.26500000000000001</v>
      </c>
      <c r="C208" s="14">
        <v>0.67033374918754252</v>
      </c>
      <c r="D208" s="14">
        <v>0.34828229665071769</v>
      </c>
      <c r="E208" s="14">
        <v>2.6230844113892818E-2</v>
      </c>
      <c r="F208" s="14">
        <v>4.7000000000000007E-2</v>
      </c>
      <c r="G208" s="14">
        <v>0.39560542788461539</v>
      </c>
      <c r="H208" s="14">
        <v>0.1210913461538462</v>
      </c>
      <c r="I208" s="14">
        <v>0</v>
      </c>
    </row>
    <row r="209" spans="1:9">
      <c r="A209" s="14">
        <v>200</v>
      </c>
      <c r="B209" s="14">
        <v>0.223</v>
      </c>
      <c r="C209" s="14">
        <v>0.67033374918754252</v>
      </c>
      <c r="D209" s="14">
        <v>0.34828229665071769</v>
      </c>
      <c r="E209" s="14">
        <v>2.6230844113892818E-2</v>
      </c>
      <c r="F209" s="14">
        <v>4.200000000000001E-2</v>
      </c>
      <c r="G209" s="14">
        <v>0.39560542788461539</v>
      </c>
      <c r="H209" s="14">
        <v>0.1210913461538462</v>
      </c>
      <c r="I209" s="14">
        <v>0</v>
      </c>
    </row>
    <row r="210" spans="1:9">
      <c r="A210" s="14">
        <v>201</v>
      </c>
      <c r="B210" s="14">
        <v>0.36799999999999999</v>
      </c>
      <c r="C210" s="14">
        <v>0.67033374918754252</v>
      </c>
      <c r="D210" s="14">
        <v>0.34828229665071769</v>
      </c>
      <c r="E210" s="14">
        <v>2.6230844113892818E-2</v>
      </c>
      <c r="F210" s="14">
        <v>0.14499999999999999</v>
      </c>
      <c r="G210" s="14">
        <v>0.39560542788461539</v>
      </c>
      <c r="H210" s="14">
        <v>0.1210913461538462</v>
      </c>
      <c r="I210" s="14">
        <v>0</v>
      </c>
    </row>
    <row r="211" spans="1:9">
      <c r="A211" s="14">
        <v>202</v>
      </c>
      <c r="B211" s="14">
        <v>0.29099999999999998</v>
      </c>
      <c r="C211" s="14">
        <v>0.67033374918754252</v>
      </c>
      <c r="D211" s="14">
        <v>0.34828229665071769</v>
      </c>
      <c r="E211" s="14">
        <v>2.6230844113892818E-2</v>
      </c>
      <c r="F211" s="14">
        <v>7.7000000000000013E-2</v>
      </c>
      <c r="G211" s="14">
        <v>0.39560542788461539</v>
      </c>
      <c r="H211" s="14">
        <v>0.1210913461538462</v>
      </c>
      <c r="I211" s="14">
        <v>0</v>
      </c>
    </row>
    <row r="212" spans="1:9">
      <c r="A212" s="14">
        <v>203</v>
      </c>
      <c r="B212" s="14">
        <v>0.26900000000000002</v>
      </c>
      <c r="C212" s="14">
        <v>0.67033374918754252</v>
      </c>
      <c r="D212" s="14">
        <v>0.34828229665071769</v>
      </c>
      <c r="E212" s="14">
        <v>2.6230844113892818E-2</v>
      </c>
      <c r="F212" s="14">
        <v>2.1999999999999961E-2</v>
      </c>
      <c r="G212" s="14">
        <v>0.39560542788461539</v>
      </c>
      <c r="H212" s="14">
        <v>0.1210913461538462</v>
      </c>
      <c r="I212" s="14">
        <v>0</v>
      </c>
    </row>
    <row r="213" spans="1:9">
      <c r="A213" s="14">
        <v>204</v>
      </c>
      <c r="B213" s="14">
        <v>0.39200000000000002</v>
      </c>
      <c r="C213" s="14">
        <v>0.67033374918754252</v>
      </c>
      <c r="D213" s="14">
        <v>0.34828229665071769</v>
      </c>
      <c r="E213" s="14">
        <v>2.6230844113892818E-2</v>
      </c>
      <c r="F213" s="14">
        <v>0.123</v>
      </c>
      <c r="G213" s="14">
        <v>0.39560542788461539</v>
      </c>
      <c r="H213" s="14">
        <v>0.1210913461538462</v>
      </c>
      <c r="I213" s="14">
        <v>0</v>
      </c>
    </row>
    <row r="214" spans="1:9">
      <c r="A214" s="14">
        <v>205</v>
      </c>
      <c r="B214" s="14">
        <v>0.47899999999999998</v>
      </c>
      <c r="C214" s="14">
        <v>0.67033374918754252</v>
      </c>
      <c r="D214" s="14">
        <v>0.34828229665071769</v>
      </c>
      <c r="E214" s="14">
        <v>2.6230844113892818E-2</v>
      </c>
      <c r="F214" s="14">
        <v>8.6999999999999966E-2</v>
      </c>
      <c r="G214" s="14">
        <v>0.39560542788461539</v>
      </c>
      <c r="H214" s="14">
        <v>0.1210913461538462</v>
      </c>
      <c r="I214" s="14">
        <v>0</v>
      </c>
    </row>
    <row r="215" spans="1:9">
      <c r="A215" s="14">
        <v>206</v>
      </c>
      <c r="B215" s="14">
        <v>0.52300000000000002</v>
      </c>
      <c r="C215" s="14">
        <v>0.67033374918754252</v>
      </c>
      <c r="D215" s="14">
        <v>0.34828229665071769</v>
      </c>
      <c r="E215" s="14">
        <v>2.6230844113892818E-2</v>
      </c>
      <c r="F215" s="14">
        <v>4.4000000000000039E-2</v>
      </c>
      <c r="G215" s="14">
        <v>0.39560542788461539</v>
      </c>
      <c r="H215" s="14">
        <v>0.1210913461538462</v>
      </c>
      <c r="I215" s="14">
        <v>0</v>
      </c>
    </row>
    <row r="216" spans="1:9">
      <c r="A216" s="14">
        <v>207</v>
      </c>
      <c r="B216" s="14">
        <v>0.40500000000000003</v>
      </c>
      <c r="C216" s="14">
        <v>0.67033374918754252</v>
      </c>
      <c r="D216" s="14">
        <v>0.34828229665071769</v>
      </c>
      <c r="E216" s="14">
        <v>2.6230844113892818E-2</v>
      </c>
      <c r="F216" s="14">
        <v>0.11799999999999999</v>
      </c>
      <c r="G216" s="14">
        <v>0.39560542788461539</v>
      </c>
      <c r="H216" s="14">
        <v>0.1210913461538462</v>
      </c>
      <c r="I216" s="14">
        <v>0</v>
      </c>
    </row>
    <row r="217" spans="1:9">
      <c r="A217" s="14">
        <v>208</v>
      </c>
      <c r="B217" s="14">
        <v>0.52500000000000002</v>
      </c>
      <c r="C217" s="14">
        <v>0.67033374918754252</v>
      </c>
      <c r="D217" s="14">
        <v>0.34828229665071769</v>
      </c>
      <c r="E217" s="14">
        <v>2.6230844113892818E-2</v>
      </c>
      <c r="F217" s="14">
        <v>0.12</v>
      </c>
      <c r="G217" s="14">
        <v>0.39560542788461539</v>
      </c>
      <c r="H217" s="14">
        <v>0.1210913461538462</v>
      </c>
      <c r="I217" s="14">
        <v>0</v>
      </c>
    </row>
    <row r="218" spans="1:9">
      <c r="A218" s="14">
        <v>209</v>
      </c>
      <c r="B218" s="14">
        <v>0.13900000000000001</v>
      </c>
      <c r="C218" s="14">
        <v>0.67033374918754252</v>
      </c>
      <c r="D218" s="14">
        <v>0.34828229665071769</v>
      </c>
      <c r="E218" s="14">
        <v>2.6230844113892818E-2</v>
      </c>
      <c r="F218" s="14">
        <v>0.38600000000000001</v>
      </c>
      <c r="G218" s="14">
        <v>0.39560542788461539</v>
      </c>
      <c r="H218" s="14">
        <v>0.1210913461538462</v>
      </c>
      <c r="I218" s="14">
        <v>0</v>
      </c>
    </row>
  </sheetData>
  <phoneticPr fontId="5" type="noConversion"/>
  <pageMargins left="0.75" right="0.75" top="1" bottom="1" header="0.5" footer="0.5"/>
  <headerFooter>
    <oddHeader>&amp;L&amp;C&amp;BTTV_IMR&amp;B&amp;RMR12-03(001)A  生效日: 2025-12-21</oddHeader>
    <evenHeader>&amp;L&amp;C&amp;BTTV_IMR&amp;B&amp;RMR12-03(001)A  生效日: 2025-12-21</even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MR12-03(001)A_Template</vt:lpstr>
      <vt:lpstr>AOI_u_Laney</vt:lpstr>
      <vt:lpstr>Thickness_XbarR</vt:lpstr>
      <vt:lpstr>TTV_IMR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USER</cp:lastModifiedBy>
  <cp:revision/>
  <dcterms:created xsi:type="dcterms:W3CDTF">2025-12-21T13:13:38Z</dcterms:created>
  <dcterms:modified xsi:type="dcterms:W3CDTF">2025-12-22T03:08:14Z</dcterms:modified>
  <cp:category/>
  <cp:contentStatus/>
</cp:coreProperties>
</file>