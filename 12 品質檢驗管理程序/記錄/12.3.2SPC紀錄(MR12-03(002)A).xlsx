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770" windowHeight="11895"/>
  </bookViews>
  <sheets>
    <sheet name="MR12-03(002)總結報告" sheetId="5" r:id="rId1"/>
    <sheet name="AOI(Particle)_SPC" sheetId="6" r:id="rId2"/>
    <sheet name="HYBOX1_Particle_SPC" sheetId="13" r:id="rId3"/>
    <sheet name="HYBOX2_Particle_SPC" sheetId="14" r:id="rId4"/>
    <sheet name="Thickness_SPC" sheetId="7" r:id="rId5"/>
    <sheet name="HYBOX1_Thickness_SPC" sheetId="9" r:id="rId6"/>
    <sheet name="HYBOX2_Thickness_SPC" sheetId="10" r:id="rId7"/>
    <sheet name="TTV_SPC" sheetId="8" r:id="rId8"/>
    <sheet name="HYBOX1_TTV_SPC" sheetId="11" r:id="rId9"/>
    <sheet name="HYBOX2_TTV_SPC" sheetId="12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5" l="1"/>
  <c r="H20" i="5"/>
  <c r="I20" i="5" l="1"/>
  <c r="H19" i="5"/>
  <c r="H18" i="5"/>
  <c r="F3" i="7" l="1"/>
  <c r="F4" i="7"/>
  <c r="L309" i="14"/>
  <c r="F309" i="14"/>
  <c r="L308" i="14"/>
  <c r="F308" i="14"/>
  <c r="L307" i="14"/>
  <c r="F307" i="14"/>
  <c r="L306" i="14"/>
  <c r="F306" i="14"/>
  <c r="L305" i="14"/>
  <c r="F305" i="14"/>
  <c r="L304" i="14"/>
  <c r="F304" i="14"/>
  <c r="L303" i="14"/>
  <c r="F303" i="14"/>
  <c r="L302" i="14"/>
  <c r="F302" i="14"/>
  <c r="L301" i="14"/>
  <c r="F301" i="14"/>
  <c r="L300" i="14"/>
  <c r="F300" i="14"/>
  <c r="L299" i="14"/>
  <c r="F299" i="14"/>
  <c r="L298" i="14"/>
  <c r="F298" i="14"/>
  <c r="L297" i="14"/>
  <c r="F297" i="14"/>
  <c r="L296" i="14"/>
  <c r="F296" i="14"/>
  <c r="L295" i="14"/>
  <c r="F295" i="14"/>
  <c r="L294" i="14"/>
  <c r="F294" i="14"/>
  <c r="L293" i="14"/>
  <c r="F293" i="14"/>
  <c r="L292" i="14"/>
  <c r="F292" i="14"/>
  <c r="L291" i="14"/>
  <c r="F291" i="14"/>
  <c r="L290" i="14"/>
  <c r="F290" i="14"/>
  <c r="L289" i="14"/>
  <c r="F289" i="14"/>
  <c r="L288" i="14"/>
  <c r="F288" i="14"/>
  <c r="L287" i="14"/>
  <c r="F287" i="14"/>
  <c r="L286" i="14"/>
  <c r="F286" i="14"/>
  <c r="L285" i="14"/>
  <c r="F285" i="14"/>
  <c r="L284" i="14"/>
  <c r="F284" i="14"/>
  <c r="L283" i="14"/>
  <c r="F283" i="14"/>
  <c r="L282" i="14"/>
  <c r="F282" i="14"/>
  <c r="L281" i="14"/>
  <c r="F281" i="14"/>
  <c r="L280" i="14"/>
  <c r="F280" i="14"/>
  <c r="L279" i="14"/>
  <c r="F279" i="14"/>
  <c r="L278" i="14"/>
  <c r="F278" i="14"/>
  <c r="L277" i="14"/>
  <c r="F277" i="14"/>
  <c r="L276" i="14"/>
  <c r="F276" i="14"/>
  <c r="L275" i="14"/>
  <c r="F275" i="14"/>
  <c r="L274" i="14"/>
  <c r="F274" i="14"/>
  <c r="L273" i="14"/>
  <c r="F273" i="14"/>
  <c r="L272" i="14"/>
  <c r="F272" i="14"/>
  <c r="L271" i="14"/>
  <c r="F271" i="14"/>
  <c r="L270" i="14"/>
  <c r="F270" i="14"/>
  <c r="L269" i="14"/>
  <c r="F269" i="14"/>
  <c r="L268" i="14"/>
  <c r="F268" i="14"/>
  <c r="L267" i="14"/>
  <c r="F267" i="14"/>
  <c r="L266" i="14"/>
  <c r="F266" i="14"/>
  <c r="L265" i="14"/>
  <c r="F265" i="14"/>
  <c r="L264" i="14"/>
  <c r="F264" i="14"/>
  <c r="L263" i="14"/>
  <c r="F263" i="14"/>
  <c r="L262" i="14"/>
  <c r="F262" i="14"/>
  <c r="L261" i="14"/>
  <c r="F261" i="14"/>
  <c r="L260" i="14"/>
  <c r="F260" i="14"/>
  <c r="L259" i="14"/>
  <c r="F259" i="14"/>
  <c r="L258" i="14"/>
  <c r="F258" i="14"/>
  <c r="L257" i="14"/>
  <c r="F257" i="14"/>
  <c r="L256" i="14"/>
  <c r="F256" i="14"/>
  <c r="L255" i="14"/>
  <c r="F255" i="14"/>
  <c r="L254" i="14"/>
  <c r="F254" i="14"/>
  <c r="L253" i="14"/>
  <c r="F253" i="14"/>
  <c r="L252" i="14"/>
  <c r="F252" i="14"/>
  <c r="L251" i="14"/>
  <c r="F251" i="14"/>
  <c r="L250" i="14"/>
  <c r="F250" i="14"/>
  <c r="L249" i="14"/>
  <c r="F249" i="14"/>
  <c r="L248" i="14"/>
  <c r="F248" i="14"/>
  <c r="L247" i="14"/>
  <c r="F247" i="14"/>
  <c r="L246" i="14"/>
  <c r="F246" i="14"/>
  <c r="L245" i="14"/>
  <c r="F245" i="14"/>
  <c r="L244" i="14"/>
  <c r="F244" i="14"/>
  <c r="L243" i="14"/>
  <c r="F243" i="14"/>
  <c r="L242" i="14"/>
  <c r="F242" i="14"/>
  <c r="L241" i="14"/>
  <c r="F241" i="14"/>
  <c r="L240" i="14"/>
  <c r="F240" i="14"/>
  <c r="L239" i="14"/>
  <c r="F239" i="14"/>
  <c r="L238" i="14"/>
  <c r="F238" i="14"/>
  <c r="L237" i="14"/>
  <c r="F237" i="14"/>
  <c r="L236" i="14"/>
  <c r="F236" i="14"/>
  <c r="L235" i="14"/>
  <c r="F235" i="14"/>
  <c r="L234" i="14"/>
  <c r="F234" i="14"/>
  <c r="L233" i="14"/>
  <c r="F233" i="14"/>
  <c r="L232" i="14"/>
  <c r="F232" i="14"/>
  <c r="L231" i="14"/>
  <c r="F231" i="14"/>
  <c r="L230" i="14"/>
  <c r="F230" i="14"/>
  <c r="L229" i="14"/>
  <c r="F229" i="14"/>
  <c r="L228" i="14"/>
  <c r="F228" i="14"/>
  <c r="L227" i="14"/>
  <c r="F227" i="14"/>
  <c r="L226" i="14"/>
  <c r="F226" i="14"/>
  <c r="L225" i="14"/>
  <c r="F225" i="14"/>
  <c r="L224" i="14"/>
  <c r="F224" i="14"/>
  <c r="L223" i="14"/>
  <c r="F223" i="14"/>
  <c r="L222" i="14"/>
  <c r="F222" i="14"/>
  <c r="L221" i="14"/>
  <c r="F221" i="14"/>
  <c r="L220" i="14"/>
  <c r="F220" i="14"/>
  <c r="L219" i="14"/>
  <c r="F219" i="14"/>
  <c r="L218" i="14"/>
  <c r="F218" i="14"/>
  <c r="L217" i="14"/>
  <c r="F217" i="14"/>
  <c r="L216" i="14"/>
  <c r="F216" i="14"/>
  <c r="L215" i="14"/>
  <c r="F215" i="14"/>
  <c r="L214" i="14"/>
  <c r="F214" i="14"/>
  <c r="L213" i="14"/>
  <c r="F213" i="14"/>
  <c r="L212" i="14"/>
  <c r="F212" i="14"/>
  <c r="L211" i="14"/>
  <c r="F211" i="14"/>
  <c r="L210" i="14"/>
  <c r="F210" i="14"/>
  <c r="L209" i="14"/>
  <c r="F209" i="14"/>
  <c r="L208" i="14"/>
  <c r="F208" i="14"/>
  <c r="L207" i="14"/>
  <c r="F207" i="14"/>
  <c r="L206" i="14"/>
  <c r="F206" i="14"/>
  <c r="L205" i="14"/>
  <c r="F205" i="14"/>
  <c r="L204" i="14"/>
  <c r="F204" i="14"/>
  <c r="L203" i="14"/>
  <c r="F203" i="14"/>
  <c r="L202" i="14"/>
  <c r="F202" i="14"/>
  <c r="L201" i="14"/>
  <c r="F201" i="14"/>
  <c r="L200" i="14"/>
  <c r="F200" i="14"/>
  <c r="L199" i="14"/>
  <c r="F199" i="14"/>
  <c r="L198" i="14"/>
  <c r="F198" i="14"/>
  <c r="L197" i="14"/>
  <c r="F197" i="14"/>
  <c r="L196" i="14"/>
  <c r="F196" i="14"/>
  <c r="L195" i="14"/>
  <c r="F195" i="14"/>
  <c r="L194" i="14"/>
  <c r="F194" i="14"/>
  <c r="L193" i="14"/>
  <c r="F193" i="14"/>
  <c r="L192" i="14"/>
  <c r="F192" i="14"/>
  <c r="L191" i="14"/>
  <c r="F191" i="14"/>
  <c r="L190" i="14"/>
  <c r="F190" i="14"/>
  <c r="L189" i="14"/>
  <c r="F189" i="14"/>
  <c r="L188" i="14"/>
  <c r="F188" i="14"/>
  <c r="L187" i="14"/>
  <c r="F187" i="14"/>
  <c r="L186" i="14"/>
  <c r="F186" i="14"/>
  <c r="L185" i="14"/>
  <c r="F185" i="14"/>
  <c r="L184" i="14"/>
  <c r="F184" i="14"/>
  <c r="L183" i="14"/>
  <c r="F183" i="14"/>
  <c r="L182" i="14"/>
  <c r="F182" i="14"/>
  <c r="L181" i="14"/>
  <c r="F181" i="14"/>
  <c r="L180" i="14"/>
  <c r="F180" i="14"/>
  <c r="L179" i="14"/>
  <c r="F179" i="14"/>
  <c r="L178" i="14"/>
  <c r="F178" i="14"/>
  <c r="L177" i="14"/>
  <c r="F177" i="14"/>
  <c r="L176" i="14"/>
  <c r="F176" i="14"/>
  <c r="L175" i="14"/>
  <c r="F175" i="14"/>
  <c r="L174" i="14"/>
  <c r="F174" i="14"/>
  <c r="L173" i="14"/>
  <c r="F173" i="14"/>
  <c r="L172" i="14"/>
  <c r="F172" i="14"/>
  <c r="L171" i="14"/>
  <c r="F171" i="14"/>
  <c r="L170" i="14"/>
  <c r="F170" i="14"/>
  <c r="L169" i="14"/>
  <c r="F169" i="14"/>
  <c r="L168" i="14"/>
  <c r="F168" i="14"/>
  <c r="L167" i="14"/>
  <c r="F167" i="14"/>
  <c r="L166" i="14"/>
  <c r="F166" i="14"/>
  <c r="L165" i="14"/>
  <c r="F165" i="14"/>
  <c r="L164" i="14"/>
  <c r="F164" i="14"/>
  <c r="L163" i="14"/>
  <c r="F163" i="14"/>
  <c r="L162" i="14"/>
  <c r="F162" i="14"/>
  <c r="L161" i="14"/>
  <c r="F161" i="14"/>
  <c r="L160" i="14"/>
  <c r="F160" i="14"/>
  <c r="L159" i="14"/>
  <c r="F159" i="14"/>
  <c r="L158" i="14"/>
  <c r="F158" i="14"/>
  <c r="L157" i="14"/>
  <c r="F157" i="14"/>
  <c r="L156" i="14"/>
  <c r="F156" i="14"/>
  <c r="L155" i="14"/>
  <c r="F155" i="14"/>
  <c r="L154" i="14"/>
  <c r="F154" i="14"/>
  <c r="L153" i="14"/>
  <c r="F153" i="14"/>
  <c r="L152" i="14"/>
  <c r="F152" i="14"/>
  <c r="L151" i="14"/>
  <c r="F151" i="14"/>
  <c r="L150" i="14"/>
  <c r="F150" i="14"/>
  <c r="L149" i="14"/>
  <c r="F149" i="14"/>
  <c r="L148" i="14"/>
  <c r="F148" i="14"/>
  <c r="L147" i="14"/>
  <c r="F147" i="14"/>
  <c r="L146" i="14"/>
  <c r="F146" i="14"/>
  <c r="L145" i="14"/>
  <c r="F145" i="14"/>
  <c r="L144" i="14"/>
  <c r="F144" i="14"/>
  <c r="L143" i="14"/>
  <c r="F143" i="14"/>
  <c r="L142" i="14"/>
  <c r="F142" i="14"/>
  <c r="L141" i="14"/>
  <c r="F141" i="14"/>
  <c r="L140" i="14"/>
  <c r="F140" i="14"/>
  <c r="L139" i="14"/>
  <c r="F139" i="14"/>
  <c r="L138" i="14"/>
  <c r="F138" i="14"/>
  <c r="L137" i="14"/>
  <c r="F137" i="14"/>
  <c r="L136" i="14"/>
  <c r="F136" i="14"/>
  <c r="L135" i="14"/>
  <c r="F135" i="14"/>
  <c r="L134" i="14"/>
  <c r="F134" i="14"/>
  <c r="L133" i="14"/>
  <c r="F133" i="14"/>
  <c r="L132" i="14"/>
  <c r="F132" i="14"/>
  <c r="L131" i="14"/>
  <c r="F131" i="14"/>
  <c r="L130" i="14"/>
  <c r="F130" i="14"/>
  <c r="L129" i="14"/>
  <c r="F129" i="14"/>
  <c r="L128" i="14"/>
  <c r="F128" i="14"/>
  <c r="L127" i="14"/>
  <c r="F127" i="14"/>
  <c r="L126" i="14"/>
  <c r="F126" i="14"/>
  <c r="L125" i="14"/>
  <c r="F125" i="14"/>
  <c r="L124" i="14"/>
  <c r="F124" i="14"/>
  <c r="L123" i="14"/>
  <c r="F123" i="14"/>
  <c r="L122" i="14"/>
  <c r="F122" i="14"/>
  <c r="L121" i="14"/>
  <c r="F121" i="14"/>
  <c r="L120" i="14"/>
  <c r="F120" i="14"/>
  <c r="L119" i="14"/>
  <c r="F119" i="14"/>
  <c r="L118" i="14"/>
  <c r="F118" i="14"/>
  <c r="L117" i="14"/>
  <c r="F117" i="14"/>
  <c r="L116" i="14"/>
  <c r="F116" i="14"/>
  <c r="L115" i="14"/>
  <c r="F115" i="14"/>
  <c r="L114" i="14"/>
  <c r="F114" i="14"/>
  <c r="L113" i="14"/>
  <c r="F113" i="14"/>
  <c r="L112" i="14"/>
  <c r="F112" i="14"/>
  <c r="L111" i="14"/>
  <c r="F111" i="14"/>
  <c r="L110" i="14"/>
  <c r="F110" i="14"/>
  <c r="L109" i="14"/>
  <c r="F109" i="14"/>
  <c r="L108" i="14"/>
  <c r="F108" i="14"/>
  <c r="L107" i="14"/>
  <c r="F107" i="14"/>
  <c r="L106" i="14"/>
  <c r="F106" i="14"/>
  <c r="L105" i="14"/>
  <c r="F105" i="14"/>
  <c r="L104" i="14"/>
  <c r="F104" i="14"/>
  <c r="L103" i="14"/>
  <c r="F103" i="14"/>
  <c r="L102" i="14"/>
  <c r="F102" i="14"/>
  <c r="L101" i="14"/>
  <c r="F101" i="14"/>
  <c r="L100" i="14"/>
  <c r="F100" i="14"/>
  <c r="L99" i="14"/>
  <c r="F99" i="14"/>
  <c r="L98" i="14"/>
  <c r="F98" i="14"/>
  <c r="L97" i="14"/>
  <c r="F97" i="14"/>
  <c r="L96" i="14"/>
  <c r="F96" i="14"/>
  <c r="L95" i="14"/>
  <c r="F95" i="14"/>
  <c r="L94" i="14"/>
  <c r="F94" i="14"/>
  <c r="L93" i="14"/>
  <c r="F93" i="14"/>
  <c r="L92" i="14"/>
  <c r="F92" i="14"/>
  <c r="L91" i="14"/>
  <c r="F91" i="14"/>
  <c r="L90" i="14"/>
  <c r="F90" i="14"/>
  <c r="L89" i="14"/>
  <c r="F89" i="14"/>
  <c r="L88" i="14"/>
  <c r="F88" i="14"/>
  <c r="L87" i="14"/>
  <c r="F87" i="14"/>
  <c r="L86" i="14"/>
  <c r="F86" i="14"/>
  <c r="L85" i="14"/>
  <c r="F85" i="14"/>
  <c r="L84" i="14"/>
  <c r="F84" i="14"/>
  <c r="L83" i="14"/>
  <c r="F83" i="14"/>
  <c r="L82" i="14"/>
  <c r="F82" i="14"/>
  <c r="L81" i="14"/>
  <c r="F81" i="14"/>
  <c r="L80" i="14"/>
  <c r="F80" i="14"/>
  <c r="L79" i="14"/>
  <c r="F79" i="14"/>
  <c r="L78" i="14"/>
  <c r="F78" i="14"/>
  <c r="L77" i="14"/>
  <c r="F77" i="14"/>
  <c r="L76" i="14"/>
  <c r="F76" i="14"/>
  <c r="L75" i="14"/>
  <c r="F75" i="14"/>
  <c r="L74" i="14"/>
  <c r="F74" i="14"/>
  <c r="L73" i="14"/>
  <c r="F73" i="14"/>
  <c r="L72" i="14"/>
  <c r="F72" i="14"/>
  <c r="L71" i="14"/>
  <c r="F71" i="14"/>
  <c r="L70" i="14"/>
  <c r="F70" i="14"/>
  <c r="L69" i="14"/>
  <c r="F69" i="14"/>
  <c r="L68" i="14"/>
  <c r="F68" i="14"/>
  <c r="L67" i="14"/>
  <c r="F67" i="14"/>
  <c r="L66" i="14"/>
  <c r="F66" i="14"/>
  <c r="L65" i="14"/>
  <c r="F65" i="14"/>
  <c r="L64" i="14"/>
  <c r="F64" i="14"/>
  <c r="L63" i="14"/>
  <c r="F63" i="14"/>
  <c r="L62" i="14"/>
  <c r="F62" i="14"/>
  <c r="L61" i="14"/>
  <c r="F61" i="14"/>
  <c r="L60" i="14"/>
  <c r="F60" i="14"/>
  <c r="L59" i="14"/>
  <c r="F59" i="14"/>
  <c r="L58" i="14"/>
  <c r="F58" i="14"/>
  <c r="L57" i="14"/>
  <c r="F57" i="14"/>
  <c r="L56" i="14"/>
  <c r="F56" i="14"/>
  <c r="L55" i="14"/>
  <c r="F55" i="14"/>
  <c r="L54" i="14"/>
  <c r="F54" i="14"/>
  <c r="L53" i="14"/>
  <c r="F53" i="14"/>
  <c r="L52" i="14"/>
  <c r="F52" i="14"/>
  <c r="L51" i="14"/>
  <c r="F51" i="14"/>
  <c r="L50" i="14"/>
  <c r="F50" i="14"/>
  <c r="L49" i="14"/>
  <c r="F49" i="14"/>
  <c r="L48" i="14"/>
  <c r="F48" i="14"/>
  <c r="L47" i="14"/>
  <c r="F47" i="14"/>
  <c r="L46" i="14"/>
  <c r="F46" i="14"/>
  <c r="L45" i="14"/>
  <c r="F45" i="14"/>
  <c r="L44" i="14"/>
  <c r="F44" i="14"/>
  <c r="L43" i="14"/>
  <c r="F43" i="14"/>
  <c r="L42" i="14"/>
  <c r="F42" i="14"/>
  <c r="L41" i="14"/>
  <c r="F41" i="14"/>
  <c r="L40" i="14"/>
  <c r="F40" i="14"/>
  <c r="L39" i="14"/>
  <c r="F39" i="14"/>
  <c r="L38" i="14"/>
  <c r="F38" i="14"/>
  <c r="L37" i="14"/>
  <c r="F37" i="14"/>
  <c r="L36" i="14"/>
  <c r="F36" i="14"/>
  <c r="L35" i="14"/>
  <c r="F35" i="14"/>
  <c r="L34" i="14"/>
  <c r="F34" i="14"/>
  <c r="L33" i="14"/>
  <c r="F33" i="14"/>
  <c r="L32" i="14"/>
  <c r="F32" i="14"/>
  <c r="L31" i="14"/>
  <c r="F31" i="14"/>
  <c r="L30" i="14"/>
  <c r="F30" i="14"/>
  <c r="L29" i="14"/>
  <c r="F29" i="14"/>
  <c r="L28" i="14"/>
  <c r="F28" i="14"/>
  <c r="L27" i="14"/>
  <c r="F27" i="14"/>
  <c r="L26" i="14"/>
  <c r="F26" i="14"/>
  <c r="L25" i="14"/>
  <c r="F25" i="14"/>
  <c r="L24" i="14"/>
  <c r="F24" i="14"/>
  <c r="L23" i="14"/>
  <c r="F23" i="14"/>
  <c r="L22" i="14"/>
  <c r="F22" i="14"/>
  <c r="L21" i="14"/>
  <c r="F21" i="14"/>
  <c r="L20" i="14"/>
  <c r="F20" i="14"/>
  <c r="L19" i="14"/>
  <c r="F19" i="14"/>
  <c r="L18" i="14"/>
  <c r="F18" i="14"/>
  <c r="L17" i="14"/>
  <c r="F17" i="14"/>
  <c r="L16" i="14"/>
  <c r="F16" i="14"/>
  <c r="L15" i="14"/>
  <c r="F15" i="14"/>
  <c r="L14" i="14"/>
  <c r="F14" i="14"/>
  <c r="L13" i="14"/>
  <c r="F13" i="14"/>
  <c r="L12" i="14"/>
  <c r="F12" i="14"/>
  <c r="L11" i="14"/>
  <c r="F11" i="14"/>
  <c r="L10" i="14"/>
  <c r="Q3" i="14"/>
  <c r="G153" i="14" s="1"/>
  <c r="Q2" i="14"/>
  <c r="L309" i="13"/>
  <c r="F309" i="13"/>
  <c r="L308" i="13"/>
  <c r="F308" i="13"/>
  <c r="L307" i="13"/>
  <c r="F307" i="13"/>
  <c r="L306" i="13"/>
  <c r="F306" i="13"/>
  <c r="L305" i="13"/>
  <c r="F305" i="13"/>
  <c r="L304" i="13"/>
  <c r="F304" i="13"/>
  <c r="L303" i="13"/>
  <c r="F303" i="13"/>
  <c r="L302" i="13"/>
  <c r="F302" i="13"/>
  <c r="L301" i="13"/>
  <c r="F301" i="13"/>
  <c r="L300" i="13"/>
  <c r="F300" i="13"/>
  <c r="L299" i="13"/>
  <c r="F299" i="13"/>
  <c r="L298" i="13"/>
  <c r="F298" i="13"/>
  <c r="L297" i="13"/>
  <c r="F297" i="13"/>
  <c r="L296" i="13"/>
  <c r="F296" i="13"/>
  <c r="L295" i="13"/>
  <c r="F295" i="13"/>
  <c r="L294" i="13"/>
  <c r="F294" i="13"/>
  <c r="L293" i="13"/>
  <c r="F293" i="13"/>
  <c r="L292" i="13"/>
  <c r="F292" i="13"/>
  <c r="L291" i="13"/>
  <c r="F291" i="13"/>
  <c r="L290" i="13"/>
  <c r="F290" i="13"/>
  <c r="L289" i="13"/>
  <c r="F289" i="13"/>
  <c r="L288" i="13"/>
  <c r="F288" i="13"/>
  <c r="L287" i="13"/>
  <c r="F287" i="13"/>
  <c r="L286" i="13"/>
  <c r="F286" i="13"/>
  <c r="L285" i="13"/>
  <c r="F285" i="13"/>
  <c r="L284" i="13"/>
  <c r="F284" i="13"/>
  <c r="L283" i="13"/>
  <c r="F283" i="13"/>
  <c r="L282" i="13"/>
  <c r="F282" i="13"/>
  <c r="L281" i="13"/>
  <c r="F281" i="13"/>
  <c r="L280" i="13"/>
  <c r="F280" i="13"/>
  <c r="L279" i="13"/>
  <c r="F279" i="13"/>
  <c r="L278" i="13"/>
  <c r="F278" i="13"/>
  <c r="L277" i="13"/>
  <c r="F277" i="13"/>
  <c r="L276" i="13"/>
  <c r="F276" i="13"/>
  <c r="L275" i="13"/>
  <c r="F275" i="13"/>
  <c r="L274" i="13"/>
  <c r="F274" i="13"/>
  <c r="L273" i="13"/>
  <c r="F273" i="13"/>
  <c r="L272" i="13"/>
  <c r="F272" i="13"/>
  <c r="L271" i="13"/>
  <c r="F271" i="13"/>
  <c r="L270" i="13"/>
  <c r="F270" i="13"/>
  <c r="L269" i="13"/>
  <c r="F269" i="13"/>
  <c r="L268" i="13"/>
  <c r="F268" i="13"/>
  <c r="L267" i="13"/>
  <c r="F267" i="13"/>
  <c r="L266" i="13"/>
  <c r="F266" i="13"/>
  <c r="L265" i="13"/>
  <c r="F265" i="13"/>
  <c r="L264" i="13"/>
  <c r="F264" i="13"/>
  <c r="L263" i="13"/>
  <c r="F263" i="13"/>
  <c r="L262" i="13"/>
  <c r="F262" i="13"/>
  <c r="L261" i="13"/>
  <c r="F261" i="13"/>
  <c r="L260" i="13"/>
  <c r="F260" i="13"/>
  <c r="L259" i="13"/>
  <c r="F259" i="13"/>
  <c r="L258" i="13"/>
  <c r="F258" i="13"/>
  <c r="L257" i="13"/>
  <c r="F257" i="13"/>
  <c r="L256" i="13"/>
  <c r="F256" i="13"/>
  <c r="L255" i="13"/>
  <c r="F255" i="13"/>
  <c r="L254" i="13"/>
  <c r="F254" i="13"/>
  <c r="L253" i="13"/>
  <c r="F253" i="13"/>
  <c r="L252" i="13"/>
  <c r="F252" i="13"/>
  <c r="L251" i="13"/>
  <c r="F251" i="13"/>
  <c r="L250" i="13"/>
  <c r="F250" i="13"/>
  <c r="L249" i="13"/>
  <c r="F249" i="13"/>
  <c r="L248" i="13"/>
  <c r="F248" i="13"/>
  <c r="L247" i="13"/>
  <c r="F247" i="13"/>
  <c r="L246" i="13"/>
  <c r="F246" i="13"/>
  <c r="L245" i="13"/>
  <c r="F245" i="13"/>
  <c r="L244" i="13"/>
  <c r="F244" i="13"/>
  <c r="L243" i="13"/>
  <c r="F243" i="13"/>
  <c r="L242" i="13"/>
  <c r="F242" i="13"/>
  <c r="L241" i="13"/>
  <c r="F241" i="13"/>
  <c r="L240" i="13"/>
  <c r="F240" i="13"/>
  <c r="L239" i="13"/>
  <c r="F239" i="13"/>
  <c r="L238" i="13"/>
  <c r="F238" i="13"/>
  <c r="L237" i="13"/>
  <c r="F237" i="13"/>
  <c r="L236" i="13"/>
  <c r="F236" i="13"/>
  <c r="L235" i="13"/>
  <c r="F235" i="13"/>
  <c r="L234" i="13"/>
  <c r="F234" i="13"/>
  <c r="L233" i="13"/>
  <c r="F233" i="13"/>
  <c r="L232" i="13"/>
  <c r="F232" i="13"/>
  <c r="L231" i="13"/>
  <c r="F231" i="13"/>
  <c r="L230" i="13"/>
  <c r="F230" i="13"/>
  <c r="L229" i="13"/>
  <c r="F229" i="13"/>
  <c r="L228" i="13"/>
  <c r="F228" i="13"/>
  <c r="L227" i="13"/>
  <c r="F227" i="13"/>
  <c r="L226" i="13"/>
  <c r="F226" i="13"/>
  <c r="L225" i="13"/>
  <c r="F225" i="13"/>
  <c r="L224" i="13"/>
  <c r="F224" i="13"/>
  <c r="L223" i="13"/>
  <c r="F223" i="13"/>
  <c r="L222" i="13"/>
  <c r="F222" i="13"/>
  <c r="L221" i="13"/>
  <c r="F221" i="13"/>
  <c r="L220" i="13"/>
  <c r="F220" i="13"/>
  <c r="L219" i="13"/>
  <c r="F219" i="13"/>
  <c r="L218" i="13"/>
  <c r="F218" i="13"/>
  <c r="L217" i="13"/>
  <c r="F217" i="13"/>
  <c r="L216" i="13"/>
  <c r="F216" i="13"/>
  <c r="L215" i="13"/>
  <c r="F215" i="13"/>
  <c r="L214" i="13"/>
  <c r="F214" i="13"/>
  <c r="L213" i="13"/>
  <c r="F213" i="13"/>
  <c r="L212" i="13"/>
  <c r="F212" i="13"/>
  <c r="L211" i="13"/>
  <c r="F211" i="13"/>
  <c r="L210" i="13"/>
  <c r="F210" i="13"/>
  <c r="L209" i="13"/>
  <c r="F209" i="13"/>
  <c r="L208" i="13"/>
  <c r="F208" i="13"/>
  <c r="L207" i="13"/>
  <c r="F207" i="13"/>
  <c r="L206" i="13"/>
  <c r="F206" i="13"/>
  <c r="L205" i="13"/>
  <c r="F205" i="13"/>
  <c r="L204" i="13"/>
  <c r="F204" i="13"/>
  <c r="L203" i="13"/>
  <c r="F203" i="13"/>
  <c r="L202" i="13"/>
  <c r="F202" i="13"/>
  <c r="L201" i="13"/>
  <c r="F201" i="13"/>
  <c r="L200" i="13"/>
  <c r="F200" i="13"/>
  <c r="L199" i="13"/>
  <c r="F199" i="13"/>
  <c r="L198" i="13"/>
  <c r="F198" i="13"/>
  <c r="L197" i="13"/>
  <c r="F197" i="13"/>
  <c r="L196" i="13"/>
  <c r="F196" i="13"/>
  <c r="L195" i="13"/>
  <c r="F195" i="13"/>
  <c r="L194" i="13"/>
  <c r="F194" i="13"/>
  <c r="L193" i="13"/>
  <c r="F193" i="13"/>
  <c r="L192" i="13"/>
  <c r="F192" i="13"/>
  <c r="L191" i="13"/>
  <c r="F191" i="13"/>
  <c r="L190" i="13"/>
  <c r="F190" i="13"/>
  <c r="L189" i="13"/>
  <c r="F189" i="13"/>
  <c r="L188" i="13"/>
  <c r="F188" i="13"/>
  <c r="L187" i="13"/>
  <c r="F187" i="13"/>
  <c r="L186" i="13"/>
  <c r="F186" i="13"/>
  <c r="L185" i="13"/>
  <c r="F185" i="13"/>
  <c r="L184" i="13"/>
  <c r="F184" i="13"/>
  <c r="L183" i="13"/>
  <c r="F183" i="13"/>
  <c r="L182" i="13"/>
  <c r="F182" i="13"/>
  <c r="L181" i="13"/>
  <c r="F181" i="13"/>
  <c r="L180" i="13"/>
  <c r="F180" i="13"/>
  <c r="L179" i="13"/>
  <c r="F179" i="13"/>
  <c r="L178" i="13"/>
  <c r="F178" i="13"/>
  <c r="L177" i="13"/>
  <c r="F177" i="13"/>
  <c r="L176" i="13"/>
  <c r="F176" i="13"/>
  <c r="L175" i="13"/>
  <c r="F175" i="13"/>
  <c r="L174" i="13"/>
  <c r="F174" i="13"/>
  <c r="L173" i="13"/>
  <c r="F173" i="13"/>
  <c r="L172" i="13"/>
  <c r="F172" i="13"/>
  <c r="L171" i="13"/>
  <c r="F171" i="13"/>
  <c r="L170" i="13"/>
  <c r="F170" i="13"/>
  <c r="L169" i="13"/>
  <c r="F169" i="13"/>
  <c r="L168" i="13"/>
  <c r="F168" i="13"/>
  <c r="L167" i="13"/>
  <c r="G167" i="13"/>
  <c r="F167" i="13"/>
  <c r="L166" i="13"/>
  <c r="F166" i="13"/>
  <c r="L165" i="13"/>
  <c r="F165" i="13"/>
  <c r="L164" i="13"/>
  <c r="G164" i="13"/>
  <c r="F164" i="13"/>
  <c r="L163" i="13"/>
  <c r="F163" i="13"/>
  <c r="L162" i="13"/>
  <c r="F162" i="13"/>
  <c r="L161" i="13"/>
  <c r="F161" i="13"/>
  <c r="L160" i="13"/>
  <c r="F160" i="13"/>
  <c r="L159" i="13"/>
  <c r="F159" i="13"/>
  <c r="L158" i="13"/>
  <c r="F158" i="13"/>
  <c r="L157" i="13"/>
  <c r="F157" i="13"/>
  <c r="L156" i="13"/>
  <c r="F156" i="13"/>
  <c r="L155" i="13"/>
  <c r="F155" i="13"/>
  <c r="L154" i="13"/>
  <c r="F154" i="13"/>
  <c r="L153" i="13"/>
  <c r="F153" i="13"/>
  <c r="L152" i="13"/>
  <c r="F152" i="13"/>
  <c r="L151" i="13"/>
  <c r="F151" i="13"/>
  <c r="L150" i="13"/>
  <c r="G150" i="13"/>
  <c r="F150" i="13"/>
  <c r="L149" i="13"/>
  <c r="F149" i="13"/>
  <c r="L148" i="13"/>
  <c r="F148" i="13"/>
  <c r="L147" i="13"/>
  <c r="F147" i="13"/>
  <c r="L146" i="13"/>
  <c r="F146" i="13"/>
  <c r="L145" i="13"/>
  <c r="F145" i="13"/>
  <c r="L144" i="13"/>
  <c r="F144" i="13"/>
  <c r="L143" i="13"/>
  <c r="F143" i="13"/>
  <c r="L142" i="13"/>
  <c r="F142" i="13"/>
  <c r="L141" i="13"/>
  <c r="F141" i="13"/>
  <c r="L140" i="13"/>
  <c r="F140" i="13"/>
  <c r="L139" i="13"/>
  <c r="F139" i="13"/>
  <c r="L138" i="13"/>
  <c r="F138" i="13"/>
  <c r="L137" i="13"/>
  <c r="F137" i="13"/>
  <c r="L136" i="13"/>
  <c r="F136" i="13"/>
  <c r="L135" i="13"/>
  <c r="F135" i="13"/>
  <c r="L134" i="13"/>
  <c r="F134" i="13"/>
  <c r="L133" i="13"/>
  <c r="F133" i="13"/>
  <c r="L132" i="13"/>
  <c r="F132" i="13"/>
  <c r="L131" i="13"/>
  <c r="F131" i="13"/>
  <c r="L130" i="13"/>
  <c r="F130" i="13"/>
  <c r="L129" i="13"/>
  <c r="F129" i="13"/>
  <c r="L128" i="13"/>
  <c r="F128" i="13"/>
  <c r="L127" i="13"/>
  <c r="G127" i="13"/>
  <c r="F127" i="13"/>
  <c r="L126" i="13"/>
  <c r="F126" i="13"/>
  <c r="L125" i="13"/>
  <c r="F125" i="13"/>
  <c r="L124" i="13"/>
  <c r="F124" i="13"/>
  <c r="L123" i="13"/>
  <c r="F123" i="13"/>
  <c r="L122" i="13"/>
  <c r="F122" i="13"/>
  <c r="L121" i="13"/>
  <c r="F121" i="13"/>
  <c r="L120" i="13"/>
  <c r="F120" i="13"/>
  <c r="L119" i="13"/>
  <c r="G119" i="13"/>
  <c r="F119" i="13"/>
  <c r="L118" i="13"/>
  <c r="F118" i="13"/>
  <c r="L117" i="13"/>
  <c r="F117" i="13"/>
  <c r="L116" i="13"/>
  <c r="F116" i="13"/>
  <c r="L115" i="13"/>
  <c r="F115" i="13"/>
  <c r="L114" i="13"/>
  <c r="F114" i="13"/>
  <c r="L113" i="13"/>
  <c r="F113" i="13"/>
  <c r="L112" i="13"/>
  <c r="F112" i="13"/>
  <c r="L111" i="13"/>
  <c r="F111" i="13"/>
  <c r="L110" i="13"/>
  <c r="F110" i="13"/>
  <c r="L109" i="13"/>
  <c r="F109" i="13"/>
  <c r="L108" i="13"/>
  <c r="F108" i="13"/>
  <c r="L107" i="13"/>
  <c r="F107" i="13"/>
  <c r="L106" i="13"/>
  <c r="F106" i="13"/>
  <c r="L105" i="13"/>
  <c r="G105" i="13"/>
  <c r="F105" i="13"/>
  <c r="L104" i="13"/>
  <c r="F104" i="13"/>
  <c r="L103" i="13"/>
  <c r="F103" i="13"/>
  <c r="L102" i="13"/>
  <c r="F102" i="13"/>
  <c r="L101" i="13"/>
  <c r="F101" i="13"/>
  <c r="L100" i="13"/>
  <c r="F100" i="13"/>
  <c r="L99" i="13"/>
  <c r="F99" i="13"/>
  <c r="L98" i="13"/>
  <c r="F98" i="13"/>
  <c r="L97" i="13"/>
  <c r="F97" i="13"/>
  <c r="L96" i="13"/>
  <c r="F96" i="13"/>
  <c r="L95" i="13"/>
  <c r="F95" i="13"/>
  <c r="L94" i="13"/>
  <c r="F94" i="13"/>
  <c r="L93" i="13"/>
  <c r="F93" i="13"/>
  <c r="L92" i="13"/>
  <c r="F92" i="13"/>
  <c r="L91" i="13"/>
  <c r="F91" i="13"/>
  <c r="L90" i="13"/>
  <c r="F90" i="13"/>
  <c r="L89" i="13"/>
  <c r="G89" i="13"/>
  <c r="F89" i="13"/>
  <c r="L88" i="13"/>
  <c r="F88" i="13"/>
  <c r="L87" i="13"/>
  <c r="F87" i="13"/>
  <c r="L86" i="13"/>
  <c r="F86" i="13"/>
  <c r="L85" i="13"/>
  <c r="F85" i="13"/>
  <c r="L84" i="13"/>
  <c r="F84" i="13"/>
  <c r="L83" i="13"/>
  <c r="F83" i="13"/>
  <c r="L82" i="13"/>
  <c r="F82" i="13"/>
  <c r="L81" i="13"/>
  <c r="F81" i="13"/>
  <c r="L80" i="13"/>
  <c r="F80" i="13"/>
  <c r="L79" i="13"/>
  <c r="F79" i="13"/>
  <c r="L78" i="13"/>
  <c r="F78" i="13"/>
  <c r="L77" i="13"/>
  <c r="F77" i="13"/>
  <c r="L76" i="13"/>
  <c r="F76" i="13"/>
  <c r="L75" i="13"/>
  <c r="F75" i="13"/>
  <c r="L74" i="13"/>
  <c r="F74" i="13"/>
  <c r="L73" i="13"/>
  <c r="G73" i="13"/>
  <c r="F73" i="13"/>
  <c r="L72" i="13"/>
  <c r="F72" i="13"/>
  <c r="L71" i="13"/>
  <c r="F71" i="13"/>
  <c r="L70" i="13"/>
  <c r="F70" i="13"/>
  <c r="L69" i="13"/>
  <c r="F69" i="13"/>
  <c r="L68" i="13"/>
  <c r="G68" i="13"/>
  <c r="F68" i="13"/>
  <c r="L67" i="13"/>
  <c r="F67" i="13"/>
  <c r="L66" i="13"/>
  <c r="F66" i="13"/>
  <c r="L65" i="13"/>
  <c r="F65" i="13"/>
  <c r="L64" i="13"/>
  <c r="F64" i="13"/>
  <c r="L63" i="13"/>
  <c r="G63" i="13"/>
  <c r="F63" i="13"/>
  <c r="L62" i="13"/>
  <c r="F62" i="13"/>
  <c r="L61" i="13"/>
  <c r="F61" i="13"/>
  <c r="L60" i="13"/>
  <c r="F60" i="13"/>
  <c r="L59" i="13"/>
  <c r="F59" i="13"/>
  <c r="L58" i="13"/>
  <c r="F58" i="13"/>
  <c r="L57" i="13"/>
  <c r="F57" i="13"/>
  <c r="L56" i="13"/>
  <c r="G56" i="13"/>
  <c r="F56" i="13"/>
  <c r="L55" i="13"/>
  <c r="G55" i="13"/>
  <c r="F55" i="13"/>
  <c r="L54" i="13"/>
  <c r="F54" i="13"/>
  <c r="L53" i="13"/>
  <c r="F53" i="13"/>
  <c r="L52" i="13"/>
  <c r="F52" i="13"/>
  <c r="L51" i="13"/>
  <c r="F51" i="13"/>
  <c r="L50" i="13"/>
  <c r="F50" i="13"/>
  <c r="L49" i="13"/>
  <c r="F49" i="13"/>
  <c r="L48" i="13"/>
  <c r="G48" i="13"/>
  <c r="F48" i="13"/>
  <c r="L47" i="13"/>
  <c r="G47" i="13"/>
  <c r="F47" i="13"/>
  <c r="L46" i="13"/>
  <c r="F46" i="13"/>
  <c r="L45" i="13"/>
  <c r="F45" i="13"/>
  <c r="L44" i="13"/>
  <c r="F44" i="13"/>
  <c r="L43" i="13"/>
  <c r="F43" i="13"/>
  <c r="L42" i="13"/>
  <c r="F42" i="13"/>
  <c r="L41" i="13"/>
  <c r="F41" i="13"/>
  <c r="L40" i="13"/>
  <c r="G40" i="13"/>
  <c r="F40" i="13"/>
  <c r="L39" i="13"/>
  <c r="G39" i="13"/>
  <c r="F39" i="13"/>
  <c r="L38" i="13"/>
  <c r="F38" i="13"/>
  <c r="L37" i="13"/>
  <c r="F37" i="13"/>
  <c r="L36" i="13"/>
  <c r="F36" i="13"/>
  <c r="L35" i="13"/>
  <c r="F35" i="13"/>
  <c r="L34" i="13"/>
  <c r="F34" i="13"/>
  <c r="L33" i="13"/>
  <c r="F33" i="13"/>
  <c r="L32" i="13"/>
  <c r="G32" i="13"/>
  <c r="F32" i="13"/>
  <c r="L31" i="13"/>
  <c r="G31" i="13"/>
  <c r="F31" i="13"/>
  <c r="L30" i="13"/>
  <c r="F30" i="13"/>
  <c r="L29" i="13"/>
  <c r="F29" i="13"/>
  <c r="L28" i="13"/>
  <c r="F28" i="13"/>
  <c r="L27" i="13"/>
  <c r="F27" i="13"/>
  <c r="L26" i="13"/>
  <c r="F26" i="13"/>
  <c r="L25" i="13"/>
  <c r="F25" i="13"/>
  <c r="L24" i="13"/>
  <c r="G24" i="13"/>
  <c r="F24" i="13"/>
  <c r="L23" i="13"/>
  <c r="G23" i="13"/>
  <c r="F23" i="13"/>
  <c r="Q4" i="13" s="1"/>
  <c r="L22" i="13"/>
  <c r="F22" i="13"/>
  <c r="L21" i="13"/>
  <c r="F21" i="13"/>
  <c r="L20" i="13"/>
  <c r="F20" i="13"/>
  <c r="L19" i="13"/>
  <c r="F19" i="13"/>
  <c r="L18" i="13"/>
  <c r="F18" i="13"/>
  <c r="L17" i="13"/>
  <c r="F17" i="13"/>
  <c r="L16" i="13"/>
  <c r="G16" i="13"/>
  <c r="F16" i="13"/>
  <c r="L15" i="13"/>
  <c r="G15" i="13"/>
  <c r="F15" i="13"/>
  <c r="L14" i="13"/>
  <c r="F14" i="13"/>
  <c r="L13" i="13"/>
  <c r="F13" i="13"/>
  <c r="L12" i="13"/>
  <c r="F12" i="13"/>
  <c r="L11" i="13"/>
  <c r="F11" i="13"/>
  <c r="L10" i="13"/>
  <c r="Q3" i="13"/>
  <c r="Q2" i="13"/>
  <c r="L308" i="12"/>
  <c r="F308" i="12"/>
  <c r="L307" i="12"/>
  <c r="F307" i="12"/>
  <c r="L306" i="12"/>
  <c r="F306" i="12"/>
  <c r="L305" i="12"/>
  <c r="F305" i="12"/>
  <c r="L304" i="12"/>
  <c r="F304" i="12"/>
  <c r="L303" i="12"/>
  <c r="F303" i="12"/>
  <c r="L302" i="12"/>
  <c r="F302" i="12"/>
  <c r="L301" i="12"/>
  <c r="F301" i="12"/>
  <c r="L300" i="12"/>
  <c r="F300" i="12"/>
  <c r="L299" i="12"/>
  <c r="F299" i="12"/>
  <c r="L298" i="12"/>
  <c r="F298" i="12"/>
  <c r="L297" i="12"/>
  <c r="F297" i="12"/>
  <c r="L296" i="12"/>
  <c r="F296" i="12"/>
  <c r="L295" i="12"/>
  <c r="F295" i="12"/>
  <c r="L294" i="12"/>
  <c r="F294" i="12"/>
  <c r="L293" i="12"/>
  <c r="F293" i="12"/>
  <c r="L292" i="12"/>
  <c r="F292" i="12"/>
  <c r="L291" i="12"/>
  <c r="F291" i="12"/>
  <c r="L290" i="12"/>
  <c r="F290" i="12"/>
  <c r="L289" i="12"/>
  <c r="F289" i="12"/>
  <c r="L288" i="12"/>
  <c r="F288" i="12"/>
  <c r="L287" i="12"/>
  <c r="F287" i="12"/>
  <c r="L286" i="12"/>
  <c r="F286" i="12"/>
  <c r="L285" i="12"/>
  <c r="F285" i="12"/>
  <c r="L284" i="12"/>
  <c r="F284" i="12"/>
  <c r="L283" i="12"/>
  <c r="F283" i="12"/>
  <c r="L282" i="12"/>
  <c r="F282" i="12"/>
  <c r="L281" i="12"/>
  <c r="F281" i="12"/>
  <c r="L280" i="12"/>
  <c r="F280" i="12"/>
  <c r="L279" i="12"/>
  <c r="F279" i="12"/>
  <c r="L278" i="12"/>
  <c r="F278" i="12"/>
  <c r="L277" i="12"/>
  <c r="F277" i="12"/>
  <c r="L276" i="12"/>
  <c r="F276" i="12"/>
  <c r="L275" i="12"/>
  <c r="F275" i="12"/>
  <c r="L274" i="12"/>
  <c r="F274" i="12"/>
  <c r="L273" i="12"/>
  <c r="F273" i="12"/>
  <c r="L272" i="12"/>
  <c r="F272" i="12"/>
  <c r="L271" i="12"/>
  <c r="F271" i="12"/>
  <c r="L270" i="12"/>
  <c r="F270" i="12"/>
  <c r="L269" i="12"/>
  <c r="F269" i="12"/>
  <c r="L268" i="12"/>
  <c r="F268" i="12"/>
  <c r="L267" i="12"/>
  <c r="F267" i="12"/>
  <c r="L266" i="12"/>
  <c r="F266" i="12"/>
  <c r="L265" i="12"/>
  <c r="F265" i="12"/>
  <c r="L264" i="12"/>
  <c r="F264" i="12"/>
  <c r="L263" i="12"/>
  <c r="F263" i="12"/>
  <c r="L262" i="12"/>
  <c r="F262" i="12"/>
  <c r="L261" i="12"/>
  <c r="F261" i="12"/>
  <c r="L260" i="12"/>
  <c r="F260" i="12"/>
  <c r="L259" i="12"/>
  <c r="F259" i="12"/>
  <c r="L258" i="12"/>
  <c r="F258" i="12"/>
  <c r="L257" i="12"/>
  <c r="F257" i="12"/>
  <c r="L256" i="12"/>
  <c r="F256" i="12"/>
  <c r="L255" i="12"/>
  <c r="F255" i="12"/>
  <c r="L254" i="12"/>
  <c r="F254" i="12"/>
  <c r="L253" i="12"/>
  <c r="F253" i="12"/>
  <c r="L252" i="12"/>
  <c r="F252" i="12"/>
  <c r="L251" i="12"/>
  <c r="F251" i="12"/>
  <c r="L250" i="12"/>
  <c r="F250" i="12"/>
  <c r="L249" i="12"/>
  <c r="F249" i="12"/>
  <c r="L248" i="12"/>
  <c r="F248" i="12"/>
  <c r="L247" i="12"/>
  <c r="F247" i="12"/>
  <c r="L246" i="12"/>
  <c r="F246" i="12"/>
  <c r="L245" i="12"/>
  <c r="F245" i="12"/>
  <c r="L244" i="12"/>
  <c r="F244" i="12"/>
  <c r="L243" i="12"/>
  <c r="F243" i="12"/>
  <c r="L242" i="12"/>
  <c r="F242" i="12"/>
  <c r="L241" i="12"/>
  <c r="F241" i="12"/>
  <c r="L240" i="12"/>
  <c r="F240" i="12"/>
  <c r="L239" i="12"/>
  <c r="F239" i="12"/>
  <c r="L238" i="12"/>
  <c r="F238" i="12"/>
  <c r="L237" i="12"/>
  <c r="F237" i="12"/>
  <c r="L236" i="12"/>
  <c r="F236" i="12"/>
  <c r="L235" i="12"/>
  <c r="F235" i="12"/>
  <c r="L234" i="12"/>
  <c r="F234" i="12"/>
  <c r="L233" i="12"/>
  <c r="F233" i="12"/>
  <c r="L232" i="12"/>
  <c r="F232" i="12"/>
  <c r="L231" i="12"/>
  <c r="F231" i="12"/>
  <c r="L230" i="12"/>
  <c r="F230" i="12"/>
  <c r="L229" i="12"/>
  <c r="F229" i="12"/>
  <c r="L228" i="12"/>
  <c r="F228" i="12"/>
  <c r="L227" i="12"/>
  <c r="F227" i="12"/>
  <c r="L226" i="12"/>
  <c r="F226" i="12"/>
  <c r="L225" i="12"/>
  <c r="F225" i="12"/>
  <c r="L224" i="12"/>
  <c r="F224" i="12"/>
  <c r="L223" i="12"/>
  <c r="F223" i="12"/>
  <c r="L222" i="12"/>
  <c r="F222" i="12"/>
  <c r="L221" i="12"/>
  <c r="F221" i="12"/>
  <c r="L220" i="12"/>
  <c r="F220" i="12"/>
  <c r="L219" i="12"/>
  <c r="F219" i="12"/>
  <c r="L218" i="12"/>
  <c r="F218" i="12"/>
  <c r="L217" i="12"/>
  <c r="F217" i="12"/>
  <c r="L216" i="12"/>
  <c r="F216" i="12"/>
  <c r="L215" i="12"/>
  <c r="F215" i="12"/>
  <c r="L214" i="12"/>
  <c r="F214" i="12"/>
  <c r="L213" i="12"/>
  <c r="F213" i="12"/>
  <c r="L212" i="12"/>
  <c r="F212" i="12"/>
  <c r="L211" i="12"/>
  <c r="F211" i="12"/>
  <c r="L210" i="12"/>
  <c r="F210" i="12"/>
  <c r="L209" i="12"/>
  <c r="F209" i="12"/>
  <c r="L208" i="12"/>
  <c r="F208" i="12"/>
  <c r="L207" i="12"/>
  <c r="F207" i="12"/>
  <c r="L206" i="12"/>
  <c r="F206" i="12"/>
  <c r="L205" i="12"/>
  <c r="F205" i="12"/>
  <c r="L204" i="12"/>
  <c r="F204" i="12"/>
  <c r="L203" i="12"/>
  <c r="F203" i="12"/>
  <c r="L202" i="12"/>
  <c r="F202" i="12"/>
  <c r="L201" i="12"/>
  <c r="F201" i="12"/>
  <c r="L200" i="12"/>
  <c r="F200" i="12"/>
  <c r="L199" i="12"/>
  <c r="F199" i="12"/>
  <c r="L198" i="12"/>
  <c r="F198" i="12"/>
  <c r="L197" i="12"/>
  <c r="F197" i="12"/>
  <c r="L196" i="12"/>
  <c r="F196" i="12"/>
  <c r="L195" i="12"/>
  <c r="F195" i="12"/>
  <c r="L194" i="12"/>
  <c r="F194" i="12"/>
  <c r="L193" i="12"/>
  <c r="F193" i="12"/>
  <c r="L192" i="12"/>
  <c r="F192" i="12"/>
  <c r="L191" i="12"/>
  <c r="F191" i="12"/>
  <c r="L190" i="12"/>
  <c r="F190" i="12"/>
  <c r="L189" i="12"/>
  <c r="F189" i="12"/>
  <c r="L188" i="12"/>
  <c r="F188" i="12"/>
  <c r="L187" i="12"/>
  <c r="F187" i="12"/>
  <c r="L186" i="12"/>
  <c r="F186" i="12"/>
  <c r="L185" i="12"/>
  <c r="F185" i="12"/>
  <c r="L184" i="12"/>
  <c r="F184" i="12"/>
  <c r="L183" i="12"/>
  <c r="F183" i="12"/>
  <c r="L182" i="12"/>
  <c r="F182" i="12"/>
  <c r="L181" i="12"/>
  <c r="F181" i="12"/>
  <c r="L180" i="12"/>
  <c r="F180" i="12"/>
  <c r="L179" i="12"/>
  <c r="F179" i="12"/>
  <c r="L178" i="12"/>
  <c r="F178" i="12"/>
  <c r="L177" i="12"/>
  <c r="F177" i="12"/>
  <c r="L176" i="12"/>
  <c r="F176" i="12"/>
  <c r="L175" i="12"/>
  <c r="F175" i="12"/>
  <c r="L174" i="12"/>
  <c r="F174" i="12"/>
  <c r="L173" i="12"/>
  <c r="F173" i="12"/>
  <c r="L172" i="12"/>
  <c r="F172" i="12"/>
  <c r="L171" i="12"/>
  <c r="F171" i="12"/>
  <c r="L170" i="12"/>
  <c r="F170" i="12"/>
  <c r="L169" i="12"/>
  <c r="F169" i="12"/>
  <c r="L168" i="12"/>
  <c r="F168" i="12"/>
  <c r="L167" i="12"/>
  <c r="F167" i="12"/>
  <c r="L166" i="12"/>
  <c r="F166" i="12"/>
  <c r="L165" i="12"/>
  <c r="F165" i="12"/>
  <c r="L164" i="12"/>
  <c r="F164" i="12"/>
  <c r="L163" i="12"/>
  <c r="F163" i="12"/>
  <c r="L162" i="12"/>
  <c r="F162" i="12"/>
  <c r="L161" i="12"/>
  <c r="F161" i="12"/>
  <c r="L160" i="12"/>
  <c r="F160" i="12"/>
  <c r="L159" i="12"/>
  <c r="F159" i="12"/>
  <c r="L158" i="12"/>
  <c r="F158" i="12"/>
  <c r="L157" i="12"/>
  <c r="F157" i="12"/>
  <c r="L156" i="12"/>
  <c r="F156" i="12"/>
  <c r="L155" i="12"/>
  <c r="F155" i="12"/>
  <c r="L154" i="12"/>
  <c r="F154" i="12"/>
  <c r="L153" i="12"/>
  <c r="F153" i="12"/>
  <c r="L152" i="12"/>
  <c r="F152" i="12"/>
  <c r="L151" i="12"/>
  <c r="F151" i="12"/>
  <c r="L150" i="12"/>
  <c r="F150" i="12"/>
  <c r="L149" i="12"/>
  <c r="F149" i="12"/>
  <c r="L148" i="12"/>
  <c r="F148" i="12"/>
  <c r="L147" i="12"/>
  <c r="F147" i="12"/>
  <c r="L146" i="12"/>
  <c r="F146" i="12"/>
  <c r="L145" i="12"/>
  <c r="F145" i="12"/>
  <c r="L144" i="12"/>
  <c r="F144" i="12"/>
  <c r="L143" i="12"/>
  <c r="F143" i="12"/>
  <c r="L142" i="12"/>
  <c r="F142" i="12"/>
  <c r="L141" i="12"/>
  <c r="F141" i="12"/>
  <c r="L140" i="12"/>
  <c r="F140" i="12"/>
  <c r="L139" i="12"/>
  <c r="F139" i="12"/>
  <c r="L138" i="12"/>
  <c r="F138" i="12"/>
  <c r="L137" i="12"/>
  <c r="F137" i="12"/>
  <c r="L136" i="12"/>
  <c r="F136" i="12"/>
  <c r="L135" i="12"/>
  <c r="F135" i="12"/>
  <c r="L134" i="12"/>
  <c r="F134" i="12"/>
  <c r="L133" i="12"/>
  <c r="F133" i="12"/>
  <c r="L132" i="12"/>
  <c r="F132" i="12"/>
  <c r="L131" i="12"/>
  <c r="F131" i="12"/>
  <c r="L130" i="12"/>
  <c r="F130" i="12"/>
  <c r="L129" i="12"/>
  <c r="F129" i="12"/>
  <c r="L128" i="12"/>
  <c r="F128" i="12"/>
  <c r="L127" i="12"/>
  <c r="F127" i="12"/>
  <c r="L126" i="12"/>
  <c r="F126" i="12"/>
  <c r="L125" i="12"/>
  <c r="F125" i="12"/>
  <c r="L124" i="12"/>
  <c r="F124" i="12"/>
  <c r="L123" i="12"/>
  <c r="F123" i="12"/>
  <c r="L122" i="12"/>
  <c r="F122" i="12"/>
  <c r="L121" i="12"/>
  <c r="F121" i="12"/>
  <c r="L120" i="12"/>
  <c r="F120" i="12"/>
  <c r="L119" i="12"/>
  <c r="F119" i="12"/>
  <c r="L118" i="12"/>
  <c r="F118" i="12"/>
  <c r="L117" i="12"/>
  <c r="F117" i="12"/>
  <c r="L116" i="12"/>
  <c r="F116" i="12"/>
  <c r="L115" i="12"/>
  <c r="F115" i="12"/>
  <c r="L114" i="12"/>
  <c r="F114" i="12"/>
  <c r="L113" i="12"/>
  <c r="F113" i="12"/>
  <c r="L112" i="12"/>
  <c r="F112" i="12"/>
  <c r="L111" i="12"/>
  <c r="F111" i="12"/>
  <c r="L110" i="12"/>
  <c r="F110" i="12"/>
  <c r="L109" i="12"/>
  <c r="F109" i="12"/>
  <c r="L108" i="12"/>
  <c r="F108" i="12"/>
  <c r="L107" i="12"/>
  <c r="F107" i="12"/>
  <c r="L106" i="12"/>
  <c r="F106" i="12"/>
  <c r="L105" i="12"/>
  <c r="F105" i="12"/>
  <c r="L104" i="12"/>
  <c r="F104" i="12"/>
  <c r="L103" i="12"/>
  <c r="F103" i="12"/>
  <c r="L102" i="12"/>
  <c r="F102" i="12"/>
  <c r="L101" i="12"/>
  <c r="F101" i="12"/>
  <c r="L100" i="12"/>
  <c r="F100" i="12"/>
  <c r="L99" i="12"/>
  <c r="F99" i="12"/>
  <c r="L98" i="12"/>
  <c r="F98" i="12"/>
  <c r="L97" i="12"/>
  <c r="F97" i="12"/>
  <c r="L96" i="12"/>
  <c r="F96" i="12"/>
  <c r="L95" i="12"/>
  <c r="F95" i="12"/>
  <c r="L94" i="12"/>
  <c r="F94" i="12"/>
  <c r="L93" i="12"/>
  <c r="F93" i="12"/>
  <c r="L92" i="12"/>
  <c r="F92" i="12"/>
  <c r="L91" i="12"/>
  <c r="F91" i="12"/>
  <c r="L90" i="12"/>
  <c r="F90" i="12"/>
  <c r="L89" i="12"/>
  <c r="F89" i="12"/>
  <c r="L88" i="12"/>
  <c r="F88" i="12"/>
  <c r="L87" i="12"/>
  <c r="F87" i="12"/>
  <c r="L86" i="12"/>
  <c r="F86" i="12"/>
  <c r="L85" i="12"/>
  <c r="F85" i="12"/>
  <c r="L84" i="12"/>
  <c r="F84" i="12"/>
  <c r="L83" i="12"/>
  <c r="F83" i="12"/>
  <c r="L82" i="12"/>
  <c r="F82" i="12"/>
  <c r="L81" i="12"/>
  <c r="F81" i="12"/>
  <c r="L80" i="12"/>
  <c r="F80" i="12"/>
  <c r="L79" i="12"/>
  <c r="F79" i="12"/>
  <c r="L78" i="12"/>
  <c r="F78" i="12"/>
  <c r="L77" i="12"/>
  <c r="F77" i="12"/>
  <c r="L76" i="12"/>
  <c r="F76" i="12"/>
  <c r="L75" i="12"/>
  <c r="F75" i="12"/>
  <c r="L74" i="12"/>
  <c r="F74" i="12"/>
  <c r="L73" i="12"/>
  <c r="F73" i="12"/>
  <c r="L72" i="12"/>
  <c r="F72" i="12"/>
  <c r="L71" i="12"/>
  <c r="F71" i="12"/>
  <c r="L70" i="12"/>
  <c r="F70" i="12"/>
  <c r="L69" i="12"/>
  <c r="F69" i="12"/>
  <c r="L68" i="12"/>
  <c r="F68" i="12"/>
  <c r="L67" i="12"/>
  <c r="F67" i="12"/>
  <c r="L66" i="12"/>
  <c r="F66" i="12"/>
  <c r="L65" i="12"/>
  <c r="F65" i="12"/>
  <c r="L64" i="12"/>
  <c r="F64" i="12"/>
  <c r="L63" i="12"/>
  <c r="F63" i="12"/>
  <c r="L62" i="12"/>
  <c r="F62" i="12"/>
  <c r="L61" i="12"/>
  <c r="F61" i="12"/>
  <c r="L60" i="12"/>
  <c r="F60" i="12"/>
  <c r="L59" i="12"/>
  <c r="F59" i="12"/>
  <c r="L58" i="12"/>
  <c r="F58" i="12"/>
  <c r="L57" i="12"/>
  <c r="F57" i="12"/>
  <c r="L56" i="12"/>
  <c r="F56" i="12"/>
  <c r="L55" i="12"/>
  <c r="F55" i="12"/>
  <c r="L54" i="12"/>
  <c r="F54" i="12"/>
  <c r="L53" i="12"/>
  <c r="F53" i="12"/>
  <c r="L52" i="12"/>
  <c r="F52" i="12"/>
  <c r="L51" i="12"/>
  <c r="F51" i="12"/>
  <c r="L50" i="12"/>
  <c r="F50" i="12"/>
  <c r="L49" i="12"/>
  <c r="F49" i="12"/>
  <c r="L48" i="12"/>
  <c r="F48" i="12"/>
  <c r="L47" i="12"/>
  <c r="F47" i="12"/>
  <c r="L46" i="12"/>
  <c r="F46" i="12"/>
  <c r="L45" i="12"/>
  <c r="F45" i="12"/>
  <c r="L44" i="12"/>
  <c r="F44" i="12"/>
  <c r="L43" i="12"/>
  <c r="F43" i="12"/>
  <c r="L42" i="12"/>
  <c r="F42" i="12"/>
  <c r="L41" i="12"/>
  <c r="F41" i="12"/>
  <c r="L40" i="12"/>
  <c r="F40" i="12"/>
  <c r="L39" i="12"/>
  <c r="F39" i="12"/>
  <c r="L38" i="12"/>
  <c r="F38" i="12"/>
  <c r="L37" i="12"/>
  <c r="F37" i="12"/>
  <c r="L36" i="12"/>
  <c r="F36" i="12"/>
  <c r="L35" i="12"/>
  <c r="F35" i="12"/>
  <c r="L34" i="12"/>
  <c r="F34" i="12"/>
  <c r="L33" i="12"/>
  <c r="F33" i="12"/>
  <c r="L32" i="12"/>
  <c r="F32" i="12"/>
  <c r="L31" i="12"/>
  <c r="F31" i="12"/>
  <c r="L30" i="12"/>
  <c r="F30" i="12"/>
  <c r="L29" i="12"/>
  <c r="F29" i="12"/>
  <c r="L28" i="12"/>
  <c r="F28" i="12"/>
  <c r="L27" i="12"/>
  <c r="F27" i="12"/>
  <c r="L26" i="12"/>
  <c r="F26" i="12"/>
  <c r="L25" i="12"/>
  <c r="F25" i="12"/>
  <c r="L24" i="12"/>
  <c r="F24" i="12"/>
  <c r="L23" i="12"/>
  <c r="F23" i="12"/>
  <c r="L22" i="12"/>
  <c r="F22" i="12"/>
  <c r="L21" i="12"/>
  <c r="F21" i="12"/>
  <c r="L20" i="12"/>
  <c r="F20" i="12"/>
  <c r="L19" i="12"/>
  <c r="F19" i="12"/>
  <c r="L18" i="12"/>
  <c r="F18" i="12"/>
  <c r="L17" i="12"/>
  <c r="F17" i="12"/>
  <c r="L16" i="12"/>
  <c r="F16" i="12"/>
  <c r="L15" i="12"/>
  <c r="F15" i="12"/>
  <c r="L14" i="12"/>
  <c r="F14" i="12"/>
  <c r="L13" i="12"/>
  <c r="F13" i="12"/>
  <c r="L12" i="12"/>
  <c r="F12" i="12"/>
  <c r="L11" i="12"/>
  <c r="Q5" i="12"/>
  <c r="J128" i="12" s="1"/>
  <c r="Q4" i="12"/>
  <c r="G125" i="12" s="1"/>
  <c r="Q3" i="12"/>
  <c r="L308" i="11"/>
  <c r="F308" i="11"/>
  <c r="L307" i="11"/>
  <c r="F307" i="11"/>
  <c r="L306" i="11"/>
  <c r="F306" i="11"/>
  <c r="L305" i="11"/>
  <c r="F305" i="11"/>
  <c r="L304" i="11"/>
  <c r="F304" i="11"/>
  <c r="L303" i="11"/>
  <c r="F303" i="11"/>
  <c r="L302" i="11"/>
  <c r="F302" i="11"/>
  <c r="L301" i="11"/>
  <c r="F301" i="11"/>
  <c r="L300" i="11"/>
  <c r="F300" i="11"/>
  <c r="L299" i="11"/>
  <c r="F299" i="11"/>
  <c r="L298" i="11"/>
  <c r="F298" i="11"/>
  <c r="L297" i="11"/>
  <c r="F297" i="11"/>
  <c r="L296" i="11"/>
  <c r="F296" i="11"/>
  <c r="L295" i="11"/>
  <c r="F295" i="11"/>
  <c r="L294" i="11"/>
  <c r="F294" i="11"/>
  <c r="L293" i="11"/>
  <c r="F293" i="11"/>
  <c r="L292" i="11"/>
  <c r="F292" i="11"/>
  <c r="L291" i="11"/>
  <c r="F291" i="11"/>
  <c r="L290" i="11"/>
  <c r="F290" i="11"/>
  <c r="L289" i="11"/>
  <c r="F289" i="11"/>
  <c r="L288" i="11"/>
  <c r="F288" i="11"/>
  <c r="L287" i="11"/>
  <c r="F287" i="11"/>
  <c r="L286" i="11"/>
  <c r="F286" i="11"/>
  <c r="L285" i="11"/>
  <c r="F285" i="11"/>
  <c r="L284" i="11"/>
  <c r="F284" i="11"/>
  <c r="L283" i="11"/>
  <c r="F283" i="11"/>
  <c r="L282" i="11"/>
  <c r="F282" i="11"/>
  <c r="L281" i="11"/>
  <c r="F281" i="11"/>
  <c r="L280" i="11"/>
  <c r="F280" i="11"/>
  <c r="L279" i="11"/>
  <c r="F279" i="11"/>
  <c r="L278" i="11"/>
  <c r="F278" i="11"/>
  <c r="L277" i="11"/>
  <c r="F277" i="11"/>
  <c r="L276" i="11"/>
  <c r="F276" i="11"/>
  <c r="L275" i="11"/>
  <c r="F275" i="11"/>
  <c r="L274" i="11"/>
  <c r="F274" i="11"/>
  <c r="L273" i="11"/>
  <c r="F273" i="11"/>
  <c r="L272" i="11"/>
  <c r="F272" i="11"/>
  <c r="L271" i="11"/>
  <c r="F271" i="11"/>
  <c r="L270" i="11"/>
  <c r="F270" i="11"/>
  <c r="L269" i="11"/>
  <c r="F269" i="11"/>
  <c r="L268" i="11"/>
  <c r="F268" i="11"/>
  <c r="L267" i="11"/>
  <c r="F267" i="11"/>
  <c r="L266" i="11"/>
  <c r="F266" i="11"/>
  <c r="L265" i="11"/>
  <c r="F265" i="11"/>
  <c r="L264" i="11"/>
  <c r="F264" i="11"/>
  <c r="L263" i="11"/>
  <c r="F263" i="11"/>
  <c r="L262" i="11"/>
  <c r="F262" i="11"/>
  <c r="L261" i="11"/>
  <c r="F261" i="11"/>
  <c r="L260" i="11"/>
  <c r="F260" i="11"/>
  <c r="L259" i="11"/>
  <c r="F259" i="11"/>
  <c r="L258" i="11"/>
  <c r="F258" i="11"/>
  <c r="L257" i="11"/>
  <c r="F257" i="11"/>
  <c r="L256" i="11"/>
  <c r="F256" i="11"/>
  <c r="L255" i="11"/>
  <c r="F255" i="11"/>
  <c r="L254" i="11"/>
  <c r="F254" i="11"/>
  <c r="L253" i="11"/>
  <c r="F253" i="11"/>
  <c r="L252" i="11"/>
  <c r="F252" i="11"/>
  <c r="L251" i="11"/>
  <c r="F251" i="11"/>
  <c r="L250" i="11"/>
  <c r="F250" i="11"/>
  <c r="L249" i="11"/>
  <c r="F249" i="11"/>
  <c r="L248" i="11"/>
  <c r="F248" i="11"/>
  <c r="L247" i="11"/>
  <c r="F247" i="11"/>
  <c r="L246" i="11"/>
  <c r="F246" i="11"/>
  <c r="L245" i="11"/>
  <c r="F245" i="11"/>
  <c r="L244" i="11"/>
  <c r="F244" i="11"/>
  <c r="L243" i="11"/>
  <c r="F243" i="11"/>
  <c r="L242" i="11"/>
  <c r="F242" i="11"/>
  <c r="L241" i="11"/>
  <c r="F241" i="11"/>
  <c r="L240" i="11"/>
  <c r="F240" i="11"/>
  <c r="L239" i="11"/>
  <c r="F239" i="11"/>
  <c r="L238" i="11"/>
  <c r="F238" i="11"/>
  <c r="L237" i="11"/>
  <c r="F237" i="11"/>
  <c r="L236" i="11"/>
  <c r="F236" i="11"/>
  <c r="L235" i="11"/>
  <c r="F235" i="11"/>
  <c r="L234" i="11"/>
  <c r="F234" i="11"/>
  <c r="L233" i="11"/>
  <c r="F233" i="11"/>
  <c r="L232" i="11"/>
  <c r="F232" i="11"/>
  <c r="L231" i="11"/>
  <c r="F231" i="11"/>
  <c r="L230" i="11"/>
  <c r="F230" i="11"/>
  <c r="L229" i="11"/>
  <c r="F229" i="11"/>
  <c r="L228" i="11"/>
  <c r="F228" i="11"/>
  <c r="L227" i="11"/>
  <c r="F227" i="11"/>
  <c r="L226" i="11"/>
  <c r="F226" i="11"/>
  <c r="L225" i="11"/>
  <c r="F225" i="11"/>
  <c r="L224" i="11"/>
  <c r="F224" i="11"/>
  <c r="L223" i="11"/>
  <c r="F223" i="11"/>
  <c r="L222" i="11"/>
  <c r="F222" i="11"/>
  <c r="L221" i="11"/>
  <c r="F221" i="11"/>
  <c r="L220" i="11"/>
  <c r="F220" i="11"/>
  <c r="L219" i="11"/>
  <c r="F219" i="11"/>
  <c r="L218" i="11"/>
  <c r="F218" i="11"/>
  <c r="L217" i="11"/>
  <c r="F217" i="11"/>
  <c r="L216" i="11"/>
  <c r="F216" i="11"/>
  <c r="L215" i="11"/>
  <c r="F215" i="11"/>
  <c r="L214" i="11"/>
  <c r="F214" i="11"/>
  <c r="L213" i="11"/>
  <c r="F213" i="11"/>
  <c r="L212" i="11"/>
  <c r="F212" i="11"/>
  <c r="L211" i="11"/>
  <c r="F211" i="11"/>
  <c r="L210" i="11"/>
  <c r="F210" i="11"/>
  <c r="L209" i="11"/>
  <c r="F209" i="11"/>
  <c r="L208" i="11"/>
  <c r="F208" i="11"/>
  <c r="L207" i="11"/>
  <c r="F207" i="11"/>
  <c r="L206" i="11"/>
  <c r="F206" i="11"/>
  <c r="L205" i="11"/>
  <c r="F205" i="11"/>
  <c r="L204" i="11"/>
  <c r="F204" i="11"/>
  <c r="L203" i="11"/>
  <c r="F203" i="11"/>
  <c r="L202" i="11"/>
  <c r="F202" i="11"/>
  <c r="L201" i="11"/>
  <c r="F201" i="11"/>
  <c r="L200" i="11"/>
  <c r="F200" i="11"/>
  <c r="L199" i="11"/>
  <c r="F199" i="11"/>
  <c r="L198" i="11"/>
  <c r="F198" i="11"/>
  <c r="L197" i="11"/>
  <c r="F197" i="11"/>
  <c r="L196" i="11"/>
  <c r="F196" i="11"/>
  <c r="L195" i="11"/>
  <c r="F195" i="11"/>
  <c r="L194" i="11"/>
  <c r="F194" i="11"/>
  <c r="L193" i="11"/>
  <c r="F193" i="11"/>
  <c r="L192" i="11"/>
  <c r="F192" i="11"/>
  <c r="L191" i="11"/>
  <c r="F191" i="11"/>
  <c r="L190" i="11"/>
  <c r="G190" i="11"/>
  <c r="F190" i="11"/>
  <c r="L189" i="11"/>
  <c r="F189" i="11"/>
  <c r="L188" i="11"/>
  <c r="F188" i="11"/>
  <c r="L187" i="11"/>
  <c r="F187" i="11"/>
  <c r="L186" i="11"/>
  <c r="F186" i="11"/>
  <c r="L185" i="11"/>
  <c r="F185" i="11"/>
  <c r="L184" i="11"/>
  <c r="F184" i="11"/>
  <c r="L183" i="11"/>
  <c r="F183" i="11"/>
  <c r="L182" i="11"/>
  <c r="F182" i="11"/>
  <c r="L181" i="11"/>
  <c r="F181" i="11"/>
  <c r="L180" i="11"/>
  <c r="F180" i="11"/>
  <c r="L179" i="11"/>
  <c r="F179" i="11"/>
  <c r="L178" i="11"/>
  <c r="F178" i="11"/>
  <c r="L177" i="11"/>
  <c r="F177" i="11"/>
  <c r="L176" i="11"/>
  <c r="F176" i="11"/>
  <c r="L175" i="11"/>
  <c r="F175" i="11"/>
  <c r="L174" i="11"/>
  <c r="F174" i="11"/>
  <c r="L173" i="11"/>
  <c r="F173" i="11"/>
  <c r="L172" i="11"/>
  <c r="F172" i="11"/>
  <c r="L171" i="11"/>
  <c r="F171" i="11"/>
  <c r="L170" i="11"/>
  <c r="F170" i="11"/>
  <c r="L169" i="11"/>
  <c r="F169" i="11"/>
  <c r="L168" i="11"/>
  <c r="F168" i="11"/>
  <c r="L167" i="11"/>
  <c r="F167" i="11"/>
  <c r="L166" i="11"/>
  <c r="F166" i="11"/>
  <c r="L165" i="11"/>
  <c r="F165" i="11"/>
  <c r="L164" i="11"/>
  <c r="F164" i="11"/>
  <c r="L163" i="11"/>
  <c r="F163" i="11"/>
  <c r="L162" i="11"/>
  <c r="F162" i="11"/>
  <c r="L161" i="11"/>
  <c r="F161" i="11"/>
  <c r="L160" i="11"/>
  <c r="F160" i="11"/>
  <c r="L159" i="11"/>
  <c r="F159" i="11"/>
  <c r="L158" i="11"/>
  <c r="F158" i="11"/>
  <c r="L157" i="11"/>
  <c r="F157" i="11"/>
  <c r="L156" i="11"/>
  <c r="F156" i="11"/>
  <c r="L155" i="11"/>
  <c r="F155" i="11"/>
  <c r="L154" i="11"/>
  <c r="F154" i="11"/>
  <c r="L153" i="11"/>
  <c r="F153" i="11"/>
  <c r="L152" i="11"/>
  <c r="F152" i="11"/>
  <c r="L151" i="11"/>
  <c r="F151" i="11"/>
  <c r="L150" i="11"/>
  <c r="F150" i="11"/>
  <c r="L149" i="11"/>
  <c r="F149" i="11"/>
  <c r="L148" i="11"/>
  <c r="F148" i="11"/>
  <c r="L147" i="11"/>
  <c r="F147" i="11"/>
  <c r="L146" i="11"/>
  <c r="F146" i="11"/>
  <c r="L145" i="11"/>
  <c r="F145" i="11"/>
  <c r="L144" i="11"/>
  <c r="F144" i="11"/>
  <c r="L143" i="11"/>
  <c r="F143" i="11"/>
  <c r="L142" i="11"/>
  <c r="F142" i="11"/>
  <c r="L141" i="11"/>
  <c r="F141" i="11"/>
  <c r="L140" i="11"/>
  <c r="F140" i="11"/>
  <c r="L139" i="11"/>
  <c r="F139" i="11"/>
  <c r="L138" i="11"/>
  <c r="F138" i="11"/>
  <c r="L137" i="11"/>
  <c r="F137" i="11"/>
  <c r="L136" i="11"/>
  <c r="F136" i="11"/>
  <c r="L135" i="11"/>
  <c r="F135" i="11"/>
  <c r="L134" i="11"/>
  <c r="F134" i="11"/>
  <c r="L133" i="11"/>
  <c r="F133" i="11"/>
  <c r="L132" i="11"/>
  <c r="F132" i="11"/>
  <c r="L131" i="11"/>
  <c r="F131" i="11"/>
  <c r="L130" i="11"/>
  <c r="F130" i="11"/>
  <c r="L129" i="11"/>
  <c r="F129" i="11"/>
  <c r="L128" i="11"/>
  <c r="F128" i="11"/>
  <c r="L127" i="11"/>
  <c r="F127" i="11"/>
  <c r="L126" i="11"/>
  <c r="G126" i="11"/>
  <c r="F126" i="11"/>
  <c r="L125" i="11"/>
  <c r="F125" i="11"/>
  <c r="L124" i="11"/>
  <c r="F124" i="11"/>
  <c r="L123" i="11"/>
  <c r="F123" i="11"/>
  <c r="L122" i="11"/>
  <c r="F122" i="11"/>
  <c r="L121" i="11"/>
  <c r="F121" i="11"/>
  <c r="L120" i="11"/>
  <c r="F120" i="11"/>
  <c r="L119" i="11"/>
  <c r="F119" i="11"/>
  <c r="L118" i="11"/>
  <c r="F118" i="11"/>
  <c r="L117" i="11"/>
  <c r="F117" i="11"/>
  <c r="L116" i="11"/>
  <c r="F116" i="11"/>
  <c r="L115" i="11"/>
  <c r="F115" i="11"/>
  <c r="L114" i="11"/>
  <c r="F114" i="11"/>
  <c r="L113" i="11"/>
  <c r="F113" i="11"/>
  <c r="L112" i="11"/>
  <c r="F112" i="11"/>
  <c r="L111" i="11"/>
  <c r="F111" i="11"/>
  <c r="L110" i="11"/>
  <c r="F110" i="11"/>
  <c r="L109" i="11"/>
  <c r="F109" i="11"/>
  <c r="L108" i="11"/>
  <c r="F108" i="11"/>
  <c r="L107" i="11"/>
  <c r="F107" i="11"/>
  <c r="L106" i="11"/>
  <c r="F106" i="11"/>
  <c r="L105" i="11"/>
  <c r="F105" i="11"/>
  <c r="L104" i="11"/>
  <c r="F104" i="11"/>
  <c r="L103" i="11"/>
  <c r="F103" i="11"/>
  <c r="L102" i="11"/>
  <c r="F102" i="11"/>
  <c r="L101" i="11"/>
  <c r="F101" i="11"/>
  <c r="L100" i="11"/>
  <c r="F100" i="11"/>
  <c r="L99" i="11"/>
  <c r="F99" i="11"/>
  <c r="L98" i="11"/>
  <c r="F98" i="11"/>
  <c r="L97" i="11"/>
  <c r="F97" i="11"/>
  <c r="L96" i="11"/>
  <c r="F96" i="11"/>
  <c r="L95" i="11"/>
  <c r="F95" i="11"/>
  <c r="L94" i="11"/>
  <c r="F94" i="11"/>
  <c r="L93" i="11"/>
  <c r="F93" i="11"/>
  <c r="L92" i="11"/>
  <c r="F92" i="11"/>
  <c r="L91" i="11"/>
  <c r="F91" i="11"/>
  <c r="L90" i="11"/>
  <c r="F90" i="11"/>
  <c r="L89" i="11"/>
  <c r="F89" i="11"/>
  <c r="L88" i="11"/>
  <c r="F88" i="11"/>
  <c r="L87" i="11"/>
  <c r="F87" i="11"/>
  <c r="L86" i="11"/>
  <c r="F86" i="11"/>
  <c r="L85" i="11"/>
  <c r="F85" i="11"/>
  <c r="L84" i="11"/>
  <c r="F84" i="11"/>
  <c r="L83" i="11"/>
  <c r="F83" i="11"/>
  <c r="L82" i="11"/>
  <c r="F82" i="11"/>
  <c r="L81" i="11"/>
  <c r="F81" i="11"/>
  <c r="L80" i="11"/>
  <c r="F80" i="11"/>
  <c r="L79" i="11"/>
  <c r="F79" i="11"/>
  <c r="L78" i="11"/>
  <c r="F78" i="11"/>
  <c r="L77" i="11"/>
  <c r="F77" i="11"/>
  <c r="L76" i="11"/>
  <c r="F76" i="11"/>
  <c r="L75" i="11"/>
  <c r="F75" i="11"/>
  <c r="L74" i="11"/>
  <c r="F74" i="11"/>
  <c r="L73" i="11"/>
  <c r="F73" i="11"/>
  <c r="L72" i="11"/>
  <c r="F72" i="11"/>
  <c r="L71" i="11"/>
  <c r="F71" i="11"/>
  <c r="L70" i="11"/>
  <c r="F70" i="11"/>
  <c r="L69" i="11"/>
  <c r="F69" i="11"/>
  <c r="L68" i="11"/>
  <c r="F68" i="11"/>
  <c r="L67" i="11"/>
  <c r="F67" i="11"/>
  <c r="L66" i="11"/>
  <c r="F66" i="11"/>
  <c r="L65" i="11"/>
  <c r="F65" i="11"/>
  <c r="L64" i="11"/>
  <c r="F64" i="11"/>
  <c r="L63" i="11"/>
  <c r="F63" i="11"/>
  <c r="L62" i="11"/>
  <c r="F62" i="11"/>
  <c r="L61" i="11"/>
  <c r="F61" i="11"/>
  <c r="L60" i="11"/>
  <c r="F60" i="11"/>
  <c r="L59" i="11"/>
  <c r="F59" i="11"/>
  <c r="L58" i="11"/>
  <c r="F58" i="11"/>
  <c r="L57" i="11"/>
  <c r="F57" i="11"/>
  <c r="L56" i="11"/>
  <c r="F56" i="11"/>
  <c r="L55" i="11"/>
  <c r="G55" i="11"/>
  <c r="F55" i="11"/>
  <c r="L54" i="11"/>
  <c r="F54" i="11"/>
  <c r="L53" i="11"/>
  <c r="F53" i="11"/>
  <c r="L52" i="11"/>
  <c r="F52" i="11"/>
  <c r="L51" i="11"/>
  <c r="G51" i="11"/>
  <c r="F51" i="11"/>
  <c r="L50" i="11"/>
  <c r="G50" i="11"/>
  <c r="F50" i="11"/>
  <c r="L49" i="11"/>
  <c r="F49" i="11"/>
  <c r="L48" i="11"/>
  <c r="F48" i="11"/>
  <c r="L47" i="11"/>
  <c r="G47" i="11"/>
  <c r="F47" i="11"/>
  <c r="L46" i="11"/>
  <c r="F46" i="11"/>
  <c r="L45" i="11"/>
  <c r="F45" i="11"/>
  <c r="L44" i="11"/>
  <c r="F44" i="11"/>
  <c r="L43" i="11"/>
  <c r="G43" i="11"/>
  <c r="F43" i="11"/>
  <c r="L42" i="11"/>
  <c r="G42" i="11"/>
  <c r="F42" i="11"/>
  <c r="L41" i="11"/>
  <c r="F41" i="11"/>
  <c r="L40" i="11"/>
  <c r="F40" i="11"/>
  <c r="L39" i="11"/>
  <c r="G39" i="11"/>
  <c r="F39" i="11"/>
  <c r="L38" i="11"/>
  <c r="F38" i="11"/>
  <c r="L37" i="11"/>
  <c r="F37" i="11"/>
  <c r="L36" i="11"/>
  <c r="F36" i="11"/>
  <c r="L35" i="11"/>
  <c r="G35" i="11"/>
  <c r="F35" i="11"/>
  <c r="L34" i="11"/>
  <c r="G34" i="11"/>
  <c r="F34" i="11"/>
  <c r="L33" i="11"/>
  <c r="F33" i="11"/>
  <c r="L32" i="11"/>
  <c r="F32" i="11"/>
  <c r="L31" i="11"/>
  <c r="G31" i="11"/>
  <c r="F31" i="11"/>
  <c r="L30" i="11"/>
  <c r="F30" i="11"/>
  <c r="L29" i="11"/>
  <c r="F29" i="11"/>
  <c r="L28" i="11"/>
  <c r="F28" i="11"/>
  <c r="L27" i="11"/>
  <c r="G27" i="11"/>
  <c r="F27" i="11"/>
  <c r="L26" i="11"/>
  <c r="G26" i="11"/>
  <c r="F26" i="11"/>
  <c r="L25" i="11"/>
  <c r="F25" i="11"/>
  <c r="L24" i="11"/>
  <c r="F24" i="11"/>
  <c r="L23" i="11"/>
  <c r="G23" i="11"/>
  <c r="F23" i="11"/>
  <c r="L22" i="11"/>
  <c r="F22" i="11"/>
  <c r="L21" i="11"/>
  <c r="F21" i="11"/>
  <c r="L20" i="11"/>
  <c r="F20" i="11"/>
  <c r="L19" i="11"/>
  <c r="G19" i="11"/>
  <c r="F19" i="11"/>
  <c r="L18" i="11"/>
  <c r="G18" i="11"/>
  <c r="F18" i="11"/>
  <c r="L17" i="11"/>
  <c r="F17" i="11"/>
  <c r="L16" i="11"/>
  <c r="F16" i="11"/>
  <c r="L15" i="11"/>
  <c r="G15" i="11"/>
  <c r="F15" i="11"/>
  <c r="L14" i="11"/>
  <c r="F14" i="11"/>
  <c r="Q4" i="11" s="1"/>
  <c r="L13" i="11"/>
  <c r="F13" i="11"/>
  <c r="L12" i="11"/>
  <c r="F12" i="11"/>
  <c r="L11" i="11"/>
  <c r="G11" i="11"/>
  <c r="F11" i="11"/>
  <c r="L10" i="11"/>
  <c r="G10" i="11"/>
  <c r="Q9" i="11"/>
  <c r="Q3" i="11"/>
  <c r="G254" i="11" s="1"/>
  <c r="Q2" i="11"/>
  <c r="L308" i="10"/>
  <c r="F308" i="10"/>
  <c r="L307" i="10"/>
  <c r="F307" i="10"/>
  <c r="L306" i="10"/>
  <c r="F306" i="10"/>
  <c r="L305" i="10"/>
  <c r="F305" i="10"/>
  <c r="L304" i="10"/>
  <c r="F304" i="10"/>
  <c r="L303" i="10"/>
  <c r="F303" i="10"/>
  <c r="L302" i="10"/>
  <c r="F302" i="10"/>
  <c r="L301" i="10"/>
  <c r="F301" i="10"/>
  <c r="L300" i="10"/>
  <c r="F300" i="10"/>
  <c r="L299" i="10"/>
  <c r="F299" i="10"/>
  <c r="L298" i="10"/>
  <c r="F298" i="10"/>
  <c r="L297" i="10"/>
  <c r="F297" i="10"/>
  <c r="L296" i="10"/>
  <c r="F296" i="10"/>
  <c r="L295" i="10"/>
  <c r="F295" i="10"/>
  <c r="L294" i="10"/>
  <c r="G294" i="10"/>
  <c r="F294" i="10"/>
  <c r="L293" i="10"/>
  <c r="F293" i="10"/>
  <c r="L292" i="10"/>
  <c r="F292" i="10"/>
  <c r="L291" i="10"/>
  <c r="F291" i="10"/>
  <c r="L290" i="10"/>
  <c r="F290" i="10"/>
  <c r="L289" i="10"/>
  <c r="F289" i="10"/>
  <c r="L288" i="10"/>
  <c r="F288" i="10"/>
  <c r="L287" i="10"/>
  <c r="F287" i="10"/>
  <c r="L286" i="10"/>
  <c r="F286" i="10"/>
  <c r="L285" i="10"/>
  <c r="F285" i="10"/>
  <c r="L284" i="10"/>
  <c r="F284" i="10"/>
  <c r="L283" i="10"/>
  <c r="F283" i="10"/>
  <c r="L282" i="10"/>
  <c r="F282" i="10"/>
  <c r="L281" i="10"/>
  <c r="F281" i="10"/>
  <c r="L280" i="10"/>
  <c r="F280" i="10"/>
  <c r="L279" i="10"/>
  <c r="F279" i="10"/>
  <c r="L278" i="10"/>
  <c r="F278" i="10"/>
  <c r="L277" i="10"/>
  <c r="F277" i="10"/>
  <c r="L276" i="10"/>
  <c r="F276" i="10"/>
  <c r="L275" i="10"/>
  <c r="F275" i="10"/>
  <c r="L274" i="10"/>
  <c r="F274" i="10"/>
  <c r="L273" i="10"/>
  <c r="F273" i="10"/>
  <c r="L272" i="10"/>
  <c r="F272" i="10"/>
  <c r="L271" i="10"/>
  <c r="F271" i="10"/>
  <c r="L270" i="10"/>
  <c r="F270" i="10"/>
  <c r="L269" i="10"/>
  <c r="F269" i="10"/>
  <c r="L268" i="10"/>
  <c r="F268" i="10"/>
  <c r="L267" i="10"/>
  <c r="F267" i="10"/>
  <c r="L266" i="10"/>
  <c r="F266" i="10"/>
  <c r="L265" i="10"/>
  <c r="F265" i="10"/>
  <c r="L264" i="10"/>
  <c r="F264" i="10"/>
  <c r="L263" i="10"/>
  <c r="F263" i="10"/>
  <c r="L262" i="10"/>
  <c r="F262" i="10"/>
  <c r="L261" i="10"/>
  <c r="F261" i="10"/>
  <c r="L260" i="10"/>
  <c r="F260" i="10"/>
  <c r="L259" i="10"/>
  <c r="F259" i="10"/>
  <c r="L258" i="10"/>
  <c r="F258" i="10"/>
  <c r="L257" i="10"/>
  <c r="F257" i="10"/>
  <c r="L256" i="10"/>
  <c r="F256" i="10"/>
  <c r="L255" i="10"/>
  <c r="F255" i="10"/>
  <c r="L254" i="10"/>
  <c r="F254" i="10"/>
  <c r="L253" i="10"/>
  <c r="F253" i="10"/>
  <c r="L252" i="10"/>
  <c r="F252" i="10"/>
  <c r="L251" i="10"/>
  <c r="F251" i="10"/>
  <c r="L250" i="10"/>
  <c r="F250" i="10"/>
  <c r="L249" i="10"/>
  <c r="F249" i="10"/>
  <c r="L248" i="10"/>
  <c r="F248" i="10"/>
  <c r="L247" i="10"/>
  <c r="F247" i="10"/>
  <c r="L246" i="10"/>
  <c r="F246" i="10"/>
  <c r="L245" i="10"/>
  <c r="F245" i="10"/>
  <c r="L244" i="10"/>
  <c r="F244" i="10"/>
  <c r="L243" i="10"/>
  <c r="F243" i="10"/>
  <c r="L242" i="10"/>
  <c r="F242" i="10"/>
  <c r="L241" i="10"/>
  <c r="F241" i="10"/>
  <c r="L240" i="10"/>
  <c r="F240" i="10"/>
  <c r="L239" i="10"/>
  <c r="F239" i="10"/>
  <c r="L238" i="10"/>
  <c r="F238" i="10"/>
  <c r="L237" i="10"/>
  <c r="F237" i="10"/>
  <c r="L236" i="10"/>
  <c r="F236" i="10"/>
  <c r="L235" i="10"/>
  <c r="F235" i="10"/>
  <c r="L234" i="10"/>
  <c r="F234" i="10"/>
  <c r="L233" i="10"/>
  <c r="F233" i="10"/>
  <c r="L232" i="10"/>
  <c r="F232" i="10"/>
  <c r="L231" i="10"/>
  <c r="F231" i="10"/>
  <c r="L230" i="10"/>
  <c r="F230" i="10"/>
  <c r="L229" i="10"/>
  <c r="F229" i="10"/>
  <c r="L228" i="10"/>
  <c r="F228" i="10"/>
  <c r="L227" i="10"/>
  <c r="F227" i="10"/>
  <c r="L226" i="10"/>
  <c r="F226" i="10"/>
  <c r="L225" i="10"/>
  <c r="F225" i="10"/>
  <c r="L224" i="10"/>
  <c r="F224" i="10"/>
  <c r="L223" i="10"/>
  <c r="F223" i="10"/>
  <c r="L222" i="10"/>
  <c r="F222" i="10"/>
  <c r="L221" i="10"/>
  <c r="F221" i="10"/>
  <c r="L220" i="10"/>
  <c r="F220" i="10"/>
  <c r="L219" i="10"/>
  <c r="F219" i="10"/>
  <c r="L218" i="10"/>
  <c r="F218" i="10"/>
  <c r="L217" i="10"/>
  <c r="F217" i="10"/>
  <c r="L216" i="10"/>
  <c r="F216" i="10"/>
  <c r="L215" i="10"/>
  <c r="F215" i="10"/>
  <c r="L214" i="10"/>
  <c r="F214" i="10"/>
  <c r="L213" i="10"/>
  <c r="F213" i="10"/>
  <c r="L212" i="10"/>
  <c r="F212" i="10"/>
  <c r="L211" i="10"/>
  <c r="F211" i="10"/>
  <c r="L210" i="10"/>
  <c r="F210" i="10"/>
  <c r="L209" i="10"/>
  <c r="F209" i="10"/>
  <c r="L208" i="10"/>
  <c r="F208" i="10"/>
  <c r="L207" i="10"/>
  <c r="F207" i="10"/>
  <c r="L206" i="10"/>
  <c r="F206" i="10"/>
  <c r="L205" i="10"/>
  <c r="F205" i="10"/>
  <c r="L204" i="10"/>
  <c r="F204" i="10"/>
  <c r="L203" i="10"/>
  <c r="F203" i="10"/>
  <c r="L202" i="10"/>
  <c r="F202" i="10"/>
  <c r="L201" i="10"/>
  <c r="F201" i="10"/>
  <c r="L200" i="10"/>
  <c r="F200" i="10"/>
  <c r="L199" i="10"/>
  <c r="F199" i="10"/>
  <c r="L198" i="10"/>
  <c r="F198" i="10"/>
  <c r="L197" i="10"/>
  <c r="F197" i="10"/>
  <c r="L196" i="10"/>
  <c r="F196" i="10"/>
  <c r="L195" i="10"/>
  <c r="F195" i="10"/>
  <c r="L194" i="10"/>
  <c r="F194" i="10"/>
  <c r="L193" i="10"/>
  <c r="F193" i="10"/>
  <c r="L192" i="10"/>
  <c r="F192" i="10"/>
  <c r="L191" i="10"/>
  <c r="F191" i="10"/>
  <c r="L190" i="10"/>
  <c r="F190" i="10"/>
  <c r="L189" i="10"/>
  <c r="F189" i="10"/>
  <c r="L188" i="10"/>
  <c r="F188" i="10"/>
  <c r="L187" i="10"/>
  <c r="F187" i="10"/>
  <c r="L186" i="10"/>
  <c r="F186" i="10"/>
  <c r="L185" i="10"/>
  <c r="F185" i="10"/>
  <c r="L184" i="10"/>
  <c r="F184" i="10"/>
  <c r="L183" i="10"/>
  <c r="F183" i="10"/>
  <c r="L182" i="10"/>
  <c r="F182" i="10"/>
  <c r="L181" i="10"/>
  <c r="F181" i="10"/>
  <c r="L180" i="10"/>
  <c r="F180" i="10"/>
  <c r="L179" i="10"/>
  <c r="F179" i="10"/>
  <c r="L178" i="10"/>
  <c r="F178" i="10"/>
  <c r="L177" i="10"/>
  <c r="F177" i="10"/>
  <c r="L176" i="10"/>
  <c r="F176" i="10"/>
  <c r="L175" i="10"/>
  <c r="F175" i="10"/>
  <c r="L174" i="10"/>
  <c r="F174" i="10"/>
  <c r="L173" i="10"/>
  <c r="F173" i="10"/>
  <c r="L172" i="10"/>
  <c r="F172" i="10"/>
  <c r="L171" i="10"/>
  <c r="F171" i="10"/>
  <c r="L170" i="10"/>
  <c r="F170" i="10"/>
  <c r="L169" i="10"/>
  <c r="F169" i="10"/>
  <c r="L168" i="10"/>
  <c r="F168" i="10"/>
  <c r="L167" i="10"/>
  <c r="F167" i="10"/>
  <c r="L166" i="10"/>
  <c r="F166" i="10"/>
  <c r="L165" i="10"/>
  <c r="F165" i="10"/>
  <c r="L164" i="10"/>
  <c r="F164" i="10"/>
  <c r="L163" i="10"/>
  <c r="F163" i="10"/>
  <c r="L162" i="10"/>
  <c r="F162" i="10"/>
  <c r="L161" i="10"/>
  <c r="F161" i="10"/>
  <c r="L160" i="10"/>
  <c r="F160" i="10"/>
  <c r="L159" i="10"/>
  <c r="F159" i="10"/>
  <c r="L158" i="10"/>
  <c r="F158" i="10"/>
  <c r="L157" i="10"/>
  <c r="F157" i="10"/>
  <c r="L156" i="10"/>
  <c r="F156" i="10"/>
  <c r="L155" i="10"/>
  <c r="F155" i="10"/>
  <c r="L154" i="10"/>
  <c r="F154" i="10"/>
  <c r="L153" i="10"/>
  <c r="F153" i="10"/>
  <c r="L152" i="10"/>
  <c r="F152" i="10"/>
  <c r="L151" i="10"/>
  <c r="F151" i="10"/>
  <c r="L150" i="10"/>
  <c r="F150" i="10"/>
  <c r="L149" i="10"/>
  <c r="F149" i="10"/>
  <c r="L148" i="10"/>
  <c r="F148" i="10"/>
  <c r="L147" i="10"/>
  <c r="F147" i="10"/>
  <c r="L146" i="10"/>
  <c r="G146" i="10"/>
  <c r="F146" i="10"/>
  <c r="L145" i="10"/>
  <c r="F145" i="10"/>
  <c r="L144" i="10"/>
  <c r="F144" i="10"/>
  <c r="L143" i="10"/>
  <c r="F143" i="10"/>
  <c r="L142" i="10"/>
  <c r="F142" i="10"/>
  <c r="L141" i="10"/>
  <c r="F141" i="10"/>
  <c r="L140" i="10"/>
  <c r="F140" i="10"/>
  <c r="L139" i="10"/>
  <c r="F139" i="10"/>
  <c r="L138" i="10"/>
  <c r="F138" i="10"/>
  <c r="L137" i="10"/>
  <c r="F137" i="10"/>
  <c r="L136" i="10"/>
  <c r="F136" i="10"/>
  <c r="L135" i="10"/>
  <c r="F135" i="10"/>
  <c r="L134" i="10"/>
  <c r="F134" i="10"/>
  <c r="L133" i="10"/>
  <c r="F133" i="10"/>
  <c r="L132" i="10"/>
  <c r="F132" i="10"/>
  <c r="L131" i="10"/>
  <c r="F131" i="10"/>
  <c r="L130" i="10"/>
  <c r="F130" i="10"/>
  <c r="L129" i="10"/>
  <c r="F129" i="10"/>
  <c r="L128" i="10"/>
  <c r="F128" i="10"/>
  <c r="L127" i="10"/>
  <c r="F127" i="10"/>
  <c r="L126" i="10"/>
  <c r="F126" i="10"/>
  <c r="L125" i="10"/>
  <c r="F125" i="10"/>
  <c r="L124" i="10"/>
  <c r="F124" i="10"/>
  <c r="L123" i="10"/>
  <c r="F123" i="10"/>
  <c r="L122" i="10"/>
  <c r="F122" i="10"/>
  <c r="L121" i="10"/>
  <c r="F121" i="10"/>
  <c r="L120" i="10"/>
  <c r="F120" i="10"/>
  <c r="L119" i="10"/>
  <c r="F119" i="10"/>
  <c r="L118" i="10"/>
  <c r="F118" i="10"/>
  <c r="L117" i="10"/>
  <c r="F117" i="10"/>
  <c r="L116" i="10"/>
  <c r="F116" i="10"/>
  <c r="L115" i="10"/>
  <c r="F115" i="10"/>
  <c r="L114" i="10"/>
  <c r="F114" i="10"/>
  <c r="L113" i="10"/>
  <c r="F113" i="10"/>
  <c r="L112" i="10"/>
  <c r="F112" i="10"/>
  <c r="L111" i="10"/>
  <c r="F111" i="10"/>
  <c r="L110" i="10"/>
  <c r="F110" i="10"/>
  <c r="L109" i="10"/>
  <c r="F109" i="10"/>
  <c r="L108" i="10"/>
  <c r="F108" i="10"/>
  <c r="L107" i="10"/>
  <c r="F107" i="10"/>
  <c r="L106" i="10"/>
  <c r="F106" i="10"/>
  <c r="L105" i="10"/>
  <c r="F105" i="10"/>
  <c r="L104" i="10"/>
  <c r="F104" i="10"/>
  <c r="L103" i="10"/>
  <c r="F103" i="10"/>
  <c r="L102" i="10"/>
  <c r="F102" i="10"/>
  <c r="L101" i="10"/>
  <c r="F101" i="10"/>
  <c r="L100" i="10"/>
  <c r="F100" i="10"/>
  <c r="L99" i="10"/>
  <c r="F99" i="10"/>
  <c r="L98" i="10"/>
  <c r="F98" i="10"/>
  <c r="L97" i="10"/>
  <c r="F97" i="10"/>
  <c r="L96" i="10"/>
  <c r="F96" i="10"/>
  <c r="L95" i="10"/>
  <c r="F95" i="10"/>
  <c r="L94" i="10"/>
  <c r="F94" i="10"/>
  <c r="L93" i="10"/>
  <c r="F93" i="10"/>
  <c r="L92" i="10"/>
  <c r="F92" i="10"/>
  <c r="L91" i="10"/>
  <c r="F91" i="10"/>
  <c r="L90" i="10"/>
  <c r="F90" i="10"/>
  <c r="L89" i="10"/>
  <c r="F89" i="10"/>
  <c r="L88" i="10"/>
  <c r="F88" i="10"/>
  <c r="L87" i="10"/>
  <c r="F87" i="10"/>
  <c r="L86" i="10"/>
  <c r="F86" i="10"/>
  <c r="L85" i="10"/>
  <c r="F85" i="10"/>
  <c r="L84" i="10"/>
  <c r="F84" i="10"/>
  <c r="L83" i="10"/>
  <c r="F83" i="10"/>
  <c r="L82" i="10"/>
  <c r="F82" i="10"/>
  <c r="L81" i="10"/>
  <c r="F81" i="10"/>
  <c r="L80" i="10"/>
  <c r="F80" i="10"/>
  <c r="L79" i="10"/>
  <c r="F79" i="10"/>
  <c r="L78" i="10"/>
  <c r="F78" i="10"/>
  <c r="L77" i="10"/>
  <c r="F77" i="10"/>
  <c r="L76" i="10"/>
  <c r="F76" i="10"/>
  <c r="L75" i="10"/>
  <c r="F75" i="10"/>
  <c r="L74" i="10"/>
  <c r="F74" i="10"/>
  <c r="L73" i="10"/>
  <c r="F73" i="10"/>
  <c r="L72" i="10"/>
  <c r="F72" i="10"/>
  <c r="L71" i="10"/>
  <c r="G71" i="10"/>
  <c r="F71" i="10"/>
  <c r="L70" i="10"/>
  <c r="F70" i="10"/>
  <c r="L69" i="10"/>
  <c r="F69" i="10"/>
  <c r="L68" i="10"/>
  <c r="F68" i="10"/>
  <c r="L67" i="10"/>
  <c r="F67" i="10"/>
  <c r="L66" i="10"/>
  <c r="F66" i="10"/>
  <c r="L65" i="10"/>
  <c r="F65" i="10"/>
  <c r="L64" i="10"/>
  <c r="F64" i="10"/>
  <c r="L63" i="10"/>
  <c r="G63" i="10"/>
  <c r="F63" i="10"/>
  <c r="L62" i="10"/>
  <c r="F62" i="10"/>
  <c r="L61" i="10"/>
  <c r="F61" i="10"/>
  <c r="L60" i="10"/>
  <c r="F60" i="10"/>
  <c r="L59" i="10"/>
  <c r="F59" i="10"/>
  <c r="L58" i="10"/>
  <c r="F58" i="10"/>
  <c r="L57" i="10"/>
  <c r="F57" i="10"/>
  <c r="L56" i="10"/>
  <c r="F56" i="10"/>
  <c r="L55" i="10"/>
  <c r="G55" i="10"/>
  <c r="F55" i="10"/>
  <c r="L54" i="10"/>
  <c r="F54" i="10"/>
  <c r="L53" i="10"/>
  <c r="F53" i="10"/>
  <c r="L52" i="10"/>
  <c r="F52" i="10"/>
  <c r="L51" i="10"/>
  <c r="F51" i="10"/>
  <c r="L50" i="10"/>
  <c r="F50" i="10"/>
  <c r="L49" i="10"/>
  <c r="F49" i="10"/>
  <c r="L48" i="10"/>
  <c r="F48" i="10"/>
  <c r="L47" i="10"/>
  <c r="G47" i="10"/>
  <c r="F47" i="10"/>
  <c r="L46" i="10"/>
  <c r="F46" i="10"/>
  <c r="L45" i="10"/>
  <c r="F45" i="10"/>
  <c r="L44" i="10"/>
  <c r="F44" i="10"/>
  <c r="L43" i="10"/>
  <c r="F43" i="10"/>
  <c r="L42" i="10"/>
  <c r="F42" i="10"/>
  <c r="L41" i="10"/>
  <c r="F41" i="10"/>
  <c r="L40" i="10"/>
  <c r="F40" i="10"/>
  <c r="L39" i="10"/>
  <c r="G39" i="10"/>
  <c r="F39" i="10"/>
  <c r="L38" i="10"/>
  <c r="F38" i="10"/>
  <c r="L37" i="10"/>
  <c r="F37" i="10"/>
  <c r="L36" i="10"/>
  <c r="F36" i="10"/>
  <c r="L35" i="10"/>
  <c r="F35" i="10"/>
  <c r="L34" i="10"/>
  <c r="F34" i="10"/>
  <c r="L33" i="10"/>
  <c r="F33" i="10"/>
  <c r="L32" i="10"/>
  <c r="F32" i="10"/>
  <c r="L31" i="10"/>
  <c r="G31" i="10"/>
  <c r="F31" i="10"/>
  <c r="L30" i="10"/>
  <c r="F30" i="10"/>
  <c r="L29" i="10"/>
  <c r="F29" i="10"/>
  <c r="L28" i="10"/>
  <c r="F28" i="10"/>
  <c r="L27" i="10"/>
  <c r="F27" i="10"/>
  <c r="L26" i="10"/>
  <c r="F26" i="10"/>
  <c r="L25" i="10"/>
  <c r="F25" i="10"/>
  <c r="L24" i="10"/>
  <c r="F24" i="10"/>
  <c r="L23" i="10"/>
  <c r="G23" i="10"/>
  <c r="F23" i="10"/>
  <c r="L22" i="10"/>
  <c r="F22" i="10"/>
  <c r="L21" i="10"/>
  <c r="F21" i="10"/>
  <c r="L20" i="10"/>
  <c r="F20" i="10"/>
  <c r="L19" i="10"/>
  <c r="F19" i="10"/>
  <c r="L18" i="10"/>
  <c r="F18" i="10"/>
  <c r="L17" i="10"/>
  <c r="F17" i="10"/>
  <c r="L16" i="10"/>
  <c r="F16" i="10"/>
  <c r="L15" i="10"/>
  <c r="G15" i="10"/>
  <c r="F15" i="10"/>
  <c r="L14" i="10"/>
  <c r="F14" i="10"/>
  <c r="Q4" i="10" s="1"/>
  <c r="L13" i="10"/>
  <c r="F13" i="10"/>
  <c r="L12" i="10"/>
  <c r="F12" i="10"/>
  <c r="L11" i="10"/>
  <c r="Q3" i="10"/>
  <c r="G242" i="10" s="1"/>
  <c r="Q2" i="10"/>
  <c r="L308" i="9"/>
  <c r="F308" i="9"/>
  <c r="L307" i="9"/>
  <c r="F307" i="9"/>
  <c r="L306" i="9"/>
  <c r="F306" i="9"/>
  <c r="L305" i="9"/>
  <c r="F305" i="9"/>
  <c r="L304" i="9"/>
  <c r="F304" i="9"/>
  <c r="L303" i="9"/>
  <c r="F303" i="9"/>
  <c r="L302" i="9"/>
  <c r="F302" i="9"/>
  <c r="L301" i="9"/>
  <c r="F301" i="9"/>
  <c r="L300" i="9"/>
  <c r="F300" i="9"/>
  <c r="L299" i="9"/>
  <c r="F299" i="9"/>
  <c r="L298" i="9"/>
  <c r="F298" i="9"/>
  <c r="L297" i="9"/>
  <c r="F297" i="9"/>
  <c r="L296" i="9"/>
  <c r="F296" i="9"/>
  <c r="L295" i="9"/>
  <c r="F295" i="9"/>
  <c r="L294" i="9"/>
  <c r="F294" i="9"/>
  <c r="L293" i="9"/>
  <c r="F293" i="9"/>
  <c r="L292" i="9"/>
  <c r="F292" i="9"/>
  <c r="L291" i="9"/>
  <c r="F291" i="9"/>
  <c r="L290" i="9"/>
  <c r="F290" i="9"/>
  <c r="L289" i="9"/>
  <c r="F289" i="9"/>
  <c r="L288" i="9"/>
  <c r="F288" i="9"/>
  <c r="L287" i="9"/>
  <c r="F287" i="9"/>
  <c r="L286" i="9"/>
  <c r="F286" i="9"/>
  <c r="L285" i="9"/>
  <c r="F285" i="9"/>
  <c r="L284" i="9"/>
  <c r="F284" i="9"/>
  <c r="L283" i="9"/>
  <c r="F283" i="9"/>
  <c r="L282" i="9"/>
  <c r="F282" i="9"/>
  <c r="L281" i="9"/>
  <c r="F281" i="9"/>
  <c r="L280" i="9"/>
  <c r="F280" i="9"/>
  <c r="L279" i="9"/>
  <c r="F279" i="9"/>
  <c r="L278" i="9"/>
  <c r="F278" i="9"/>
  <c r="L277" i="9"/>
  <c r="F277" i="9"/>
  <c r="L276" i="9"/>
  <c r="F276" i="9"/>
  <c r="L275" i="9"/>
  <c r="F275" i="9"/>
  <c r="L274" i="9"/>
  <c r="F274" i="9"/>
  <c r="L273" i="9"/>
  <c r="F273" i="9"/>
  <c r="L272" i="9"/>
  <c r="F272" i="9"/>
  <c r="L271" i="9"/>
  <c r="F271" i="9"/>
  <c r="L270" i="9"/>
  <c r="F270" i="9"/>
  <c r="L269" i="9"/>
  <c r="F269" i="9"/>
  <c r="L268" i="9"/>
  <c r="F268" i="9"/>
  <c r="L267" i="9"/>
  <c r="F267" i="9"/>
  <c r="L266" i="9"/>
  <c r="F266" i="9"/>
  <c r="L265" i="9"/>
  <c r="F265" i="9"/>
  <c r="L264" i="9"/>
  <c r="F264" i="9"/>
  <c r="L263" i="9"/>
  <c r="F263" i="9"/>
  <c r="L262" i="9"/>
  <c r="F262" i="9"/>
  <c r="L261" i="9"/>
  <c r="F261" i="9"/>
  <c r="L260" i="9"/>
  <c r="F260" i="9"/>
  <c r="L259" i="9"/>
  <c r="F259" i="9"/>
  <c r="L258" i="9"/>
  <c r="F258" i="9"/>
  <c r="L257" i="9"/>
  <c r="F257" i="9"/>
  <c r="L256" i="9"/>
  <c r="F256" i="9"/>
  <c r="L255" i="9"/>
  <c r="F255" i="9"/>
  <c r="L254" i="9"/>
  <c r="F254" i="9"/>
  <c r="L253" i="9"/>
  <c r="F253" i="9"/>
  <c r="L252" i="9"/>
  <c r="F252" i="9"/>
  <c r="L251" i="9"/>
  <c r="F251" i="9"/>
  <c r="L250" i="9"/>
  <c r="F250" i="9"/>
  <c r="L249" i="9"/>
  <c r="F249" i="9"/>
  <c r="L248" i="9"/>
  <c r="F248" i="9"/>
  <c r="L247" i="9"/>
  <c r="F247" i="9"/>
  <c r="L246" i="9"/>
  <c r="F246" i="9"/>
  <c r="L245" i="9"/>
  <c r="F245" i="9"/>
  <c r="L244" i="9"/>
  <c r="F244" i="9"/>
  <c r="L243" i="9"/>
  <c r="F243" i="9"/>
  <c r="L242" i="9"/>
  <c r="F242" i="9"/>
  <c r="L241" i="9"/>
  <c r="F241" i="9"/>
  <c r="L240" i="9"/>
  <c r="F240" i="9"/>
  <c r="L239" i="9"/>
  <c r="F239" i="9"/>
  <c r="L238" i="9"/>
  <c r="F238" i="9"/>
  <c r="L237" i="9"/>
  <c r="F237" i="9"/>
  <c r="L236" i="9"/>
  <c r="F236" i="9"/>
  <c r="L235" i="9"/>
  <c r="F235" i="9"/>
  <c r="L234" i="9"/>
  <c r="F234" i="9"/>
  <c r="L233" i="9"/>
  <c r="F233" i="9"/>
  <c r="L232" i="9"/>
  <c r="F232" i="9"/>
  <c r="L231" i="9"/>
  <c r="F231" i="9"/>
  <c r="L230" i="9"/>
  <c r="F230" i="9"/>
  <c r="L229" i="9"/>
  <c r="F229" i="9"/>
  <c r="L228" i="9"/>
  <c r="F228" i="9"/>
  <c r="L227" i="9"/>
  <c r="F227" i="9"/>
  <c r="L226" i="9"/>
  <c r="F226" i="9"/>
  <c r="L225" i="9"/>
  <c r="F225" i="9"/>
  <c r="L224" i="9"/>
  <c r="F224" i="9"/>
  <c r="L223" i="9"/>
  <c r="F223" i="9"/>
  <c r="L222" i="9"/>
  <c r="F222" i="9"/>
  <c r="L221" i="9"/>
  <c r="F221" i="9"/>
  <c r="L220" i="9"/>
  <c r="F220" i="9"/>
  <c r="L219" i="9"/>
  <c r="F219" i="9"/>
  <c r="L218" i="9"/>
  <c r="F218" i="9"/>
  <c r="L217" i="9"/>
  <c r="F217" i="9"/>
  <c r="L216" i="9"/>
  <c r="F216" i="9"/>
  <c r="L215" i="9"/>
  <c r="F215" i="9"/>
  <c r="L214" i="9"/>
  <c r="F214" i="9"/>
  <c r="L213" i="9"/>
  <c r="F213" i="9"/>
  <c r="L212" i="9"/>
  <c r="F212" i="9"/>
  <c r="L211" i="9"/>
  <c r="F211" i="9"/>
  <c r="L210" i="9"/>
  <c r="F210" i="9"/>
  <c r="L209" i="9"/>
  <c r="F209" i="9"/>
  <c r="L208" i="9"/>
  <c r="F208" i="9"/>
  <c r="L207" i="9"/>
  <c r="F207" i="9"/>
  <c r="L206" i="9"/>
  <c r="F206" i="9"/>
  <c r="L205" i="9"/>
  <c r="F205" i="9"/>
  <c r="L204" i="9"/>
  <c r="F204" i="9"/>
  <c r="L203" i="9"/>
  <c r="F203" i="9"/>
  <c r="L202" i="9"/>
  <c r="F202" i="9"/>
  <c r="L201" i="9"/>
  <c r="F201" i="9"/>
  <c r="L200" i="9"/>
  <c r="F200" i="9"/>
  <c r="L199" i="9"/>
  <c r="F199" i="9"/>
  <c r="L198" i="9"/>
  <c r="F198" i="9"/>
  <c r="L197" i="9"/>
  <c r="F197" i="9"/>
  <c r="L196" i="9"/>
  <c r="F196" i="9"/>
  <c r="L195" i="9"/>
  <c r="F195" i="9"/>
  <c r="L194" i="9"/>
  <c r="F194" i="9"/>
  <c r="L193" i="9"/>
  <c r="F193" i="9"/>
  <c r="L192" i="9"/>
  <c r="F192" i="9"/>
  <c r="L191" i="9"/>
  <c r="F191" i="9"/>
  <c r="L190" i="9"/>
  <c r="F190" i="9"/>
  <c r="L189" i="9"/>
  <c r="F189" i="9"/>
  <c r="L188" i="9"/>
  <c r="F188" i="9"/>
  <c r="L187" i="9"/>
  <c r="F187" i="9"/>
  <c r="L186" i="9"/>
  <c r="F186" i="9"/>
  <c r="L185" i="9"/>
  <c r="F185" i="9"/>
  <c r="L184" i="9"/>
  <c r="F184" i="9"/>
  <c r="L183" i="9"/>
  <c r="F183" i="9"/>
  <c r="L182" i="9"/>
  <c r="F182" i="9"/>
  <c r="L181" i="9"/>
  <c r="F181" i="9"/>
  <c r="L180" i="9"/>
  <c r="F180" i="9"/>
  <c r="L179" i="9"/>
  <c r="F179" i="9"/>
  <c r="L178" i="9"/>
  <c r="F178" i="9"/>
  <c r="L177" i="9"/>
  <c r="F177" i="9"/>
  <c r="L176" i="9"/>
  <c r="F176" i="9"/>
  <c r="L175" i="9"/>
  <c r="F175" i="9"/>
  <c r="L174" i="9"/>
  <c r="F174" i="9"/>
  <c r="L173" i="9"/>
  <c r="F173" i="9"/>
  <c r="L172" i="9"/>
  <c r="F172" i="9"/>
  <c r="L171" i="9"/>
  <c r="F171" i="9"/>
  <c r="L170" i="9"/>
  <c r="F170" i="9"/>
  <c r="L169" i="9"/>
  <c r="F169" i="9"/>
  <c r="L168" i="9"/>
  <c r="F168" i="9"/>
  <c r="L167" i="9"/>
  <c r="F167" i="9"/>
  <c r="L166" i="9"/>
  <c r="F166" i="9"/>
  <c r="L165" i="9"/>
  <c r="F165" i="9"/>
  <c r="L164" i="9"/>
  <c r="F164" i="9"/>
  <c r="L163" i="9"/>
  <c r="F163" i="9"/>
  <c r="L162" i="9"/>
  <c r="F162" i="9"/>
  <c r="L161" i="9"/>
  <c r="F161" i="9"/>
  <c r="L160" i="9"/>
  <c r="F160" i="9"/>
  <c r="L159" i="9"/>
  <c r="F159" i="9"/>
  <c r="L158" i="9"/>
  <c r="F158" i="9"/>
  <c r="L157" i="9"/>
  <c r="F157" i="9"/>
  <c r="L156" i="9"/>
  <c r="F156" i="9"/>
  <c r="L155" i="9"/>
  <c r="F155" i="9"/>
  <c r="L154" i="9"/>
  <c r="F154" i="9"/>
  <c r="L153" i="9"/>
  <c r="F153" i="9"/>
  <c r="L152" i="9"/>
  <c r="F152" i="9"/>
  <c r="L151" i="9"/>
  <c r="F151" i="9"/>
  <c r="L150" i="9"/>
  <c r="F150" i="9"/>
  <c r="L149" i="9"/>
  <c r="F149" i="9"/>
  <c r="L148" i="9"/>
  <c r="F148" i="9"/>
  <c r="L147" i="9"/>
  <c r="F147" i="9"/>
  <c r="L146" i="9"/>
  <c r="F146" i="9"/>
  <c r="L145" i="9"/>
  <c r="F145" i="9"/>
  <c r="L144" i="9"/>
  <c r="F144" i="9"/>
  <c r="L143" i="9"/>
  <c r="F143" i="9"/>
  <c r="L142" i="9"/>
  <c r="F142" i="9"/>
  <c r="L141" i="9"/>
  <c r="F141" i="9"/>
  <c r="L140" i="9"/>
  <c r="F140" i="9"/>
  <c r="L139" i="9"/>
  <c r="F139" i="9"/>
  <c r="L138" i="9"/>
  <c r="F138" i="9"/>
  <c r="L137" i="9"/>
  <c r="F137" i="9"/>
  <c r="L136" i="9"/>
  <c r="F136" i="9"/>
  <c r="L135" i="9"/>
  <c r="F135" i="9"/>
  <c r="L134" i="9"/>
  <c r="F134" i="9"/>
  <c r="L133" i="9"/>
  <c r="F133" i="9"/>
  <c r="L132" i="9"/>
  <c r="F132" i="9"/>
  <c r="L131" i="9"/>
  <c r="F131" i="9"/>
  <c r="L130" i="9"/>
  <c r="F130" i="9"/>
  <c r="L129" i="9"/>
  <c r="F129" i="9"/>
  <c r="L128" i="9"/>
  <c r="F128" i="9"/>
  <c r="L127" i="9"/>
  <c r="F127" i="9"/>
  <c r="L126" i="9"/>
  <c r="F126" i="9"/>
  <c r="L125" i="9"/>
  <c r="F125" i="9"/>
  <c r="L124" i="9"/>
  <c r="F124" i="9"/>
  <c r="L123" i="9"/>
  <c r="F123" i="9"/>
  <c r="L122" i="9"/>
  <c r="F122" i="9"/>
  <c r="L121" i="9"/>
  <c r="F121" i="9"/>
  <c r="L120" i="9"/>
  <c r="F120" i="9"/>
  <c r="L119" i="9"/>
  <c r="F119" i="9"/>
  <c r="L118" i="9"/>
  <c r="F118" i="9"/>
  <c r="L117" i="9"/>
  <c r="F117" i="9"/>
  <c r="L116" i="9"/>
  <c r="F116" i="9"/>
  <c r="L115" i="9"/>
  <c r="F115" i="9"/>
  <c r="L114" i="9"/>
  <c r="F114" i="9"/>
  <c r="L113" i="9"/>
  <c r="F113" i="9"/>
  <c r="L112" i="9"/>
  <c r="F112" i="9"/>
  <c r="L111" i="9"/>
  <c r="F111" i="9"/>
  <c r="L110" i="9"/>
  <c r="F110" i="9"/>
  <c r="L109" i="9"/>
  <c r="F109" i="9"/>
  <c r="L108" i="9"/>
  <c r="F108" i="9"/>
  <c r="L107" i="9"/>
  <c r="F107" i="9"/>
  <c r="L106" i="9"/>
  <c r="F106" i="9"/>
  <c r="L105" i="9"/>
  <c r="F105" i="9"/>
  <c r="L104" i="9"/>
  <c r="F104" i="9"/>
  <c r="L103" i="9"/>
  <c r="F103" i="9"/>
  <c r="L102" i="9"/>
  <c r="F102" i="9"/>
  <c r="L101" i="9"/>
  <c r="F101" i="9"/>
  <c r="L100" i="9"/>
  <c r="F100" i="9"/>
  <c r="L99" i="9"/>
  <c r="F99" i="9"/>
  <c r="L98" i="9"/>
  <c r="F98" i="9"/>
  <c r="L97" i="9"/>
  <c r="F97" i="9"/>
  <c r="L96" i="9"/>
  <c r="F96" i="9"/>
  <c r="L95" i="9"/>
  <c r="F95" i="9"/>
  <c r="L94" i="9"/>
  <c r="F94" i="9"/>
  <c r="L93" i="9"/>
  <c r="F93" i="9"/>
  <c r="L92" i="9"/>
  <c r="F92" i="9"/>
  <c r="L91" i="9"/>
  <c r="F91" i="9"/>
  <c r="L90" i="9"/>
  <c r="F90" i="9"/>
  <c r="L89" i="9"/>
  <c r="F89" i="9"/>
  <c r="L88" i="9"/>
  <c r="F88" i="9"/>
  <c r="L87" i="9"/>
  <c r="F87" i="9"/>
  <c r="L86" i="9"/>
  <c r="F86" i="9"/>
  <c r="L85" i="9"/>
  <c r="F85" i="9"/>
  <c r="L84" i="9"/>
  <c r="F84" i="9"/>
  <c r="L83" i="9"/>
  <c r="F83" i="9"/>
  <c r="L82" i="9"/>
  <c r="F82" i="9"/>
  <c r="L81" i="9"/>
  <c r="F81" i="9"/>
  <c r="L80" i="9"/>
  <c r="F80" i="9"/>
  <c r="L79" i="9"/>
  <c r="F79" i="9"/>
  <c r="L78" i="9"/>
  <c r="F78" i="9"/>
  <c r="L77" i="9"/>
  <c r="F77" i="9"/>
  <c r="L76" i="9"/>
  <c r="F76" i="9"/>
  <c r="L75" i="9"/>
  <c r="F75" i="9"/>
  <c r="L74" i="9"/>
  <c r="F74" i="9"/>
  <c r="L73" i="9"/>
  <c r="F73" i="9"/>
  <c r="L72" i="9"/>
  <c r="F72" i="9"/>
  <c r="L71" i="9"/>
  <c r="F71" i="9"/>
  <c r="L70" i="9"/>
  <c r="F70" i="9"/>
  <c r="L69" i="9"/>
  <c r="F69" i="9"/>
  <c r="L68" i="9"/>
  <c r="F68" i="9"/>
  <c r="L67" i="9"/>
  <c r="F67" i="9"/>
  <c r="L66" i="9"/>
  <c r="F66" i="9"/>
  <c r="L65" i="9"/>
  <c r="F65" i="9"/>
  <c r="L64" i="9"/>
  <c r="F64" i="9"/>
  <c r="L63" i="9"/>
  <c r="F63" i="9"/>
  <c r="L62" i="9"/>
  <c r="F62" i="9"/>
  <c r="L61" i="9"/>
  <c r="F61" i="9"/>
  <c r="L60" i="9"/>
  <c r="F60" i="9"/>
  <c r="L59" i="9"/>
  <c r="F59" i="9"/>
  <c r="L58" i="9"/>
  <c r="F58" i="9"/>
  <c r="L57" i="9"/>
  <c r="F57" i="9"/>
  <c r="L56" i="9"/>
  <c r="F56" i="9"/>
  <c r="L55" i="9"/>
  <c r="F55" i="9"/>
  <c r="L54" i="9"/>
  <c r="F54" i="9"/>
  <c r="L53" i="9"/>
  <c r="F53" i="9"/>
  <c r="L52" i="9"/>
  <c r="F52" i="9"/>
  <c r="L51" i="9"/>
  <c r="F51" i="9"/>
  <c r="L50" i="9"/>
  <c r="F50" i="9"/>
  <c r="L49" i="9"/>
  <c r="F49" i="9"/>
  <c r="L48" i="9"/>
  <c r="F48" i="9"/>
  <c r="L47" i="9"/>
  <c r="F47" i="9"/>
  <c r="L46" i="9"/>
  <c r="F46" i="9"/>
  <c r="L45" i="9"/>
  <c r="F45" i="9"/>
  <c r="L44" i="9"/>
  <c r="F44" i="9"/>
  <c r="L43" i="9"/>
  <c r="F43" i="9"/>
  <c r="L42" i="9"/>
  <c r="F42" i="9"/>
  <c r="L41" i="9"/>
  <c r="F41" i="9"/>
  <c r="L40" i="9"/>
  <c r="F40" i="9"/>
  <c r="L39" i="9"/>
  <c r="F39" i="9"/>
  <c r="L38" i="9"/>
  <c r="F38" i="9"/>
  <c r="L37" i="9"/>
  <c r="F37" i="9"/>
  <c r="L36" i="9"/>
  <c r="F36" i="9"/>
  <c r="L35" i="9"/>
  <c r="F35" i="9"/>
  <c r="L34" i="9"/>
  <c r="F34" i="9"/>
  <c r="L33" i="9"/>
  <c r="F33" i="9"/>
  <c r="L32" i="9"/>
  <c r="F32" i="9"/>
  <c r="L31" i="9"/>
  <c r="F31" i="9"/>
  <c r="L30" i="9"/>
  <c r="F30" i="9"/>
  <c r="L29" i="9"/>
  <c r="F29" i="9"/>
  <c r="L28" i="9"/>
  <c r="F28" i="9"/>
  <c r="L27" i="9"/>
  <c r="F27" i="9"/>
  <c r="L26" i="9"/>
  <c r="F26" i="9"/>
  <c r="L25" i="9"/>
  <c r="F25" i="9"/>
  <c r="L24" i="9"/>
  <c r="F24" i="9"/>
  <c r="L23" i="9"/>
  <c r="F23" i="9"/>
  <c r="L22" i="9"/>
  <c r="F22" i="9"/>
  <c r="L21" i="9"/>
  <c r="F21" i="9"/>
  <c r="L20" i="9"/>
  <c r="F20" i="9"/>
  <c r="L19" i="9"/>
  <c r="F19" i="9"/>
  <c r="L18" i="9"/>
  <c r="F18" i="9"/>
  <c r="L17" i="9"/>
  <c r="F17" i="9"/>
  <c r="L16" i="9"/>
  <c r="F16" i="9"/>
  <c r="L15" i="9"/>
  <c r="F15" i="9"/>
  <c r="L14" i="9"/>
  <c r="F14" i="9"/>
  <c r="L13" i="9"/>
  <c r="F13" i="9"/>
  <c r="L12" i="9"/>
  <c r="F12" i="9"/>
  <c r="L11" i="9"/>
  <c r="F11" i="9"/>
  <c r="L10" i="9"/>
  <c r="Q4" i="9"/>
  <c r="J60" i="9" s="1"/>
  <c r="Q3" i="9"/>
  <c r="Q2" i="9"/>
  <c r="G123" i="14" l="1"/>
  <c r="Q9" i="14"/>
  <c r="G189" i="14"/>
  <c r="G85" i="14"/>
  <c r="G112" i="14"/>
  <c r="Q4" i="14"/>
  <c r="J300" i="14" s="1"/>
  <c r="G32" i="14"/>
  <c r="G43" i="14"/>
  <c r="G57" i="14"/>
  <c r="G159" i="14"/>
  <c r="G190" i="14"/>
  <c r="G11" i="14"/>
  <c r="G29" i="14"/>
  <c r="G36" i="14"/>
  <c r="G54" i="14"/>
  <c r="G61" i="14"/>
  <c r="G68" i="14"/>
  <c r="G225" i="14"/>
  <c r="G47" i="14"/>
  <c r="G222" i="14"/>
  <c r="G15" i="14"/>
  <c r="G44" i="14"/>
  <c r="G72" i="14"/>
  <c r="G145" i="14"/>
  <c r="G203" i="14"/>
  <c r="G12" i="14"/>
  <c r="G19" i="14"/>
  <c r="G62" i="14"/>
  <c r="G69" i="14"/>
  <c r="G76" i="14"/>
  <c r="G99" i="14"/>
  <c r="J177" i="14"/>
  <c r="J141" i="14"/>
  <c r="J195" i="14"/>
  <c r="J100" i="14"/>
  <c r="G10" i="14"/>
  <c r="G14" i="14"/>
  <c r="G27" i="14"/>
  <c r="G89" i="14"/>
  <c r="G93" i="14"/>
  <c r="G128" i="14"/>
  <c r="G137" i="14"/>
  <c r="G148" i="14"/>
  <c r="G304" i="14"/>
  <c r="G305" i="14"/>
  <c r="G297" i="14"/>
  <c r="G289" i="14"/>
  <c r="G306" i="14"/>
  <c r="G298" i="14"/>
  <c r="G290" i="14"/>
  <c r="G282" i="14"/>
  <c r="G274" i="14"/>
  <c r="G266" i="14"/>
  <c r="G258" i="14"/>
  <c r="G250" i="14"/>
  <c r="G242" i="14"/>
  <c r="G234" i="14"/>
  <c r="G226" i="14"/>
  <c r="G218" i="14"/>
  <c r="G210" i="14"/>
  <c r="G202" i="14"/>
  <c r="G194" i="14"/>
  <c r="G186" i="14"/>
  <c r="G307" i="14"/>
  <c r="G299" i="14"/>
  <c r="G291" i="14"/>
  <c r="G283" i="14"/>
  <c r="G275" i="14"/>
  <c r="G267" i="14"/>
  <c r="G259" i="14"/>
  <c r="G251" i="14"/>
  <c r="G243" i="14"/>
  <c r="G235" i="14"/>
  <c r="G227" i="14"/>
  <c r="G219" i="14"/>
  <c r="G308" i="14"/>
  <c r="G300" i="14"/>
  <c r="G292" i="14"/>
  <c r="G284" i="14"/>
  <c r="G276" i="14"/>
  <c r="G268" i="14"/>
  <c r="G260" i="14"/>
  <c r="G252" i="14"/>
  <c r="G244" i="14"/>
  <c r="G236" i="14"/>
  <c r="G228" i="14"/>
  <c r="G220" i="14"/>
  <c r="G212" i="14"/>
  <c r="G204" i="14"/>
  <c r="G196" i="14"/>
  <c r="G188" i="14"/>
  <c r="G180" i="14"/>
  <c r="G309" i="14"/>
  <c r="G301" i="14"/>
  <c r="G293" i="14"/>
  <c r="G285" i="14"/>
  <c r="G277" i="14"/>
  <c r="G269" i="14"/>
  <c r="G261" i="14"/>
  <c r="G253" i="14"/>
  <c r="G245" i="14"/>
  <c r="G237" i="14"/>
  <c r="G303" i="14"/>
  <c r="G295" i="14"/>
  <c r="G287" i="14"/>
  <c r="G279" i="14"/>
  <c r="G271" i="14"/>
  <c r="G263" i="14"/>
  <c r="G255" i="14"/>
  <c r="G247" i="14"/>
  <c r="G239" i="14"/>
  <c r="G231" i="14"/>
  <c r="G223" i="14"/>
  <c r="G215" i="14"/>
  <c r="G207" i="14"/>
  <c r="G199" i="14"/>
  <c r="G191" i="14"/>
  <c r="G183" i="14"/>
  <c r="G175" i="14"/>
  <c r="G294" i="14"/>
  <c r="G270" i="14"/>
  <c r="G256" i="14"/>
  <c r="G206" i="14"/>
  <c r="G195" i="14"/>
  <c r="G192" i="14"/>
  <c r="G181" i="14"/>
  <c r="G173" i="14"/>
  <c r="G165" i="14"/>
  <c r="G157" i="14"/>
  <c r="G149" i="14"/>
  <c r="G141" i="14"/>
  <c r="G133" i="14"/>
  <c r="G125" i="14"/>
  <c r="G117" i="14"/>
  <c r="G109" i="14"/>
  <c r="G101" i="14"/>
  <c r="G302" i="14"/>
  <c r="G278" i="14"/>
  <c r="G264" i="14"/>
  <c r="G209" i="14"/>
  <c r="G198" i="14"/>
  <c r="G187" i="14"/>
  <c r="G184" i="14"/>
  <c r="G178" i="14"/>
  <c r="G174" i="14"/>
  <c r="G166" i="14"/>
  <c r="G158" i="14"/>
  <c r="G150" i="14"/>
  <c r="G142" i="14"/>
  <c r="G134" i="14"/>
  <c r="G126" i="14"/>
  <c r="G118" i="14"/>
  <c r="G110" i="14"/>
  <c r="G102" i="14"/>
  <c r="G94" i="14"/>
  <c r="G265" i="14"/>
  <c r="G246" i="14"/>
  <c r="G205" i="14"/>
  <c r="G170" i="14"/>
  <c r="G162" i="14"/>
  <c r="G154" i="14"/>
  <c r="G146" i="14"/>
  <c r="G138" i="14"/>
  <c r="G130" i="14"/>
  <c r="G122" i="14"/>
  <c r="G114" i="14"/>
  <c r="G106" i="14"/>
  <c r="G98" i="14"/>
  <c r="G286" i="14"/>
  <c r="G273" i="14"/>
  <c r="G248" i="14"/>
  <c r="G240" i="14"/>
  <c r="G176" i="14"/>
  <c r="G168" i="14"/>
  <c r="G143" i="14"/>
  <c r="G132" i="14"/>
  <c r="G129" i="14"/>
  <c r="G115" i="14"/>
  <c r="G104" i="14"/>
  <c r="G87" i="14"/>
  <c r="G79" i="14"/>
  <c r="G71" i="14"/>
  <c r="G63" i="14"/>
  <c r="G55" i="14"/>
  <c r="G272" i="14"/>
  <c r="G217" i="14"/>
  <c r="G211" i="14"/>
  <c r="G201" i="14"/>
  <c r="G197" i="14"/>
  <c r="G193" i="14"/>
  <c r="G185" i="14"/>
  <c r="G177" i="14"/>
  <c r="G172" i="14"/>
  <c r="G169" i="14"/>
  <c r="G155" i="14"/>
  <c r="G144" i="14"/>
  <c r="G119" i="14"/>
  <c r="G108" i="14"/>
  <c r="G105" i="14"/>
  <c r="G96" i="14"/>
  <c r="G90" i="14"/>
  <c r="G82" i="14"/>
  <c r="G74" i="14"/>
  <c r="G66" i="14"/>
  <c r="G58" i="14"/>
  <c r="G257" i="14"/>
  <c r="G249" i="14"/>
  <c r="G213" i="14"/>
  <c r="G164" i="14"/>
  <c r="G161" i="14"/>
  <c r="G147" i="14"/>
  <c r="G136" i="14"/>
  <c r="G111" i="14"/>
  <c r="G100" i="14"/>
  <c r="G91" i="14"/>
  <c r="G83" i="14"/>
  <c r="G75" i="14"/>
  <c r="G67" i="14"/>
  <c r="G59" i="14"/>
  <c r="G51" i="14"/>
  <c r="G288" i="14"/>
  <c r="G233" i="14"/>
  <c r="G208" i="14"/>
  <c r="G140" i="14"/>
  <c r="G124" i="14"/>
  <c r="G120" i="14"/>
  <c r="G116" i="14"/>
  <c r="G88" i="14"/>
  <c r="G77" i="14"/>
  <c r="G52" i="14"/>
  <c r="G46" i="14"/>
  <c r="G38" i="14"/>
  <c r="G30" i="14"/>
  <c r="G22" i="14"/>
  <c r="G281" i="14"/>
  <c r="G262" i="14"/>
  <c r="G238" i="14"/>
  <c r="G232" i="14"/>
  <c r="G127" i="14"/>
  <c r="G107" i="14"/>
  <c r="G97" i="14"/>
  <c r="G92" i="14"/>
  <c r="G81" i="14"/>
  <c r="G78" i="14"/>
  <c r="G64" i="14"/>
  <c r="G53" i="14"/>
  <c r="G49" i="14"/>
  <c r="G41" i="14"/>
  <c r="G33" i="14"/>
  <c r="G25" i="14"/>
  <c r="G17" i="14"/>
  <c r="G296" i="14"/>
  <c r="G241" i="14"/>
  <c r="G229" i="14"/>
  <c r="G214" i="14"/>
  <c r="G139" i="14"/>
  <c r="G135" i="14"/>
  <c r="G131" i="14"/>
  <c r="G121" i="14"/>
  <c r="G113" i="14"/>
  <c r="G95" i="14"/>
  <c r="G84" i="14"/>
  <c r="G73" i="14"/>
  <c r="G70" i="14"/>
  <c r="G56" i="14"/>
  <c r="G50" i="14"/>
  <c r="G42" i="14"/>
  <c r="G34" i="14"/>
  <c r="G26" i="14"/>
  <c r="G18" i="14"/>
  <c r="G21" i="14"/>
  <c r="G24" i="14"/>
  <c r="G35" i="14"/>
  <c r="G65" i="14"/>
  <c r="G151" i="14"/>
  <c r="G160" i="14"/>
  <c r="G13" i="14"/>
  <c r="G23" i="14"/>
  <c r="G37" i="14"/>
  <c r="G40" i="14"/>
  <c r="G156" i="14"/>
  <c r="G163" i="14"/>
  <c r="G216" i="14"/>
  <c r="G221" i="14"/>
  <c r="G280" i="14"/>
  <c r="G20" i="14"/>
  <c r="G31" i="14"/>
  <c r="G45" i="14"/>
  <c r="G48" i="14"/>
  <c r="G86" i="14"/>
  <c r="G103" i="14"/>
  <c r="G171" i="14"/>
  <c r="G179" i="14"/>
  <c r="G224" i="14"/>
  <c r="G16" i="14"/>
  <c r="G28" i="14"/>
  <c r="G39" i="14"/>
  <c r="G60" i="14"/>
  <c r="G80" i="14"/>
  <c r="G152" i="14"/>
  <c r="G167" i="14"/>
  <c r="G182" i="14"/>
  <c r="G200" i="14"/>
  <c r="G230" i="14"/>
  <c r="G254" i="14"/>
  <c r="J307" i="13"/>
  <c r="J299" i="13"/>
  <c r="J291" i="13"/>
  <c r="J283" i="13"/>
  <c r="J275" i="13"/>
  <c r="J267" i="13"/>
  <c r="J259" i="13"/>
  <c r="J251" i="13"/>
  <c r="J243" i="13"/>
  <c r="J235" i="13"/>
  <c r="J227" i="13"/>
  <c r="J219" i="13"/>
  <c r="J211" i="13"/>
  <c r="J203" i="13"/>
  <c r="J195" i="13"/>
  <c r="J187" i="13"/>
  <c r="J179" i="13"/>
  <c r="J308" i="13"/>
  <c r="J300" i="13"/>
  <c r="J292" i="13"/>
  <c r="J284" i="13"/>
  <c r="J276" i="13"/>
  <c r="J268" i="13"/>
  <c r="J260" i="13"/>
  <c r="J252" i="13"/>
  <c r="J244" i="13"/>
  <c r="J236" i="13"/>
  <c r="J228" i="13"/>
  <c r="J220" i="13"/>
  <c r="J212" i="13"/>
  <c r="J204" i="13"/>
  <c r="J196" i="13"/>
  <c r="J188" i="13"/>
  <c r="J180" i="13"/>
  <c r="J309" i="13"/>
  <c r="J301" i="13"/>
  <c r="J293" i="13"/>
  <c r="J285" i="13"/>
  <c r="J277" i="13"/>
  <c r="J269" i="13"/>
  <c r="J261" i="13"/>
  <c r="J253" i="13"/>
  <c r="J245" i="13"/>
  <c r="J237" i="13"/>
  <c r="J229" i="13"/>
  <c r="J221" i="13"/>
  <c r="J213" i="13"/>
  <c r="J205" i="13"/>
  <c r="J197" i="13"/>
  <c r="J189" i="13"/>
  <c r="J302" i="13"/>
  <c r="J294" i="13"/>
  <c r="J286" i="13"/>
  <c r="J278" i="13"/>
  <c r="J270" i="13"/>
  <c r="J262" i="13"/>
  <c r="J254" i="13"/>
  <c r="J246" i="13"/>
  <c r="J238" i="13"/>
  <c r="J230" i="13"/>
  <c r="J222" i="13"/>
  <c r="J214" i="13"/>
  <c r="J206" i="13"/>
  <c r="J198" i="13"/>
  <c r="J303" i="13"/>
  <c r="J295" i="13"/>
  <c r="J287" i="13"/>
  <c r="J279" i="13"/>
  <c r="J271" i="13"/>
  <c r="J263" i="13"/>
  <c r="J255" i="13"/>
  <c r="J247" i="13"/>
  <c r="J239" i="13"/>
  <c r="J231" i="13"/>
  <c r="J223" i="13"/>
  <c r="J215" i="13"/>
  <c r="J207" i="13"/>
  <c r="J199" i="13"/>
  <c r="J191" i="13"/>
  <c r="J183" i="13"/>
  <c r="J304" i="13"/>
  <c r="J296" i="13"/>
  <c r="J288" i="13"/>
  <c r="J280" i="13"/>
  <c r="J272" i="13"/>
  <c r="J264" i="13"/>
  <c r="J256" i="13"/>
  <c r="J248" i="13"/>
  <c r="J240" i="13"/>
  <c r="J232" i="13"/>
  <c r="J224" i="13"/>
  <c r="J216" i="13"/>
  <c r="J208" i="13"/>
  <c r="J200" i="13"/>
  <c r="J192" i="13"/>
  <c r="J184" i="13"/>
  <c r="J306" i="13"/>
  <c r="J298" i="13"/>
  <c r="J290" i="13"/>
  <c r="J282" i="13"/>
  <c r="J274" i="13"/>
  <c r="J266" i="13"/>
  <c r="J258" i="13"/>
  <c r="J250" i="13"/>
  <c r="J242" i="13"/>
  <c r="J234" i="13"/>
  <c r="J226" i="13"/>
  <c r="J218" i="13"/>
  <c r="J210" i="13"/>
  <c r="J202" i="13"/>
  <c r="J194" i="13"/>
  <c r="J186" i="13"/>
  <c r="J257" i="13"/>
  <c r="J193" i="13"/>
  <c r="J181" i="13"/>
  <c r="J176" i="13"/>
  <c r="J169" i="13"/>
  <c r="J161" i="13"/>
  <c r="J153" i="13"/>
  <c r="J281" i="13"/>
  <c r="J217" i="13"/>
  <c r="J305" i="13"/>
  <c r="J241" i="13"/>
  <c r="J190" i="13"/>
  <c r="J185" i="13"/>
  <c r="J171" i="13"/>
  <c r="J163" i="13"/>
  <c r="J155" i="13"/>
  <c r="J147" i="13"/>
  <c r="J139" i="13"/>
  <c r="J131" i="13"/>
  <c r="J123" i="13"/>
  <c r="J115" i="13"/>
  <c r="J107" i="13"/>
  <c r="J99" i="13"/>
  <c r="J91" i="13"/>
  <c r="J83" i="13"/>
  <c r="J75" i="13"/>
  <c r="J265" i="13"/>
  <c r="J201" i="13"/>
  <c r="J177" i="13"/>
  <c r="J172" i="13"/>
  <c r="J164" i="13"/>
  <c r="J156" i="13"/>
  <c r="J148" i="13"/>
  <c r="J140" i="13"/>
  <c r="J132" i="13"/>
  <c r="J124" i="13"/>
  <c r="J116" i="13"/>
  <c r="J289" i="13"/>
  <c r="J225" i="13"/>
  <c r="J182" i="13"/>
  <c r="J173" i="13"/>
  <c r="J165" i="13"/>
  <c r="J157" i="13"/>
  <c r="J149" i="13"/>
  <c r="J141" i="13"/>
  <c r="J133" i="13"/>
  <c r="J125" i="13"/>
  <c r="J117" i="13"/>
  <c r="J109" i="13"/>
  <c r="J101" i="13"/>
  <c r="J93" i="13"/>
  <c r="J85" i="13"/>
  <c r="J77" i="13"/>
  <c r="J69" i="13"/>
  <c r="J249" i="13"/>
  <c r="J174" i="13"/>
  <c r="J166" i="13"/>
  <c r="J158" i="13"/>
  <c r="J150" i="13"/>
  <c r="J142" i="13"/>
  <c r="J134" i="13"/>
  <c r="J126" i="13"/>
  <c r="J118" i="13"/>
  <c r="J110" i="13"/>
  <c r="J102" i="13"/>
  <c r="J94" i="13"/>
  <c r="J86" i="13"/>
  <c r="J78" i="13"/>
  <c r="J70" i="13"/>
  <c r="J297" i="13"/>
  <c r="J233" i="13"/>
  <c r="J168" i="13"/>
  <c r="J160" i="13"/>
  <c r="J152" i="13"/>
  <c r="J144" i="13"/>
  <c r="J136" i="13"/>
  <c r="J128" i="13"/>
  <c r="J120" i="13"/>
  <c r="J112" i="13"/>
  <c r="J104" i="13"/>
  <c r="J96" i="13"/>
  <c r="J88" i="13"/>
  <c r="J80" i="13"/>
  <c r="J72" i="13"/>
  <c r="J64" i="13"/>
  <c r="J151" i="13"/>
  <c r="J130" i="13"/>
  <c r="J106" i="13"/>
  <c r="J97" i="13"/>
  <c r="J90" i="13"/>
  <c r="J81" i="13"/>
  <c r="J74" i="13"/>
  <c r="J66" i="13"/>
  <c r="J61" i="13"/>
  <c r="J53" i="13"/>
  <c r="J45" i="13"/>
  <c r="J37" i="13"/>
  <c r="J29" i="13"/>
  <c r="J21" i="13"/>
  <c r="J13" i="13"/>
  <c r="J135" i="13"/>
  <c r="J34" i="13"/>
  <c r="J26" i="13"/>
  <c r="Q5" i="13"/>
  <c r="J159" i="13"/>
  <c r="J154" i="13"/>
  <c r="J103" i="13"/>
  <c r="J138" i="13"/>
  <c r="J113" i="13"/>
  <c r="J62" i="13"/>
  <c r="J54" i="13"/>
  <c r="J46" i="13"/>
  <c r="J38" i="13"/>
  <c r="J30" i="13"/>
  <c r="J22" i="13"/>
  <c r="J14" i="13"/>
  <c r="J58" i="13"/>
  <c r="J18" i="13"/>
  <c r="J143" i="13"/>
  <c r="J273" i="13"/>
  <c r="J178" i="13"/>
  <c r="J175" i="13"/>
  <c r="J170" i="13"/>
  <c r="J146" i="13"/>
  <c r="J121" i="13"/>
  <c r="J111" i="13"/>
  <c r="J95" i="13"/>
  <c r="J79" i="13"/>
  <c r="J67" i="13"/>
  <c r="J55" i="13"/>
  <c r="J47" i="13"/>
  <c r="J39" i="13"/>
  <c r="J31" i="13"/>
  <c r="J23" i="13"/>
  <c r="J15" i="13"/>
  <c r="J129" i="13"/>
  <c r="J119" i="13"/>
  <c r="J100" i="13"/>
  <c r="J84" i="13"/>
  <c r="J63" i="13"/>
  <c r="J56" i="13"/>
  <c r="J48" i="13"/>
  <c r="J40" i="13"/>
  <c r="J32" i="13"/>
  <c r="J24" i="13"/>
  <c r="J16" i="13"/>
  <c r="Q7" i="13"/>
  <c r="J50" i="13"/>
  <c r="J167" i="13"/>
  <c r="J162" i="13"/>
  <c r="J137" i="13"/>
  <c r="J127" i="13"/>
  <c r="J105" i="13"/>
  <c r="J98" i="13"/>
  <c r="J89" i="13"/>
  <c r="J82" i="13"/>
  <c r="J73" i="13"/>
  <c r="J68" i="13"/>
  <c r="J57" i="13"/>
  <c r="J49" i="13"/>
  <c r="J41" i="13"/>
  <c r="J33" i="13"/>
  <c r="J25" i="13"/>
  <c r="J17" i="13"/>
  <c r="J42" i="13"/>
  <c r="J114" i="13"/>
  <c r="J87" i="13"/>
  <c r="J209" i="13"/>
  <c r="J122" i="13"/>
  <c r="J108" i="13"/>
  <c r="J92" i="13"/>
  <c r="J76" i="13"/>
  <c r="J60" i="13"/>
  <c r="J52" i="13"/>
  <c r="J44" i="13"/>
  <c r="J36" i="13"/>
  <c r="J28" i="13"/>
  <c r="J20" i="13"/>
  <c r="J12" i="13"/>
  <c r="J145" i="13"/>
  <c r="J10" i="13"/>
  <c r="J43" i="13"/>
  <c r="J11" i="13"/>
  <c r="J51" i="13"/>
  <c r="J19" i="13"/>
  <c r="J65" i="13"/>
  <c r="J59" i="13"/>
  <c r="J27" i="13"/>
  <c r="J71" i="13"/>
  <c r="J35" i="13"/>
  <c r="G304" i="13"/>
  <c r="G296" i="13"/>
  <c r="G288" i="13"/>
  <c r="G280" i="13"/>
  <c r="G272" i="13"/>
  <c r="G264" i="13"/>
  <c r="G256" i="13"/>
  <c r="G248" i="13"/>
  <c r="G240" i="13"/>
  <c r="G232" i="13"/>
  <c r="G224" i="13"/>
  <c r="G216" i="13"/>
  <c r="G208" i="13"/>
  <c r="G200" i="13"/>
  <c r="G192" i="13"/>
  <c r="G184" i="13"/>
  <c r="G176" i="13"/>
  <c r="G305" i="13"/>
  <c r="G297" i="13"/>
  <c r="G289" i="13"/>
  <c r="G281" i="13"/>
  <c r="G273" i="13"/>
  <c r="G265" i="13"/>
  <c r="G257" i="13"/>
  <c r="G249" i="13"/>
  <c r="G241" i="13"/>
  <c r="G233" i="13"/>
  <c r="G225" i="13"/>
  <c r="G217" i="13"/>
  <c r="G209" i="13"/>
  <c r="G201" i="13"/>
  <c r="G193" i="13"/>
  <c r="G185" i="13"/>
  <c r="G177" i="13"/>
  <c r="G306" i="13"/>
  <c r="G298" i="13"/>
  <c r="G290" i="13"/>
  <c r="G282" i="13"/>
  <c r="G274" i="13"/>
  <c r="G266" i="13"/>
  <c r="G258" i="13"/>
  <c r="G250" i="13"/>
  <c r="G242" i="13"/>
  <c r="G234" i="13"/>
  <c r="G226" i="13"/>
  <c r="G218" i="13"/>
  <c r="G210" i="13"/>
  <c r="G202" i="13"/>
  <c r="G194" i="13"/>
  <c r="G186" i="13"/>
  <c r="G307" i="13"/>
  <c r="G299" i="13"/>
  <c r="G291" i="13"/>
  <c r="G283" i="13"/>
  <c r="G275" i="13"/>
  <c r="G267" i="13"/>
  <c r="G259" i="13"/>
  <c r="G251" i="13"/>
  <c r="G243" i="13"/>
  <c r="G235" i="13"/>
  <c r="G227" i="13"/>
  <c r="G219" i="13"/>
  <c r="G211" i="13"/>
  <c r="G203" i="13"/>
  <c r="G195" i="13"/>
  <c r="G308" i="13"/>
  <c r="G300" i="13"/>
  <c r="G292" i="13"/>
  <c r="G284" i="13"/>
  <c r="G276" i="13"/>
  <c r="G268" i="13"/>
  <c r="G260" i="13"/>
  <c r="G252" i="13"/>
  <c r="G244" i="13"/>
  <c r="G236" i="13"/>
  <c r="G228" i="13"/>
  <c r="G220" i="13"/>
  <c r="G212" i="13"/>
  <c r="G204" i="13"/>
  <c r="G196" i="13"/>
  <c r="G188" i="13"/>
  <c r="G180" i="13"/>
  <c r="G309" i="13"/>
  <c r="G301" i="13"/>
  <c r="G293" i="13"/>
  <c r="G285" i="13"/>
  <c r="G277" i="13"/>
  <c r="G269" i="13"/>
  <c r="G261" i="13"/>
  <c r="G253" i="13"/>
  <c r="G245" i="13"/>
  <c r="G237" i="13"/>
  <c r="G229" i="13"/>
  <c r="G221" i="13"/>
  <c r="G213" i="13"/>
  <c r="G205" i="13"/>
  <c r="G197" i="13"/>
  <c r="G189" i="13"/>
  <c r="G181" i="13"/>
  <c r="G303" i="13"/>
  <c r="G295" i="13"/>
  <c r="G287" i="13"/>
  <c r="G279" i="13"/>
  <c r="G271" i="13"/>
  <c r="G263" i="13"/>
  <c r="G255" i="13"/>
  <c r="G247" i="13"/>
  <c r="G239" i="13"/>
  <c r="G231" i="13"/>
  <c r="G223" i="13"/>
  <c r="G215" i="13"/>
  <c r="G207" i="13"/>
  <c r="G199" i="13"/>
  <c r="G191" i="13"/>
  <c r="G183" i="13"/>
  <c r="G294" i="13"/>
  <c r="G230" i="13"/>
  <c r="G174" i="13"/>
  <c r="G166" i="13"/>
  <c r="G158" i="13"/>
  <c r="G254" i="13"/>
  <c r="G278" i="13"/>
  <c r="G214" i="13"/>
  <c r="G179" i="13"/>
  <c r="G168" i="13"/>
  <c r="G160" i="13"/>
  <c r="G152" i="13"/>
  <c r="G144" i="13"/>
  <c r="G136" i="13"/>
  <c r="G128" i="13"/>
  <c r="G120" i="13"/>
  <c r="G112" i="13"/>
  <c r="G104" i="13"/>
  <c r="G96" i="13"/>
  <c r="G88" i="13"/>
  <c r="G80" i="13"/>
  <c r="G72" i="13"/>
  <c r="G302" i="13"/>
  <c r="G238" i="13"/>
  <c r="G190" i="13"/>
  <c r="G169" i="13"/>
  <c r="G161" i="13"/>
  <c r="G153" i="13"/>
  <c r="G145" i="13"/>
  <c r="G137" i="13"/>
  <c r="G129" i="13"/>
  <c r="G121" i="13"/>
  <c r="G113" i="13"/>
  <c r="G262" i="13"/>
  <c r="G198" i="13"/>
  <c r="G187" i="13"/>
  <c r="G170" i="13"/>
  <c r="G162" i="13"/>
  <c r="G154" i="13"/>
  <c r="G146" i="13"/>
  <c r="G138" i="13"/>
  <c r="G130" i="13"/>
  <c r="G122" i="13"/>
  <c r="G114" i="13"/>
  <c r="G106" i="13"/>
  <c r="G98" i="13"/>
  <c r="G90" i="13"/>
  <c r="G82" i="13"/>
  <c r="G74" i="13"/>
  <c r="G286" i="13"/>
  <c r="G222" i="13"/>
  <c r="G182" i="13"/>
  <c r="G171" i="13"/>
  <c r="G163" i="13"/>
  <c r="G155" i="13"/>
  <c r="G147" i="13"/>
  <c r="G139" i="13"/>
  <c r="G131" i="13"/>
  <c r="G123" i="13"/>
  <c r="G115" i="13"/>
  <c r="G107" i="13"/>
  <c r="G99" i="13"/>
  <c r="G91" i="13"/>
  <c r="G83" i="13"/>
  <c r="G75" i="13"/>
  <c r="G67" i="13"/>
  <c r="G270" i="13"/>
  <c r="G206" i="13"/>
  <c r="G178" i="13"/>
  <c r="G173" i="13"/>
  <c r="G165" i="13"/>
  <c r="G157" i="13"/>
  <c r="G149" i="13"/>
  <c r="G141" i="13"/>
  <c r="G133" i="13"/>
  <c r="G125" i="13"/>
  <c r="G117" i="13"/>
  <c r="G109" i="13"/>
  <c r="G101" i="13"/>
  <c r="G93" i="13"/>
  <c r="G85" i="13"/>
  <c r="G77" i="13"/>
  <c r="G69" i="13"/>
  <c r="G17" i="13"/>
  <c r="G25" i="13"/>
  <c r="G33" i="13"/>
  <c r="G41" i="13"/>
  <c r="G49" i="13"/>
  <c r="G57" i="13"/>
  <c r="G64" i="13"/>
  <c r="G116" i="13"/>
  <c r="G135" i="13"/>
  <c r="G159" i="13"/>
  <c r="Q6" i="13"/>
  <c r="G14" i="13"/>
  <c r="G22" i="13"/>
  <c r="G30" i="13"/>
  <c r="G38" i="13"/>
  <c r="G46" i="13"/>
  <c r="G54" i="13"/>
  <c r="G62" i="13"/>
  <c r="G70" i="13"/>
  <c r="G79" i="13"/>
  <c r="G84" i="13"/>
  <c r="G86" i="13"/>
  <c r="G95" i="13"/>
  <c r="G100" i="13"/>
  <c r="G102" i="13"/>
  <c r="G111" i="13"/>
  <c r="G142" i="13"/>
  <c r="G172" i="13"/>
  <c r="G13" i="13"/>
  <c r="G21" i="13"/>
  <c r="G29" i="13"/>
  <c r="G37" i="13"/>
  <c r="G45" i="13"/>
  <c r="G53" i="13"/>
  <c r="G61" i="13"/>
  <c r="G66" i="13"/>
  <c r="G134" i="13"/>
  <c r="G148" i="13"/>
  <c r="G175" i="13"/>
  <c r="G246" i="13"/>
  <c r="Q8" i="13"/>
  <c r="G12" i="13"/>
  <c r="G20" i="13"/>
  <c r="G28" i="13"/>
  <c r="G36" i="13"/>
  <c r="G44" i="13"/>
  <c r="G52" i="13"/>
  <c r="G60" i="13"/>
  <c r="G81" i="13"/>
  <c r="G97" i="13"/>
  <c r="G126" i="13"/>
  <c r="G140" i="13"/>
  <c r="Q9" i="13"/>
  <c r="G11" i="13"/>
  <c r="G19" i="13"/>
  <c r="G27" i="13"/>
  <c r="G35" i="13"/>
  <c r="G43" i="13"/>
  <c r="G51" i="13"/>
  <c r="G59" i="13"/>
  <c r="G65" i="13"/>
  <c r="G118" i="13"/>
  <c r="G132" i="13"/>
  <c r="G151" i="13"/>
  <c r="G10" i="13"/>
  <c r="G18" i="13"/>
  <c r="G26" i="13"/>
  <c r="G34" i="13"/>
  <c r="G42" i="13"/>
  <c r="G50" i="13"/>
  <c r="G58" i="13"/>
  <c r="G71" i="13"/>
  <c r="G76" i="13"/>
  <c r="G78" i="13"/>
  <c r="G87" i="13"/>
  <c r="G92" i="13"/>
  <c r="G94" i="13"/>
  <c r="G103" i="13"/>
  <c r="G108" i="13"/>
  <c r="G110" i="13"/>
  <c r="G124" i="13"/>
  <c r="G143" i="13"/>
  <c r="G156" i="13"/>
  <c r="G11" i="12"/>
  <c r="J14" i="12"/>
  <c r="G19" i="12"/>
  <c r="J22" i="12"/>
  <c r="G27" i="12"/>
  <c r="J30" i="12"/>
  <c r="G35" i="12"/>
  <c r="J38" i="12"/>
  <c r="J47" i="12"/>
  <c r="G61" i="12"/>
  <c r="J88" i="12"/>
  <c r="J152" i="12"/>
  <c r="G303" i="12"/>
  <c r="G295" i="12"/>
  <c r="G287" i="12"/>
  <c r="G279" i="12"/>
  <c r="G271" i="12"/>
  <c r="G263" i="12"/>
  <c r="G255" i="12"/>
  <c r="G247" i="12"/>
  <c r="G239" i="12"/>
  <c r="G231" i="12"/>
  <c r="G223" i="12"/>
  <c r="G215" i="12"/>
  <c r="G207" i="12"/>
  <c r="G199" i="12"/>
  <c r="G191" i="12"/>
  <c r="G183" i="12"/>
  <c r="G304" i="12"/>
  <c r="G296" i="12"/>
  <c r="G288" i="12"/>
  <c r="G280" i="12"/>
  <c r="G272" i="12"/>
  <c r="G264" i="12"/>
  <c r="G256" i="12"/>
  <c r="G248" i="12"/>
  <c r="G240" i="12"/>
  <c r="G232" i="12"/>
  <c r="G224" i="12"/>
  <c r="G216" i="12"/>
  <c r="G208" i="12"/>
  <c r="G200" i="12"/>
  <c r="G192" i="12"/>
  <c r="G184" i="12"/>
  <c r="G176" i="12"/>
  <c r="G305" i="12"/>
  <c r="G297" i="12"/>
  <c r="G289" i="12"/>
  <c r="G281" i="12"/>
  <c r="G273" i="12"/>
  <c r="G265" i="12"/>
  <c r="G257" i="12"/>
  <c r="G249" i="12"/>
  <c r="G241" i="12"/>
  <c r="G233" i="12"/>
  <c r="G225" i="12"/>
  <c r="G217" i="12"/>
  <c r="G209" i="12"/>
  <c r="G201" i="12"/>
  <c r="G193" i="12"/>
  <c r="G185" i="12"/>
  <c r="G177" i="12"/>
  <c r="G306" i="12"/>
  <c r="G298" i="12"/>
  <c r="G290" i="12"/>
  <c r="G282" i="12"/>
  <c r="G274" i="12"/>
  <c r="G266" i="12"/>
  <c r="G258" i="12"/>
  <c r="G250" i="12"/>
  <c r="G242" i="12"/>
  <c r="G234" i="12"/>
  <c r="G226" i="12"/>
  <c r="G218" i="12"/>
  <c r="G210" i="12"/>
  <c r="G202" i="12"/>
  <c r="G194" i="12"/>
  <c r="G186" i="12"/>
  <c r="G178" i="12"/>
  <c r="G307" i="12"/>
  <c r="G299" i="12"/>
  <c r="G291" i="12"/>
  <c r="G283" i="12"/>
  <c r="G275" i="12"/>
  <c r="G267" i="12"/>
  <c r="G259" i="12"/>
  <c r="G251" i="12"/>
  <c r="G243" i="12"/>
  <c r="G235" i="12"/>
  <c r="G227" i="12"/>
  <c r="G219" i="12"/>
  <c r="G211" i="12"/>
  <c r="G203" i="12"/>
  <c r="G195" i="12"/>
  <c r="G187" i="12"/>
  <c r="G179" i="12"/>
  <c r="G308" i="12"/>
  <c r="G300" i="12"/>
  <c r="G292" i="12"/>
  <c r="G284" i="12"/>
  <c r="G276" i="12"/>
  <c r="G268" i="12"/>
  <c r="G260" i="12"/>
  <c r="G252" i="12"/>
  <c r="G244" i="12"/>
  <c r="G236" i="12"/>
  <c r="G228" i="12"/>
  <c r="G220" i="12"/>
  <c r="G212" i="12"/>
  <c r="G204" i="12"/>
  <c r="G196" i="12"/>
  <c r="G188" i="12"/>
  <c r="G180" i="12"/>
  <c r="G301" i="12"/>
  <c r="G293" i="12"/>
  <c r="G285" i="12"/>
  <c r="G277" i="12"/>
  <c r="G269" i="12"/>
  <c r="G261" i="12"/>
  <c r="G253" i="12"/>
  <c r="G245" i="12"/>
  <c r="G237" i="12"/>
  <c r="G229" i="12"/>
  <c r="G221" i="12"/>
  <c r="G213" i="12"/>
  <c r="G205" i="12"/>
  <c r="G197" i="12"/>
  <c r="G189" i="12"/>
  <c r="G181" i="12"/>
  <c r="G302" i="12"/>
  <c r="G294" i="12"/>
  <c r="G286" i="12"/>
  <c r="G278" i="12"/>
  <c r="G270" i="12"/>
  <c r="G262" i="12"/>
  <c r="G254" i="12"/>
  <c r="G246" i="12"/>
  <c r="G238" i="12"/>
  <c r="G230" i="12"/>
  <c r="G222" i="12"/>
  <c r="G214" i="12"/>
  <c r="G206" i="12"/>
  <c r="G198" i="12"/>
  <c r="G190" i="12"/>
  <c r="G182" i="12"/>
  <c r="G175" i="12"/>
  <c r="G167" i="12"/>
  <c r="G159" i="12"/>
  <c r="G151" i="12"/>
  <c r="G143" i="12"/>
  <c r="G135" i="12"/>
  <c r="G127" i="12"/>
  <c r="G119" i="12"/>
  <c r="G111" i="12"/>
  <c r="G103" i="12"/>
  <c r="G95" i="12"/>
  <c r="G87" i="12"/>
  <c r="G79" i="12"/>
  <c r="G71" i="12"/>
  <c r="G63" i="12"/>
  <c r="G55" i="12"/>
  <c r="G47" i="12"/>
  <c r="G168" i="12"/>
  <c r="G160" i="12"/>
  <c r="G152" i="12"/>
  <c r="G144" i="12"/>
  <c r="G136" i="12"/>
  <c r="G128" i="12"/>
  <c r="G120" i="12"/>
  <c r="G112" i="12"/>
  <c r="G104" i="12"/>
  <c r="G96" i="12"/>
  <c r="G88" i="12"/>
  <c r="G80" i="12"/>
  <c r="G72" i="12"/>
  <c r="G64" i="12"/>
  <c r="G56" i="12"/>
  <c r="G48" i="12"/>
  <c r="G169" i="12"/>
  <c r="G161" i="12"/>
  <c r="G153" i="12"/>
  <c r="G145" i="12"/>
  <c r="G137" i="12"/>
  <c r="G129" i="12"/>
  <c r="G121" i="12"/>
  <c r="G113" i="12"/>
  <c r="G105" i="12"/>
  <c r="G97" i="12"/>
  <c r="G89" i="12"/>
  <c r="G81" i="12"/>
  <c r="G73" i="12"/>
  <c r="G65" i="12"/>
  <c r="G170" i="12"/>
  <c r="G162" i="12"/>
  <c r="G154" i="12"/>
  <c r="G146" i="12"/>
  <c r="G138" i="12"/>
  <c r="G130" i="12"/>
  <c r="G122" i="12"/>
  <c r="G114" i="12"/>
  <c r="G106" i="12"/>
  <c r="G98" i="12"/>
  <c r="G90" i="12"/>
  <c r="G82" i="12"/>
  <c r="G74" i="12"/>
  <c r="G66" i="12"/>
  <c r="G58" i="12"/>
  <c r="G50" i="12"/>
  <c r="G171" i="12"/>
  <c r="G163" i="12"/>
  <c r="G155" i="12"/>
  <c r="G147" i="12"/>
  <c r="G139" i="12"/>
  <c r="G131" i="12"/>
  <c r="G123" i="12"/>
  <c r="G115" i="12"/>
  <c r="G107" i="12"/>
  <c r="G99" i="12"/>
  <c r="G91" i="12"/>
  <c r="G83" i="12"/>
  <c r="G75" i="12"/>
  <c r="G67" i="12"/>
  <c r="G59" i="12"/>
  <c r="G51" i="12"/>
  <c r="G43" i="12"/>
  <c r="G172" i="12"/>
  <c r="G164" i="12"/>
  <c r="G156" i="12"/>
  <c r="G148" i="12"/>
  <c r="G140" i="12"/>
  <c r="G132" i="12"/>
  <c r="G124" i="12"/>
  <c r="G116" i="12"/>
  <c r="G108" i="12"/>
  <c r="G100" i="12"/>
  <c r="G92" i="12"/>
  <c r="G84" i="12"/>
  <c r="G76" i="12"/>
  <c r="G68" i="12"/>
  <c r="G60" i="12"/>
  <c r="G174" i="12"/>
  <c r="G166" i="12"/>
  <c r="G158" i="12"/>
  <c r="G150" i="12"/>
  <c r="G142" i="12"/>
  <c r="G134" i="12"/>
  <c r="G126" i="12"/>
  <c r="G118" i="12"/>
  <c r="G110" i="12"/>
  <c r="G102" i="12"/>
  <c r="G94" i="12"/>
  <c r="G86" i="12"/>
  <c r="G78" i="12"/>
  <c r="G70" i="12"/>
  <c r="G62" i="12"/>
  <c r="G54" i="12"/>
  <c r="G46" i="12"/>
  <c r="J13" i="12"/>
  <c r="G18" i="12"/>
  <c r="J21" i="12"/>
  <c r="G26" i="12"/>
  <c r="J29" i="12"/>
  <c r="G34" i="12"/>
  <c r="J37" i="12"/>
  <c r="G42" i="12"/>
  <c r="G52" i="12"/>
  <c r="J64" i="12"/>
  <c r="G101" i="12"/>
  <c r="G165" i="12"/>
  <c r="J306" i="12"/>
  <c r="J298" i="12"/>
  <c r="J290" i="12"/>
  <c r="J282" i="12"/>
  <c r="J274" i="12"/>
  <c r="J266" i="12"/>
  <c r="J258" i="12"/>
  <c r="J250" i="12"/>
  <c r="J242" i="12"/>
  <c r="J234" i="12"/>
  <c r="J226" i="12"/>
  <c r="J218" i="12"/>
  <c r="J210" i="12"/>
  <c r="J202" i="12"/>
  <c r="J194" i="12"/>
  <c r="J186" i="12"/>
  <c r="J178" i="12"/>
  <c r="J307" i="12"/>
  <c r="J299" i="12"/>
  <c r="J291" i="12"/>
  <c r="J283" i="12"/>
  <c r="J275" i="12"/>
  <c r="J267" i="12"/>
  <c r="J259" i="12"/>
  <c r="J251" i="12"/>
  <c r="J243" i="12"/>
  <c r="J235" i="12"/>
  <c r="J227" i="12"/>
  <c r="J219" i="12"/>
  <c r="J211" i="12"/>
  <c r="J203" i="12"/>
  <c r="J195" i="12"/>
  <c r="J187" i="12"/>
  <c r="J179" i="12"/>
  <c r="J308" i="12"/>
  <c r="J300" i="12"/>
  <c r="J292" i="12"/>
  <c r="J284" i="12"/>
  <c r="J276" i="12"/>
  <c r="J268" i="12"/>
  <c r="J260" i="12"/>
  <c r="J252" i="12"/>
  <c r="J244" i="12"/>
  <c r="J236" i="12"/>
  <c r="J228" i="12"/>
  <c r="J220" i="12"/>
  <c r="J212" i="12"/>
  <c r="J204" i="12"/>
  <c r="J196" i="12"/>
  <c r="J188" i="12"/>
  <c r="J180" i="12"/>
  <c r="J301" i="12"/>
  <c r="J293" i="12"/>
  <c r="J285" i="12"/>
  <c r="J277" i="12"/>
  <c r="J269" i="12"/>
  <c r="J261" i="12"/>
  <c r="J253" i="12"/>
  <c r="J245" i="12"/>
  <c r="J237" i="12"/>
  <c r="J229" i="12"/>
  <c r="J221" i="12"/>
  <c r="J213" i="12"/>
  <c r="J205" i="12"/>
  <c r="J197" i="12"/>
  <c r="J189" i="12"/>
  <c r="J181" i="12"/>
  <c r="J302" i="12"/>
  <c r="J294" i="12"/>
  <c r="J286" i="12"/>
  <c r="J278" i="12"/>
  <c r="J270" i="12"/>
  <c r="J262" i="12"/>
  <c r="J254" i="12"/>
  <c r="J246" i="12"/>
  <c r="J238" i="12"/>
  <c r="J230" i="12"/>
  <c r="J222" i="12"/>
  <c r="J214" i="12"/>
  <c r="J206" i="12"/>
  <c r="J198" i="12"/>
  <c r="J190" i="12"/>
  <c r="J182" i="12"/>
  <c r="J303" i="12"/>
  <c r="J295" i="12"/>
  <c r="J287" i="12"/>
  <c r="J279" i="12"/>
  <c r="J271" i="12"/>
  <c r="J263" i="12"/>
  <c r="J255" i="12"/>
  <c r="J247" i="12"/>
  <c r="J239" i="12"/>
  <c r="J231" i="12"/>
  <c r="J223" i="12"/>
  <c r="J215" i="12"/>
  <c r="J207" i="12"/>
  <c r="J199" i="12"/>
  <c r="J191" i="12"/>
  <c r="J183" i="12"/>
  <c r="J304" i="12"/>
  <c r="J296" i="12"/>
  <c r="J288" i="12"/>
  <c r="J280" i="12"/>
  <c r="J272" i="12"/>
  <c r="J264" i="12"/>
  <c r="J256" i="12"/>
  <c r="J248" i="12"/>
  <c r="J240" i="12"/>
  <c r="J232" i="12"/>
  <c r="J224" i="12"/>
  <c r="J216" i="12"/>
  <c r="J208" i="12"/>
  <c r="J200" i="12"/>
  <c r="J192" i="12"/>
  <c r="J184" i="12"/>
  <c r="J305" i="12"/>
  <c r="J297" i="12"/>
  <c r="J289" i="12"/>
  <c r="J281" i="12"/>
  <c r="J273" i="12"/>
  <c r="J265" i="12"/>
  <c r="J257" i="12"/>
  <c r="J249" i="12"/>
  <c r="J241" i="12"/>
  <c r="J233" i="12"/>
  <c r="J225" i="12"/>
  <c r="J217" i="12"/>
  <c r="J209" i="12"/>
  <c r="J201" i="12"/>
  <c r="J193" i="12"/>
  <c r="J185" i="12"/>
  <c r="J177" i="12"/>
  <c r="J170" i="12"/>
  <c r="J162" i="12"/>
  <c r="J154" i="12"/>
  <c r="J146" i="12"/>
  <c r="J138" i="12"/>
  <c r="J130" i="12"/>
  <c r="J122" i="12"/>
  <c r="J114" i="12"/>
  <c r="J106" i="12"/>
  <c r="J98" i="12"/>
  <c r="J90" i="12"/>
  <c r="J82" i="12"/>
  <c r="J74" i="12"/>
  <c r="J66" i="12"/>
  <c r="J58" i="12"/>
  <c r="J50" i="12"/>
  <c r="J176" i="12"/>
  <c r="J171" i="12"/>
  <c r="J163" i="12"/>
  <c r="J155" i="12"/>
  <c r="J147" i="12"/>
  <c r="J139" i="12"/>
  <c r="J131" i="12"/>
  <c r="J123" i="12"/>
  <c r="J115" i="12"/>
  <c r="J107" i="12"/>
  <c r="J99" i="12"/>
  <c r="J91" i="12"/>
  <c r="J83" i="12"/>
  <c r="J75" i="12"/>
  <c r="J67" i="12"/>
  <c r="J59" i="12"/>
  <c r="J51" i="12"/>
  <c r="J43" i="12"/>
  <c r="J172" i="12"/>
  <c r="J164" i="12"/>
  <c r="J156" i="12"/>
  <c r="J148" i="12"/>
  <c r="J140" i="12"/>
  <c r="J132" i="12"/>
  <c r="J124" i="12"/>
  <c r="J116" i="12"/>
  <c r="J108" i="12"/>
  <c r="J100" i="12"/>
  <c r="J92" i="12"/>
  <c r="J84" i="12"/>
  <c r="J76" i="12"/>
  <c r="J68" i="12"/>
  <c r="J60" i="12"/>
  <c r="J173" i="12"/>
  <c r="J165" i="12"/>
  <c r="J157" i="12"/>
  <c r="J149" i="12"/>
  <c r="J141" i="12"/>
  <c r="J133" i="12"/>
  <c r="J125" i="12"/>
  <c r="J117" i="12"/>
  <c r="J109" i="12"/>
  <c r="J101" i="12"/>
  <c r="J93" i="12"/>
  <c r="J85" i="12"/>
  <c r="J77" i="12"/>
  <c r="J69" i="12"/>
  <c r="J61" i="12"/>
  <c r="J53" i="12"/>
  <c r="J45" i="12"/>
  <c r="J174" i="12"/>
  <c r="J166" i="12"/>
  <c r="J158" i="12"/>
  <c r="J150" i="12"/>
  <c r="J142" i="12"/>
  <c r="J134" i="12"/>
  <c r="J126" i="12"/>
  <c r="J118" i="12"/>
  <c r="J110" i="12"/>
  <c r="J102" i="12"/>
  <c r="J94" i="12"/>
  <c r="J86" i="12"/>
  <c r="J78" i="12"/>
  <c r="J70" i="12"/>
  <c r="J62" i="12"/>
  <c r="J54" i="12"/>
  <c r="J46" i="12"/>
  <c r="J175" i="12"/>
  <c r="J167" i="12"/>
  <c r="J159" i="12"/>
  <c r="J151" i="12"/>
  <c r="J143" i="12"/>
  <c r="J135" i="12"/>
  <c r="J127" i="12"/>
  <c r="J119" i="12"/>
  <c r="J111" i="12"/>
  <c r="J103" i="12"/>
  <c r="J95" i="12"/>
  <c r="J87" i="12"/>
  <c r="J79" i="12"/>
  <c r="J71" i="12"/>
  <c r="J63" i="12"/>
  <c r="J169" i="12"/>
  <c r="J161" i="12"/>
  <c r="J153" i="12"/>
  <c r="J145" i="12"/>
  <c r="J137" i="12"/>
  <c r="J129" i="12"/>
  <c r="J121" i="12"/>
  <c r="J113" i="12"/>
  <c r="J105" i="12"/>
  <c r="J97" i="12"/>
  <c r="J89" i="12"/>
  <c r="J81" i="12"/>
  <c r="J73" i="12"/>
  <c r="J65" i="12"/>
  <c r="J57" i="12"/>
  <c r="J49" i="12"/>
  <c r="J12" i="12"/>
  <c r="G17" i="12"/>
  <c r="J20" i="12"/>
  <c r="G25" i="12"/>
  <c r="J28" i="12"/>
  <c r="G33" i="12"/>
  <c r="J36" i="12"/>
  <c r="G41" i="12"/>
  <c r="G44" i="12"/>
  <c r="J52" i="12"/>
  <c r="J56" i="12"/>
  <c r="G77" i="12"/>
  <c r="J104" i="12"/>
  <c r="G141" i="12"/>
  <c r="J168" i="12"/>
  <c r="Q6" i="12"/>
  <c r="Q7" i="12" s="1"/>
  <c r="J11" i="12"/>
  <c r="G16" i="12"/>
  <c r="J19" i="12"/>
  <c r="G24" i="12"/>
  <c r="J27" i="12"/>
  <c r="G32" i="12"/>
  <c r="J35" i="12"/>
  <c r="G40" i="12"/>
  <c r="J42" i="12"/>
  <c r="J44" i="12"/>
  <c r="J48" i="12"/>
  <c r="J80" i="12"/>
  <c r="G117" i="12"/>
  <c r="J144" i="12"/>
  <c r="G15" i="12"/>
  <c r="J18" i="12"/>
  <c r="G23" i="12"/>
  <c r="J26" i="12"/>
  <c r="G31" i="12"/>
  <c r="J34" i="12"/>
  <c r="G39" i="12"/>
  <c r="G93" i="12"/>
  <c r="J120" i="12"/>
  <c r="G157" i="12"/>
  <c r="Q8" i="12"/>
  <c r="G14" i="12"/>
  <c r="J17" i="12"/>
  <c r="G22" i="12"/>
  <c r="J25" i="12"/>
  <c r="G30" i="12"/>
  <c r="J33" i="12"/>
  <c r="G38" i="12"/>
  <c r="J41" i="12"/>
  <c r="G53" i="12"/>
  <c r="G69" i="12"/>
  <c r="J96" i="12"/>
  <c r="G133" i="12"/>
  <c r="J160" i="12"/>
  <c r="Q9" i="12"/>
  <c r="G13" i="12"/>
  <c r="J16" i="12"/>
  <c r="G21" i="12"/>
  <c r="J24" i="12"/>
  <c r="G29" i="12"/>
  <c r="J32" i="12"/>
  <c r="G37" i="12"/>
  <c r="J40" i="12"/>
  <c r="G45" i="12"/>
  <c r="G57" i="12"/>
  <c r="J72" i="12"/>
  <c r="G109" i="12"/>
  <c r="J136" i="12"/>
  <c r="G173" i="12"/>
  <c r="Q10" i="12"/>
  <c r="G12" i="12"/>
  <c r="J15" i="12"/>
  <c r="G20" i="12"/>
  <c r="J23" i="12"/>
  <c r="G28" i="12"/>
  <c r="J31" i="12"/>
  <c r="G36" i="12"/>
  <c r="J39" i="12"/>
  <c r="G49" i="12"/>
  <c r="J55" i="12"/>
  <c r="G85" i="12"/>
  <c r="J112" i="12"/>
  <c r="G149" i="12"/>
  <c r="J306" i="11"/>
  <c r="J298" i="11"/>
  <c r="J290" i="11"/>
  <c r="J282" i="11"/>
  <c r="J274" i="11"/>
  <c r="J266" i="11"/>
  <c r="J258" i="11"/>
  <c r="J250" i="11"/>
  <c r="J242" i="11"/>
  <c r="J234" i="11"/>
  <c r="J226" i="11"/>
  <c r="J218" i="11"/>
  <c r="J210" i="11"/>
  <c r="J202" i="11"/>
  <c r="J194" i="11"/>
  <c r="J186" i="11"/>
  <c r="J178" i="11"/>
  <c r="J307" i="11"/>
  <c r="J299" i="11"/>
  <c r="J291" i="11"/>
  <c r="J283" i="11"/>
  <c r="J275" i="11"/>
  <c r="J267" i="11"/>
  <c r="J259" i="11"/>
  <c r="J251" i="11"/>
  <c r="J243" i="11"/>
  <c r="J235" i="11"/>
  <c r="J227" i="11"/>
  <c r="J219" i="11"/>
  <c r="J211" i="11"/>
  <c r="J203" i="11"/>
  <c r="J195" i="11"/>
  <c r="J187" i="11"/>
  <c r="J179" i="11"/>
  <c r="J308" i="11"/>
  <c r="J300" i="11"/>
  <c r="J292" i="11"/>
  <c r="J284" i="11"/>
  <c r="J276" i="11"/>
  <c r="J268" i="11"/>
  <c r="J260" i="11"/>
  <c r="J252" i="11"/>
  <c r="J244" i="11"/>
  <c r="J236" i="11"/>
  <c r="J228" i="11"/>
  <c r="J220" i="11"/>
  <c r="J212" i="11"/>
  <c r="J204" i="11"/>
  <c r="J196" i="11"/>
  <c r="J188" i="11"/>
  <c r="J180" i="11"/>
  <c r="J301" i="11"/>
  <c r="J293" i="11"/>
  <c r="J285" i="11"/>
  <c r="J277" i="11"/>
  <c r="J269" i="11"/>
  <c r="J261" i="11"/>
  <c r="J253" i="11"/>
  <c r="J245" i="11"/>
  <c r="J237" i="11"/>
  <c r="J229" i="11"/>
  <c r="J221" i="11"/>
  <c r="J213" i="11"/>
  <c r="J205" i="11"/>
  <c r="J197" i="11"/>
  <c r="J189" i="11"/>
  <c r="J181" i="11"/>
  <c r="J302" i="11"/>
  <c r="J294" i="11"/>
  <c r="J286" i="11"/>
  <c r="J278" i="11"/>
  <c r="J270" i="11"/>
  <c r="J262" i="11"/>
  <c r="J254" i="11"/>
  <c r="J246" i="11"/>
  <c r="J238" i="11"/>
  <c r="J230" i="11"/>
  <c r="J222" i="11"/>
  <c r="J214" i="11"/>
  <c r="J206" i="11"/>
  <c r="J198" i="11"/>
  <c r="J190" i="11"/>
  <c r="J182" i="11"/>
  <c r="J303" i="11"/>
  <c r="J295" i="11"/>
  <c r="J287" i="11"/>
  <c r="J279" i="11"/>
  <c r="J271" i="11"/>
  <c r="J263" i="11"/>
  <c r="J255" i="11"/>
  <c r="J247" i="11"/>
  <c r="J239" i="11"/>
  <c r="J231" i="11"/>
  <c r="J223" i="11"/>
  <c r="J215" i="11"/>
  <c r="J207" i="11"/>
  <c r="J199" i="11"/>
  <c r="J191" i="11"/>
  <c r="J183" i="11"/>
  <c r="J304" i="11"/>
  <c r="J296" i="11"/>
  <c r="J288" i="11"/>
  <c r="J280" i="11"/>
  <c r="J272" i="11"/>
  <c r="J264" i="11"/>
  <c r="J256" i="11"/>
  <c r="J248" i="11"/>
  <c r="J240" i="11"/>
  <c r="J232" i="11"/>
  <c r="J224" i="11"/>
  <c r="J216" i="11"/>
  <c r="J208" i="11"/>
  <c r="J200" i="11"/>
  <c r="J192" i="11"/>
  <c r="J184" i="11"/>
  <c r="J176" i="11"/>
  <c r="J305" i="11"/>
  <c r="J241" i="11"/>
  <c r="J177" i="11"/>
  <c r="J175" i="11"/>
  <c r="J170" i="11"/>
  <c r="J162" i="11"/>
  <c r="J154" i="11"/>
  <c r="J146" i="11"/>
  <c r="J138" i="11"/>
  <c r="J130" i="11"/>
  <c r="J122" i="11"/>
  <c r="J114" i="11"/>
  <c r="J106" i="11"/>
  <c r="J98" i="11"/>
  <c r="J90" i="11"/>
  <c r="J82" i="11"/>
  <c r="J74" i="11"/>
  <c r="J66" i="11"/>
  <c r="J265" i="11"/>
  <c r="J201" i="11"/>
  <c r="J171" i="11"/>
  <c r="J163" i="11"/>
  <c r="J155" i="11"/>
  <c r="J147" i="11"/>
  <c r="J139" i="11"/>
  <c r="J131" i="11"/>
  <c r="J123" i="11"/>
  <c r="J115" i="11"/>
  <c r="J107" i="11"/>
  <c r="J99" i="11"/>
  <c r="J91" i="11"/>
  <c r="J83" i="11"/>
  <c r="J75" i="11"/>
  <c r="J67" i="11"/>
  <c r="J289" i="11"/>
  <c r="J225" i="11"/>
  <c r="J172" i="11"/>
  <c r="J164" i="11"/>
  <c r="J156" i="11"/>
  <c r="J148" i="11"/>
  <c r="J140" i="11"/>
  <c r="J132" i="11"/>
  <c r="J124" i="11"/>
  <c r="J116" i="11"/>
  <c r="J108" i="11"/>
  <c r="J100" i="11"/>
  <c r="J92" i="11"/>
  <c r="J84" i="11"/>
  <c r="J76" i="11"/>
  <c r="J68" i="11"/>
  <c r="J249" i="11"/>
  <c r="J185" i="11"/>
  <c r="J173" i="11"/>
  <c r="J165" i="11"/>
  <c r="J157" i="11"/>
  <c r="J149" i="11"/>
  <c r="J141" i="11"/>
  <c r="J133" i="11"/>
  <c r="J125" i="11"/>
  <c r="J117" i="11"/>
  <c r="J109" i="11"/>
  <c r="J101" i="11"/>
  <c r="J93" i="11"/>
  <c r="J85" i="11"/>
  <c r="J77" i="11"/>
  <c r="J69" i="11"/>
  <c r="J273" i="11"/>
  <c r="J209" i="11"/>
  <c r="J166" i="11"/>
  <c r="J158" i="11"/>
  <c r="J150" i="11"/>
  <c r="J142" i="11"/>
  <c r="J134" i="11"/>
  <c r="J126" i="11"/>
  <c r="J118" i="11"/>
  <c r="J110" i="11"/>
  <c r="J102" i="11"/>
  <c r="J94" i="11"/>
  <c r="J86" i="11"/>
  <c r="J78" i="11"/>
  <c r="J70" i="11"/>
  <c r="J62" i="11"/>
  <c r="J297" i="11"/>
  <c r="J233" i="11"/>
  <c r="J174" i="11"/>
  <c r="J167" i="11"/>
  <c r="J159" i="11"/>
  <c r="J151" i="11"/>
  <c r="J143" i="11"/>
  <c r="J135" i="11"/>
  <c r="J127" i="11"/>
  <c r="J119" i="11"/>
  <c r="J111" i="11"/>
  <c r="J103" i="11"/>
  <c r="J95" i="11"/>
  <c r="J87" i="11"/>
  <c r="J79" i="11"/>
  <c r="J71" i="11"/>
  <c r="J257" i="11"/>
  <c r="J193" i="11"/>
  <c r="J168" i="11"/>
  <c r="J160" i="11"/>
  <c r="J152" i="11"/>
  <c r="J144" i="11"/>
  <c r="J136" i="11"/>
  <c r="J128" i="11"/>
  <c r="J120" i="11"/>
  <c r="J112" i="11"/>
  <c r="J104" i="11"/>
  <c r="J96" i="11"/>
  <c r="J88" i="11"/>
  <c r="J80" i="11"/>
  <c r="J72" i="11"/>
  <c r="J64" i="11"/>
  <c r="J281" i="11"/>
  <c r="J137" i="11"/>
  <c r="J73" i="11"/>
  <c r="J59" i="11"/>
  <c r="J52" i="11"/>
  <c r="J44" i="11"/>
  <c r="J36" i="11"/>
  <c r="J28" i="11"/>
  <c r="J20" i="11"/>
  <c r="J12" i="11"/>
  <c r="J34" i="11"/>
  <c r="J10" i="11"/>
  <c r="J161" i="11"/>
  <c r="J97" i="11"/>
  <c r="J53" i="11"/>
  <c r="J45" i="11"/>
  <c r="J37" i="11"/>
  <c r="J29" i="11"/>
  <c r="J21" i="11"/>
  <c r="J13" i="11"/>
  <c r="J89" i="11"/>
  <c r="J121" i="11"/>
  <c r="J60" i="11"/>
  <c r="J54" i="11"/>
  <c r="J46" i="11"/>
  <c r="J38" i="11"/>
  <c r="J30" i="11"/>
  <c r="J22" i="11"/>
  <c r="J14" i="11"/>
  <c r="J153" i="11"/>
  <c r="J26" i="11"/>
  <c r="J145" i="11"/>
  <c r="J81" i="11"/>
  <c r="J55" i="11"/>
  <c r="J47" i="11"/>
  <c r="J39" i="11"/>
  <c r="J31" i="11"/>
  <c r="J23" i="11"/>
  <c r="J15" i="11"/>
  <c r="J58" i="11"/>
  <c r="J50" i="11"/>
  <c r="J169" i="11"/>
  <c r="J105" i="11"/>
  <c r="J63" i="11"/>
  <c r="J56" i="11"/>
  <c r="J48" i="11"/>
  <c r="J40" i="11"/>
  <c r="J32" i="11"/>
  <c r="J24" i="11"/>
  <c r="J16" i="11"/>
  <c r="Q7" i="11"/>
  <c r="J217" i="11"/>
  <c r="J129" i="11"/>
  <c r="J65" i="11"/>
  <c r="J57" i="11"/>
  <c r="J49" i="11"/>
  <c r="J41" i="11"/>
  <c r="J33" i="11"/>
  <c r="J25" i="11"/>
  <c r="J17" i="11"/>
  <c r="J61" i="11"/>
  <c r="J42" i="11"/>
  <c r="Q5" i="11"/>
  <c r="Q8" i="11" s="1"/>
  <c r="J113" i="11"/>
  <c r="J51" i="11"/>
  <c r="J43" i="11"/>
  <c r="J35" i="11"/>
  <c r="J27" i="11"/>
  <c r="J19" i="11"/>
  <c r="J11" i="11"/>
  <c r="J18" i="11"/>
  <c r="G16" i="11"/>
  <c r="G24" i="11"/>
  <c r="G32" i="11"/>
  <c r="G40" i="11"/>
  <c r="G48" i="11"/>
  <c r="G56" i="11"/>
  <c r="G86" i="11"/>
  <c r="G150" i="11"/>
  <c r="Q6" i="11"/>
  <c r="G14" i="11"/>
  <c r="G22" i="11"/>
  <c r="G30" i="11"/>
  <c r="G38" i="11"/>
  <c r="G46" i="11"/>
  <c r="G54" i="11"/>
  <c r="G102" i="11"/>
  <c r="G166" i="11"/>
  <c r="G13" i="11"/>
  <c r="G21" i="11"/>
  <c r="G29" i="11"/>
  <c r="G37" i="11"/>
  <c r="G45" i="11"/>
  <c r="G53" i="11"/>
  <c r="G60" i="11"/>
  <c r="G78" i="11"/>
  <c r="G142" i="11"/>
  <c r="G12" i="11"/>
  <c r="G20" i="11"/>
  <c r="G28" i="11"/>
  <c r="G36" i="11"/>
  <c r="G44" i="11"/>
  <c r="G52" i="11"/>
  <c r="G118" i="11"/>
  <c r="G62" i="11"/>
  <c r="G94" i="11"/>
  <c r="G158" i="11"/>
  <c r="G58" i="11"/>
  <c r="G70" i="11"/>
  <c r="G134" i="11"/>
  <c r="G303" i="11"/>
  <c r="G295" i="11"/>
  <c r="G287" i="11"/>
  <c r="G279" i="11"/>
  <c r="G271" i="11"/>
  <c r="G263" i="11"/>
  <c r="G255" i="11"/>
  <c r="G247" i="11"/>
  <c r="G239" i="11"/>
  <c r="G231" i="11"/>
  <c r="G223" i="11"/>
  <c r="G215" i="11"/>
  <c r="G207" i="11"/>
  <c r="G199" i="11"/>
  <c r="G191" i="11"/>
  <c r="G183" i="11"/>
  <c r="G175" i="11"/>
  <c r="G304" i="11"/>
  <c r="G296" i="11"/>
  <c r="G288" i="11"/>
  <c r="G280" i="11"/>
  <c r="G272" i="11"/>
  <c r="G264" i="11"/>
  <c r="G256" i="11"/>
  <c r="G248" i="11"/>
  <c r="G240" i="11"/>
  <c r="G232" i="11"/>
  <c r="G224" i="11"/>
  <c r="G216" i="11"/>
  <c r="G208" i="11"/>
  <c r="G200" i="11"/>
  <c r="G192" i="11"/>
  <c r="G184" i="11"/>
  <c r="G176" i="11"/>
  <c r="G305" i="11"/>
  <c r="G297" i="11"/>
  <c r="G289" i="11"/>
  <c r="G281" i="11"/>
  <c r="G273" i="11"/>
  <c r="G265" i="11"/>
  <c r="G257" i="11"/>
  <c r="G249" i="11"/>
  <c r="G241" i="11"/>
  <c r="G233" i="11"/>
  <c r="G225" i="11"/>
  <c r="G217" i="11"/>
  <c r="G209" i="11"/>
  <c r="G201" i="11"/>
  <c r="G193" i="11"/>
  <c r="G185" i="11"/>
  <c r="G177" i="11"/>
  <c r="G306" i="11"/>
  <c r="G298" i="11"/>
  <c r="G290" i="11"/>
  <c r="G282" i="11"/>
  <c r="G274" i="11"/>
  <c r="G266" i="11"/>
  <c r="G258" i="11"/>
  <c r="G250" i="11"/>
  <c r="G242" i="11"/>
  <c r="G234" i="11"/>
  <c r="G226" i="11"/>
  <c r="G218" i="11"/>
  <c r="G210" i="11"/>
  <c r="G202" i="11"/>
  <c r="G194" i="11"/>
  <c r="G186" i="11"/>
  <c r="G178" i="11"/>
  <c r="G307" i="11"/>
  <c r="G299" i="11"/>
  <c r="G291" i="11"/>
  <c r="G283" i="11"/>
  <c r="G275" i="11"/>
  <c r="G267" i="11"/>
  <c r="G259" i="11"/>
  <c r="G251" i="11"/>
  <c r="G243" i="11"/>
  <c r="G235" i="11"/>
  <c r="G227" i="11"/>
  <c r="G219" i="11"/>
  <c r="G211" i="11"/>
  <c r="G203" i="11"/>
  <c r="G195" i="11"/>
  <c r="G187" i="11"/>
  <c r="G179" i="11"/>
  <c r="G308" i="11"/>
  <c r="G300" i="11"/>
  <c r="G292" i="11"/>
  <c r="G284" i="11"/>
  <c r="G276" i="11"/>
  <c r="G268" i="11"/>
  <c r="G260" i="11"/>
  <c r="G252" i="11"/>
  <c r="G244" i="11"/>
  <c r="G236" i="11"/>
  <c r="G228" i="11"/>
  <c r="G220" i="11"/>
  <c r="G212" i="11"/>
  <c r="G204" i="11"/>
  <c r="G196" i="11"/>
  <c r="G188" i="11"/>
  <c r="G180" i="11"/>
  <c r="G301" i="11"/>
  <c r="G293" i="11"/>
  <c r="G285" i="11"/>
  <c r="G277" i="11"/>
  <c r="G269" i="11"/>
  <c r="G261" i="11"/>
  <c r="G253" i="11"/>
  <c r="G245" i="11"/>
  <c r="G237" i="11"/>
  <c r="G229" i="11"/>
  <c r="G221" i="11"/>
  <c r="G213" i="11"/>
  <c r="G205" i="11"/>
  <c r="G197" i="11"/>
  <c r="G189" i="11"/>
  <c r="G181" i="11"/>
  <c r="G278" i="11"/>
  <c r="G214" i="11"/>
  <c r="G167" i="11"/>
  <c r="G159" i="11"/>
  <c r="G151" i="11"/>
  <c r="G143" i="11"/>
  <c r="G135" i="11"/>
  <c r="G127" i="11"/>
  <c r="G119" i="11"/>
  <c r="G111" i="11"/>
  <c r="G103" i="11"/>
  <c r="G95" i="11"/>
  <c r="G87" i="11"/>
  <c r="G79" i="11"/>
  <c r="G71" i="11"/>
  <c r="G63" i="11"/>
  <c r="G302" i="11"/>
  <c r="G238" i="11"/>
  <c r="G168" i="11"/>
  <c r="G160" i="11"/>
  <c r="G152" i="11"/>
  <c r="G144" i="11"/>
  <c r="G136" i="11"/>
  <c r="G128" i="11"/>
  <c r="G120" i="11"/>
  <c r="G112" i="11"/>
  <c r="G104" i="11"/>
  <c r="G96" i="11"/>
  <c r="G88" i="11"/>
  <c r="G80" i="11"/>
  <c r="G72" i="11"/>
  <c r="G64" i="11"/>
  <c r="G262" i="11"/>
  <c r="G198" i="11"/>
  <c r="G169" i="11"/>
  <c r="G161" i="11"/>
  <c r="G153" i="11"/>
  <c r="G145" i="11"/>
  <c r="G137" i="11"/>
  <c r="G129" i="11"/>
  <c r="G121" i="11"/>
  <c r="G113" i="11"/>
  <c r="G105" i="11"/>
  <c r="G97" i="11"/>
  <c r="G89" i="11"/>
  <c r="G81" i="11"/>
  <c r="G73" i="11"/>
  <c r="G65" i="11"/>
  <c r="G286" i="11"/>
  <c r="G222" i="11"/>
  <c r="G170" i="11"/>
  <c r="G162" i="11"/>
  <c r="G154" i="11"/>
  <c r="G146" i="11"/>
  <c r="G138" i="11"/>
  <c r="G130" i="11"/>
  <c r="G122" i="11"/>
  <c r="G114" i="11"/>
  <c r="G106" i="11"/>
  <c r="G98" i="11"/>
  <c r="G90" i="11"/>
  <c r="G82" i="11"/>
  <c r="G74" i="11"/>
  <c r="G66" i="11"/>
  <c r="G246" i="11"/>
  <c r="G182" i="11"/>
  <c r="G171" i="11"/>
  <c r="G163" i="11"/>
  <c r="G155" i="11"/>
  <c r="G147" i="11"/>
  <c r="G139" i="11"/>
  <c r="G131" i="11"/>
  <c r="G123" i="11"/>
  <c r="G115" i="11"/>
  <c r="G107" i="11"/>
  <c r="G99" i="11"/>
  <c r="G91" i="11"/>
  <c r="G83" i="11"/>
  <c r="G75" i="11"/>
  <c r="G67" i="11"/>
  <c r="G59" i="11"/>
  <c r="G270" i="11"/>
  <c r="G206" i="11"/>
  <c r="G172" i="11"/>
  <c r="G164" i="11"/>
  <c r="G156" i="11"/>
  <c r="G148" i="11"/>
  <c r="G140" i="11"/>
  <c r="G132" i="11"/>
  <c r="G124" i="11"/>
  <c r="G116" i="11"/>
  <c r="G108" i="11"/>
  <c r="G100" i="11"/>
  <c r="G92" i="11"/>
  <c r="G84" i="11"/>
  <c r="G76" i="11"/>
  <c r="G68" i="11"/>
  <c r="G294" i="11"/>
  <c r="G230" i="11"/>
  <c r="G173" i="11"/>
  <c r="G165" i="11"/>
  <c r="G157" i="11"/>
  <c r="G149" i="11"/>
  <c r="G141" i="11"/>
  <c r="G133" i="11"/>
  <c r="G125" i="11"/>
  <c r="G117" i="11"/>
  <c r="G109" i="11"/>
  <c r="G101" i="11"/>
  <c r="G93" i="11"/>
  <c r="G85" i="11"/>
  <c r="G77" i="11"/>
  <c r="G69" i="11"/>
  <c r="G61" i="11"/>
  <c r="G17" i="11"/>
  <c r="G25" i="11"/>
  <c r="G33" i="11"/>
  <c r="G41" i="11"/>
  <c r="G49" i="11"/>
  <c r="G57" i="11"/>
  <c r="G110" i="11"/>
  <c r="G174" i="11"/>
  <c r="J306" i="10"/>
  <c r="J298" i="10"/>
  <c r="J290" i="10"/>
  <c r="J282" i="10"/>
  <c r="J274" i="10"/>
  <c r="J266" i="10"/>
  <c r="J258" i="10"/>
  <c r="J250" i="10"/>
  <c r="J242" i="10"/>
  <c r="J234" i="10"/>
  <c r="J226" i="10"/>
  <c r="J218" i="10"/>
  <c r="J210" i="10"/>
  <c r="J202" i="10"/>
  <c r="J194" i="10"/>
  <c r="J186" i="10"/>
  <c r="J178" i="10"/>
  <c r="J307" i="10"/>
  <c r="J299" i="10"/>
  <c r="J291" i="10"/>
  <c r="J283" i="10"/>
  <c r="J275" i="10"/>
  <c r="J267" i="10"/>
  <c r="J259" i="10"/>
  <c r="J251" i="10"/>
  <c r="J308" i="10"/>
  <c r="J300" i="10"/>
  <c r="J292" i="10"/>
  <c r="J284" i="10"/>
  <c r="J276" i="10"/>
  <c r="J268" i="10"/>
  <c r="J260" i="10"/>
  <c r="J252" i="10"/>
  <c r="J244" i="10"/>
  <c r="J236" i="10"/>
  <c r="J228" i="10"/>
  <c r="J220" i="10"/>
  <c r="J212" i="10"/>
  <c r="J204" i="10"/>
  <c r="J196" i="10"/>
  <c r="J188" i="10"/>
  <c r="J180" i="10"/>
  <c r="J301" i="10"/>
  <c r="J293" i="10"/>
  <c r="J285" i="10"/>
  <c r="J277" i="10"/>
  <c r="J269" i="10"/>
  <c r="J261" i="10"/>
  <c r="J253" i="10"/>
  <c r="J302" i="10"/>
  <c r="J294" i="10"/>
  <c r="J286" i="10"/>
  <c r="J278" i="10"/>
  <c r="J270" i="10"/>
  <c r="J262" i="10"/>
  <c r="J254" i="10"/>
  <c r="J246" i="10"/>
  <c r="J238" i="10"/>
  <c r="J230" i="10"/>
  <c r="J222" i="10"/>
  <c r="J214" i="10"/>
  <c r="J206" i="10"/>
  <c r="J198" i="10"/>
  <c r="J190" i="10"/>
  <c r="J182" i="10"/>
  <c r="J303" i="10"/>
  <c r="J295" i="10"/>
  <c r="J287" i="10"/>
  <c r="J279" i="10"/>
  <c r="J271" i="10"/>
  <c r="J263" i="10"/>
  <c r="J255" i="10"/>
  <c r="J247" i="10"/>
  <c r="J239" i="10"/>
  <c r="J231" i="10"/>
  <c r="J223" i="10"/>
  <c r="J215" i="10"/>
  <c r="J207" i="10"/>
  <c r="J199" i="10"/>
  <c r="J191" i="10"/>
  <c r="J183" i="10"/>
  <c r="J175" i="10"/>
  <c r="J304" i="10"/>
  <c r="J296" i="10"/>
  <c r="J288" i="10"/>
  <c r="J280" i="10"/>
  <c r="J272" i="10"/>
  <c r="J264" i="10"/>
  <c r="J256" i="10"/>
  <c r="J248" i="10"/>
  <c r="J240" i="10"/>
  <c r="J232" i="10"/>
  <c r="J224" i="10"/>
  <c r="J216" i="10"/>
  <c r="J208" i="10"/>
  <c r="J200" i="10"/>
  <c r="J192" i="10"/>
  <c r="J184" i="10"/>
  <c r="J176" i="10"/>
  <c r="J305" i="10"/>
  <c r="J243" i="10"/>
  <c r="J237" i="10"/>
  <c r="J233" i="10"/>
  <c r="J179" i="10"/>
  <c r="J167" i="10"/>
  <c r="J159" i="10"/>
  <c r="J151" i="10"/>
  <c r="J143" i="10"/>
  <c r="J135" i="10"/>
  <c r="J127" i="10"/>
  <c r="J119" i="10"/>
  <c r="J111" i="10"/>
  <c r="J103" i="10"/>
  <c r="J95" i="10"/>
  <c r="J87" i="10"/>
  <c r="J79" i="10"/>
  <c r="J265" i="10"/>
  <c r="J245" i="10"/>
  <c r="J241" i="10"/>
  <c r="J187" i="10"/>
  <c r="J181" i="10"/>
  <c r="J177" i="10"/>
  <c r="J168" i="10"/>
  <c r="J160" i="10"/>
  <c r="J152" i="10"/>
  <c r="J144" i="10"/>
  <c r="J136" i="10"/>
  <c r="J128" i="10"/>
  <c r="J120" i="10"/>
  <c r="J112" i="10"/>
  <c r="J104" i="10"/>
  <c r="J96" i="10"/>
  <c r="J88" i="10"/>
  <c r="J80" i="10"/>
  <c r="J289" i="10"/>
  <c r="J195" i="10"/>
  <c r="J189" i="10"/>
  <c r="J185" i="10"/>
  <c r="J169" i="10"/>
  <c r="J161" i="10"/>
  <c r="J153" i="10"/>
  <c r="J145" i="10"/>
  <c r="J137" i="10"/>
  <c r="J129" i="10"/>
  <c r="J121" i="10"/>
  <c r="J113" i="10"/>
  <c r="J105" i="10"/>
  <c r="J97" i="10"/>
  <c r="J89" i="10"/>
  <c r="J81" i="10"/>
  <c r="J203" i="10"/>
  <c r="J197" i="10"/>
  <c r="J193" i="10"/>
  <c r="J170" i="10"/>
  <c r="J162" i="10"/>
  <c r="J154" i="10"/>
  <c r="J146" i="10"/>
  <c r="J138" i="10"/>
  <c r="J130" i="10"/>
  <c r="J122" i="10"/>
  <c r="J114" i="10"/>
  <c r="J106" i="10"/>
  <c r="J98" i="10"/>
  <c r="J90" i="10"/>
  <c r="J273" i="10"/>
  <c r="J249" i="10"/>
  <c r="J211" i="10"/>
  <c r="J205" i="10"/>
  <c r="J201" i="10"/>
  <c r="J171" i="10"/>
  <c r="J163" i="10"/>
  <c r="J155" i="10"/>
  <c r="J147" i="10"/>
  <c r="J139" i="10"/>
  <c r="J131" i="10"/>
  <c r="J123" i="10"/>
  <c r="J115" i="10"/>
  <c r="J107" i="10"/>
  <c r="J99" i="10"/>
  <c r="J91" i="10"/>
  <c r="J83" i="10"/>
  <c r="J297" i="10"/>
  <c r="J219" i="10"/>
  <c r="J213" i="10"/>
  <c r="J209" i="10"/>
  <c r="J172" i="10"/>
  <c r="J164" i="10"/>
  <c r="J156" i="10"/>
  <c r="J148" i="10"/>
  <c r="J140" i="10"/>
  <c r="J132" i="10"/>
  <c r="J124" i="10"/>
  <c r="J116" i="10"/>
  <c r="J108" i="10"/>
  <c r="J100" i="10"/>
  <c r="J92" i="10"/>
  <c r="J84" i="10"/>
  <c r="J281" i="10"/>
  <c r="J235" i="10"/>
  <c r="J229" i="10"/>
  <c r="J225" i="10"/>
  <c r="J174" i="10"/>
  <c r="J166" i="10"/>
  <c r="J158" i="10"/>
  <c r="J150" i="10"/>
  <c r="J142" i="10"/>
  <c r="J134" i="10"/>
  <c r="J126" i="10"/>
  <c r="J118" i="10"/>
  <c r="J110" i="10"/>
  <c r="J102" i="10"/>
  <c r="J94" i="10"/>
  <c r="J86" i="10"/>
  <c r="J157" i="10"/>
  <c r="J93" i="10"/>
  <c r="J68" i="10"/>
  <c r="J60" i="10"/>
  <c r="J52" i="10"/>
  <c r="J44" i="10"/>
  <c r="J36" i="10"/>
  <c r="J28" i="10"/>
  <c r="J20" i="10"/>
  <c r="J12" i="10"/>
  <c r="J173" i="10"/>
  <c r="J74" i="10"/>
  <c r="J217" i="10"/>
  <c r="J117" i="10"/>
  <c r="J76" i="10"/>
  <c r="J69" i="10"/>
  <c r="J61" i="10"/>
  <c r="J53" i="10"/>
  <c r="J45" i="10"/>
  <c r="J37" i="10"/>
  <c r="J29" i="10"/>
  <c r="J21" i="10"/>
  <c r="J13" i="10"/>
  <c r="J257" i="10"/>
  <c r="J227" i="10"/>
  <c r="J141" i="10"/>
  <c r="J70" i="10"/>
  <c r="J62" i="10"/>
  <c r="J54" i="10"/>
  <c r="J46" i="10"/>
  <c r="J38" i="10"/>
  <c r="J30" i="10"/>
  <c r="J22" i="10"/>
  <c r="J14" i="10"/>
  <c r="J165" i="10"/>
  <c r="J101" i="10"/>
  <c r="J71" i="10"/>
  <c r="J63" i="10"/>
  <c r="J55" i="10"/>
  <c r="J47" i="10"/>
  <c r="J39" i="10"/>
  <c r="J31" i="10"/>
  <c r="J23" i="10"/>
  <c r="J15" i="10"/>
  <c r="J18" i="10"/>
  <c r="J125" i="10"/>
  <c r="J77" i="10"/>
  <c r="J72" i="10"/>
  <c r="J64" i="10"/>
  <c r="J56" i="10"/>
  <c r="J48" i="10"/>
  <c r="J40" i="10"/>
  <c r="J32" i="10"/>
  <c r="J24" i="10"/>
  <c r="J16" i="10"/>
  <c r="J26" i="10"/>
  <c r="J149" i="10"/>
  <c r="J85" i="10"/>
  <c r="J73" i="10"/>
  <c r="J65" i="10"/>
  <c r="J57" i="10"/>
  <c r="J49" i="10"/>
  <c r="J41" i="10"/>
  <c r="J33" i="10"/>
  <c r="J25" i="10"/>
  <c r="J17" i="10"/>
  <c r="Q7" i="10"/>
  <c r="J58" i="10"/>
  <c r="J42" i="10"/>
  <c r="J34" i="10"/>
  <c r="J221" i="10"/>
  <c r="J133" i="10"/>
  <c r="J82" i="10"/>
  <c r="J78" i="10"/>
  <c r="J75" i="10"/>
  <c r="J67" i="10"/>
  <c r="J59" i="10"/>
  <c r="J51" i="10"/>
  <c r="J43" i="10"/>
  <c r="J35" i="10"/>
  <c r="J27" i="10"/>
  <c r="J19" i="10"/>
  <c r="J11" i="10"/>
  <c r="Q5" i="10"/>
  <c r="Q6" i="10" s="1"/>
  <c r="J109" i="10"/>
  <c r="J66" i="10"/>
  <c r="J50" i="10"/>
  <c r="G16" i="10"/>
  <c r="G24" i="10"/>
  <c r="G32" i="10"/>
  <c r="G40" i="10"/>
  <c r="G48" i="10"/>
  <c r="G56" i="10"/>
  <c r="G64" i="10"/>
  <c r="G72" i="10"/>
  <c r="G106" i="10"/>
  <c r="G170" i="10"/>
  <c r="G240" i="10"/>
  <c r="G14" i="10"/>
  <c r="G22" i="10"/>
  <c r="G30" i="10"/>
  <c r="G38" i="10"/>
  <c r="G46" i="10"/>
  <c r="G54" i="10"/>
  <c r="G62" i="10"/>
  <c r="G70" i="10"/>
  <c r="G122" i="10"/>
  <c r="Q8" i="10"/>
  <c r="G13" i="10"/>
  <c r="G21" i="10"/>
  <c r="G29" i="10"/>
  <c r="G37" i="10"/>
  <c r="G45" i="10"/>
  <c r="G53" i="10"/>
  <c r="G61" i="10"/>
  <c r="G69" i="10"/>
  <c r="G98" i="10"/>
  <c r="G162" i="10"/>
  <c r="Q9" i="10"/>
  <c r="G12" i="10"/>
  <c r="G20" i="10"/>
  <c r="G28" i="10"/>
  <c r="G36" i="10"/>
  <c r="G44" i="10"/>
  <c r="G52" i="10"/>
  <c r="G60" i="10"/>
  <c r="G68" i="10"/>
  <c r="G79" i="10"/>
  <c r="G138" i="10"/>
  <c r="G11" i="10"/>
  <c r="G19" i="10"/>
  <c r="G27" i="10"/>
  <c r="G35" i="10"/>
  <c r="G43" i="10"/>
  <c r="G51" i="10"/>
  <c r="G59" i="10"/>
  <c r="G67" i="10"/>
  <c r="G75" i="10"/>
  <c r="G114" i="10"/>
  <c r="G303" i="10"/>
  <c r="G295" i="10"/>
  <c r="G287" i="10"/>
  <c r="G279" i="10"/>
  <c r="G271" i="10"/>
  <c r="G263" i="10"/>
  <c r="G255" i="10"/>
  <c r="G247" i="10"/>
  <c r="G239" i="10"/>
  <c r="G231" i="10"/>
  <c r="G223" i="10"/>
  <c r="G215" i="10"/>
  <c r="G207" i="10"/>
  <c r="G199" i="10"/>
  <c r="G191" i="10"/>
  <c r="G183" i="10"/>
  <c r="G175" i="10"/>
  <c r="G304" i="10"/>
  <c r="G296" i="10"/>
  <c r="G288" i="10"/>
  <c r="G280" i="10"/>
  <c r="G272" i="10"/>
  <c r="G264" i="10"/>
  <c r="G256" i="10"/>
  <c r="G248" i="10"/>
  <c r="G305" i="10"/>
  <c r="G297" i="10"/>
  <c r="G289" i="10"/>
  <c r="G281" i="10"/>
  <c r="G273" i="10"/>
  <c r="G265" i="10"/>
  <c r="G257" i="10"/>
  <c r="G249" i="10"/>
  <c r="G241" i="10"/>
  <c r="G233" i="10"/>
  <c r="G225" i="10"/>
  <c r="G217" i="10"/>
  <c r="G209" i="10"/>
  <c r="G201" i="10"/>
  <c r="G193" i="10"/>
  <c r="G185" i="10"/>
  <c r="G306" i="10"/>
  <c r="G298" i="10"/>
  <c r="G290" i="10"/>
  <c r="G282" i="10"/>
  <c r="G274" i="10"/>
  <c r="G266" i="10"/>
  <c r="G258" i="10"/>
  <c r="G307" i="10"/>
  <c r="G299" i="10"/>
  <c r="G291" i="10"/>
  <c r="G283" i="10"/>
  <c r="G275" i="10"/>
  <c r="G267" i="10"/>
  <c r="G259" i="10"/>
  <c r="G251" i="10"/>
  <c r="G243" i="10"/>
  <c r="G235" i="10"/>
  <c r="G227" i="10"/>
  <c r="G219" i="10"/>
  <c r="G211" i="10"/>
  <c r="G203" i="10"/>
  <c r="G195" i="10"/>
  <c r="G187" i="10"/>
  <c r="G179" i="10"/>
  <c r="G308" i="10"/>
  <c r="G300" i="10"/>
  <c r="G292" i="10"/>
  <c r="G284" i="10"/>
  <c r="G276" i="10"/>
  <c r="G268" i="10"/>
  <c r="G260" i="10"/>
  <c r="G252" i="10"/>
  <c r="G244" i="10"/>
  <c r="G236" i="10"/>
  <c r="G228" i="10"/>
  <c r="G220" i="10"/>
  <c r="G212" i="10"/>
  <c r="G204" i="10"/>
  <c r="G196" i="10"/>
  <c r="G188" i="10"/>
  <c r="G180" i="10"/>
  <c r="G301" i="10"/>
  <c r="G293" i="10"/>
  <c r="G285" i="10"/>
  <c r="G277" i="10"/>
  <c r="G269" i="10"/>
  <c r="G261" i="10"/>
  <c r="G253" i="10"/>
  <c r="G245" i="10"/>
  <c r="G237" i="10"/>
  <c r="G229" i="10"/>
  <c r="G221" i="10"/>
  <c r="G213" i="10"/>
  <c r="G205" i="10"/>
  <c r="G197" i="10"/>
  <c r="G189" i="10"/>
  <c r="G181" i="10"/>
  <c r="G278" i="10"/>
  <c r="G198" i="10"/>
  <c r="G194" i="10"/>
  <c r="G192" i="10"/>
  <c r="G172" i="10"/>
  <c r="G164" i="10"/>
  <c r="G156" i="10"/>
  <c r="G148" i="10"/>
  <c r="G140" i="10"/>
  <c r="G132" i="10"/>
  <c r="G124" i="10"/>
  <c r="G116" i="10"/>
  <c r="G108" i="10"/>
  <c r="G100" i="10"/>
  <c r="G92" i="10"/>
  <c r="G84" i="10"/>
  <c r="G76" i="10"/>
  <c r="G302" i="10"/>
  <c r="G250" i="10"/>
  <c r="G206" i="10"/>
  <c r="G202" i="10"/>
  <c r="G200" i="10"/>
  <c r="G173" i="10"/>
  <c r="G165" i="10"/>
  <c r="G157" i="10"/>
  <c r="G149" i="10"/>
  <c r="G141" i="10"/>
  <c r="G133" i="10"/>
  <c r="G125" i="10"/>
  <c r="G117" i="10"/>
  <c r="G109" i="10"/>
  <c r="G101" i="10"/>
  <c r="G93" i="10"/>
  <c r="G85" i="10"/>
  <c r="G77" i="10"/>
  <c r="G262" i="10"/>
  <c r="G214" i="10"/>
  <c r="G210" i="10"/>
  <c r="G208" i="10"/>
  <c r="G174" i="10"/>
  <c r="G166" i="10"/>
  <c r="G158" i="10"/>
  <c r="G150" i="10"/>
  <c r="G142" i="10"/>
  <c r="G134" i="10"/>
  <c r="G126" i="10"/>
  <c r="G118" i="10"/>
  <c r="G110" i="10"/>
  <c r="G102" i="10"/>
  <c r="G94" i="10"/>
  <c r="G86" i="10"/>
  <c r="G286" i="10"/>
  <c r="G222" i="10"/>
  <c r="G218" i="10"/>
  <c r="G216" i="10"/>
  <c r="G177" i="10"/>
  <c r="G167" i="10"/>
  <c r="G159" i="10"/>
  <c r="G151" i="10"/>
  <c r="G143" i="10"/>
  <c r="G135" i="10"/>
  <c r="G127" i="10"/>
  <c r="G119" i="10"/>
  <c r="G111" i="10"/>
  <c r="G103" i="10"/>
  <c r="G95" i="10"/>
  <c r="G87" i="10"/>
  <c r="G230" i="10"/>
  <c r="G226" i="10"/>
  <c r="G224" i="10"/>
  <c r="G168" i="10"/>
  <c r="G160" i="10"/>
  <c r="G152" i="10"/>
  <c r="G144" i="10"/>
  <c r="G136" i="10"/>
  <c r="G128" i="10"/>
  <c r="G120" i="10"/>
  <c r="G112" i="10"/>
  <c r="G104" i="10"/>
  <c r="G96" i="10"/>
  <c r="G88" i="10"/>
  <c r="G80" i="10"/>
  <c r="G270" i="10"/>
  <c r="G238" i="10"/>
  <c r="G234" i="10"/>
  <c r="G232" i="10"/>
  <c r="G169" i="10"/>
  <c r="G161" i="10"/>
  <c r="G153" i="10"/>
  <c r="G145" i="10"/>
  <c r="G137" i="10"/>
  <c r="G129" i="10"/>
  <c r="G121" i="10"/>
  <c r="G113" i="10"/>
  <c r="G105" i="10"/>
  <c r="G97" i="10"/>
  <c r="G89" i="10"/>
  <c r="G81" i="10"/>
  <c r="G254" i="10"/>
  <c r="G190" i="10"/>
  <c r="G186" i="10"/>
  <c r="G184" i="10"/>
  <c r="G176" i="10"/>
  <c r="G171" i="10"/>
  <c r="G163" i="10"/>
  <c r="G155" i="10"/>
  <c r="G147" i="10"/>
  <c r="G139" i="10"/>
  <c r="G131" i="10"/>
  <c r="G123" i="10"/>
  <c r="G115" i="10"/>
  <c r="G107" i="10"/>
  <c r="G99" i="10"/>
  <c r="G91" i="10"/>
  <c r="G83" i="10"/>
  <c r="G18" i="10"/>
  <c r="G26" i="10"/>
  <c r="G34" i="10"/>
  <c r="G42" i="10"/>
  <c r="G50" i="10"/>
  <c r="G58" i="10"/>
  <c r="G66" i="10"/>
  <c r="G74" i="10"/>
  <c r="G90" i="10"/>
  <c r="G154" i="10"/>
  <c r="G178" i="10"/>
  <c r="G246" i="10"/>
  <c r="G17" i="10"/>
  <c r="G25" i="10"/>
  <c r="G33" i="10"/>
  <c r="G41" i="10"/>
  <c r="G49" i="10"/>
  <c r="G57" i="10"/>
  <c r="G65" i="10"/>
  <c r="G73" i="10"/>
  <c r="G78" i="10"/>
  <c r="G82" i="10"/>
  <c r="G130" i="10"/>
  <c r="G182" i="10"/>
  <c r="G307" i="9"/>
  <c r="G308" i="9"/>
  <c r="G300" i="9"/>
  <c r="G292" i="9"/>
  <c r="G284" i="9"/>
  <c r="G276" i="9"/>
  <c r="G268" i="9"/>
  <c r="G260" i="9"/>
  <c r="G252" i="9"/>
  <c r="G244" i="9"/>
  <c r="G236" i="9"/>
  <c r="G228" i="9"/>
  <c r="G220" i="9"/>
  <c r="G212" i="9"/>
  <c r="G204" i="9"/>
  <c r="G196" i="9"/>
  <c r="G188" i="9"/>
  <c r="G180" i="9"/>
  <c r="G301" i="9"/>
  <c r="G293" i="9"/>
  <c r="G285" i="9"/>
  <c r="G277" i="9"/>
  <c r="G269" i="9"/>
  <c r="G261" i="9"/>
  <c r="G253" i="9"/>
  <c r="G245" i="9"/>
  <c r="G237" i="9"/>
  <c r="G229" i="9"/>
  <c r="G221" i="9"/>
  <c r="G213" i="9"/>
  <c r="G205" i="9"/>
  <c r="G197" i="9"/>
  <c r="G189" i="9"/>
  <c r="G181" i="9"/>
  <c r="G173" i="9"/>
  <c r="G302" i="9"/>
  <c r="G294" i="9"/>
  <c r="G286" i="9"/>
  <c r="G278" i="9"/>
  <c r="G270" i="9"/>
  <c r="G262" i="9"/>
  <c r="G254" i="9"/>
  <c r="G246" i="9"/>
  <c r="G238" i="9"/>
  <c r="G230" i="9"/>
  <c r="G222" i="9"/>
  <c r="G214" i="9"/>
  <c r="G206" i="9"/>
  <c r="G198" i="9"/>
  <c r="G190" i="9"/>
  <c r="G182" i="9"/>
  <c r="G174" i="9"/>
  <c r="G296" i="9"/>
  <c r="G290" i="9"/>
  <c r="G265" i="9"/>
  <c r="G263" i="9"/>
  <c r="G243" i="9"/>
  <c r="G232" i="9"/>
  <c r="G226" i="9"/>
  <c r="G201" i="9"/>
  <c r="G199" i="9"/>
  <c r="G179" i="9"/>
  <c r="G166" i="9"/>
  <c r="G158" i="9"/>
  <c r="G150" i="9"/>
  <c r="G299" i="9"/>
  <c r="G288" i="9"/>
  <c r="G282" i="9"/>
  <c r="G257" i="9"/>
  <c r="G255" i="9"/>
  <c r="G235" i="9"/>
  <c r="G224" i="9"/>
  <c r="G218" i="9"/>
  <c r="G193" i="9"/>
  <c r="G191" i="9"/>
  <c r="G167" i="9"/>
  <c r="G159" i="9"/>
  <c r="G151" i="9"/>
  <c r="G143" i="9"/>
  <c r="G135" i="9"/>
  <c r="G127" i="9"/>
  <c r="G291" i="9"/>
  <c r="G280" i="9"/>
  <c r="G274" i="9"/>
  <c r="G249" i="9"/>
  <c r="G247" i="9"/>
  <c r="G227" i="9"/>
  <c r="G216" i="9"/>
  <c r="G210" i="9"/>
  <c r="G185" i="9"/>
  <c r="G183" i="9"/>
  <c r="G168" i="9"/>
  <c r="G160" i="9"/>
  <c r="G152" i="9"/>
  <c r="G305" i="9"/>
  <c r="G303" i="9"/>
  <c r="G283" i="9"/>
  <c r="G272" i="9"/>
  <c r="G266" i="9"/>
  <c r="G241" i="9"/>
  <c r="G239" i="9"/>
  <c r="G219" i="9"/>
  <c r="G208" i="9"/>
  <c r="G202" i="9"/>
  <c r="G177" i="9"/>
  <c r="G169" i="9"/>
  <c r="G161" i="9"/>
  <c r="G153" i="9"/>
  <c r="G145" i="9"/>
  <c r="G137" i="9"/>
  <c r="G297" i="9"/>
  <c r="G295" i="9"/>
  <c r="G275" i="9"/>
  <c r="G264" i="9"/>
  <c r="G258" i="9"/>
  <c r="G233" i="9"/>
  <c r="G231" i="9"/>
  <c r="G211" i="9"/>
  <c r="G200" i="9"/>
  <c r="G194" i="9"/>
  <c r="G175" i="9"/>
  <c r="G170" i="9"/>
  <c r="G162" i="9"/>
  <c r="G154" i="9"/>
  <c r="G146" i="9"/>
  <c r="G138" i="9"/>
  <c r="G289" i="9"/>
  <c r="G287" i="9"/>
  <c r="G267" i="9"/>
  <c r="G256" i="9"/>
  <c r="G250" i="9"/>
  <c r="G225" i="9"/>
  <c r="G223" i="9"/>
  <c r="G203" i="9"/>
  <c r="G192" i="9"/>
  <c r="G186" i="9"/>
  <c r="G171" i="9"/>
  <c r="G163" i="9"/>
  <c r="G155" i="9"/>
  <c r="G147" i="9"/>
  <c r="G139" i="9"/>
  <c r="G131" i="9"/>
  <c r="G123" i="9"/>
  <c r="G306" i="9"/>
  <c r="G281" i="9"/>
  <c r="G279" i="9"/>
  <c r="G259" i="9"/>
  <c r="G248" i="9"/>
  <c r="G242" i="9"/>
  <c r="G217" i="9"/>
  <c r="G215" i="9"/>
  <c r="G195" i="9"/>
  <c r="G184" i="9"/>
  <c r="G178" i="9"/>
  <c r="G172" i="9"/>
  <c r="G164" i="9"/>
  <c r="G156" i="9"/>
  <c r="G148" i="9"/>
  <c r="G140" i="9"/>
  <c r="G132" i="9"/>
  <c r="G124" i="9"/>
  <c r="G126" i="9"/>
  <c r="G115" i="9"/>
  <c r="G107" i="9"/>
  <c r="G99" i="9"/>
  <c r="G91" i="9"/>
  <c r="G83" i="9"/>
  <c r="G75" i="9"/>
  <c r="G67" i="9"/>
  <c r="G59" i="9"/>
  <c r="G51" i="9"/>
  <c r="G43" i="9"/>
  <c r="G35" i="9"/>
  <c r="G27" i="9"/>
  <c r="G19" i="9"/>
  <c r="G165" i="9"/>
  <c r="G116" i="9"/>
  <c r="G108" i="9"/>
  <c r="G100" i="9"/>
  <c r="G92" i="9"/>
  <c r="G84" i="9"/>
  <c r="G76" i="9"/>
  <c r="G68" i="9"/>
  <c r="G60" i="9"/>
  <c r="G52" i="9"/>
  <c r="G44" i="9"/>
  <c r="G36" i="9"/>
  <c r="G28" i="9"/>
  <c r="G20" i="9"/>
  <c r="G304" i="9"/>
  <c r="G298" i="9"/>
  <c r="G271" i="9"/>
  <c r="G251" i="9"/>
  <c r="G141" i="9"/>
  <c r="G129" i="9"/>
  <c r="G117" i="9"/>
  <c r="G109" i="9"/>
  <c r="G101" i="9"/>
  <c r="G93" i="9"/>
  <c r="G85" i="9"/>
  <c r="G77" i="9"/>
  <c r="G69" i="9"/>
  <c r="G61" i="9"/>
  <c r="G53" i="9"/>
  <c r="G45" i="9"/>
  <c r="G37" i="9"/>
  <c r="G29" i="9"/>
  <c r="G21" i="9"/>
  <c r="G240" i="9"/>
  <c r="G234" i="9"/>
  <c r="G207" i="9"/>
  <c r="G187" i="9"/>
  <c r="G149" i="9"/>
  <c r="G118" i="9"/>
  <c r="G110" i="9"/>
  <c r="G102" i="9"/>
  <c r="G94" i="9"/>
  <c r="G86" i="9"/>
  <c r="G78" i="9"/>
  <c r="G70" i="9"/>
  <c r="G62" i="9"/>
  <c r="G54" i="9"/>
  <c r="G46" i="9"/>
  <c r="G38" i="9"/>
  <c r="G30" i="9"/>
  <c r="G22" i="9"/>
  <c r="G176" i="9"/>
  <c r="G133" i="9"/>
  <c r="G130" i="9"/>
  <c r="G119" i="9"/>
  <c r="G111" i="9"/>
  <c r="G103" i="9"/>
  <c r="G95" i="9"/>
  <c r="G87" i="9"/>
  <c r="G79" i="9"/>
  <c r="G71" i="9"/>
  <c r="G63" i="9"/>
  <c r="G55" i="9"/>
  <c r="G47" i="9"/>
  <c r="G39" i="9"/>
  <c r="G31" i="9"/>
  <c r="G23" i="9"/>
  <c r="G273" i="9"/>
  <c r="G125" i="9"/>
  <c r="G120" i="9"/>
  <c r="G112" i="9"/>
  <c r="G104" i="9"/>
  <c r="G96" i="9"/>
  <c r="G88" i="9"/>
  <c r="G80" i="9"/>
  <c r="G72" i="9"/>
  <c r="G64" i="9"/>
  <c r="G56" i="9"/>
  <c r="G48" i="9"/>
  <c r="G40" i="9"/>
  <c r="G32" i="9"/>
  <c r="G24" i="9"/>
  <c r="G144" i="9"/>
  <c r="G142" i="9"/>
  <c r="G134" i="9"/>
  <c r="G128" i="9"/>
  <c r="G122" i="9"/>
  <c r="G114" i="9"/>
  <c r="G106" i="9"/>
  <c r="G98" i="9"/>
  <c r="G90" i="9"/>
  <c r="G82" i="9"/>
  <c r="G74" i="9"/>
  <c r="G66" i="9"/>
  <c r="G58" i="9"/>
  <c r="G50" i="9"/>
  <c r="G42" i="9"/>
  <c r="G34" i="9"/>
  <c r="G26" i="9"/>
  <c r="G18" i="9"/>
  <c r="J12" i="9"/>
  <c r="G16" i="9"/>
  <c r="G33" i="9"/>
  <c r="G97" i="9"/>
  <c r="J303" i="9"/>
  <c r="J295" i="9"/>
  <c r="J287" i="9"/>
  <c r="J279" i="9"/>
  <c r="J271" i="9"/>
  <c r="J263" i="9"/>
  <c r="J255" i="9"/>
  <c r="J247" i="9"/>
  <c r="J239" i="9"/>
  <c r="J231" i="9"/>
  <c r="J223" i="9"/>
  <c r="J215" i="9"/>
  <c r="J207" i="9"/>
  <c r="J199" i="9"/>
  <c r="J191" i="9"/>
  <c r="J183" i="9"/>
  <c r="J304" i="9"/>
  <c r="J296" i="9"/>
  <c r="J288" i="9"/>
  <c r="J280" i="9"/>
  <c r="J272" i="9"/>
  <c r="J264" i="9"/>
  <c r="J256" i="9"/>
  <c r="J248" i="9"/>
  <c r="J240" i="9"/>
  <c r="J232" i="9"/>
  <c r="J224" i="9"/>
  <c r="J216" i="9"/>
  <c r="J208" i="9"/>
  <c r="J200" i="9"/>
  <c r="J192" i="9"/>
  <c r="J184" i="9"/>
  <c r="J176" i="9"/>
  <c r="J305" i="9"/>
  <c r="J297" i="9"/>
  <c r="J289" i="9"/>
  <c r="J281" i="9"/>
  <c r="J273" i="9"/>
  <c r="J265" i="9"/>
  <c r="J257" i="9"/>
  <c r="J249" i="9"/>
  <c r="J241" i="9"/>
  <c r="J233" i="9"/>
  <c r="J225" i="9"/>
  <c r="J217" i="9"/>
  <c r="J209" i="9"/>
  <c r="J201" i="9"/>
  <c r="J193" i="9"/>
  <c r="J185" i="9"/>
  <c r="J177" i="9"/>
  <c r="J300" i="9"/>
  <c r="J294" i="9"/>
  <c r="J283" i="9"/>
  <c r="J266" i="9"/>
  <c r="J261" i="9"/>
  <c r="J236" i="9"/>
  <c r="J230" i="9"/>
  <c r="J219" i="9"/>
  <c r="J202" i="9"/>
  <c r="J197" i="9"/>
  <c r="J174" i="9"/>
  <c r="J169" i="9"/>
  <c r="J161" i="9"/>
  <c r="J153" i="9"/>
  <c r="J292" i="9"/>
  <c r="J286" i="9"/>
  <c r="J275" i="9"/>
  <c r="J258" i="9"/>
  <c r="J253" i="9"/>
  <c r="J228" i="9"/>
  <c r="J222" i="9"/>
  <c r="J211" i="9"/>
  <c r="J194" i="9"/>
  <c r="J189" i="9"/>
  <c r="J170" i="9"/>
  <c r="J162" i="9"/>
  <c r="J154" i="9"/>
  <c r="J146" i="9"/>
  <c r="J138" i="9"/>
  <c r="J130" i="9"/>
  <c r="J308" i="9"/>
  <c r="J284" i="9"/>
  <c r="J278" i="9"/>
  <c r="J267" i="9"/>
  <c r="J250" i="9"/>
  <c r="J245" i="9"/>
  <c r="J220" i="9"/>
  <c r="J214" i="9"/>
  <c r="J203" i="9"/>
  <c r="J186" i="9"/>
  <c r="J181" i="9"/>
  <c r="J171" i="9"/>
  <c r="J163" i="9"/>
  <c r="J155" i="9"/>
  <c r="J306" i="9"/>
  <c r="J301" i="9"/>
  <c r="J276" i="9"/>
  <c r="J270" i="9"/>
  <c r="J259" i="9"/>
  <c r="J242" i="9"/>
  <c r="J237" i="9"/>
  <c r="J212" i="9"/>
  <c r="J206" i="9"/>
  <c r="J195" i="9"/>
  <c r="J178" i="9"/>
  <c r="J175" i="9"/>
  <c r="J172" i="9"/>
  <c r="J164" i="9"/>
  <c r="J156" i="9"/>
  <c r="J148" i="9"/>
  <c r="J140" i="9"/>
  <c r="J298" i="9"/>
  <c r="J293" i="9"/>
  <c r="J268" i="9"/>
  <c r="J262" i="9"/>
  <c r="J251" i="9"/>
  <c r="J234" i="9"/>
  <c r="J229" i="9"/>
  <c r="J204" i="9"/>
  <c r="J198" i="9"/>
  <c r="J187" i="9"/>
  <c r="J165" i="9"/>
  <c r="J157" i="9"/>
  <c r="J149" i="9"/>
  <c r="J141" i="9"/>
  <c r="J290" i="9"/>
  <c r="J285" i="9"/>
  <c r="J260" i="9"/>
  <c r="J254" i="9"/>
  <c r="J243" i="9"/>
  <c r="J226" i="9"/>
  <c r="J221" i="9"/>
  <c r="J196" i="9"/>
  <c r="J190" i="9"/>
  <c r="J179" i="9"/>
  <c r="J173" i="9"/>
  <c r="J166" i="9"/>
  <c r="J158" i="9"/>
  <c r="J150" i="9"/>
  <c r="J142" i="9"/>
  <c r="J134" i="9"/>
  <c r="J126" i="9"/>
  <c r="J307" i="9"/>
  <c r="J299" i="9"/>
  <c r="J282" i="9"/>
  <c r="J277" i="9"/>
  <c r="J252" i="9"/>
  <c r="J246" i="9"/>
  <c r="J235" i="9"/>
  <c r="J218" i="9"/>
  <c r="J213" i="9"/>
  <c r="J188" i="9"/>
  <c r="J182" i="9"/>
  <c r="J167" i="9"/>
  <c r="J159" i="9"/>
  <c r="J151" i="9"/>
  <c r="J143" i="9"/>
  <c r="J135" i="9"/>
  <c r="J127" i="9"/>
  <c r="J238" i="9"/>
  <c r="J205" i="9"/>
  <c r="J168" i="9"/>
  <c r="J139" i="9"/>
  <c r="J137" i="9"/>
  <c r="J132" i="9"/>
  <c r="J129" i="9"/>
  <c r="J118" i="9"/>
  <c r="J110" i="9"/>
  <c r="J102" i="9"/>
  <c r="J94" i="9"/>
  <c r="J86" i="9"/>
  <c r="J78" i="9"/>
  <c r="J70" i="9"/>
  <c r="J62" i="9"/>
  <c r="J54" i="9"/>
  <c r="J46" i="9"/>
  <c r="J38" i="9"/>
  <c r="J30" i="9"/>
  <c r="J22" i="9"/>
  <c r="J244" i="9"/>
  <c r="J147" i="9"/>
  <c r="J145" i="9"/>
  <c r="J124" i="9"/>
  <c r="J119" i="9"/>
  <c r="J111" i="9"/>
  <c r="J103" i="9"/>
  <c r="J95" i="9"/>
  <c r="J87" i="9"/>
  <c r="J79" i="9"/>
  <c r="J71" i="9"/>
  <c r="J63" i="9"/>
  <c r="J55" i="9"/>
  <c r="J47" i="9"/>
  <c r="J39" i="9"/>
  <c r="J31" i="9"/>
  <c r="J23" i="9"/>
  <c r="J15" i="9"/>
  <c r="J274" i="9"/>
  <c r="J180" i="9"/>
  <c r="J152" i="9"/>
  <c r="J120" i="9"/>
  <c r="J112" i="9"/>
  <c r="J104" i="9"/>
  <c r="J96" i="9"/>
  <c r="J88" i="9"/>
  <c r="J80" i="9"/>
  <c r="J72" i="9"/>
  <c r="J64" i="9"/>
  <c r="J56" i="9"/>
  <c r="J48" i="9"/>
  <c r="J40" i="9"/>
  <c r="J32" i="9"/>
  <c r="J24" i="9"/>
  <c r="J16" i="9"/>
  <c r="J291" i="9"/>
  <c r="J210" i="9"/>
  <c r="J133" i="9"/>
  <c r="J121" i="9"/>
  <c r="J113" i="9"/>
  <c r="J105" i="9"/>
  <c r="J97" i="9"/>
  <c r="J89" i="9"/>
  <c r="J81" i="9"/>
  <c r="J73" i="9"/>
  <c r="J65" i="9"/>
  <c r="J57" i="9"/>
  <c r="J49" i="9"/>
  <c r="J41" i="9"/>
  <c r="J33" i="9"/>
  <c r="J25" i="9"/>
  <c r="J227" i="9"/>
  <c r="J136" i="9"/>
  <c r="J131" i="9"/>
  <c r="J125" i="9"/>
  <c r="J122" i="9"/>
  <c r="J114" i="9"/>
  <c r="J106" i="9"/>
  <c r="J98" i="9"/>
  <c r="J90" i="9"/>
  <c r="J82" i="9"/>
  <c r="J74" i="9"/>
  <c r="J66" i="9"/>
  <c r="J58" i="9"/>
  <c r="J50" i="9"/>
  <c r="J42" i="9"/>
  <c r="J34" i="9"/>
  <c r="J26" i="9"/>
  <c r="J18" i="9"/>
  <c r="J160" i="9"/>
  <c r="J144" i="9"/>
  <c r="J128" i="9"/>
  <c r="J115" i="9"/>
  <c r="J107" i="9"/>
  <c r="J99" i="9"/>
  <c r="J91" i="9"/>
  <c r="J83" i="9"/>
  <c r="J75" i="9"/>
  <c r="J67" i="9"/>
  <c r="J59" i="9"/>
  <c r="J51" i="9"/>
  <c r="J43" i="9"/>
  <c r="J35" i="9"/>
  <c r="J27" i="9"/>
  <c r="J19" i="9"/>
  <c r="J302" i="9"/>
  <c r="J269" i="9"/>
  <c r="J117" i="9"/>
  <c r="J109" i="9"/>
  <c r="J101" i="9"/>
  <c r="J93" i="9"/>
  <c r="J85" i="9"/>
  <c r="J77" i="9"/>
  <c r="J69" i="9"/>
  <c r="J61" i="9"/>
  <c r="J53" i="9"/>
  <c r="J45" i="9"/>
  <c r="J37" i="9"/>
  <c r="J29" i="9"/>
  <c r="J21" i="9"/>
  <c r="G15" i="9"/>
  <c r="G49" i="9"/>
  <c r="J76" i="9"/>
  <c r="G113" i="9"/>
  <c r="G157" i="9"/>
  <c r="J36" i="9"/>
  <c r="Q5" i="9"/>
  <c r="J10" i="9"/>
  <c r="Q6" i="9"/>
  <c r="G14" i="9"/>
  <c r="G25" i="9"/>
  <c r="J52" i="9"/>
  <c r="G89" i="9"/>
  <c r="J116" i="9"/>
  <c r="J100" i="9"/>
  <c r="Q7" i="9"/>
  <c r="G13" i="9"/>
  <c r="G17" i="9"/>
  <c r="J28" i="9"/>
  <c r="G65" i="9"/>
  <c r="J92" i="9"/>
  <c r="G136" i="9"/>
  <c r="J11" i="9"/>
  <c r="G73" i="9"/>
  <c r="J17" i="9"/>
  <c r="G41" i="9"/>
  <c r="J68" i="9"/>
  <c r="G105" i="9"/>
  <c r="J123" i="9"/>
  <c r="Q8" i="9"/>
  <c r="G12" i="9"/>
  <c r="Q9" i="9"/>
  <c r="G11" i="9"/>
  <c r="J14" i="9"/>
  <c r="J44" i="9"/>
  <c r="G81" i="9"/>
  <c r="J108" i="9"/>
  <c r="G209" i="9"/>
  <c r="G10" i="9"/>
  <c r="J13" i="9"/>
  <c r="J20" i="9"/>
  <c r="G57" i="9"/>
  <c r="J84" i="9"/>
  <c r="G121" i="9"/>
  <c r="J267" i="14" l="1"/>
  <c r="J111" i="14"/>
  <c r="J278" i="14"/>
  <c r="J60" i="14"/>
  <c r="J120" i="14"/>
  <c r="J187" i="14"/>
  <c r="J160" i="14"/>
  <c r="J95" i="14"/>
  <c r="J282" i="14"/>
  <c r="J41" i="14"/>
  <c r="J248" i="14"/>
  <c r="J83" i="14"/>
  <c r="J61" i="14"/>
  <c r="J238" i="14"/>
  <c r="J15" i="14"/>
  <c r="J71" i="14"/>
  <c r="J48" i="14"/>
  <c r="J65" i="14"/>
  <c r="J170" i="14"/>
  <c r="J117" i="14"/>
  <c r="J284" i="14"/>
  <c r="J258" i="14"/>
  <c r="J214" i="14"/>
  <c r="J299" i="14"/>
  <c r="J38" i="14"/>
  <c r="J92" i="14"/>
  <c r="J257" i="14"/>
  <c r="J75" i="14"/>
  <c r="J142" i="14"/>
  <c r="J216" i="14"/>
  <c r="J179" i="14"/>
  <c r="J272" i="14"/>
  <c r="J302" i="14"/>
  <c r="J126" i="14"/>
  <c r="J268" i="14"/>
  <c r="J45" i="14"/>
  <c r="J162" i="14"/>
  <c r="J66" i="14"/>
  <c r="J97" i="14"/>
  <c r="J233" i="14"/>
  <c r="J183" i="14"/>
  <c r="J213" i="14"/>
  <c r="J188" i="14"/>
  <c r="J26" i="14"/>
  <c r="J76" i="14"/>
  <c r="J219" i="14"/>
  <c r="J90" i="14"/>
  <c r="J121" i="14"/>
  <c r="J276" i="14"/>
  <c r="J207" i="14"/>
  <c r="J237" i="14"/>
  <c r="J22" i="14"/>
  <c r="J10" i="14"/>
  <c r="J130" i="14"/>
  <c r="J176" i="14"/>
  <c r="J78" i="14"/>
  <c r="J138" i="14"/>
  <c r="J161" i="14"/>
  <c r="J194" i="14"/>
  <c r="J247" i="14"/>
  <c r="J277" i="14"/>
  <c r="J155" i="14"/>
  <c r="J24" i="14"/>
  <c r="J42" i="14"/>
  <c r="J12" i="14"/>
  <c r="J106" i="14"/>
  <c r="J227" i="14"/>
  <c r="J193" i="14"/>
  <c r="J218" i="14"/>
  <c r="J271" i="14"/>
  <c r="J301" i="14"/>
  <c r="J19" i="14"/>
  <c r="J108" i="14"/>
  <c r="J206" i="14"/>
  <c r="J124" i="14"/>
  <c r="Q5" i="14"/>
  <c r="J67" i="14"/>
  <c r="J180" i="14"/>
  <c r="J243" i="14"/>
  <c r="J127" i="14"/>
  <c r="J34" i="14"/>
  <c r="J174" i="14"/>
  <c r="J37" i="14"/>
  <c r="J159" i="14"/>
  <c r="J44" i="14"/>
  <c r="J33" i="14"/>
  <c r="J158" i="14"/>
  <c r="J70" i="14"/>
  <c r="J167" i="14"/>
  <c r="J93" i="14"/>
  <c r="J58" i="14"/>
  <c r="J135" i="14"/>
  <c r="J109" i="14"/>
  <c r="J173" i="14"/>
  <c r="J297" i="14"/>
  <c r="J153" i="14"/>
  <c r="J259" i="14"/>
  <c r="J152" i="14"/>
  <c r="J217" i="14"/>
  <c r="J186" i="14"/>
  <c r="J250" i="14"/>
  <c r="J240" i="14"/>
  <c r="J304" i="14"/>
  <c r="J239" i="14"/>
  <c r="J303" i="14"/>
  <c r="J270" i="14"/>
  <c r="J205" i="14"/>
  <c r="J269" i="14"/>
  <c r="J308" i="14"/>
  <c r="J47" i="14"/>
  <c r="J27" i="14"/>
  <c r="J11" i="14"/>
  <c r="J132" i="14"/>
  <c r="J14" i="14"/>
  <c r="J73" i="14"/>
  <c r="J32" i="14"/>
  <c r="Q7" i="14"/>
  <c r="J147" i="14"/>
  <c r="J52" i="14"/>
  <c r="J208" i="14"/>
  <c r="J51" i="14"/>
  <c r="J283" i="14"/>
  <c r="J84" i="14"/>
  <c r="J49" i="14"/>
  <c r="J164" i="14"/>
  <c r="J86" i="14"/>
  <c r="J236" i="14"/>
  <c r="J114" i="14"/>
  <c r="J74" i="14"/>
  <c r="J163" i="14"/>
  <c r="J125" i="14"/>
  <c r="J200" i="14"/>
  <c r="J105" i="14"/>
  <c r="J169" i="14"/>
  <c r="J104" i="14"/>
  <c r="J168" i="14"/>
  <c r="J241" i="14"/>
  <c r="J202" i="14"/>
  <c r="J266" i="14"/>
  <c r="J256" i="14"/>
  <c r="J191" i="14"/>
  <c r="J255" i="14"/>
  <c r="J222" i="14"/>
  <c r="J286" i="14"/>
  <c r="J221" i="14"/>
  <c r="J285" i="14"/>
  <c r="J307" i="14"/>
  <c r="J50" i="14"/>
  <c r="J30" i="14"/>
  <c r="J35" i="14"/>
  <c r="J151" i="14"/>
  <c r="J18" i="14"/>
  <c r="J81" i="14"/>
  <c r="J88" i="14"/>
  <c r="J23" i="14"/>
  <c r="J171" i="14"/>
  <c r="J56" i="14"/>
  <c r="J211" i="14"/>
  <c r="J57" i="14"/>
  <c r="J289" i="14"/>
  <c r="J87" i="14"/>
  <c r="J72" i="14"/>
  <c r="J172" i="14"/>
  <c r="J103" i="14"/>
  <c r="J53" i="14"/>
  <c r="J139" i="14"/>
  <c r="J82" i="14"/>
  <c r="J166" i="14"/>
  <c r="J133" i="14"/>
  <c r="J203" i="14"/>
  <c r="J113" i="14"/>
  <c r="J182" i="14"/>
  <c r="J112" i="14"/>
  <c r="J175" i="14"/>
  <c r="J251" i="14"/>
  <c r="J210" i="14"/>
  <c r="J274" i="14"/>
  <c r="J264" i="14"/>
  <c r="J199" i="14"/>
  <c r="J263" i="14"/>
  <c r="J230" i="14"/>
  <c r="J294" i="14"/>
  <c r="J229" i="14"/>
  <c r="J293" i="14"/>
  <c r="J39" i="14"/>
  <c r="J220" i="14"/>
  <c r="J91" i="14"/>
  <c r="J59" i="14"/>
  <c r="J235" i="14"/>
  <c r="J43" i="14"/>
  <c r="J118" i="14"/>
  <c r="J96" i="14"/>
  <c r="J40" i="14"/>
  <c r="J68" i="14"/>
  <c r="J64" i="14"/>
  <c r="J13" i="14"/>
  <c r="J79" i="14"/>
  <c r="J20" i="14"/>
  <c r="J123" i="14"/>
  <c r="J89" i="14"/>
  <c r="J225" i="14"/>
  <c r="J131" i="14"/>
  <c r="J69" i="14"/>
  <c r="J156" i="14"/>
  <c r="J99" i="14"/>
  <c r="J260" i="14"/>
  <c r="J149" i="14"/>
  <c r="J232" i="14"/>
  <c r="J129" i="14"/>
  <c r="J204" i="14"/>
  <c r="J128" i="14"/>
  <c r="J190" i="14"/>
  <c r="J291" i="14"/>
  <c r="J226" i="14"/>
  <c r="J290" i="14"/>
  <c r="J280" i="14"/>
  <c r="J215" i="14"/>
  <c r="J279" i="14"/>
  <c r="J246" i="14"/>
  <c r="J181" i="14"/>
  <c r="J245" i="14"/>
  <c r="J309" i="14"/>
  <c r="J192" i="14"/>
  <c r="J228" i="14"/>
  <c r="J140" i="14"/>
  <c r="J63" i="14"/>
  <c r="J265" i="14"/>
  <c r="J46" i="14"/>
  <c r="J184" i="14"/>
  <c r="J98" i="14"/>
  <c r="J94" i="14"/>
  <c r="J17" i="14"/>
  <c r="J80" i="14"/>
  <c r="J21" i="14"/>
  <c r="J115" i="14"/>
  <c r="J28" i="14"/>
  <c r="J198" i="14"/>
  <c r="J122" i="14"/>
  <c r="J54" i="14"/>
  <c r="J134" i="14"/>
  <c r="J77" i="14"/>
  <c r="J209" i="14"/>
  <c r="J102" i="14"/>
  <c r="J275" i="14"/>
  <c r="J157" i="14"/>
  <c r="J252" i="14"/>
  <c r="J137" i="14"/>
  <c r="J224" i="14"/>
  <c r="J136" i="14"/>
  <c r="J201" i="14"/>
  <c r="J305" i="14"/>
  <c r="J234" i="14"/>
  <c r="J298" i="14"/>
  <c r="J288" i="14"/>
  <c r="J223" i="14"/>
  <c r="J287" i="14"/>
  <c r="J254" i="14"/>
  <c r="J189" i="14"/>
  <c r="J253" i="14"/>
  <c r="J292" i="14"/>
  <c r="J16" i="14"/>
  <c r="J273" i="14"/>
  <c r="J143" i="14"/>
  <c r="J107" i="14"/>
  <c r="J185" i="14"/>
  <c r="J55" i="14"/>
  <c r="J196" i="14"/>
  <c r="J154" i="14"/>
  <c r="J110" i="14"/>
  <c r="J31" i="14"/>
  <c r="J150" i="14"/>
  <c r="J29" i="14"/>
  <c r="J119" i="14"/>
  <c r="J36" i="14"/>
  <c r="J25" i="14"/>
  <c r="J146" i="14"/>
  <c r="J62" i="14"/>
  <c r="J148" i="14"/>
  <c r="J85" i="14"/>
  <c r="J244" i="14"/>
  <c r="J116" i="14"/>
  <c r="J101" i="14"/>
  <c r="J165" i="14"/>
  <c r="J281" i="14"/>
  <c r="J145" i="14"/>
  <c r="J249" i="14"/>
  <c r="J144" i="14"/>
  <c r="J212" i="14"/>
  <c r="J178" i="14"/>
  <c r="J242" i="14"/>
  <c r="J306" i="14"/>
  <c r="J296" i="14"/>
  <c r="J231" i="14"/>
  <c r="J295" i="14"/>
  <c r="J262" i="14"/>
  <c r="J197" i="14"/>
  <c r="J261" i="14"/>
  <c r="I306" i="14"/>
  <c r="I298" i="14"/>
  <c r="I307" i="14"/>
  <c r="I299" i="14"/>
  <c r="I291" i="14"/>
  <c r="I308" i="14"/>
  <c r="I300" i="14"/>
  <c r="I292" i="14"/>
  <c r="I284" i="14"/>
  <c r="I276" i="14"/>
  <c r="I268" i="14"/>
  <c r="I260" i="14"/>
  <c r="I252" i="14"/>
  <c r="I244" i="14"/>
  <c r="I236" i="14"/>
  <c r="I228" i="14"/>
  <c r="I220" i="14"/>
  <c r="I212" i="14"/>
  <c r="I204" i="14"/>
  <c r="I196" i="14"/>
  <c r="I188" i="14"/>
  <c r="I180" i="14"/>
  <c r="I309" i="14"/>
  <c r="I301" i="14"/>
  <c r="I293" i="14"/>
  <c r="I285" i="14"/>
  <c r="I277" i="14"/>
  <c r="I269" i="14"/>
  <c r="I261" i="14"/>
  <c r="I253" i="14"/>
  <c r="I245" i="14"/>
  <c r="I237" i="14"/>
  <c r="I229" i="14"/>
  <c r="I221" i="14"/>
  <c r="I302" i="14"/>
  <c r="I294" i="14"/>
  <c r="I286" i="14"/>
  <c r="I278" i="14"/>
  <c r="I270" i="14"/>
  <c r="I262" i="14"/>
  <c r="I254" i="14"/>
  <c r="I246" i="14"/>
  <c r="I238" i="14"/>
  <c r="I230" i="14"/>
  <c r="I222" i="14"/>
  <c r="I214" i="14"/>
  <c r="I206" i="14"/>
  <c r="I198" i="14"/>
  <c r="I190" i="14"/>
  <c r="I182" i="14"/>
  <c r="I303" i="14"/>
  <c r="I295" i="14"/>
  <c r="I287" i="14"/>
  <c r="I279" i="14"/>
  <c r="I271" i="14"/>
  <c r="I263" i="14"/>
  <c r="I255" i="14"/>
  <c r="I247" i="14"/>
  <c r="I239" i="14"/>
  <c r="I305" i="14"/>
  <c r="I297" i="14"/>
  <c r="I289" i="14"/>
  <c r="I281" i="14"/>
  <c r="I273" i="14"/>
  <c r="I265" i="14"/>
  <c r="I257" i="14"/>
  <c r="I249" i="14"/>
  <c r="I241" i="14"/>
  <c r="I233" i="14"/>
  <c r="I225" i="14"/>
  <c r="I217" i="14"/>
  <c r="I209" i="14"/>
  <c r="I201" i="14"/>
  <c r="I193" i="14"/>
  <c r="I185" i="14"/>
  <c r="I177" i="14"/>
  <c r="I274" i="14"/>
  <c r="I264" i="14"/>
  <c r="I243" i="14"/>
  <c r="I187" i="14"/>
  <c r="I184" i="14"/>
  <c r="I167" i="14"/>
  <c r="I159" i="14"/>
  <c r="I151" i="14"/>
  <c r="I143" i="14"/>
  <c r="I135" i="14"/>
  <c r="I127" i="14"/>
  <c r="I119" i="14"/>
  <c r="I111" i="14"/>
  <c r="I103" i="14"/>
  <c r="I296" i="14"/>
  <c r="I282" i="14"/>
  <c r="I272" i="14"/>
  <c r="I251" i="14"/>
  <c r="I179" i="14"/>
  <c r="I175" i="14"/>
  <c r="I168" i="14"/>
  <c r="I160" i="14"/>
  <c r="I152" i="14"/>
  <c r="I144" i="14"/>
  <c r="I136" i="14"/>
  <c r="I128" i="14"/>
  <c r="I120" i="14"/>
  <c r="I112" i="14"/>
  <c r="I104" i="14"/>
  <c r="I96" i="14"/>
  <c r="I283" i="14"/>
  <c r="I250" i="14"/>
  <c r="I240" i="14"/>
  <c r="I211" i="14"/>
  <c r="I208" i="14"/>
  <c r="I197" i="14"/>
  <c r="I186" i="14"/>
  <c r="I183" i="14"/>
  <c r="I172" i="14"/>
  <c r="I164" i="14"/>
  <c r="I156" i="14"/>
  <c r="I148" i="14"/>
  <c r="I140" i="14"/>
  <c r="I132" i="14"/>
  <c r="I124" i="14"/>
  <c r="I116" i="14"/>
  <c r="I108" i="14"/>
  <c r="I100" i="14"/>
  <c r="I235" i="14"/>
  <c r="I231" i="14"/>
  <c r="I174" i="14"/>
  <c r="I171" i="14"/>
  <c r="I146" i="14"/>
  <c r="I141" i="14"/>
  <c r="I113" i="14"/>
  <c r="I110" i="14"/>
  <c r="I107" i="14"/>
  <c r="I95" i="14"/>
  <c r="I89" i="14"/>
  <c r="I81" i="14"/>
  <c r="I73" i="14"/>
  <c r="I65" i="14"/>
  <c r="I57" i="14"/>
  <c r="I290" i="14"/>
  <c r="I259" i="14"/>
  <c r="I213" i="14"/>
  <c r="I205" i="14"/>
  <c r="I199" i="14"/>
  <c r="I195" i="14"/>
  <c r="I191" i="14"/>
  <c r="I153" i="14"/>
  <c r="I150" i="14"/>
  <c r="I147" i="14"/>
  <c r="I122" i="14"/>
  <c r="I117" i="14"/>
  <c r="I97" i="14"/>
  <c r="I92" i="14"/>
  <c r="I84" i="14"/>
  <c r="I76" i="14"/>
  <c r="I68" i="14"/>
  <c r="I60" i="14"/>
  <c r="I52" i="14"/>
  <c r="I234" i="14"/>
  <c r="I232" i="14"/>
  <c r="I173" i="14"/>
  <c r="I145" i="14"/>
  <c r="I142" i="14"/>
  <c r="I139" i="14"/>
  <c r="I114" i="14"/>
  <c r="I109" i="14"/>
  <c r="I93" i="14"/>
  <c r="I85" i="14"/>
  <c r="I77" i="14"/>
  <c r="I69" i="14"/>
  <c r="I61" i="14"/>
  <c r="I53" i="14"/>
  <c r="I223" i="14"/>
  <c r="I215" i="14"/>
  <c r="I210" i="14"/>
  <c r="I203" i="14"/>
  <c r="I192" i="14"/>
  <c r="I166" i="14"/>
  <c r="I130" i="14"/>
  <c r="I118" i="14"/>
  <c r="I101" i="14"/>
  <c r="I94" i="14"/>
  <c r="I86" i="14"/>
  <c r="I83" i="14"/>
  <c r="I80" i="14"/>
  <c r="I55" i="14"/>
  <c r="I48" i="14"/>
  <c r="I40" i="14"/>
  <c r="I32" i="14"/>
  <c r="I24" i="14"/>
  <c r="I267" i="14"/>
  <c r="I207" i="14"/>
  <c r="I165" i="14"/>
  <c r="I137" i="14"/>
  <c r="I131" i="14"/>
  <c r="I129" i="14"/>
  <c r="I125" i="14"/>
  <c r="I121" i="14"/>
  <c r="I90" i="14"/>
  <c r="I62" i="14"/>
  <c r="I59" i="14"/>
  <c r="I56" i="14"/>
  <c r="I43" i="14"/>
  <c r="I35" i="14"/>
  <c r="I27" i="14"/>
  <c r="I19" i="14"/>
  <c r="I256" i="14"/>
  <c r="I224" i="14"/>
  <c r="I216" i="14"/>
  <c r="I200" i="14"/>
  <c r="I163" i="14"/>
  <c r="I123" i="14"/>
  <c r="I87" i="14"/>
  <c r="I82" i="14"/>
  <c r="I54" i="14"/>
  <c r="I44" i="14"/>
  <c r="I36" i="14"/>
  <c r="I28" i="14"/>
  <c r="I20" i="14"/>
  <c r="I12" i="14"/>
  <c r="I133" i="14"/>
  <c r="I78" i="14"/>
  <c r="I70" i="14"/>
  <c r="I66" i="14"/>
  <c r="I58" i="14"/>
  <c r="I45" i="14"/>
  <c r="I42" i="14"/>
  <c r="I39" i="14"/>
  <c r="I288" i="14"/>
  <c r="I155" i="14"/>
  <c r="I50" i="14"/>
  <c r="I275" i="14"/>
  <c r="I266" i="14"/>
  <c r="I227" i="14"/>
  <c r="I219" i="14"/>
  <c r="I169" i="14"/>
  <c r="I64" i="14"/>
  <c r="I37" i="14"/>
  <c r="I34" i="14"/>
  <c r="I31" i="14"/>
  <c r="I17" i="14"/>
  <c r="I13" i="14"/>
  <c r="I72" i="14"/>
  <c r="I22" i="14"/>
  <c r="I280" i="14"/>
  <c r="I202" i="14"/>
  <c r="I194" i="14"/>
  <c r="I161" i="14"/>
  <c r="I29" i="14"/>
  <c r="I26" i="14"/>
  <c r="I23" i="14"/>
  <c r="I47" i="14"/>
  <c r="I16" i="14"/>
  <c r="I304" i="14"/>
  <c r="I176" i="14"/>
  <c r="I158" i="14"/>
  <c r="I154" i="14"/>
  <c r="I149" i="14"/>
  <c r="I138" i="14"/>
  <c r="I105" i="14"/>
  <c r="I98" i="14"/>
  <c r="I88" i="14"/>
  <c r="I75" i="14"/>
  <c r="I51" i="14"/>
  <c r="I49" i="14"/>
  <c r="I21" i="14"/>
  <c r="I189" i="14"/>
  <c r="I258" i="14"/>
  <c r="I226" i="14"/>
  <c r="I218" i="14"/>
  <c r="I181" i="14"/>
  <c r="I115" i="14"/>
  <c r="I79" i="14"/>
  <c r="I71" i="14"/>
  <c r="I67" i="14"/>
  <c r="I46" i="14"/>
  <c r="I41" i="14"/>
  <c r="I18" i="14"/>
  <c r="I14" i="14"/>
  <c r="I10" i="14"/>
  <c r="I242" i="14"/>
  <c r="I178" i="14"/>
  <c r="I170" i="14"/>
  <c r="I134" i="14"/>
  <c r="I126" i="14"/>
  <c r="I102" i="14"/>
  <c r="I63" i="14"/>
  <c r="I38" i="14"/>
  <c r="I33" i="14"/>
  <c r="I11" i="14"/>
  <c r="I248" i="14"/>
  <c r="I162" i="14"/>
  <c r="I157" i="14"/>
  <c r="I99" i="14"/>
  <c r="I91" i="14"/>
  <c r="I74" i="14"/>
  <c r="I30" i="14"/>
  <c r="I25" i="14"/>
  <c r="I15" i="14"/>
  <c r="I106" i="14"/>
  <c r="K308" i="13"/>
  <c r="H305" i="13"/>
  <c r="K300" i="13"/>
  <c r="H297" i="13"/>
  <c r="K292" i="13"/>
  <c r="H289" i="13"/>
  <c r="K284" i="13"/>
  <c r="H281" i="13"/>
  <c r="K276" i="13"/>
  <c r="H273" i="13"/>
  <c r="K268" i="13"/>
  <c r="H265" i="13"/>
  <c r="K260" i="13"/>
  <c r="H257" i="13"/>
  <c r="K252" i="13"/>
  <c r="H249" i="13"/>
  <c r="K244" i="13"/>
  <c r="H241" i="13"/>
  <c r="K236" i="13"/>
  <c r="H233" i="13"/>
  <c r="K228" i="13"/>
  <c r="H225" i="13"/>
  <c r="K220" i="13"/>
  <c r="H217" i="13"/>
  <c r="K212" i="13"/>
  <c r="H209" i="13"/>
  <c r="K204" i="13"/>
  <c r="H201" i="13"/>
  <c r="K196" i="13"/>
  <c r="H193" i="13"/>
  <c r="K188" i="13"/>
  <c r="H185" i="13"/>
  <c r="K180" i="13"/>
  <c r="H177" i="13"/>
  <c r="K309" i="13"/>
  <c r="H306" i="13"/>
  <c r="K301" i="13"/>
  <c r="H298" i="13"/>
  <c r="K293" i="13"/>
  <c r="H290" i="13"/>
  <c r="K285" i="13"/>
  <c r="H282" i="13"/>
  <c r="K277" i="13"/>
  <c r="H274" i="13"/>
  <c r="K269" i="13"/>
  <c r="H266" i="13"/>
  <c r="K261" i="13"/>
  <c r="H258" i="13"/>
  <c r="K253" i="13"/>
  <c r="H250" i="13"/>
  <c r="K245" i="13"/>
  <c r="H242" i="13"/>
  <c r="K237" i="13"/>
  <c r="H234" i="13"/>
  <c r="K229" i="13"/>
  <c r="H226" i="13"/>
  <c r="K221" i="13"/>
  <c r="H218" i="13"/>
  <c r="K213" i="13"/>
  <c r="H210" i="13"/>
  <c r="K205" i="13"/>
  <c r="H202" i="13"/>
  <c r="K197" i="13"/>
  <c r="H194" i="13"/>
  <c r="K189" i="13"/>
  <c r="H186" i="13"/>
  <c r="K181" i="13"/>
  <c r="H178" i="13"/>
  <c r="H307" i="13"/>
  <c r="K302" i="13"/>
  <c r="H299" i="13"/>
  <c r="K294" i="13"/>
  <c r="H291" i="13"/>
  <c r="K286" i="13"/>
  <c r="H283" i="13"/>
  <c r="K278" i="13"/>
  <c r="H275" i="13"/>
  <c r="K270" i="13"/>
  <c r="H267" i="13"/>
  <c r="K262" i="13"/>
  <c r="H259" i="13"/>
  <c r="K254" i="13"/>
  <c r="H251" i="13"/>
  <c r="K246" i="13"/>
  <c r="H243" i="13"/>
  <c r="K238" i="13"/>
  <c r="H235" i="13"/>
  <c r="K230" i="13"/>
  <c r="H227" i="13"/>
  <c r="K222" i="13"/>
  <c r="H219" i="13"/>
  <c r="K214" i="13"/>
  <c r="H211" i="13"/>
  <c r="K206" i="13"/>
  <c r="H203" i="13"/>
  <c r="K198" i="13"/>
  <c r="H195" i="13"/>
  <c r="K190" i="13"/>
  <c r="H187" i="13"/>
  <c r="K182" i="13"/>
  <c r="H308" i="13"/>
  <c r="K303" i="13"/>
  <c r="H300" i="13"/>
  <c r="K295" i="13"/>
  <c r="H292" i="13"/>
  <c r="K287" i="13"/>
  <c r="H284" i="13"/>
  <c r="K279" i="13"/>
  <c r="H276" i="13"/>
  <c r="K271" i="13"/>
  <c r="H268" i="13"/>
  <c r="K263" i="13"/>
  <c r="H260" i="13"/>
  <c r="K255" i="13"/>
  <c r="H252" i="13"/>
  <c r="K247" i="13"/>
  <c r="H244" i="13"/>
  <c r="K239" i="13"/>
  <c r="H236" i="13"/>
  <c r="K231" i="13"/>
  <c r="H228" i="13"/>
  <c r="K223" i="13"/>
  <c r="H220" i="13"/>
  <c r="K215" i="13"/>
  <c r="H212" i="13"/>
  <c r="K207" i="13"/>
  <c r="H204" i="13"/>
  <c r="K199" i="13"/>
  <c r="H196" i="13"/>
  <c r="H309" i="13"/>
  <c r="K304" i="13"/>
  <c r="H301" i="13"/>
  <c r="K296" i="13"/>
  <c r="H293" i="13"/>
  <c r="K288" i="13"/>
  <c r="H285" i="13"/>
  <c r="K280" i="13"/>
  <c r="H277" i="13"/>
  <c r="K272" i="13"/>
  <c r="H269" i="13"/>
  <c r="K264" i="13"/>
  <c r="H261" i="13"/>
  <c r="K256" i="13"/>
  <c r="H253" i="13"/>
  <c r="K248" i="13"/>
  <c r="H245" i="13"/>
  <c r="K240" i="13"/>
  <c r="H237" i="13"/>
  <c r="K232" i="13"/>
  <c r="H229" i="13"/>
  <c r="K224" i="13"/>
  <c r="H221" i="13"/>
  <c r="K216" i="13"/>
  <c r="H213" i="13"/>
  <c r="K208" i="13"/>
  <c r="H205" i="13"/>
  <c r="K200" i="13"/>
  <c r="H197" i="13"/>
  <c r="K192" i="13"/>
  <c r="H189" i="13"/>
  <c r="K184" i="13"/>
  <c r="H181" i="13"/>
  <c r="K305" i="13"/>
  <c r="H302" i="13"/>
  <c r="K297" i="13"/>
  <c r="H294" i="13"/>
  <c r="K289" i="13"/>
  <c r="H286" i="13"/>
  <c r="K281" i="13"/>
  <c r="H278" i="13"/>
  <c r="K273" i="13"/>
  <c r="H270" i="13"/>
  <c r="K265" i="13"/>
  <c r="H262" i="13"/>
  <c r="K257" i="13"/>
  <c r="H254" i="13"/>
  <c r="K249" i="13"/>
  <c r="H246" i="13"/>
  <c r="K241" i="13"/>
  <c r="H238" i="13"/>
  <c r="K233" i="13"/>
  <c r="H230" i="13"/>
  <c r="K225" i="13"/>
  <c r="H222" i="13"/>
  <c r="K217" i="13"/>
  <c r="H214" i="13"/>
  <c r="K209" i="13"/>
  <c r="H206" i="13"/>
  <c r="K201" i="13"/>
  <c r="H198" i="13"/>
  <c r="K193" i="13"/>
  <c r="H190" i="13"/>
  <c r="K185" i="13"/>
  <c r="H182" i="13"/>
  <c r="K307" i="13"/>
  <c r="H304" i="13"/>
  <c r="K299" i="13"/>
  <c r="H296" i="13"/>
  <c r="K291" i="13"/>
  <c r="H288" i="13"/>
  <c r="K283" i="13"/>
  <c r="H280" i="13"/>
  <c r="K275" i="13"/>
  <c r="H272" i="13"/>
  <c r="K267" i="13"/>
  <c r="H264" i="13"/>
  <c r="K259" i="13"/>
  <c r="H256" i="13"/>
  <c r="K251" i="13"/>
  <c r="H248" i="13"/>
  <c r="K243" i="13"/>
  <c r="H240" i="13"/>
  <c r="K235" i="13"/>
  <c r="H232" i="13"/>
  <c r="K227" i="13"/>
  <c r="H224" i="13"/>
  <c r="K219" i="13"/>
  <c r="H216" i="13"/>
  <c r="K211" i="13"/>
  <c r="H208" i="13"/>
  <c r="K203" i="13"/>
  <c r="H200" i="13"/>
  <c r="K195" i="13"/>
  <c r="H192" i="13"/>
  <c r="K187" i="13"/>
  <c r="H184" i="13"/>
  <c r="H303" i="13"/>
  <c r="K266" i="13"/>
  <c r="H239" i="13"/>
  <c r="K202" i="13"/>
  <c r="K183" i="13"/>
  <c r="K179" i="13"/>
  <c r="H175" i="13"/>
  <c r="K170" i="13"/>
  <c r="H167" i="13"/>
  <c r="K162" i="13"/>
  <c r="H159" i="13"/>
  <c r="K154" i="13"/>
  <c r="H151" i="13"/>
  <c r="K290" i="13"/>
  <c r="H263" i="13"/>
  <c r="K226" i="13"/>
  <c r="H199" i="13"/>
  <c r="H188" i="13"/>
  <c r="H183" i="13"/>
  <c r="H287" i="13"/>
  <c r="K250" i="13"/>
  <c r="H223" i="13"/>
  <c r="K177" i="13"/>
  <c r="H176" i="13"/>
  <c r="K172" i="13"/>
  <c r="H169" i="13"/>
  <c r="K164" i="13"/>
  <c r="H161" i="13"/>
  <c r="K156" i="13"/>
  <c r="H153" i="13"/>
  <c r="K148" i="13"/>
  <c r="H145" i="13"/>
  <c r="K140" i="13"/>
  <c r="H137" i="13"/>
  <c r="K132" i="13"/>
  <c r="H129" i="13"/>
  <c r="K124" i="13"/>
  <c r="H121" i="13"/>
  <c r="K116" i="13"/>
  <c r="H113" i="13"/>
  <c r="K108" i="13"/>
  <c r="H105" i="13"/>
  <c r="K100" i="13"/>
  <c r="H97" i="13"/>
  <c r="K92" i="13"/>
  <c r="H89" i="13"/>
  <c r="K84" i="13"/>
  <c r="H81" i="13"/>
  <c r="K76" i="13"/>
  <c r="H73" i="13"/>
  <c r="K274" i="13"/>
  <c r="H247" i="13"/>
  <c r="K210" i="13"/>
  <c r="K173" i="13"/>
  <c r="H170" i="13"/>
  <c r="K165" i="13"/>
  <c r="H162" i="13"/>
  <c r="K157" i="13"/>
  <c r="H154" i="13"/>
  <c r="K149" i="13"/>
  <c r="H146" i="13"/>
  <c r="K141" i="13"/>
  <c r="H138" i="13"/>
  <c r="K133" i="13"/>
  <c r="H130" i="13"/>
  <c r="K125" i="13"/>
  <c r="H122" i="13"/>
  <c r="K117" i="13"/>
  <c r="H114" i="13"/>
  <c r="K298" i="13"/>
  <c r="H271" i="13"/>
  <c r="K234" i="13"/>
  <c r="H207" i="13"/>
  <c r="K174" i="13"/>
  <c r="H171" i="13"/>
  <c r="K166" i="13"/>
  <c r="H163" i="13"/>
  <c r="K158" i="13"/>
  <c r="H155" i="13"/>
  <c r="K150" i="13"/>
  <c r="H147" i="13"/>
  <c r="K142" i="13"/>
  <c r="H139" i="13"/>
  <c r="K134" i="13"/>
  <c r="H131" i="13"/>
  <c r="K126" i="13"/>
  <c r="H123" i="13"/>
  <c r="K118" i="13"/>
  <c r="H115" i="13"/>
  <c r="K110" i="13"/>
  <c r="H107" i="13"/>
  <c r="K102" i="13"/>
  <c r="H99" i="13"/>
  <c r="K94" i="13"/>
  <c r="H91" i="13"/>
  <c r="K86" i="13"/>
  <c r="H83" i="13"/>
  <c r="K78" i="13"/>
  <c r="H75" i="13"/>
  <c r="K70" i="13"/>
  <c r="H295" i="13"/>
  <c r="K258" i="13"/>
  <c r="H231" i="13"/>
  <c r="K194" i="13"/>
  <c r="H180" i="13"/>
  <c r="K178" i="13"/>
  <c r="K175" i="13"/>
  <c r="H172" i="13"/>
  <c r="K167" i="13"/>
  <c r="H164" i="13"/>
  <c r="K159" i="13"/>
  <c r="H156" i="13"/>
  <c r="K151" i="13"/>
  <c r="H148" i="13"/>
  <c r="K143" i="13"/>
  <c r="H140" i="13"/>
  <c r="K135" i="13"/>
  <c r="H132" i="13"/>
  <c r="K127" i="13"/>
  <c r="H124" i="13"/>
  <c r="K119" i="13"/>
  <c r="H116" i="13"/>
  <c r="K111" i="13"/>
  <c r="H108" i="13"/>
  <c r="K103" i="13"/>
  <c r="H100" i="13"/>
  <c r="K95" i="13"/>
  <c r="H92" i="13"/>
  <c r="K87" i="13"/>
  <c r="H84" i="13"/>
  <c r="K79" i="13"/>
  <c r="H76" i="13"/>
  <c r="K71" i="13"/>
  <c r="H68" i="13"/>
  <c r="K306" i="13"/>
  <c r="H279" i="13"/>
  <c r="K242" i="13"/>
  <c r="H215" i="13"/>
  <c r="H191" i="13"/>
  <c r="K186" i="13"/>
  <c r="K176" i="13"/>
  <c r="H174" i="13"/>
  <c r="K169" i="13"/>
  <c r="H166" i="13"/>
  <c r="K161" i="13"/>
  <c r="H158" i="13"/>
  <c r="K153" i="13"/>
  <c r="H150" i="13"/>
  <c r="K145" i="13"/>
  <c r="H142" i="13"/>
  <c r="K137" i="13"/>
  <c r="H134" i="13"/>
  <c r="K129" i="13"/>
  <c r="H126" i="13"/>
  <c r="K121" i="13"/>
  <c r="H118" i="13"/>
  <c r="K113" i="13"/>
  <c r="H110" i="13"/>
  <c r="K105" i="13"/>
  <c r="H102" i="13"/>
  <c r="K97" i="13"/>
  <c r="H94" i="13"/>
  <c r="K89" i="13"/>
  <c r="H86" i="13"/>
  <c r="K81" i="13"/>
  <c r="H78" i="13"/>
  <c r="K73" i="13"/>
  <c r="H70" i="13"/>
  <c r="K65" i="13"/>
  <c r="H255" i="13"/>
  <c r="K168" i="13"/>
  <c r="H149" i="13"/>
  <c r="K138" i="13"/>
  <c r="K136" i="13"/>
  <c r="H120" i="13"/>
  <c r="H101" i="13"/>
  <c r="H85" i="13"/>
  <c r="H69" i="13"/>
  <c r="H65" i="13"/>
  <c r="K62" i="13"/>
  <c r="H59" i="13"/>
  <c r="K54" i="13"/>
  <c r="H51" i="13"/>
  <c r="K46" i="13"/>
  <c r="H43" i="13"/>
  <c r="K38" i="13"/>
  <c r="H35" i="13"/>
  <c r="K30" i="13"/>
  <c r="H27" i="13"/>
  <c r="K22" i="13"/>
  <c r="H19" i="13"/>
  <c r="K14" i="13"/>
  <c r="H11" i="13"/>
  <c r="K114" i="13"/>
  <c r="H98" i="13"/>
  <c r="H82" i="13"/>
  <c r="H56" i="13"/>
  <c r="K51" i="13"/>
  <c r="H24" i="13"/>
  <c r="K122" i="13"/>
  <c r="H173" i="13"/>
  <c r="H168" i="13"/>
  <c r="K163" i="13"/>
  <c r="K146" i="13"/>
  <c r="K144" i="13"/>
  <c r="H128" i="13"/>
  <c r="H106" i="13"/>
  <c r="K104" i="13"/>
  <c r="H90" i="13"/>
  <c r="K88" i="13"/>
  <c r="H74" i="13"/>
  <c r="K72" i="13"/>
  <c r="K67" i="13"/>
  <c r="H60" i="13"/>
  <c r="K55" i="13"/>
  <c r="H52" i="13"/>
  <c r="K47" i="13"/>
  <c r="H44" i="13"/>
  <c r="K39" i="13"/>
  <c r="H36" i="13"/>
  <c r="K31" i="13"/>
  <c r="H28" i="13"/>
  <c r="K23" i="13"/>
  <c r="H20" i="13"/>
  <c r="K15" i="13"/>
  <c r="H12" i="13"/>
  <c r="K191" i="13"/>
  <c r="H157" i="13"/>
  <c r="K96" i="13"/>
  <c r="K43" i="13"/>
  <c r="H40" i="13"/>
  <c r="K35" i="13"/>
  <c r="H32" i="13"/>
  <c r="K27" i="13"/>
  <c r="H16" i="13"/>
  <c r="K120" i="13"/>
  <c r="K160" i="13"/>
  <c r="H136" i="13"/>
  <c r="K115" i="13"/>
  <c r="H66" i="13"/>
  <c r="K63" i="13"/>
  <c r="H61" i="13"/>
  <c r="K56" i="13"/>
  <c r="H53" i="13"/>
  <c r="K48" i="13"/>
  <c r="H45" i="13"/>
  <c r="K40" i="13"/>
  <c r="H37" i="13"/>
  <c r="K32" i="13"/>
  <c r="H29" i="13"/>
  <c r="K24" i="13"/>
  <c r="H21" i="13"/>
  <c r="K16" i="13"/>
  <c r="H13" i="13"/>
  <c r="H152" i="13"/>
  <c r="H127" i="13"/>
  <c r="H165" i="13"/>
  <c r="H160" i="13"/>
  <c r="K155" i="13"/>
  <c r="H144" i="13"/>
  <c r="K123" i="13"/>
  <c r="H111" i="13"/>
  <c r="K109" i="13"/>
  <c r="K107" i="13"/>
  <c r="H104" i="13"/>
  <c r="K98" i="13"/>
  <c r="H95" i="13"/>
  <c r="K93" i="13"/>
  <c r="K91" i="13"/>
  <c r="H88" i="13"/>
  <c r="K82" i="13"/>
  <c r="H79" i="13"/>
  <c r="K77" i="13"/>
  <c r="K75" i="13"/>
  <c r="H72" i="13"/>
  <c r="K68" i="13"/>
  <c r="H62" i="13"/>
  <c r="K57" i="13"/>
  <c r="H54" i="13"/>
  <c r="K49" i="13"/>
  <c r="H46" i="13"/>
  <c r="K41" i="13"/>
  <c r="H38" i="13"/>
  <c r="K33" i="13"/>
  <c r="H30" i="13"/>
  <c r="K25" i="13"/>
  <c r="H22" i="13"/>
  <c r="K17" i="13"/>
  <c r="H14" i="13"/>
  <c r="K19" i="13"/>
  <c r="K218" i="13"/>
  <c r="K152" i="13"/>
  <c r="K131" i="13"/>
  <c r="H119" i="13"/>
  <c r="H117" i="13"/>
  <c r="H109" i="13"/>
  <c r="H93" i="13"/>
  <c r="H77" i="13"/>
  <c r="H67" i="13"/>
  <c r="K64" i="13"/>
  <c r="H63" i="13"/>
  <c r="K58" i="13"/>
  <c r="H55" i="13"/>
  <c r="K50" i="13"/>
  <c r="H47" i="13"/>
  <c r="K42" i="13"/>
  <c r="H39" i="13"/>
  <c r="K34" i="13"/>
  <c r="H31" i="13"/>
  <c r="K26" i="13"/>
  <c r="H23" i="13"/>
  <c r="K18" i="13"/>
  <c r="H15" i="13"/>
  <c r="K10" i="13"/>
  <c r="H125" i="13"/>
  <c r="K112" i="13"/>
  <c r="K59" i="13"/>
  <c r="H48" i="13"/>
  <c r="K11" i="13"/>
  <c r="H135" i="13"/>
  <c r="K282" i="13"/>
  <c r="H179" i="13"/>
  <c r="K171" i="13"/>
  <c r="H143" i="13"/>
  <c r="H141" i="13"/>
  <c r="K130" i="13"/>
  <c r="K128" i="13"/>
  <c r="H112" i="13"/>
  <c r="K106" i="13"/>
  <c r="H103" i="13"/>
  <c r="K101" i="13"/>
  <c r="K99" i="13"/>
  <c r="H96" i="13"/>
  <c r="K90" i="13"/>
  <c r="H87" i="13"/>
  <c r="K85" i="13"/>
  <c r="K83" i="13"/>
  <c r="H80" i="13"/>
  <c r="K74" i="13"/>
  <c r="H71" i="13"/>
  <c r="K69" i="13"/>
  <c r="K66" i="13"/>
  <c r="K61" i="13"/>
  <c r="H58" i="13"/>
  <c r="K53" i="13"/>
  <c r="H50" i="13"/>
  <c r="K45" i="13"/>
  <c r="H42" i="13"/>
  <c r="K37" i="13"/>
  <c r="H34" i="13"/>
  <c r="K29" i="13"/>
  <c r="H26" i="13"/>
  <c r="K21" i="13"/>
  <c r="H18" i="13"/>
  <c r="K13" i="13"/>
  <c r="H10" i="13"/>
  <c r="K139" i="13"/>
  <c r="K80" i="13"/>
  <c r="K147" i="13"/>
  <c r="H133" i="13"/>
  <c r="H49" i="13"/>
  <c r="H17" i="13"/>
  <c r="K60" i="13"/>
  <c r="K28" i="13"/>
  <c r="H57" i="13"/>
  <c r="H25" i="13"/>
  <c r="K36" i="13"/>
  <c r="H33" i="13"/>
  <c r="K44" i="13"/>
  <c r="K12" i="13"/>
  <c r="H41" i="13"/>
  <c r="H64" i="13"/>
  <c r="K52" i="13"/>
  <c r="K20" i="13"/>
  <c r="I306" i="13"/>
  <c r="I298" i="13"/>
  <c r="I290" i="13"/>
  <c r="I282" i="13"/>
  <c r="I274" i="13"/>
  <c r="I266" i="13"/>
  <c r="I258" i="13"/>
  <c r="I250" i="13"/>
  <c r="I242" i="13"/>
  <c r="I234" i="13"/>
  <c r="I226" i="13"/>
  <c r="I218" i="13"/>
  <c r="I210" i="13"/>
  <c r="I202" i="13"/>
  <c r="I194" i="13"/>
  <c r="I186" i="13"/>
  <c r="I178" i="13"/>
  <c r="I307" i="13"/>
  <c r="I299" i="13"/>
  <c r="I291" i="13"/>
  <c r="I283" i="13"/>
  <c r="I275" i="13"/>
  <c r="I267" i="13"/>
  <c r="I259" i="13"/>
  <c r="I251" i="13"/>
  <c r="I243" i="13"/>
  <c r="I235" i="13"/>
  <c r="I227" i="13"/>
  <c r="I219" i="13"/>
  <c r="I211" i="13"/>
  <c r="I203" i="13"/>
  <c r="I195" i="13"/>
  <c r="I187" i="13"/>
  <c r="I179" i="13"/>
  <c r="I308" i="13"/>
  <c r="I300" i="13"/>
  <c r="I292" i="13"/>
  <c r="I284" i="13"/>
  <c r="I276" i="13"/>
  <c r="I268" i="13"/>
  <c r="I260" i="13"/>
  <c r="I252" i="13"/>
  <c r="I244" i="13"/>
  <c r="I236" i="13"/>
  <c r="I228" i="13"/>
  <c r="I220" i="13"/>
  <c r="I212" i="13"/>
  <c r="I204" i="13"/>
  <c r="I196" i="13"/>
  <c r="I188" i="13"/>
  <c r="I309" i="13"/>
  <c r="I301" i="13"/>
  <c r="I293" i="13"/>
  <c r="I285" i="13"/>
  <c r="I277" i="13"/>
  <c r="I269" i="13"/>
  <c r="I261" i="13"/>
  <c r="I253" i="13"/>
  <c r="I245" i="13"/>
  <c r="I237" i="13"/>
  <c r="I229" i="13"/>
  <c r="I221" i="13"/>
  <c r="I213" i="13"/>
  <c r="I205" i="13"/>
  <c r="I197" i="13"/>
  <c r="I302" i="13"/>
  <c r="I294" i="13"/>
  <c r="I286" i="13"/>
  <c r="I278" i="13"/>
  <c r="I270" i="13"/>
  <c r="I262" i="13"/>
  <c r="I254" i="13"/>
  <c r="I246" i="13"/>
  <c r="I238" i="13"/>
  <c r="I230" i="13"/>
  <c r="I222" i="13"/>
  <c r="I214" i="13"/>
  <c r="I206" i="13"/>
  <c r="I198" i="13"/>
  <c r="I190" i="13"/>
  <c r="I182" i="13"/>
  <c r="I303" i="13"/>
  <c r="I295" i="13"/>
  <c r="I287" i="13"/>
  <c r="I279" i="13"/>
  <c r="I271" i="13"/>
  <c r="I263" i="13"/>
  <c r="I255" i="13"/>
  <c r="I247" i="13"/>
  <c r="I239" i="13"/>
  <c r="I231" i="13"/>
  <c r="I223" i="13"/>
  <c r="I215" i="13"/>
  <c r="I207" i="13"/>
  <c r="I199" i="13"/>
  <c r="I191" i="13"/>
  <c r="I183" i="13"/>
  <c r="I305" i="13"/>
  <c r="I297" i="13"/>
  <c r="I289" i="13"/>
  <c r="I281" i="13"/>
  <c r="I273" i="13"/>
  <c r="I265" i="13"/>
  <c r="I257" i="13"/>
  <c r="I249" i="13"/>
  <c r="I241" i="13"/>
  <c r="I233" i="13"/>
  <c r="I225" i="13"/>
  <c r="I217" i="13"/>
  <c r="I209" i="13"/>
  <c r="I201" i="13"/>
  <c r="I193" i="13"/>
  <c r="I185" i="13"/>
  <c r="I248" i="13"/>
  <c r="I168" i="13"/>
  <c r="I160" i="13"/>
  <c r="I152" i="13"/>
  <c r="I272" i="13"/>
  <c r="I208" i="13"/>
  <c r="I181" i="13"/>
  <c r="I296" i="13"/>
  <c r="I232" i="13"/>
  <c r="I170" i="13"/>
  <c r="I162" i="13"/>
  <c r="I154" i="13"/>
  <c r="I146" i="13"/>
  <c r="I138" i="13"/>
  <c r="I130" i="13"/>
  <c r="I122" i="13"/>
  <c r="I114" i="13"/>
  <c r="I106" i="13"/>
  <c r="I98" i="13"/>
  <c r="I90" i="13"/>
  <c r="I82" i="13"/>
  <c r="I74" i="13"/>
  <c r="I256" i="13"/>
  <c r="I192" i="13"/>
  <c r="I171" i="13"/>
  <c r="I163" i="13"/>
  <c r="I155" i="13"/>
  <c r="I147" i="13"/>
  <c r="I139" i="13"/>
  <c r="I131" i="13"/>
  <c r="I123" i="13"/>
  <c r="I115" i="13"/>
  <c r="I280" i="13"/>
  <c r="I216" i="13"/>
  <c r="I180" i="13"/>
  <c r="I177" i="13"/>
  <c r="I172" i="13"/>
  <c r="I164" i="13"/>
  <c r="I156" i="13"/>
  <c r="I148" i="13"/>
  <c r="I140" i="13"/>
  <c r="I132" i="13"/>
  <c r="I124" i="13"/>
  <c r="I116" i="13"/>
  <c r="I108" i="13"/>
  <c r="I100" i="13"/>
  <c r="I92" i="13"/>
  <c r="I84" i="13"/>
  <c r="I76" i="13"/>
  <c r="I304" i="13"/>
  <c r="I240" i="13"/>
  <c r="I184" i="13"/>
  <c r="I173" i="13"/>
  <c r="I165" i="13"/>
  <c r="I157" i="13"/>
  <c r="I149" i="13"/>
  <c r="I141" i="13"/>
  <c r="I133" i="13"/>
  <c r="I125" i="13"/>
  <c r="I117" i="13"/>
  <c r="I109" i="13"/>
  <c r="I101" i="13"/>
  <c r="I93" i="13"/>
  <c r="I85" i="13"/>
  <c r="I77" i="13"/>
  <c r="I69" i="13"/>
  <c r="I288" i="13"/>
  <c r="I224" i="13"/>
  <c r="I175" i="13"/>
  <c r="I167" i="13"/>
  <c r="I159" i="13"/>
  <c r="I151" i="13"/>
  <c r="I143" i="13"/>
  <c r="I135" i="13"/>
  <c r="I127" i="13"/>
  <c r="I119" i="13"/>
  <c r="I111" i="13"/>
  <c r="I103" i="13"/>
  <c r="I95" i="13"/>
  <c r="I87" i="13"/>
  <c r="I79" i="13"/>
  <c r="I71" i="13"/>
  <c r="I63" i="13"/>
  <c r="I166" i="13"/>
  <c r="I128" i="13"/>
  <c r="I118" i="13"/>
  <c r="I99" i="13"/>
  <c r="I83" i="13"/>
  <c r="I60" i="13"/>
  <c r="I52" i="13"/>
  <c r="I44" i="13"/>
  <c r="I36" i="13"/>
  <c r="I28" i="13"/>
  <c r="I20" i="13"/>
  <c r="I12" i="13"/>
  <c r="I41" i="13"/>
  <c r="I112" i="13"/>
  <c r="I153" i="13"/>
  <c r="I136" i="13"/>
  <c r="I126" i="13"/>
  <c r="I97" i="13"/>
  <c r="I81" i="13"/>
  <c r="I66" i="13"/>
  <c r="I61" i="13"/>
  <c r="I53" i="13"/>
  <c r="I45" i="13"/>
  <c r="I37" i="13"/>
  <c r="I29" i="13"/>
  <c r="I21" i="13"/>
  <c r="I13" i="13"/>
  <c r="I264" i="13"/>
  <c r="I73" i="13"/>
  <c r="I174" i="13"/>
  <c r="I200" i="13"/>
  <c r="I189" i="13"/>
  <c r="I158" i="13"/>
  <c r="I144" i="13"/>
  <c r="I134" i="13"/>
  <c r="I113" i="13"/>
  <c r="I104" i="13"/>
  <c r="I88" i="13"/>
  <c r="I72" i="13"/>
  <c r="I62" i="13"/>
  <c r="I54" i="13"/>
  <c r="I46" i="13"/>
  <c r="I38" i="13"/>
  <c r="I30" i="13"/>
  <c r="I22" i="13"/>
  <c r="I14" i="13"/>
  <c r="I137" i="13"/>
  <c r="I49" i="13"/>
  <c r="I142" i="13"/>
  <c r="I121" i="13"/>
  <c r="I102" i="13"/>
  <c r="I86" i="13"/>
  <c r="I70" i="13"/>
  <c r="I67" i="13"/>
  <c r="I55" i="13"/>
  <c r="I47" i="13"/>
  <c r="I39" i="13"/>
  <c r="I31" i="13"/>
  <c r="I23" i="13"/>
  <c r="I15" i="13"/>
  <c r="I68" i="13"/>
  <c r="I33" i="13"/>
  <c r="I150" i="13"/>
  <c r="I129" i="13"/>
  <c r="I107" i="13"/>
  <c r="I91" i="13"/>
  <c r="I75" i="13"/>
  <c r="I56" i="13"/>
  <c r="I48" i="13"/>
  <c r="I40" i="13"/>
  <c r="I32" i="13"/>
  <c r="I24" i="13"/>
  <c r="I16" i="13"/>
  <c r="I105" i="13"/>
  <c r="I64" i="13"/>
  <c r="I57" i="13"/>
  <c r="I25" i="13"/>
  <c r="I17" i="13"/>
  <c r="I145" i="13"/>
  <c r="I96" i="13"/>
  <c r="I176" i="13"/>
  <c r="I161" i="13"/>
  <c r="I120" i="13"/>
  <c r="I110" i="13"/>
  <c r="I94" i="13"/>
  <c r="I78" i="13"/>
  <c r="I65" i="13"/>
  <c r="I59" i="13"/>
  <c r="I51" i="13"/>
  <c r="I43" i="13"/>
  <c r="I35" i="13"/>
  <c r="I27" i="13"/>
  <c r="I19" i="13"/>
  <c r="I11" i="13"/>
  <c r="I169" i="13"/>
  <c r="I89" i="13"/>
  <c r="I34" i="13"/>
  <c r="I80" i="13"/>
  <c r="I42" i="13"/>
  <c r="I10" i="13"/>
  <c r="I50" i="13"/>
  <c r="I18" i="13"/>
  <c r="I58" i="13"/>
  <c r="I26" i="13"/>
  <c r="K307" i="12"/>
  <c r="H304" i="12"/>
  <c r="K299" i="12"/>
  <c r="H296" i="12"/>
  <c r="K291" i="12"/>
  <c r="H288" i="12"/>
  <c r="K283" i="12"/>
  <c r="H280" i="12"/>
  <c r="K275" i="12"/>
  <c r="H272" i="12"/>
  <c r="K267" i="12"/>
  <c r="H264" i="12"/>
  <c r="K259" i="12"/>
  <c r="H256" i="12"/>
  <c r="K251" i="12"/>
  <c r="H248" i="12"/>
  <c r="K243" i="12"/>
  <c r="H240" i="12"/>
  <c r="K235" i="12"/>
  <c r="H232" i="12"/>
  <c r="K227" i="12"/>
  <c r="H224" i="12"/>
  <c r="K219" i="12"/>
  <c r="H216" i="12"/>
  <c r="K211" i="12"/>
  <c r="H208" i="12"/>
  <c r="K203" i="12"/>
  <c r="H200" i="12"/>
  <c r="K195" i="12"/>
  <c r="H192" i="12"/>
  <c r="K187" i="12"/>
  <c r="H184" i="12"/>
  <c r="K179" i="12"/>
  <c r="H176" i="12"/>
  <c r="K308" i="12"/>
  <c r="H305" i="12"/>
  <c r="K300" i="12"/>
  <c r="H297" i="12"/>
  <c r="K292" i="12"/>
  <c r="H289" i="12"/>
  <c r="K284" i="12"/>
  <c r="H281" i="12"/>
  <c r="K276" i="12"/>
  <c r="H273" i="12"/>
  <c r="K268" i="12"/>
  <c r="H265" i="12"/>
  <c r="K260" i="12"/>
  <c r="H257" i="12"/>
  <c r="K252" i="12"/>
  <c r="H249" i="12"/>
  <c r="K244" i="12"/>
  <c r="H241" i="12"/>
  <c r="K236" i="12"/>
  <c r="H233" i="12"/>
  <c r="K228" i="12"/>
  <c r="H225" i="12"/>
  <c r="K220" i="12"/>
  <c r="H217" i="12"/>
  <c r="K212" i="12"/>
  <c r="H209" i="12"/>
  <c r="K204" i="12"/>
  <c r="H201" i="12"/>
  <c r="K196" i="12"/>
  <c r="H193" i="12"/>
  <c r="K188" i="12"/>
  <c r="H185" i="12"/>
  <c r="K180" i="12"/>
  <c r="H177" i="12"/>
  <c r="H306" i="12"/>
  <c r="K301" i="12"/>
  <c r="H298" i="12"/>
  <c r="K293" i="12"/>
  <c r="H290" i="12"/>
  <c r="K285" i="12"/>
  <c r="H282" i="12"/>
  <c r="K277" i="12"/>
  <c r="H274" i="12"/>
  <c r="K269" i="12"/>
  <c r="H266" i="12"/>
  <c r="K261" i="12"/>
  <c r="H258" i="12"/>
  <c r="K253" i="12"/>
  <c r="H250" i="12"/>
  <c r="K245" i="12"/>
  <c r="H242" i="12"/>
  <c r="K237" i="12"/>
  <c r="H234" i="12"/>
  <c r="K229" i="12"/>
  <c r="H226" i="12"/>
  <c r="K221" i="12"/>
  <c r="H218" i="12"/>
  <c r="K213" i="12"/>
  <c r="H210" i="12"/>
  <c r="K205" i="12"/>
  <c r="H202" i="12"/>
  <c r="K197" i="12"/>
  <c r="H194" i="12"/>
  <c r="K189" i="12"/>
  <c r="H186" i="12"/>
  <c r="K181" i="12"/>
  <c r="H178" i="12"/>
  <c r="H307" i="12"/>
  <c r="K302" i="12"/>
  <c r="H299" i="12"/>
  <c r="K294" i="12"/>
  <c r="H291" i="12"/>
  <c r="K286" i="12"/>
  <c r="H283" i="12"/>
  <c r="K278" i="12"/>
  <c r="H275" i="12"/>
  <c r="K270" i="12"/>
  <c r="H267" i="12"/>
  <c r="K262" i="12"/>
  <c r="H259" i="12"/>
  <c r="K254" i="12"/>
  <c r="H251" i="12"/>
  <c r="K246" i="12"/>
  <c r="H243" i="12"/>
  <c r="K238" i="12"/>
  <c r="H235" i="12"/>
  <c r="K230" i="12"/>
  <c r="H227" i="12"/>
  <c r="K222" i="12"/>
  <c r="H219" i="12"/>
  <c r="K214" i="12"/>
  <c r="H211" i="12"/>
  <c r="K206" i="12"/>
  <c r="H203" i="12"/>
  <c r="K198" i="12"/>
  <c r="H195" i="12"/>
  <c r="K190" i="12"/>
  <c r="H187" i="12"/>
  <c r="K182" i="12"/>
  <c r="H179" i="12"/>
  <c r="H308" i="12"/>
  <c r="K303" i="12"/>
  <c r="H300" i="12"/>
  <c r="K295" i="12"/>
  <c r="H292" i="12"/>
  <c r="K287" i="12"/>
  <c r="H284" i="12"/>
  <c r="K279" i="12"/>
  <c r="H276" i="12"/>
  <c r="K271" i="12"/>
  <c r="H268" i="12"/>
  <c r="K263" i="12"/>
  <c r="H260" i="12"/>
  <c r="K255" i="12"/>
  <c r="H252" i="12"/>
  <c r="K247" i="12"/>
  <c r="H244" i="12"/>
  <c r="K239" i="12"/>
  <c r="H236" i="12"/>
  <c r="K231" i="12"/>
  <c r="H228" i="12"/>
  <c r="K223" i="12"/>
  <c r="H220" i="12"/>
  <c r="K215" i="12"/>
  <c r="H212" i="12"/>
  <c r="K207" i="12"/>
  <c r="H204" i="12"/>
  <c r="K199" i="12"/>
  <c r="H196" i="12"/>
  <c r="K191" i="12"/>
  <c r="H188" i="12"/>
  <c r="K183" i="12"/>
  <c r="H180" i="12"/>
  <c r="K304" i="12"/>
  <c r="H301" i="12"/>
  <c r="K296" i="12"/>
  <c r="H293" i="12"/>
  <c r="K288" i="12"/>
  <c r="H285" i="12"/>
  <c r="K280" i="12"/>
  <c r="H277" i="12"/>
  <c r="K272" i="12"/>
  <c r="H269" i="12"/>
  <c r="K264" i="12"/>
  <c r="H261" i="12"/>
  <c r="K256" i="12"/>
  <c r="H253" i="12"/>
  <c r="K248" i="12"/>
  <c r="H245" i="12"/>
  <c r="K240" i="12"/>
  <c r="H237" i="12"/>
  <c r="K232" i="12"/>
  <c r="H229" i="12"/>
  <c r="K224" i="12"/>
  <c r="H221" i="12"/>
  <c r="K216" i="12"/>
  <c r="H213" i="12"/>
  <c r="K208" i="12"/>
  <c r="H205" i="12"/>
  <c r="K200" i="12"/>
  <c r="H197" i="12"/>
  <c r="K192" i="12"/>
  <c r="H189" i="12"/>
  <c r="K184" i="12"/>
  <c r="H181" i="12"/>
  <c r="K176" i="12"/>
  <c r="K305" i="12"/>
  <c r="H302" i="12"/>
  <c r="K297" i="12"/>
  <c r="H294" i="12"/>
  <c r="K289" i="12"/>
  <c r="H286" i="12"/>
  <c r="K281" i="12"/>
  <c r="H278" i="12"/>
  <c r="K273" i="12"/>
  <c r="H270" i="12"/>
  <c r="K265" i="12"/>
  <c r="H262" i="12"/>
  <c r="K257" i="12"/>
  <c r="H254" i="12"/>
  <c r="K249" i="12"/>
  <c r="H246" i="12"/>
  <c r="K241" i="12"/>
  <c r="H238" i="12"/>
  <c r="K233" i="12"/>
  <c r="H230" i="12"/>
  <c r="K225" i="12"/>
  <c r="H222" i="12"/>
  <c r="K217" i="12"/>
  <c r="H214" i="12"/>
  <c r="K209" i="12"/>
  <c r="H206" i="12"/>
  <c r="K201" i="12"/>
  <c r="H198" i="12"/>
  <c r="K193" i="12"/>
  <c r="H190" i="12"/>
  <c r="K185" i="12"/>
  <c r="H182" i="12"/>
  <c r="K177" i="12"/>
  <c r="K306" i="12"/>
  <c r="H303" i="12"/>
  <c r="K298" i="12"/>
  <c r="H295" i="12"/>
  <c r="K290" i="12"/>
  <c r="H287" i="12"/>
  <c r="K282" i="12"/>
  <c r="H279" i="12"/>
  <c r="K274" i="12"/>
  <c r="H271" i="12"/>
  <c r="K266" i="12"/>
  <c r="H263" i="12"/>
  <c r="K258" i="12"/>
  <c r="H255" i="12"/>
  <c r="K250" i="12"/>
  <c r="H247" i="12"/>
  <c r="K242" i="12"/>
  <c r="H239" i="12"/>
  <c r="K234" i="12"/>
  <c r="H231" i="12"/>
  <c r="K226" i="12"/>
  <c r="H223" i="12"/>
  <c r="K218" i="12"/>
  <c r="H215" i="12"/>
  <c r="K210" i="12"/>
  <c r="H207" i="12"/>
  <c r="K202" i="12"/>
  <c r="H199" i="12"/>
  <c r="K194" i="12"/>
  <c r="H191" i="12"/>
  <c r="K186" i="12"/>
  <c r="H183" i="12"/>
  <c r="K178" i="12"/>
  <c r="K171" i="12"/>
  <c r="H168" i="12"/>
  <c r="K163" i="12"/>
  <c r="H160" i="12"/>
  <c r="K155" i="12"/>
  <c r="H152" i="12"/>
  <c r="K147" i="12"/>
  <c r="H144" i="12"/>
  <c r="K139" i="12"/>
  <c r="H136" i="12"/>
  <c r="K131" i="12"/>
  <c r="H128" i="12"/>
  <c r="K123" i="12"/>
  <c r="H120" i="12"/>
  <c r="K115" i="12"/>
  <c r="H112" i="12"/>
  <c r="K107" i="12"/>
  <c r="H104" i="12"/>
  <c r="K99" i="12"/>
  <c r="H96" i="12"/>
  <c r="K91" i="12"/>
  <c r="H88" i="12"/>
  <c r="K83" i="12"/>
  <c r="H80" i="12"/>
  <c r="K75" i="12"/>
  <c r="H72" i="12"/>
  <c r="K67" i="12"/>
  <c r="H64" i="12"/>
  <c r="K59" i="12"/>
  <c r="H56" i="12"/>
  <c r="K51" i="12"/>
  <c r="H48" i="12"/>
  <c r="K43" i="12"/>
  <c r="K172" i="12"/>
  <c r="H169" i="12"/>
  <c r="K164" i="12"/>
  <c r="H161" i="12"/>
  <c r="K156" i="12"/>
  <c r="H153" i="12"/>
  <c r="K148" i="12"/>
  <c r="H145" i="12"/>
  <c r="K140" i="12"/>
  <c r="H137" i="12"/>
  <c r="K132" i="12"/>
  <c r="H129" i="12"/>
  <c r="K124" i="12"/>
  <c r="H121" i="12"/>
  <c r="K116" i="12"/>
  <c r="H113" i="12"/>
  <c r="K108" i="12"/>
  <c r="H105" i="12"/>
  <c r="K100" i="12"/>
  <c r="H97" i="12"/>
  <c r="K92" i="12"/>
  <c r="H89" i="12"/>
  <c r="K84" i="12"/>
  <c r="H81" i="12"/>
  <c r="K76" i="12"/>
  <c r="H73" i="12"/>
  <c r="K68" i="12"/>
  <c r="H65" i="12"/>
  <c r="K60" i="12"/>
  <c r="H57" i="12"/>
  <c r="K52" i="12"/>
  <c r="H49" i="12"/>
  <c r="K44" i="12"/>
  <c r="K173" i="12"/>
  <c r="H170" i="12"/>
  <c r="K165" i="12"/>
  <c r="H162" i="12"/>
  <c r="K157" i="12"/>
  <c r="H154" i="12"/>
  <c r="K149" i="12"/>
  <c r="H146" i="12"/>
  <c r="K141" i="12"/>
  <c r="H138" i="12"/>
  <c r="K133" i="12"/>
  <c r="H130" i="12"/>
  <c r="K125" i="12"/>
  <c r="H122" i="12"/>
  <c r="K117" i="12"/>
  <c r="H114" i="12"/>
  <c r="K109" i="12"/>
  <c r="H106" i="12"/>
  <c r="K101" i="12"/>
  <c r="H98" i="12"/>
  <c r="K93" i="12"/>
  <c r="H90" i="12"/>
  <c r="K85" i="12"/>
  <c r="H82" i="12"/>
  <c r="K77" i="12"/>
  <c r="H74" i="12"/>
  <c r="K69" i="12"/>
  <c r="H66" i="12"/>
  <c r="K61" i="12"/>
  <c r="H58" i="12"/>
  <c r="K174" i="12"/>
  <c r="H171" i="12"/>
  <c r="K166" i="12"/>
  <c r="H163" i="12"/>
  <c r="K158" i="12"/>
  <c r="H155" i="12"/>
  <c r="K150" i="12"/>
  <c r="H147" i="12"/>
  <c r="K142" i="12"/>
  <c r="H139" i="12"/>
  <c r="K134" i="12"/>
  <c r="H131" i="12"/>
  <c r="K126" i="12"/>
  <c r="H123" i="12"/>
  <c r="K118" i="12"/>
  <c r="H115" i="12"/>
  <c r="K110" i="12"/>
  <c r="H107" i="12"/>
  <c r="K102" i="12"/>
  <c r="H99" i="12"/>
  <c r="K94" i="12"/>
  <c r="H91" i="12"/>
  <c r="K86" i="12"/>
  <c r="H83" i="12"/>
  <c r="K78" i="12"/>
  <c r="H75" i="12"/>
  <c r="K70" i="12"/>
  <c r="H67" i="12"/>
  <c r="K62" i="12"/>
  <c r="H59" i="12"/>
  <c r="K54" i="12"/>
  <c r="H51" i="12"/>
  <c r="K46" i="12"/>
  <c r="H43" i="12"/>
  <c r="K175" i="12"/>
  <c r="H172" i="12"/>
  <c r="K167" i="12"/>
  <c r="H164" i="12"/>
  <c r="K159" i="12"/>
  <c r="H156" i="12"/>
  <c r="K151" i="12"/>
  <c r="H148" i="12"/>
  <c r="K143" i="12"/>
  <c r="H140" i="12"/>
  <c r="K135" i="12"/>
  <c r="H132" i="12"/>
  <c r="K127" i="12"/>
  <c r="H124" i="12"/>
  <c r="K119" i="12"/>
  <c r="H116" i="12"/>
  <c r="K111" i="12"/>
  <c r="H108" i="12"/>
  <c r="K103" i="12"/>
  <c r="H100" i="12"/>
  <c r="K95" i="12"/>
  <c r="H92" i="12"/>
  <c r="K87" i="12"/>
  <c r="H84" i="12"/>
  <c r="K79" i="12"/>
  <c r="H76" i="12"/>
  <c r="K71" i="12"/>
  <c r="H68" i="12"/>
  <c r="K63" i="12"/>
  <c r="H60" i="12"/>
  <c r="K55" i="12"/>
  <c r="H52" i="12"/>
  <c r="K47" i="12"/>
  <c r="H44" i="12"/>
  <c r="H173" i="12"/>
  <c r="K168" i="12"/>
  <c r="H165" i="12"/>
  <c r="K160" i="12"/>
  <c r="H157" i="12"/>
  <c r="K152" i="12"/>
  <c r="H149" i="12"/>
  <c r="K144" i="12"/>
  <c r="H141" i="12"/>
  <c r="K136" i="12"/>
  <c r="H133" i="12"/>
  <c r="K128" i="12"/>
  <c r="H125" i="12"/>
  <c r="K120" i="12"/>
  <c r="H117" i="12"/>
  <c r="K112" i="12"/>
  <c r="H109" i="12"/>
  <c r="K104" i="12"/>
  <c r="H101" i="12"/>
  <c r="K96" i="12"/>
  <c r="H93" i="12"/>
  <c r="K88" i="12"/>
  <c r="H85" i="12"/>
  <c r="K80" i="12"/>
  <c r="H77" i="12"/>
  <c r="K72" i="12"/>
  <c r="H69" i="12"/>
  <c r="K64" i="12"/>
  <c r="H61" i="12"/>
  <c r="H175" i="12"/>
  <c r="K170" i="12"/>
  <c r="H167" i="12"/>
  <c r="K162" i="12"/>
  <c r="H159" i="12"/>
  <c r="K154" i="12"/>
  <c r="H151" i="12"/>
  <c r="K146" i="12"/>
  <c r="H143" i="12"/>
  <c r="K138" i="12"/>
  <c r="H135" i="12"/>
  <c r="K130" i="12"/>
  <c r="H127" i="12"/>
  <c r="K122" i="12"/>
  <c r="H119" i="12"/>
  <c r="K114" i="12"/>
  <c r="H111" i="12"/>
  <c r="K106" i="12"/>
  <c r="H103" i="12"/>
  <c r="K98" i="12"/>
  <c r="H95" i="12"/>
  <c r="K90" i="12"/>
  <c r="H87" i="12"/>
  <c r="K82" i="12"/>
  <c r="H79" i="12"/>
  <c r="K74" i="12"/>
  <c r="H71" i="12"/>
  <c r="K66" i="12"/>
  <c r="H63" i="12"/>
  <c r="K58" i="12"/>
  <c r="H55" i="12"/>
  <c r="K50" i="12"/>
  <c r="H47" i="12"/>
  <c r="H158" i="12"/>
  <c r="K121" i="12"/>
  <c r="H94" i="12"/>
  <c r="K57" i="12"/>
  <c r="K53" i="12"/>
  <c r="H45" i="12"/>
  <c r="K40" i="12"/>
  <c r="H37" i="12"/>
  <c r="K32" i="12"/>
  <c r="H29" i="12"/>
  <c r="K24" i="12"/>
  <c r="H21" i="12"/>
  <c r="K16" i="12"/>
  <c r="H13" i="12"/>
  <c r="K145" i="12"/>
  <c r="H118" i="12"/>
  <c r="K81" i="12"/>
  <c r="H53" i="12"/>
  <c r="K41" i="12"/>
  <c r="H38" i="12"/>
  <c r="K33" i="12"/>
  <c r="H30" i="12"/>
  <c r="K25" i="12"/>
  <c r="H22" i="12"/>
  <c r="K17" i="12"/>
  <c r="H14" i="12"/>
  <c r="K169" i="12"/>
  <c r="H142" i="12"/>
  <c r="K105" i="12"/>
  <c r="H78" i="12"/>
  <c r="H39" i="12"/>
  <c r="K34" i="12"/>
  <c r="H31" i="12"/>
  <c r="K26" i="12"/>
  <c r="H23" i="12"/>
  <c r="K18" i="12"/>
  <c r="H15" i="12"/>
  <c r="H166" i="12"/>
  <c r="K129" i="12"/>
  <c r="H102" i="12"/>
  <c r="K65" i="12"/>
  <c r="K48" i="12"/>
  <c r="K42" i="12"/>
  <c r="H40" i="12"/>
  <c r="K35" i="12"/>
  <c r="H32" i="12"/>
  <c r="K27" i="12"/>
  <c r="H24" i="12"/>
  <c r="K19" i="12"/>
  <c r="H16" i="12"/>
  <c r="K11" i="12"/>
  <c r="K153" i="12"/>
  <c r="H126" i="12"/>
  <c r="K89" i="12"/>
  <c r="H62" i="12"/>
  <c r="K56" i="12"/>
  <c r="H50" i="12"/>
  <c r="H46" i="12"/>
  <c r="H41" i="12"/>
  <c r="K36" i="12"/>
  <c r="H33" i="12"/>
  <c r="K28" i="12"/>
  <c r="H25" i="12"/>
  <c r="K20" i="12"/>
  <c r="H17" i="12"/>
  <c r="K12" i="12"/>
  <c r="H150" i="12"/>
  <c r="K113" i="12"/>
  <c r="H86" i="12"/>
  <c r="H54" i="12"/>
  <c r="H42" i="12"/>
  <c r="K37" i="12"/>
  <c r="H34" i="12"/>
  <c r="K29" i="12"/>
  <c r="H26" i="12"/>
  <c r="K21" i="12"/>
  <c r="H18" i="12"/>
  <c r="K13" i="12"/>
  <c r="H174" i="12"/>
  <c r="K137" i="12"/>
  <c r="H110" i="12"/>
  <c r="K73" i="12"/>
  <c r="K38" i="12"/>
  <c r="H35" i="12"/>
  <c r="K30" i="12"/>
  <c r="H27" i="12"/>
  <c r="K22" i="12"/>
  <c r="H19" i="12"/>
  <c r="K14" i="12"/>
  <c r="H11" i="12"/>
  <c r="K161" i="12"/>
  <c r="H134" i="12"/>
  <c r="K97" i="12"/>
  <c r="H70" i="12"/>
  <c r="K49" i="12"/>
  <c r="K45" i="12"/>
  <c r="K39" i="12"/>
  <c r="H36" i="12"/>
  <c r="K31" i="12"/>
  <c r="H28" i="12"/>
  <c r="K23" i="12"/>
  <c r="H20" i="12"/>
  <c r="K15" i="12"/>
  <c r="H12" i="12"/>
  <c r="I305" i="12"/>
  <c r="I297" i="12"/>
  <c r="I289" i="12"/>
  <c r="I281" i="12"/>
  <c r="I273" i="12"/>
  <c r="I265" i="12"/>
  <c r="I257" i="12"/>
  <c r="I249" i="12"/>
  <c r="I241" i="12"/>
  <c r="I233" i="12"/>
  <c r="I225" i="12"/>
  <c r="I217" i="12"/>
  <c r="I209" i="12"/>
  <c r="I201" i="12"/>
  <c r="I193" i="12"/>
  <c r="I185" i="12"/>
  <c r="I177" i="12"/>
  <c r="I306" i="12"/>
  <c r="I298" i="12"/>
  <c r="I290" i="12"/>
  <c r="I282" i="12"/>
  <c r="I274" i="12"/>
  <c r="I266" i="12"/>
  <c r="I258" i="12"/>
  <c r="I250" i="12"/>
  <c r="I242" i="12"/>
  <c r="I234" i="12"/>
  <c r="I226" i="12"/>
  <c r="I218" i="12"/>
  <c r="I210" i="12"/>
  <c r="I202" i="12"/>
  <c r="I194" i="12"/>
  <c r="I186" i="12"/>
  <c r="I178" i="12"/>
  <c r="I307" i="12"/>
  <c r="I299" i="12"/>
  <c r="I291" i="12"/>
  <c r="I283" i="12"/>
  <c r="I275" i="12"/>
  <c r="I267" i="12"/>
  <c r="I259" i="12"/>
  <c r="I251" i="12"/>
  <c r="I243" i="12"/>
  <c r="I235" i="12"/>
  <c r="I227" i="12"/>
  <c r="I219" i="12"/>
  <c r="I211" i="12"/>
  <c r="I203" i="12"/>
  <c r="I195" i="12"/>
  <c r="I187" i="12"/>
  <c r="I179" i="12"/>
  <c r="I308" i="12"/>
  <c r="I300" i="12"/>
  <c r="I292" i="12"/>
  <c r="I284" i="12"/>
  <c r="I276" i="12"/>
  <c r="I268" i="12"/>
  <c r="I260" i="12"/>
  <c r="I252" i="12"/>
  <c r="I244" i="12"/>
  <c r="I236" i="12"/>
  <c r="I228" i="12"/>
  <c r="I220" i="12"/>
  <c r="I212" i="12"/>
  <c r="I204" i="12"/>
  <c r="I196" i="12"/>
  <c r="I188" i="12"/>
  <c r="I180" i="12"/>
  <c r="I301" i="12"/>
  <c r="I293" i="12"/>
  <c r="I285" i="12"/>
  <c r="I277" i="12"/>
  <c r="I269" i="12"/>
  <c r="I261" i="12"/>
  <c r="I253" i="12"/>
  <c r="I245" i="12"/>
  <c r="I237" i="12"/>
  <c r="I229" i="12"/>
  <c r="I221" i="12"/>
  <c r="I213" i="12"/>
  <c r="I205" i="12"/>
  <c r="I197" i="12"/>
  <c r="I189" i="12"/>
  <c r="I181" i="12"/>
  <c r="I302" i="12"/>
  <c r="I294" i="12"/>
  <c r="I286" i="12"/>
  <c r="I278" i="12"/>
  <c r="I270" i="12"/>
  <c r="I262" i="12"/>
  <c r="I254" i="12"/>
  <c r="I246" i="12"/>
  <c r="I238" i="12"/>
  <c r="I230" i="12"/>
  <c r="I222" i="12"/>
  <c r="I214" i="12"/>
  <c r="I206" i="12"/>
  <c r="I198" i="12"/>
  <c r="I190" i="12"/>
  <c r="I182" i="12"/>
  <c r="I303" i="12"/>
  <c r="I295" i="12"/>
  <c r="I287" i="12"/>
  <c r="I279" i="12"/>
  <c r="I271" i="12"/>
  <c r="I263" i="12"/>
  <c r="I255" i="12"/>
  <c r="I247" i="12"/>
  <c r="I239" i="12"/>
  <c r="I231" i="12"/>
  <c r="I223" i="12"/>
  <c r="I215" i="12"/>
  <c r="I207" i="12"/>
  <c r="I199" i="12"/>
  <c r="I191" i="12"/>
  <c r="I183" i="12"/>
  <c r="I304" i="12"/>
  <c r="I296" i="12"/>
  <c r="I288" i="12"/>
  <c r="I280" i="12"/>
  <c r="I272" i="12"/>
  <c r="I264" i="12"/>
  <c r="I256" i="12"/>
  <c r="I248" i="12"/>
  <c r="I240" i="12"/>
  <c r="I232" i="12"/>
  <c r="I224" i="12"/>
  <c r="I216" i="12"/>
  <c r="I208" i="12"/>
  <c r="I200" i="12"/>
  <c r="I192" i="12"/>
  <c r="I184" i="12"/>
  <c r="I176" i="12"/>
  <c r="I169" i="12"/>
  <c r="I161" i="12"/>
  <c r="I153" i="12"/>
  <c r="I145" i="12"/>
  <c r="I137" i="12"/>
  <c r="I129" i="12"/>
  <c r="I121" i="12"/>
  <c r="I113" i="12"/>
  <c r="I105" i="12"/>
  <c r="I97" i="12"/>
  <c r="I89" i="12"/>
  <c r="I81" i="12"/>
  <c r="I73" i="12"/>
  <c r="I65" i="12"/>
  <c r="I57" i="12"/>
  <c r="I49" i="12"/>
  <c r="I170" i="12"/>
  <c r="I162" i="12"/>
  <c r="I154" i="12"/>
  <c r="I146" i="12"/>
  <c r="I138" i="12"/>
  <c r="I130" i="12"/>
  <c r="I122" i="12"/>
  <c r="I114" i="12"/>
  <c r="I106" i="12"/>
  <c r="I98" i="12"/>
  <c r="I90" i="12"/>
  <c r="I82" i="12"/>
  <c r="I74" i="12"/>
  <c r="I66" i="12"/>
  <c r="I58" i="12"/>
  <c r="I50" i="12"/>
  <c r="I42" i="12"/>
  <c r="I171" i="12"/>
  <c r="I163" i="12"/>
  <c r="I155" i="12"/>
  <c r="I147" i="12"/>
  <c r="I139" i="12"/>
  <c r="I131" i="12"/>
  <c r="I123" i="12"/>
  <c r="I115" i="12"/>
  <c r="I107" i="12"/>
  <c r="I99" i="12"/>
  <c r="I91" i="12"/>
  <c r="I83" i="12"/>
  <c r="I75" i="12"/>
  <c r="I67" i="12"/>
  <c r="I59" i="12"/>
  <c r="I172" i="12"/>
  <c r="I164" i="12"/>
  <c r="I156" i="12"/>
  <c r="I148" i="12"/>
  <c r="I140" i="12"/>
  <c r="I132" i="12"/>
  <c r="I124" i="12"/>
  <c r="I116" i="12"/>
  <c r="I108" i="12"/>
  <c r="I100" i="12"/>
  <c r="I92" i="12"/>
  <c r="I84" i="12"/>
  <c r="I76" i="12"/>
  <c r="I68" i="12"/>
  <c r="I60" i="12"/>
  <c r="I52" i="12"/>
  <c r="I44" i="12"/>
  <c r="I173" i="12"/>
  <c r="I165" i="12"/>
  <c r="I157" i="12"/>
  <c r="I149" i="12"/>
  <c r="I141" i="12"/>
  <c r="I133" i="12"/>
  <c r="I125" i="12"/>
  <c r="I117" i="12"/>
  <c r="I109" i="12"/>
  <c r="I101" i="12"/>
  <c r="I93" i="12"/>
  <c r="I85" i="12"/>
  <c r="I77" i="12"/>
  <c r="I69" i="12"/>
  <c r="I61" i="12"/>
  <c r="I53" i="12"/>
  <c r="I45" i="12"/>
  <c r="I174" i="12"/>
  <c r="I166" i="12"/>
  <c r="I158" i="12"/>
  <c r="I150" i="12"/>
  <c r="I142" i="12"/>
  <c r="I134" i="12"/>
  <c r="I126" i="12"/>
  <c r="I118" i="12"/>
  <c r="I110" i="12"/>
  <c r="I102" i="12"/>
  <c r="I94" i="12"/>
  <c r="I86" i="12"/>
  <c r="I78" i="12"/>
  <c r="I70" i="12"/>
  <c r="I62" i="12"/>
  <c r="I168" i="12"/>
  <c r="I160" i="12"/>
  <c r="I152" i="12"/>
  <c r="I144" i="12"/>
  <c r="I136" i="12"/>
  <c r="I128" i="12"/>
  <c r="I120" i="12"/>
  <c r="I112" i="12"/>
  <c r="I104" i="12"/>
  <c r="I96" i="12"/>
  <c r="I88" i="12"/>
  <c r="I80" i="12"/>
  <c r="I72" i="12"/>
  <c r="I64" i="12"/>
  <c r="I56" i="12"/>
  <c r="I48" i="12"/>
  <c r="I167" i="12"/>
  <c r="I103" i="12"/>
  <c r="I47" i="12"/>
  <c r="I43" i="12"/>
  <c r="I38" i="12"/>
  <c r="I30" i="12"/>
  <c r="I22" i="12"/>
  <c r="I14" i="12"/>
  <c r="I127" i="12"/>
  <c r="I63" i="12"/>
  <c r="I55" i="12"/>
  <c r="I51" i="12"/>
  <c r="I39" i="12"/>
  <c r="I31" i="12"/>
  <c r="I23" i="12"/>
  <c r="I15" i="12"/>
  <c r="I151" i="12"/>
  <c r="I87" i="12"/>
  <c r="I40" i="12"/>
  <c r="I32" i="12"/>
  <c r="I24" i="12"/>
  <c r="I16" i="12"/>
  <c r="I175" i="12"/>
  <c r="I111" i="12"/>
  <c r="I46" i="12"/>
  <c r="I41" i="12"/>
  <c r="I33" i="12"/>
  <c r="I25" i="12"/>
  <c r="I17" i="12"/>
  <c r="I135" i="12"/>
  <c r="I71" i="12"/>
  <c r="I54" i="12"/>
  <c r="I34" i="12"/>
  <c r="I26" i="12"/>
  <c r="I18" i="12"/>
  <c r="I159" i="12"/>
  <c r="I95" i="12"/>
  <c r="I35" i="12"/>
  <c r="I27" i="12"/>
  <c r="I19" i="12"/>
  <c r="I11" i="12"/>
  <c r="I119" i="12"/>
  <c r="I36" i="12"/>
  <c r="I28" i="12"/>
  <c r="I20" i="12"/>
  <c r="I12" i="12"/>
  <c r="I143" i="12"/>
  <c r="I79" i="12"/>
  <c r="I37" i="12"/>
  <c r="I29" i="12"/>
  <c r="I21" i="12"/>
  <c r="I13" i="12"/>
  <c r="K307" i="11"/>
  <c r="H304" i="11"/>
  <c r="K299" i="11"/>
  <c r="H296" i="11"/>
  <c r="K291" i="11"/>
  <c r="H288" i="11"/>
  <c r="K283" i="11"/>
  <c r="H280" i="11"/>
  <c r="K275" i="11"/>
  <c r="H272" i="11"/>
  <c r="K267" i="11"/>
  <c r="H264" i="11"/>
  <c r="K259" i="11"/>
  <c r="H256" i="11"/>
  <c r="K251" i="11"/>
  <c r="H248" i="11"/>
  <c r="K243" i="11"/>
  <c r="H240" i="11"/>
  <c r="K235" i="11"/>
  <c r="H232" i="11"/>
  <c r="K227" i="11"/>
  <c r="H224" i="11"/>
  <c r="K219" i="11"/>
  <c r="H216" i="11"/>
  <c r="K211" i="11"/>
  <c r="H208" i="11"/>
  <c r="K203" i="11"/>
  <c r="H200" i="11"/>
  <c r="K195" i="11"/>
  <c r="H192" i="11"/>
  <c r="K187" i="11"/>
  <c r="H184" i="11"/>
  <c r="K179" i="11"/>
  <c r="H176" i="11"/>
  <c r="K308" i="11"/>
  <c r="H305" i="11"/>
  <c r="K300" i="11"/>
  <c r="H297" i="11"/>
  <c r="K292" i="11"/>
  <c r="H289" i="11"/>
  <c r="K284" i="11"/>
  <c r="H281" i="11"/>
  <c r="K276" i="11"/>
  <c r="H273" i="11"/>
  <c r="K268" i="11"/>
  <c r="H265" i="11"/>
  <c r="K260" i="11"/>
  <c r="H257" i="11"/>
  <c r="K252" i="11"/>
  <c r="H249" i="11"/>
  <c r="K244" i="11"/>
  <c r="H241" i="11"/>
  <c r="K236" i="11"/>
  <c r="H233" i="11"/>
  <c r="K228" i="11"/>
  <c r="H225" i="11"/>
  <c r="K220" i="11"/>
  <c r="H217" i="11"/>
  <c r="K212" i="11"/>
  <c r="H209" i="11"/>
  <c r="K204" i="11"/>
  <c r="H201" i="11"/>
  <c r="K196" i="11"/>
  <c r="H193" i="11"/>
  <c r="K188" i="11"/>
  <c r="H185" i="11"/>
  <c r="K180" i="11"/>
  <c r="H177" i="11"/>
  <c r="H306" i="11"/>
  <c r="K301" i="11"/>
  <c r="H298" i="11"/>
  <c r="K293" i="11"/>
  <c r="H290" i="11"/>
  <c r="K285" i="11"/>
  <c r="H282" i="11"/>
  <c r="K277" i="11"/>
  <c r="H274" i="11"/>
  <c r="K269" i="11"/>
  <c r="H266" i="11"/>
  <c r="K261" i="11"/>
  <c r="H258" i="11"/>
  <c r="K253" i="11"/>
  <c r="H250" i="11"/>
  <c r="K245" i="11"/>
  <c r="H242" i="11"/>
  <c r="K237" i="11"/>
  <c r="H234" i="11"/>
  <c r="K229" i="11"/>
  <c r="H226" i="11"/>
  <c r="K221" i="11"/>
  <c r="H218" i="11"/>
  <c r="K213" i="11"/>
  <c r="H210" i="11"/>
  <c r="K205" i="11"/>
  <c r="H202" i="11"/>
  <c r="K197" i="11"/>
  <c r="H194" i="11"/>
  <c r="K189" i="11"/>
  <c r="H186" i="11"/>
  <c r="K181" i="11"/>
  <c r="H178" i="11"/>
  <c r="H307" i="11"/>
  <c r="K302" i="11"/>
  <c r="H299" i="11"/>
  <c r="K294" i="11"/>
  <c r="H291" i="11"/>
  <c r="K286" i="11"/>
  <c r="H283" i="11"/>
  <c r="K278" i="11"/>
  <c r="H275" i="11"/>
  <c r="K270" i="11"/>
  <c r="H267" i="11"/>
  <c r="K262" i="11"/>
  <c r="H259" i="11"/>
  <c r="K254" i="11"/>
  <c r="H251" i="11"/>
  <c r="K246" i="11"/>
  <c r="H243" i="11"/>
  <c r="K238" i="11"/>
  <c r="H235" i="11"/>
  <c r="K230" i="11"/>
  <c r="H227" i="11"/>
  <c r="K222" i="11"/>
  <c r="H219" i="11"/>
  <c r="K214" i="11"/>
  <c r="H211" i="11"/>
  <c r="K206" i="11"/>
  <c r="H203" i="11"/>
  <c r="K198" i="11"/>
  <c r="H195" i="11"/>
  <c r="K190" i="11"/>
  <c r="H187" i="11"/>
  <c r="K182" i="11"/>
  <c r="H179" i="11"/>
  <c r="H308" i="11"/>
  <c r="K303" i="11"/>
  <c r="H300" i="11"/>
  <c r="K295" i="11"/>
  <c r="H292" i="11"/>
  <c r="K287" i="11"/>
  <c r="H284" i="11"/>
  <c r="K279" i="11"/>
  <c r="H276" i="11"/>
  <c r="K271" i="11"/>
  <c r="H268" i="11"/>
  <c r="K263" i="11"/>
  <c r="H260" i="11"/>
  <c r="K255" i="11"/>
  <c r="H252" i="11"/>
  <c r="K247" i="11"/>
  <c r="H244" i="11"/>
  <c r="K239" i="11"/>
  <c r="H236" i="11"/>
  <c r="K231" i="11"/>
  <c r="H228" i="11"/>
  <c r="K223" i="11"/>
  <c r="H220" i="11"/>
  <c r="K215" i="11"/>
  <c r="H212" i="11"/>
  <c r="K207" i="11"/>
  <c r="H204" i="11"/>
  <c r="K199" i="11"/>
  <c r="H196" i="11"/>
  <c r="K191" i="11"/>
  <c r="H188" i="11"/>
  <c r="K183" i="11"/>
  <c r="H180" i="11"/>
  <c r="K304" i="11"/>
  <c r="H301" i="11"/>
  <c r="K296" i="11"/>
  <c r="H293" i="11"/>
  <c r="K288" i="11"/>
  <c r="H285" i="11"/>
  <c r="K280" i="11"/>
  <c r="H277" i="11"/>
  <c r="K272" i="11"/>
  <c r="H269" i="11"/>
  <c r="K264" i="11"/>
  <c r="H261" i="11"/>
  <c r="K256" i="11"/>
  <c r="H253" i="11"/>
  <c r="K248" i="11"/>
  <c r="H245" i="11"/>
  <c r="K240" i="11"/>
  <c r="H237" i="11"/>
  <c r="K232" i="11"/>
  <c r="H229" i="11"/>
  <c r="K224" i="11"/>
  <c r="H221" i="11"/>
  <c r="K216" i="11"/>
  <c r="H213" i="11"/>
  <c r="K208" i="11"/>
  <c r="H205" i="11"/>
  <c r="K200" i="11"/>
  <c r="H197" i="11"/>
  <c r="K192" i="11"/>
  <c r="H189" i="11"/>
  <c r="K184" i="11"/>
  <c r="H181" i="11"/>
  <c r="K305" i="11"/>
  <c r="H302" i="11"/>
  <c r="K297" i="11"/>
  <c r="H294" i="11"/>
  <c r="K289" i="11"/>
  <c r="H286" i="11"/>
  <c r="K281" i="11"/>
  <c r="H278" i="11"/>
  <c r="K273" i="11"/>
  <c r="H270" i="11"/>
  <c r="K265" i="11"/>
  <c r="H262" i="11"/>
  <c r="K257" i="11"/>
  <c r="H254" i="11"/>
  <c r="K249" i="11"/>
  <c r="H246" i="11"/>
  <c r="K241" i="11"/>
  <c r="H238" i="11"/>
  <c r="K233" i="11"/>
  <c r="H230" i="11"/>
  <c r="K225" i="11"/>
  <c r="H222" i="11"/>
  <c r="K217" i="11"/>
  <c r="H214" i="11"/>
  <c r="K209" i="11"/>
  <c r="H206" i="11"/>
  <c r="K201" i="11"/>
  <c r="H198" i="11"/>
  <c r="K193" i="11"/>
  <c r="H190" i="11"/>
  <c r="K185" i="11"/>
  <c r="H182" i="11"/>
  <c r="K177" i="11"/>
  <c r="H174" i="11"/>
  <c r="H287" i="11"/>
  <c r="K250" i="11"/>
  <c r="H223" i="11"/>
  <c r="K186" i="11"/>
  <c r="K171" i="11"/>
  <c r="H168" i="11"/>
  <c r="K163" i="11"/>
  <c r="H160" i="11"/>
  <c r="K155" i="11"/>
  <c r="H152" i="11"/>
  <c r="K147" i="11"/>
  <c r="H144" i="11"/>
  <c r="K139" i="11"/>
  <c r="H136" i="11"/>
  <c r="K131" i="11"/>
  <c r="H128" i="11"/>
  <c r="K123" i="11"/>
  <c r="H120" i="11"/>
  <c r="K115" i="11"/>
  <c r="H112" i="11"/>
  <c r="K107" i="11"/>
  <c r="H104" i="11"/>
  <c r="K99" i="11"/>
  <c r="H96" i="11"/>
  <c r="K91" i="11"/>
  <c r="H88" i="11"/>
  <c r="K83" i="11"/>
  <c r="H80" i="11"/>
  <c r="K75" i="11"/>
  <c r="H72" i="11"/>
  <c r="K67" i="11"/>
  <c r="H64" i="11"/>
  <c r="K274" i="11"/>
  <c r="H247" i="11"/>
  <c r="K210" i="11"/>
  <c r="H183" i="11"/>
  <c r="H175" i="11"/>
  <c r="K172" i="11"/>
  <c r="H169" i="11"/>
  <c r="K164" i="11"/>
  <c r="H161" i="11"/>
  <c r="K156" i="11"/>
  <c r="H153" i="11"/>
  <c r="K148" i="11"/>
  <c r="H145" i="11"/>
  <c r="K140" i="11"/>
  <c r="H137" i="11"/>
  <c r="K132" i="11"/>
  <c r="H129" i="11"/>
  <c r="K124" i="11"/>
  <c r="H121" i="11"/>
  <c r="K116" i="11"/>
  <c r="H113" i="11"/>
  <c r="K108" i="11"/>
  <c r="H105" i="11"/>
  <c r="K100" i="11"/>
  <c r="H97" i="11"/>
  <c r="K92" i="11"/>
  <c r="H89" i="11"/>
  <c r="K84" i="11"/>
  <c r="H81" i="11"/>
  <c r="K76" i="11"/>
  <c r="H73" i="11"/>
  <c r="K68" i="11"/>
  <c r="H65" i="11"/>
  <c r="K60" i="11"/>
  <c r="K298" i="11"/>
  <c r="H271" i="11"/>
  <c r="K234" i="11"/>
  <c r="H207" i="11"/>
  <c r="K173" i="11"/>
  <c r="H170" i="11"/>
  <c r="K165" i="11"/>
  <c r="H162" i="11"/>
  <c r="K157" i="11"/>
  <c r="H154" i="11"/>
  <c r="K149" i="11"/>
  <c r="H146" i="11"/>
  <c r="K141" i="11"/>
  <c r="H138" i="11"/>
  <c r="K133" i="11"/>
  <c r="H130" i="11"/>
  <c r="K125" i="11"/>
  <c r="H122" i="11"/>
  <c r="K117" i="11"/>
  <c r="H114" i="11"/>
  <c r="K109" i="11"/>
  <c r="H106" i="11"/>
  <c r="K101" i="11"/>
  <c r="H98" i="11"/>
  <c r="K93" i="11"/>
  <c r="H90" i="11"/>
  <c r="K85" i="11"/>
  <c r="H82" i="11"/>
  <c r="K77" i="11"/>
  <c r="H74" i="11"/>
  <c r="K69" i="11"/>
  <c r="H66" i="11"/>
  <c r="H295" i="11"/>
  <c r="K258" i="11"/>
  <c r="H231" i="11"/>
  <c r="K194" i="11"/>
  <c r="K176" i="11"/>
  <c r="H171" i="11"/>
  <c r="K166" i="11"/>
  <c r="H163" i="11"/>
  <c r="K158" i="11"/>
  <c r="H155" i="11"/>
  <c r="K150" i="11"/>
  <c r="H147" i="11"/>
  <c r="K142" i="11"/>
  <c r="H139" i="11"/>
  <c r="K134" i="11"/>
  <c r="H131" i="11"/>
  <c r="K126" i="11"/>
  <c r="H123" i="11"/>
  <c r="K118" i="11"/>
  <c r="H115" i="11"/>
  <c r="K110" i="11"/>
  <c r="H107" i="11"/>
  <c r="K102" i="11"/>
  <c r="H99" i="11"/>
  <c r="K94" i="11"/>
  <c r="H91" i="11"/>
  <c r="K86" i="11"/>
  <c r="H83" i="11"/>
  <c r="K78" i="11"/>
  <c r="H75" i="11"/>
  <c r="K70" i="11"/>
  <c r="H67" i="11"/>
  <c r="K282" i="11"/>
  <c r="H255" i="11"/>
  <c r="K218" i="11"/>
  <c r="H191" i="11"/>
  <c r="K174" i="11"/>
  <c r="H172" i="11"/>
  <c r="K167" i="11"/>
  <c r="H164" i="11"/>
  <c r="K159" i="11"/>
  <c r="H156" i="11"/>
  <c r="K151" i="11"/>
  <c r="H148" i="11"/>
  <c r="K143" i="11"/>
  <c r="H140" i="11"/>
  <c r="K135" i="11"/>
  <c r="H132" i="11"/>
  <c r="K127" i="11"/>
  <c r="H124" i="11"/>
  <c r="K119" i="11"/>
  <c r="H116" i="11"/>
  <c r="K111" i="11"/>
  <c r="H108" i="11"/>
  <c r="K103" i="11"/>
  <c r="H100" i="11"/>
  <c r="K95" i="11"/>
  <c r="H92" i="11"/>
  <c r="K87" i="11"/>
  <c r="H84" i="11"/>
  <c r="K79" i="11"/>
  <c r="H76" i="11"/>
  <c r="K71" i="11"/>
  <c r="H68" i="11"/>
  <c r="K63" i="11"/>
  <c r="H60" i="11"/>
  <c r="K306" i="11"/>
  <c r="H279" i="11"/>
  <c r="K242" i="11"/>
  <c r="H215" i="11"/>
  <c r="K178" i="11"/>
  <c r="H173" i="11"/>
  <c r="K168" i="11"/>
  <c r="H165" i="11"/>
  <c r="K160" i="11"/>
  <c r="H157" i="11"/>
  <c r="K152" i="11"/>
  <c r="H149" i="11"/>
  <c r="K144" i="11"/>
  <c r="H141" i="11"/>
  <c r="K136" i="11"/>
  <c r="H133" i="11"/>
  <c r="K128" i="11"/>
  <c r="H125" i="11"/>
  <c r="K120" i="11"/>
  <c r="H117" i="11"/>
  <c r="K112" i="11"/>
  <c r="H109" i="11"/>
  <c r="K104" i="11"/>
  <c r="H101" i="11"/>
  <c r="K96" i="11"/>
  <c r="H93" i="11"/>
  <c r="K88" i="11"/>
  <c r="H85" i="11"/>
  <c r="K80" i="11"/>
  <c r="H77" i="11"/>
  <c r="K72" i="11"/>
  <c r="H69" i="11"/>
  <c r="H303" i="11"/>
  <c r="K266" i="11"/>
  <c r="H239" i="11"/>
  <c r="K202" i="11"/>
  <c r="K169" i="11"/>
  <c r="H166" i="11"/>
  <c r="K161" i="11"/>
  <c r="H158" i="11"/>
  <c r="K153" i="11"/>
  <c r="H150" i="11"/>
  <c r="K145" i="11"/>
  <c r="H142" i="11"/>
  <c r="K137" i="11"/>
  <c r="H134" i="11"/>
  <c r="K129" i="11"/>
  <c r="H126" i="11"/>
  <c r="K121" i="11"/>
  <c r="H118" i="11"/>
  <c r="K113" i="11"/>
  <c r="H110" i="11"/>
  <c r="K105" i="11"/>
  <c r="H102" i="11"/>
  <c r="K97" i="11"/>
  <c r="H94" i="11"/>
  <c r="K89" i="11"/>
  <c r="H86" i="11"/>
  <c r="K81" i="11"/>
  <c r="H78" i="11"/>
  <c r="K73" i="11"/>
  <c r="H70" i="11"/>
  <c r="K65" i="11"/>
  <c r="H62" i="11"/>
  <c r="K146" i="11"/>
  <c r="H119" i="11"/>
  <c r="K82" i="11"/>
  <c r="K64" i="11"/>
  <c r="K62" i="11"/>
  <c r="H58" i="11"/>
  <c r="K53" i="11"/>
  <c r="H50" i="11"/>
  <c r="K45" i="11"/>
  <c r="H42" i="11"/>
  <c r="K37" i="11"/>
  <c r="H34" i="11"/>
  <c r="K29" i="11"/>
  <c r="H26" i="11"/>
  <c r="K21" i="11"/>
  <c r="H18" i="11"/>
  <c r="K13" i="11"/>
  <c r="H10" i="11"/>
  <c r="H71" i="11"/>
  <c r="H56" i="11"/>
  <c r="K51" i="11"/>
  <c r="H16" i="11"/>
  <c r="K170" i="11"/>
  <c r="H143" i="11"/>
  <c r="K106" i="11"/>
  <c r="H79" i="11"/>
  <c r="K54" i="11"/>
  <c r="H51" i="11"/>
  <c r="K46" i="11"/>
  <c r="H43" i="11"/>
  <c r="K38" i="11"/>
  <c r="H35" i="11"/>
  <c r="K30" i="11"/>
  <c r="H27" i="11"/>
  <c r="K22" i="11"/>
  <c r="H19" i="11"/>
  <c r="K14" i="11"/>
  <c r="H11" i="11"/>
  <c r="K98" i="11"/>
  <c r="K226" i="11"/>
  <c r="H167" i="11"/>
  <c r="K130" i="11"/>
  <c r="H103" i="11"/>
  <c r="K66" i="11"/>
  <c r="H59" i="11"/>
  <c r="K55" i="11"/>
  <c r="H52" i="11"/>
  <c r="K47" i="11"/>
  <c r="H44" i="11"/>
  <c r="K39" i="11"/>
  <c r="H36" i="11"/>
  <c r="K31" i="11"/>
  <c r="H28" i="11"/>
  <c r="K23" i="11"/>
  <c r="H20" i="11"/>
  <c r="K15" i="11"/>
  <c r="H12" i="11"/>
  <c r="H263" i="11"/>
  <c r="H135" i="11"/>
  <c r="H199" i="11"/>
  <c r="K154" i="11"/>
  <c r="H127" i="11"/>
  <c r="K90" i="11"/>
  <c r="K56" i="11"/>
  <c r="H53" i="11"/>
  <c r="K48" i="11"/>
  <c r="H45" i="11"/>
  <c r="K40" i="11"/>
  <c r="H37" i="11"/>
  <c r="K32" i="11"/>
  <c r="H29" i="11"/>
  <c r="K24" i="11"/>
  <c r="H21" i="11"/>
  <c r="K16" i="11"/>
  <c r="H13" i="11"/>
  <c r="K162" i="11"/>
  <c r="K19" i="11"/>
  <c r="H151" i="11"/>
  <c r="K114" i="11"/>
  <c r="H87" i="11"/>
  <c r="K57" i="11"/>
  <c r="H54" i="11"/>
  <c r="K49" i="11"/>
  <c r="H46" i="11"/>
  <c r="K41" i="11"/>
  <c r="H38" i="11"/>
  <c r="K33" i="11"/>
  <c r="H30" i="11"/>
  <c r="K25" i="11"/>
  <c r="H22" i="11"/>
  <c r="K17" i="11"/>
  <c r="H14" i="11"/>
  <c r="H48" i="11"/>
  <c r="K290" i="11"/>
  <c r="K175" i="11"/>
  <c r="K138" i="11"/>
  <c r="H111" i="11"/>
  <c r="K74" i="11"/>
  <c r="H63" i="11"/>
  <c r="K61" i="11"/>
  <c r="K58" i="11"/>
  <c r="H55" i="11"/>
  <c r="K50" i="11"/>
  <c r="H47" i="11"/>
  <c r="K42" i="11"/>
  <c r="H39" i="11"/>
  <c r="K34" i="11"/>
  <c r="H31" i="11"/>
  <c r="K26" i="11"/>
  <c r="H23" i="11"/>
  <c r="K18" i="11"/>
  <c r="H15" i="11"/>
  <c r="K10" i="11"/>
  <c r="H40" i="11"/>
  <c r="K35" i="11"/>
  <c r="H24" i="11"/>
  <c r="H159" i="11"/>
  <c r="K122" i="11"/>
  <c r="H95" i="11"/>
  <c r="H61" i="11"/>
  <c r="K59" i="11"/>
  <c r="H57" i="11"/>
  <c r="K52" i="11"/>
  <c r="H49" i="11"/>
  <c r="K44" i="11"/>
  <c r="H41" i="11"/>
  <c r="K36" i="11"/>
  <c r="H33" i="11"/>
  <c r="K28" i="11"/>
  <c r="H25" i="11"/>
  <c r="K20" i="11"/>
  <c r="H17" i="11"/>
  <c r="K12" i="11"/>
  <c r="K43" i="11"/>
  <c r="H32" i="11"/>
  <c r="K27" i="11"/>
  <c r="K11" i="11"/>
  <c r="I305" i="11"/>
  <c r="I297" i="11"/>
  <c r="I289" i="11"/>
  <c r="I281" i="11"/>
  <c r="I273" i="11"/>
  <c r="I265" i="11"/>
  <c r="I257" i="11"/>
  <c r="I249" i="11"/>
  <c r="I241" i="11"/>
  <c r="I233" i="11"/>
  <c r="I225" i="11"/>
  <c r="I217" i="11"/>
  <c r="I209" i="11"/>
  <c r="I201" i="11"/>
  <c r="I193" i="11"/>
  <c r="I185" i="11"/>
  <c r="I177" i="11"/>
  <c r="I306" i="11"/>
  <c r="I298" i="11"/>
  <c r="I290" i="11"/>
  <c r="I282" i="11"/>
  <c r="I274" i="11"/>
  <c r="I266" i="11"/>
  <c r="I258" i="11"/>
  <c r="I250" i="11"/>
  <c r="I242" i="11"/>
  <c r="I234" i="11"/>
  <c r="I226" i="11"/>
  <c r="I218" i="11"/>
  <c r="I210" i="11"/>
  <c r="I202" i="11"/>
  <c r="I194" i="11"/>
  <c r="I186" i="11"/>
  <c r="I178" i="11"/>
  <c r="I307" i="11"/>
  <c r="I299" i="11"/>
  <c r="I291" i="11"/>
  <c r="I283" i="11"/>
  <c r="I275" i="11"/>
  <c r="I267" i="11"/>
  <c r="I259" i="11"/>
  <c r="I251" i="11"/>
  <c r="I243" i="11"/>
  <c r="I235" i="11"/>
  <c r="I227" i="11"/>
  <c r="I219" i="11"/>
  <c r="I211" i="11"/>
  <c r="I203" i="11"/>
  <c r="I195" i="11"/>
  <c r="I187" i="11"/>
  <c r="I179" i="11"/>
  <c r="I308" i="11"/>
  <c r="I300" i="11"/>
  <c r="I292" i="11"/>
  <c r="I284" i="11"/>
  <c r="I276" i="11"/>
  <c r="I268" i="11"/>
  <c r="I260" i="11"/>
  <c r="I252" i="11"/>
  <c r="I244" i="11"/>
  <c r="I236" i="11"/>
  <c r="I228" i="11"/>
  <c r="I220" i="11"/>
  <c r="I212" i="11"/>
  <c r="I204" i="11"/>
  <c r="I196" i="11"/>
  <c r="I188" i="11"/>
  <c r="I180" i="11"/>
  <c r="I301" i="11"/>
  <c r="I293" i="11"/>
  <c r="I285" i="11"/>
  <c r="I277" i="11"/>
  <c r="I269" i="11"/>
  <c r="I261" i="11"/>
  <c r="I253" i="11"/>
  <c r="I245" i="11"/>
  <c r="I237" i="11"/>
  <c r="I229" i="11"/>
  <c r="I221" i="11"/>
  <c r="I213" i="11"/>
  <c r="I205" i="11"/>
  <c r="I197" i="11"/>
  <c r="I189" i="11"/>
  <c r="I181" i="11"/>
  <c r="I302" i="11"/>
  <c r="I294" i="11"/>
  <c r="I286" i="11"/>
  <c r="I278" i="11"/>
  <c r="I270" i="11"/>
  <c r="I262" i="11"/>
  <c r="I254" i="11"/>
  <c r="I246" i="11"/>
  <c r="I238" i="11"/>
  <c r="I230" i="11"/>
  <c r="I222" i="11"/>
  <c r="I214" i="11"/>
  <c r="I206" i="11"/>
  <c r="I198" i="11"/>
  <c r="I190" i="11"/>
  <c r="I182" i="11"/>
  <c r="I303" i="11"/>
  <c r="I295" i="11"/>
  <c r="I287" i="11"/>
  <c r="I279" i="11"/>
  <c r="I271" i="11"/>
  <c r="I263" i="11"/>
  <c r="I255" i="11"/>
  <c r="I247" i="11"/>
  <c r="I239" i="11"/>
  <c r="I231" i="11"/>
  <c r="I223" i="11"/>
  <c r="I215" i="11"/>
  <c r="I207" i="11"/>
  <c r="I199" i="11"/>
  <c r="I191" i="11"/>
  <c r="I183" i="11"/>
  <c r="I175" i="11"/>
  <c r="I296" i="11"/>
  <c r="I232" i="11"/>
  <c r="I169" i="11"/>
  <c r="I161" i="11"/>
  <c r="I153" i="11"/>
  <c r="I145" i="11"/>
  <c r="I137" i="11"/>
  <c r="I129" i="11"/>
  <c r="I121" i="11"/>
  <c r="I113" i="11"/>
  <c r="I105" i="11"/>
  <c r="I97" i="11"/>
  <c r="I89" i="11"/>
  <c r="I81" i="11"/>
  <c r="I73" i="11"/>
  <c r="I65" i="11"/>
  <c r="I256" i="11"/>
  <c r="I192" i="11"/>
  <c r="I170" i="11"/>
  <c r="I162" i="11"/>
  <c r="I154" i="11"/>
  <c r="I146" i="11"/>
  <c r="I138" i="11"/>
  <c r="I130" i="11"/>
  <c r="I122" i="11"/>
  <c r="I114" i="11"/>
  <c r="I106" i="11"/>
  <c r="I98" i="11"/>
  <c r="I90" i="11"/>
  <c r="I82" i="11"/>
  <c r="I74" i="11"/>
  <c r="I66" i="11"/>
  <c r="I280" i="11"/>
  <c r="I216" i="11"/>
  <c r="I171" i="11"/>
  <c r="I163" i="11"/>
  <c r="I155" i="11"/>
  <c r="I147" i="11"/>
  <c r="I139" i="11"/>
  <c r="I131" i="11"/>
  <c r="I123" i="11"/>
  <c r="I115" i="11"/>
  <c r="I107" i="11"/>
  <c r="I99" i="11"/>
  <c r="I91" i="11"/>
  <c r="I83" i="11"/>
  <c r="I75" i="11"/>
  <c r="I67" i="11"/>
  <c r="I304" i="11"/>
  <c r="I240" i="11"/>
  <c r="I172" i="11"/>
  <c r="I164" i="11"/>
  <c r="I156" i="11"/>
  <c r="I148" i="11"/>
  <c r="I140" i="11"/>
  <c r="I132" i="11"/>
  <c r="I124" i="11"/>
  <c r="I116" i="11"/>
  <c r="I108" i="11"/>
  <c r="I100" i="11"/>
  <c r="I92" i="11"/>
  <c r="I84" i="11"/>
  <c r="I76" i="11"/>
  <c r="I68" i="11"/>
  <c r="I264" i="11"/>
  <c r="I200" i="11"/>
  <c r="I176" i="11"/>
  <c r="I173" i="11"/>
  <c r="I165" i="11"/>
  <c r="I157" i="11"/>
  <c r="I149" i="11"/>
  <c r="I141" i="11"/>
  <c r="I133" i="11"/>
  <c r="I125" i="11"/>
  <c r="I117" i="11"/>
  <c r="I109" i="11"/>
  <c r="I101" i="11"/>
  <c r="I93" i="11"/>
  <c r="I85" i="11"/>
  <c r="I77" i="11"/>
  <c r="I69" i="11"/>
  <c r="I61" i="11"/>
  <c r="I288" i="11"/>
  <c r="I224" i="11"/>
  <c r="I166" i="11"/>
  <c r="I158" i="11"/>
  <c r="I150" i="11"/>
  <c r="I142" i="11"/>
  <c r="I134" i="11"/>
  <c r="I126" i="11"/>
  <c r="I118" i="11"/>
  <c r="I110" i="11"/>
  <c r="I102" i="11"/>
  <c r="I94" i="11"/>
  <c r="I86" i="11"/>
  <c r="I78" i="11"/>
  <c r="I70" i="11"/>
  <c r="I248" i="11"/>
  <c r="I184" i="11"/>
  <c r="I174" i="11"/>
  <c r="I167" i="11"/>
  <c r="I159" i="11"/>
  <c r="I151" i="11"/>
  <c r="I143" i="11"/>
  <c r="I135" i="11"/>
  <c r="I127" i="11"/>
  <c r="I119" i="11"/>
  <c r="I111" i="11"/>
  <c r="I103" i="11"/>
  <c r="I95" i="11"/>
  <c r="I87" i="11"/>
  <c r="I79" i="11"/>
  <c r="I71" i="11"/>
  <c r="I63" i="11"/>
  <c r="I208" i="11"/>
  <c r="I128" i="11"/>
  <c r="I51" i="11"/>
  <c r="I43" i="11"/>
  <c r="I35" i="11"/>
  <c r="I27" i="11"/>
  <c r="I19" i="11"/>
  <c r="I11" i="11"/>
  <c r="I152" i="11"/>
  <c r="I88" i="11"/>
  <c r="I64" i="11"/>
  <c r="I62" i="11"/>
  <c r="I59" i="11"/>
  <c r="I52" i="11"/>
  <c r="I44" i="11"/>
  <c r="I36" i="11"/>
  <c r="I28" i="11"/>
  <c r="I20" i="11"/>
  <c r="I12" i="11"/>
  <c r="I144" i="11"/>
  <c r="I57" i="11"/>
  <c r="I112" i="11"/>
  <c r="I53" i="11"/>
  <c r="I45" i="11"/>
  <c r="I37" i="11"/>
  <c r="I29" i="11"/>
  <c r="I21" i="11"/>
  <c r="I13" i="11"/>
  <c r="I41" i="11"/>
  <c r="I33" i="11"/>
  <c r="I272" i="11"/>
  <c r="I136" i="11"/>
  <c r="I72" i="11"/>
  <c r="I60" i="11"/>
  <c r="I54" i="11"/>
  <c r="I46" i="11"/>
  <c r="I38" i="11"/>
  <c r="I30" i="11"/>
  <c r="I22" i="11"/>
  <c r="I14" i="11"/>
  <c r="I80" i="11"/>
  <c r="I25" i="11"/>
  <c r="I160" i="11"/>
  <c r="I96" i="11"/>
  <c r="I55" i="11"/>
  <c r="I47" i="11"/>
  <c r="I39" i="11"/>
  <c r="I31" i="11"/>
  <c r="I23" i="11"/>
  <c r="I15" i="11"/>
  <c r="I120" i="11"/>
  <c r="I56" i="11"/>
  <c r="I48" i="11"/>
  <c r="I40" i="11"/>
  <c r="I32" i="11"/>
  <c r="I24" i="11"/>
  <c r="I16" i="11"/>
  <c r="I49" i="11"/>
  <c r="I17" i="11"/>
  <c r="I168" i="11"/>
  <c r="I104" i="11"/>
  <c r="I58" i="11"/>
  <c r="I50" i="11"/>
  <c r="I42" i="11"/>
  <c r="I34" i="11"/>
  <c r="I26" i="11"/>
  <c r="I18" i="11"/>
  <c r="I10" i="11"/>
  <c r="I305" i="10"/>
  <c r="I297" i="10"/>
  <c r="I289" i="10"/>
  <c r="I281" i="10"/>
  <c r="I273" i="10"/>
  <c r="I265" i="10"/>
  <c r="I257" i="10"/>
  <c r="I249" i="10"/>
  <c r="I241" i="10"/>
  <c r="I233" i="10"/>
  <c r="I225" i="10"/>
  <c r="I217" i="10"/>
  <c r="I209" i="10"/>
  <c r="I201" i="10"/>
  <c r="I193" i="10"/>
  <c r="I185" i="10"/>
  <c r="I177" i="10"/>
  <c r="I306" i="10"/>
  <c r="I298" i="10"/>
  <c r="I290" i="10"/>
  <c r="I282" i="10"/>
  <c r="I274" i="10"/>
  <c r="I266" i="10"/>
  <c r="I258" i="10"/>
  <c r="I250" i="10"/>
  <c r="I307" i="10"/>
  <c r="I299" i="10"/>
  <c r="I291" i="10"/>
  <c r="I283" i="10"/>
  <c r="I275" i="10"/>
  <c r="I267" i="10"/>
  <c r="I259" i="10"/>
  <c r="I251" i="10"/>
  <c r="I243" i="10"/>
  <c r="I235" i="10"/>
  <c r="I227" i="10"/>
  <c r="I219" i="10"/>
  <c r="I211" i="10"/>
  <c r="I203" i="10"/>
  <c r="I195" i="10"/>
  <c r="I187" i="10"/>
  <c r="I179" i="10"/>
  <c r="I308" i="10"/>
  <c r="I300" i="10"/>
  <c r="I292" i="10"/>
  <c r="I284" i="10"/>
  <c r="I276" i="10"/>
  <c r="I268" i="10"/>
  <c r="I260" i="10"/>
  <c r="I252" i="10"/>
  <c r="I301" i="10"/>
  <c r="I293" i="10"/>
  <c r="I285" i="10"/>
  <c r="I277" i="10"/>
  <c r="I269" i="10"/>
  <c r="I261" i="10"/>
  <c r="I253" i="10"/>
  <c r="I245" i="10"/>
  <c r="I237" i="10"/>
  <c r="I229" i="10"/>
  <c r="I221" i="10"/>
  <c r="I213" i="10"/>
  <c r="I205" i="10"/>
  <c r="I197" i="10"/>
  <c r="I189" i="10"/>
  <c r="I181" i="10"/>
  <c r="I302" i="10"/>
  <c r="I294" i="10"/>
  <c r="I286" i="10"/>
  <c r="I278" i="10"/>
  <c r="I270" i="10"/>
  <c r="I262" i="10"/>
  <c r="I254" i="10"/>
  <c r="I246" i="10"/>
  <c r="I238" i="10"/>
  <c r="I230" i="10"/>
  <c r="I222" i="10"/>
  <c r="I214" i="10"/>
  <c r="I206" i="10"/>
  <c r="I198" i="10"/>
  <c r="I190" i="10"/>
  <c r="I182" i="10"/>
  <c r="I303" i="10"/>
  <c r="I295" i="10"/>
  <c r="I287" i="10"/>
  <c r="I279" i="10"/>
  <c r="I271" i="10"/>
  <c r="I263" i="10"/>
  <c r="I255" i="10"/>
  <c r="I247" i="10"/>
  <c r="I239" i="10"/>
  <c r="I231" i="10"/>
  <c r="I223" i="10"/>
  <c r="I215" i="10"/>
  <c r="I207" i="10"/>
  <c r="I199" i="10"/>
  <c r="I191" i="10"/>
  <c r="I183" i="10"/>
  <c r="I175" i="10"/>
  <c r="I296" i="10"/>
  <c r="I204" i="10"/>
  <c r="I202" i="10"/>
  <c r="I200" i="10"/>
  <c r="I174" i="10"/>
  <c r="I166" i="10"/>
  <c r="I158" i="10"/>
  <c r="I150" i="10"/>
  <c r="I142" i="10"/>
  <c r="I134" i="10"/>
  <c r="I126" i="10"/>
  <c r="I118" i="10"/>
  <c r="I110" i="10"/>
  <c r="I102" i="10"/>
  <c r="I94" i="10"/>
  <c r="I86" i="10"/>
  <c r="I78" i="10"/>
  <c r="I256" i="10"/>
  <c r="I212" i="10"/>
  <c r="I210" i="10"/>
  <c r="I208" i="10"/>
  <c r="I167" i="10"/>
  <c r="I159" i="10"/>
  <c r="I151" i="10"/>
  <c r="I143" i="10"/>
  <c r="I135" i="10"/>
  <c r="I127" i="10"/>
  <c r="I119" i="10"/>
  <c r="I111" i="10"/>
  <c r="I103" i="10"/>
  <c r="I95" i="10"/>
  <c r="I87" i="10"/>
  <c r="I79" i="10"/>
  <c r="I280" i="10"/>
  <c r="I220" i="10"/>
  <c r="I218" i="10"/>
  <c r="I216" i="10"/>
  <c r="I168" i="10"/>
  <c r="I160" i="10"/>
  <c r="I152" i="10"/>
  <c r="I144" i="10"/>
  <c r="I136" i="10"/>
  <c r="I128" i="10"/>
  <c r="I120" i="10"/>
  <c r="I112" i="10"/>
  <c r="I104" i="10"/>
  <c r="I96" i="10"/>
  <c r="I88" i="10"/>
  <c r="I80" i="10"/>
  <c r="I304" i="10"/>
  <c r="I228" i="10"/>
  <c r="I226" i="10"/>
  <c r="I224" i="10"/>
  <c r="I169" i="10"/>
  <c r="I161" i="10"/>
  <c r="I153" i="10"/>
  <c r="I145" i="10"/>
  <c r="I137" i="10"/>
  <c r="I129" i="10"/>
  <c r="I121" i="10"/>
  <c r="I113" i="10"/>
  <c r="I105" i="10"/>
  <c r="I97" i="10"/>
  <c r="I89" i="10"/>
  <c r="I264" i="10"/>
  <c r="I236" i="10"/>
  <c r="I234" i="10"/>
  <c r="I232" i="10"/>
  <c r="I170" i="10"/>
  <c r="I162" i="10"/>
  <c r="I154" i="10"/>
  <c r="I146" i="10"/>
  <c r="I138" i="10"/>
  <c r="I130" i="10"/>
  <c r="I122" i="10"/>
  <c r="I114" i="10"/>
  <c r="I106" i="10"/>
  <c r="I98" i="10"/>
  <c r="I90" i="10"/>
  <c r="I82" i="10"/>
  <c r="I288" i="10"/>
  <c r="I244" i="10"/>
  <c r="I242" i="10"/>
  <c r="I240" i="10"/>
  <c r="I180" i="10"/>
  <c r="I178" i="10"/>
  <c r="I171" i="10"/>
  <c r="I163" i="10"/>
  <c r="I155" i="10"/>
  <c r="I147" i="10"/>
  <c r="I139" i="10"/>
  <c r="I131" i="10"/>
  <c r="I123" i="10"/>
  <c r="I115" i="10"/>
  <c r="I107" i="10"/>
  <c r="I99" i="10"/>
  <c r="I91" i="10"/>
  <c r="I83" i="10"/>
  <c r="I272" i="10"/>
  <c r="I248" i="10"/>
  <c r="I196" i="10"/>
  <c r="I194" i="10"/>
  <c r="I192" i="10"/>
  <c r="I173" i="10"/>
  <c r="I165" i="10"/>
  <c r="I157" i="10"/>
  <c r="I149" i="10"/>
  <c r="I141" i="10"/>
  <c r="I133" i="10"/>
  <c r="I125" i="10"/>
  <c r="I117" i="10"/>
  <c r="I109" i="10"/>
  <c r="I101" i="10"/>
  <c r="I93" i="10"/>
  <c r="I85" i="10"/>
  <c r="I148" i="10"/>
  <c r="I84" i="10"/>
  <c r="I75" i="10"/>
  <c r="I67" i="10"/>
  <c r="I59" i="10"/>
  <c r="I51" i="10"/>
  <c r="I43" i="10"/>
  <c r="I35" i="10"/>
  <c r="I27" i="10"/>
  <c r="I19" i="10"/>
  <c r="I11" i="10"/>
  <c r="I100" i="10"/>
  <c r="I188" i="10"/>
  <c r="I172" i="10"/>
  <c r="I108" i="10"/>
  <c r="I68" i="10"/>
  <c r="I60" i="10"/>
  <c r="I52" i="10"/>
  <c r="I44" i="10"/>
  <c r="I36" i="10"/>
  <c r="I28" i="10"/>
  <c r="I20" i="10"/>
  <c r="I12" i="10"/>
  <c r="I132" i="10"/>
  <c r="I76" i="10"/>
  <c r="I69" i="10"/>
  <c r="I61" i="10"/>
  <c r="I53" i="10"/>
  <c r="I45" i="10"/>
  <c r="I37" i="10"/>
  <c r="I29" i="10"/>
  <c r="I21" i="10"/>
  <c r="I13" i="10"/>
  <c r="I73" i="10"/>
  <c r="I41" i="10"/>
  <c r="I184" i="10"/>
  <c r="I156" i="10"/>
  <c r="I92" i="10"/>
  <c r="I81" i="10"/>
  <c r="I70" i="10"/>
  <c r="I62" i="10"/>
  <c r="I54" i="10"/>
  <c r="I46" i="10"/>
  <c r="I38" i="10"/>
  <c r="I30" i="10"/>
  <c r="I22" i="10"/>
  <c r="I14" i="10"/>
  <c r="I176" i="10"/>
  <c r="I116" i="10"/>
  <c r="I71" i="10"/>
  <c r="I63" i="10"/>
  <c r="I55" i="10"/>
  <c r="I47" i="10"/>
  <c r="I39" i="10"/>
  <c r="I31" i="10"/>
  <c r="I23" i="10"/>
  <c r="I15" i="10"/>
  <c r="I57" i="10"/>
  <c r="I49" i="10"/>
  <c r="I140" i="10"/>
  <c r="I77" i="10"/>
  <c r="I72" i="10"/>
  <c r="I64" i="10"/>
  <c r="I56" i="10"/>
  <c r="I48" i="10"/>
  <c r="I40" i="10"/>
  <c r="I32" i="10"/>
  <c r="I24" i="10"/>
  <c r="I16" i="10"/>
  <c r="I65" i="10"/>
  <c r="I25" i="10"/>
  <c r="I124" i="10"/>
  <c r="I74" i="10"/>
  <c r="I66" i="10"/>
  <c r="I58" i="10"/>
  <c r="I50" i="10"/>
  <c r="I42" i="10"/>
  <c r="I34" i="10"/>
  <c r="I26" i="10"/>
  <c r="I18" i="10"/>
  <c r="I186" i="10"/>
  <c r="I164" i="10"/>
  <c r="I33" i="10"/>
  <c r="I17" i="10"/>
  <c r="K307" i="10"/>
  <c r="H304" i="10"/>
  <c r="K299" i="10"/>
  <c r="H296" i="10"/>
  <c r="K291" i="10"/>
  <c r="H288" i="10"/>
  <c r="K283" i="10"/>
  <c r="H280" i="10"/>
  <c r="K275" i="10"/>
  <c r="H272" i="10"/>
  <c r="K267" i="10"/>
  <c r="H264" i="10"/>
  <c r="K259" i="10"/>
  <c r="H256" i="10"/>
  <c r="K251" i="10"/>
  <c r="H248" i="10"/>
  <c r="K243" i="10"/>
  <c r="H240" i="10"/>
  <c r="K235" i="10"/>
  <c r="H232" i="10"/>
  <c r="K227" i="10"/>
  <c r="H224" i="10"/>
  <c r="K219" i="10"/>
  <c r="H216" i="10"/>
  <c r="K211" i="10"/>
  <c r="H208" i="10"/>
  <c r="K203" i="10"/>
  <c r="H200" i="10"/>
  <c r="K195" i="10"/>
  <c r="H192" i="10"/>
  <c r="K187" i="10"/>
  <c r="H184" i="10"/>
  <c r="K179" i="10"/>
  <c r="H176" i="10"/>
  <c r="K308" i="10"/>
  <c r="H305" i="10"/>
  <c r="K300" i="10"/>
  <c r="H297" i="10"/>
  <c r="K292" i="10"/>
  <c r="H289" i="10"/>
  <c r="K284" i="10"/>
  <c r="H281" i="10"/>
  <c r="K276" i="10"/>
  <c r="H273" i="10"/>
  <c r="K268" i="10"/>
  <c r="H265" i="10"/>
  <c r="K260" i="10"/>
  <c r="H257" i="10"/>
  <c r="K252" i="10"/>
  <c r="H249" i="10"/>
  <c r="H306" i="10"/>
  <c r="K301" i="10"/>
  <c r="H298" i="10"/>
  <c r="K293" i="10"/>
  <c r="H290" i="10"/>
  <c r="K285" i="10"/>
  <c r="H282" i="10"/>
  <c r="K277" i="10"/>
  <c r="H274" i="10"/>
  <c r="K269" i="10"/>
  <c r="H266" i="10"/>
  <c r="K261" i="10"/>
  <c r="H258" i="10"/>
  <c r="K253" i="10"/>
  <c r="H250" i="10"/>
  <c r="K245" i="10"/>
  <c r="H242" i="10"/>
  <c r="K237" i="10"/>
  <c r="H234" i="10"/>
  <c r="K229" i="10"/>
  <c r="H226" i="10"/>
  <c r="K221" i="10"/>
  <c r="H218" i="10"/>
  <c r="K213" i="10"/>
  <c r="H210" i="10"/>
  <c r="K205" i="10"/>
  <c r="H202" i="10"/>
  <c r="K197" i="10"/>
  <c r="H194" i="10"/>
  <c r="K189" i="10"/>
  <c r="H186" i="10"/>
  <c r="K181" i="10"/>
  <c r="H178" i="10"/>
  <c r="H307" i="10"/>
  <c r="K302" i="10"/>
  <c r="H299" i="10"/>
  <c r="K294" i="10"/>
  <c r="H291" i="10"/>
  <c r="K286" i="10"/>
  <c r="H283" i="10"/>
  <c r="K278" i="10"/>
  <c r="H275" i="10"/>
  <c r="K270" i="10"/>
  <c r="H267" i="10"/>
  <c r="K262" i="10"/>
  <c r="H259" i="10"/>
  <c r="K254" i="10"/>
  <c r="H251" i="10"/>
  <c r="H308" i="10"/>
  <c r="K303" i="10"/>
  <c r="H300" i="10"/>
  <c r="K295" i="10"/>
  <c r="H292" i="10"/>
  <c r="K287" i="10"/>
  <c r="H284" i="10"/>
  <c r="K279" i="10"/>
  <c r="H276" i="10"/>
  <c r="K271" i="10"/>
  <c r="H268" i="10"/>
  <c r="K263" i="10"/>
  <c r="H260" i="10"/>
  <c r="K255" i="10"/>
  <c r="H252" i="10"/>
  <c r="K247" i="10"/>
  <c r="H244" i="10"/>
  <c r="K239" i="10"/>
  <c r="H236" i="10"/>
  <c r="K231" i="10"/>
  <c r="H228" i="10"/>
  <c r="K223" i="10"/>
  <c r="H220" i="10"/>
  <c r="K215" i="10"/>
  <c r="H212" i="10"/>
  <c r="K207" i="10"/>
  <c r="H204" i="10"/>
  <c r="K199" i="10"/>
  <c r="H196" i="10"/>
  <c r="K191" i="10"/>
  <c r="H188" i="10"/>
  <c r="K183" i="10"/>
  <c r="H180" i="10"/>
  <c r="K304" i="10"/>
  <c r="H301" i="10"/>
  <c r="K296" i="10"/>
  <c r="H293" i="10"/>
  <c r="K288" i="10"/>
  <c r="H285" i="10"/>
  <c r="K280" i="10"/>
  <c r="H277" i="10"/>
  <c r="K272" i="10"/>
  <c r="H269" i="10"/>
  <c r="K264" i="10"/>
  <c r="H261" i="10"/>
  <c r="K256" i="10"/>
  <c r="H253" i="10"/>
  <c r="K248" i="10"/>
  <c r="H245" i="10"/>
  <c r="K240" i="10"/>
  <c r="H237" i="10"/>
  <c r="K232" i="10"/>
  <c r="H229" i="10"/>
  <c r="K224" i="10"/>
  <c r="H221" i="10"/>
  <c r="K216" i="10"/>
  <c r="H213" i="10"/>
  <c r="K208" i="10"/>
  <c r="H205" i="10"/>
  <c r="K200" i="10"/>
  <c r="H197" i="10"/>
  <c r="K192" i="10"/>
  <c r="H189" i="10"/>
  <c r="K184" i="10"/>
  <c r="H181" i="10"/>
  <c r="K176" i="10"/>
  <c r="K305" i="10"/>
  <c r="H302" i="10"/>
  <c r="K297" i="10"/>
  <c r="H294" i="10"/>
  <c r="K289" i="10"/>
  <c r="H286" i="10"/>
  <c r="K281" i="10"/>
  <c r="H278" i="10"/>
  <c r="K273" i="10"/>
  <c r="H270" i="10"/>
  <c r="K265" i="10"/>
  <c r="H262" i="10"/>
  <c r="K257" i="10"/>
  <c r="H254" i="10"/>
  <c r="K249" i="10"/>
  <c r="H246" i="10"/>
  <c r="K241" i="10"/>
  <c r="H238" i="10"/>
  <c r="K233" i="10"/>
  <c r="H230" i="10"/>
  <c r="K225" i="10"/>
  <c r="H222" i="10"/>
  <c r="K217" i="10"/>
  <c r="H214" i="10"/>
  <c r="K209" i="10"/>
  <c r="H206" i="10"/>
  <c r="K201" i="10"/>
  <c r="H198" i="10"/>
  <c r="K193" i="10"/>
  <c r="H190" i="10"/>
  <c r="K185" i="10"/>
  <c r="H182" i="10"/>
  <c r="K177" i="10"/>
  <c r="H287" i="10"/>
  <c r="K250" i="10"/>
  <c r="H235" i="10"/>
  <c r="H231" i="10"/>
  <c r="H225" i="10"/>
  <c r="K212" i="10"/>
  <c r="K210" i="10"/>
  <c r="K206" i="10"/>
  <c r="H173" i="10"/>
  <c r="K168" i="10"/>
  <c r="H165" i="10"/>
  <c r="K160" i="10"/>
  <c r="H157" i="10"/>
  <c r="K152" i="10"/>
  <c r="H149" i="10"/>
  <c r="K144" i="10"/>
  <c r="H141" i="10"/>
  <c r="K136" i="10"/>
  <c r="H133" i="10"/>
  <c r="K128" i="10"/>
  <c r="H125" i="10"/>
  <c r="K120" i="10"/>
  <c r="H117" i="10"/>
  <c r="K112" i="10"/>
  <c r="H109" i="10"/>
  <c r="K104" i="10"/>
  <c r="H101" i="10"/>
  <c r="K96" i="10"/>
  <c r="H93" i="10"/>
  <c r="K88" i="10"/>
  <c r="H85" i="10"/>
  <c r="K80" i="10"/>
  <c r="H77" i="10"/>
  <c r="K274" i="10"/>
  <c r="H243" i="10"/>
  <c r="H239" i="10"/>
  <c r="H233" i="10"/>
  <c r="K220" i="10"/>
  <c r="K218" i="10"/>
  <c r="K214" i="10"/>
  <c r="H179" i="10"/>
  <c r="H174" i="10"/>
  <c r="K169" i="10"/>
  <c r="H166" i="10"/>
  <c r="K161" i="10"/>
  <c r="H158" i="10"/>
  <c r="K153" i="10"/>
  <c r="H150" i="10"/>
  <c r="K145" i="10"/>
  <c r="H142" i="10"/>
  <c r="K137" i="10"/>
  <c r="H134" i="10"/>
  <c r="K129" i="10"/>
  <c r="H126" i="10"/>
  <c r="K121" i="10"/>
  <c r="H118" i="10"/>
  <c r="K113" i="10"/>
  <c r="H110" i="10"/>
  <c r="K105" i="10"/>
  <c r="H102" i="10"/>
  <c r="K97" i="10"/>
  <c r="H94" i="10"/>
  <c r="K89" i="10"/>
  <c r="H86" i="10"/>
  <c r="K81" i="10"/>
  <c r="H78" i="10"/>
  <c r="K298" i="10"/>
  <c r="H271" i="10"/>
  <c r="H247" i="10"/>
  <c r="H241" i="10"/>
  <c r="K228" i="10"/>
  <c r="K226" i="10"/>
  <c r="K222" i="10"/>
  <c r="H187" i="10"/>
  <c r="H183" i="10"/>
  <c r="H177" i="10"/>
  <c r="K175" i="10"/>
  <c r="K170" i="10"/>
  <c r="H167" i="10"/>
  <c r="K162" i="10"/>
  <c r="H159" i="10"/>
  <c r="K154" i="10"/>
  <c r="H151" i="10"/>
  <c r="K146" i="10"/>
  <c r="H143" i="10"/>
  <c r="K138" i="10"/>
  <c r="H135" i="10"/>
  <c r="K130" i="10"/>
  <c r="H127" i="10"/>
  <c r="K122" i="10"/>
  <c r="H119" i="10"/>
  <c r="K114" i="10"/>
  <c r="H111" i="10"/>
  <c r="K106" i="10"/>
  <c r="H103" i="10"/>
  <c r="K98" i="10"/>
  <c r="H95" i="10"/>
  <c r="K90" i="10"/>
  <c r="H87" i="10"/>
  <c r="K82" i="10"/>
  <c r="H295" i="10"/>
  <c r="K258" i="10"/>
  <c r="K236" i="10"/>
  <c r="K234" i="10"/>
  <c r="K230" i="10"/>
  <c r="H195" i="10"/>
  <c r="H191" i="10"/>
  <c r="H185" i="10"/>
  <c r="H175" i="10"/>
  <c r="K171" i="10"/>
  <c r="H168" i="10"/>
  <c r="K163" i="10"/>
  <c r="H160" i="10"/>
  <c r="K155" i="10"/>
  <c r="H152" i="10"/>
  <c r="K147" i="10"/>
  <c r="H144" i="10"/>
  <c r="K139" i="10"/>
  <c r="H136" i="10"/>
  <c r="K131" i="10"/>
  <c r="H128" i="10"/>
  <c r="K123" i="10"/>
  <c r="H120" i="10"/>
  <c r="K115" i="10"/>
  <c r="H112" i="10"/>
  <c r="K107" i="10"/>
  <c r="H104" i="10"/>
  <c r="K99" i="10"/>
  <c r="H96" i="10"/>
  <c r="K91" i="10"/>
  <c r="H88" i="10"/>
  <c r="K282" i="10"/>
  <c r="H255" i="10"/>
  <c r="K244" i="10"/>
  <c r="K242" i="10"/>
  <c r="K238" i="10"/>
  <c r="H203" i="10"/>
  <c r="H199" i="10"/>
  <c r="H193" i="10"/>
  <c r="K180" i="10"/>
  <c r="K178" i="10"/>
  <c r="K172" i="10"/>
  <c r="H169" i="10"/>
  <c r="K164" i="10"/>
  <c r="H161" i="10"/>
  <c r="K156" i="10"/>
  <c r="H153" i="10"/>
  <c r="K148" i="10"/>
  <c r="H145" i="10"/>
  <c r="K140" i="10"/>
  <c r="H137" i="10"/>
  <c r="K132" i="10"/>
  <c r="H129" i="10"/>
  <c r="K124" i="10"/>
  <c r="H121" i="10"/>
  <c r="K116" i="10"/>
  <c r="H113" i="10"/>
  <c r="K108" i="10"/>
  <c r="H105" i="10"/>
  <c r="K100" i="10"/>
  <c r="H97" i="10"/>
  <c r="K92" i="10"/>
  <c r="H89" i="10"/>
  <c r="K84" i="10"/>
  <c r="H81" i="10"/>
  <c r="K306" i="10"/>
  <c r="H279" i="10"/>
  <c r="K246" i="10"/>
  <c r="H211" i="10"/>
  <c r="H207" i="10"/>
  <c r="H201" i="10"/>
  <c r="K188" i="10"/>
  <c r="K186" i="10"/>
  <c r="K182" i="10"/>
  <c r="K173" i="10"/>
  <c r="H170" i="10"/>
  <c r="K165" i="10"/>
  <c r="H162" i="10"/>
  <c r="K157" i="10"/>
  <c r="H154" i="10"/>
  <c r="K149" i="10"/>
  <c r="H146" i="10"/>
  <c r="K141" i="10"/>
  <c r="H138" i="10"/>
  <c r="K133" i="10"/>
  <c r="H130" i="10"/>
  <c r="K125" i="10"/>
  <c r="H122" i="10"/>
  <c r="K117" i="10"/>
  <c r="H114" i="10"/>
  <c r="K109" i="10"/>
  <c r="H106" i="10"/>
  <c r="K101" i="10"/>
  <c r="H98" i="10"/>
  <c r="K93" i="10"/>
  <c r="H90" i="10"/>
  <c r="K85" i="10"/>
  <c r="H82" i="10"/>
  <c r="K290" i="10"/>
  <c r="H263" i="10"/>
  <c r="H227" i="10"/>
  <c r="H223" i="10"/>
  <c r="H217" i="10"/>
  <c r="K204" i="10"/>
  <c r="K202" i="10"/>
  <c r="K198" i="10"/>
  <c r="H172" i="10"/>
  <c r="K167" i="10"/>
  <c r="H164" i="10"/>
  <c r="K159" i="10"/>
  <c r="H156" i="10"/>
  <c r="K151" i="10"/>
  <c r="H148" i="10"/>
  <c r="K143" i="10"/>
  <c r="H140" i="10"/>
  <c r="K135" i="10"/>
  <c r="H132" i="10"/>
  <c r="K127" i="10"/>
  <c r="H124" i="10"/>
  <c r="K119" i="10"/>
  <c r="H116" i="10"/>
  <c r="K111" i="10"/>
  <c r="H108" i="10"/>
  <c r="K103" i="10"/>
  <c r="H100" i="10"/>
  <c r="K95" i="10"/>
  <c r="H92" i="10"/>
  <c r="K87" i="10"/>
  <c r="H84" i="10"/>
  <c r="K166" i="10"/>
  <c r="H139" i="10"/>
  <c r="K102" i="10"/>
  <c r="K76" i="10"/>
  <c r="H74" i="10"/>
  <c r="K69" i="10"/>
  <c r="H66" i="10"/>
  <c r="K61" i="10"/>
  <c r="H58" i="10"/>
  <c r="K53" i="10"/>
  <c r="H50" i="10"/>
  <c r="K45" i="10"/>
  <c r="H42" i="10"/>
  <c r="K37" i="10"/>
  <c r="H34" i="10"/>
  <c r="K29" i="10"/>
  <c r="H26" i="10"/>
  <c r="K21" i="10"/>
  <c r="H18" i="10"/>
  <c r="K13" i="10"/>
  <c r="K196" i="10"/>
  <c r="H80" i="10"/>
  <c r="K67" i="10"/>
  <c r="H64" i="10"/>
  <c r="H16" i="10"/>
  <c r="H163" i="10"/>
  <c r="K126" i="10"/>
  <c r="H99" i="10"/>
  <c r="K79" i="10"/>
  <c r="H75" i="10"/>
  <c r="K70" i="10"/>
  <c r="H67" i="10"/>
  <c r="K62" i="10"/>
  <c r="H59" i="10"/>
  <c r="K54" i="10"/>
  <c r="H51" i="10"/>
  <c r="K46" i="10"/>
  <c r="H43" i="10"/>
  <c r="K38" i="10"/>
  <c r="H35" i="10"/>
  <c r="K30" i="10"/>
  <c r="H27" i="10"/>
  <c r="K22" i="10"/>
  <c r="H19" i="10"/>
  <c r="K14" i="10"/>
  <c r="H11" i="10"/>
  <c r="K150" i="10"/>
  <c r="H123" i="10"/>
  <c r="K86" i="10"/>
  <c r="H79" i="10"/>
  <c r="K71" i="10"/>
  <c r="H68" i="10"/>
  <c r="K63" i="10"/>
  <c r="H60" i="10"/>
  <c r="K55" i="10"/>
  <c r="H52" i="10"/>
  <c r="K47" i="10"/>
  <c r="H44" i="10"/>
  <c r="K39" i="10"/>
  <c r="H36" i="10"/>
  <c r="K31" i="10"/>
  <c r="H28" i="10"/>
  <c r="K23" i="10"/>
  <c r="H20" i="10"/>
  <c r="K15" i="10"/>
  <c r="H12" i="10"/>
  <c r="K59" i="10"/>
  <c r="H48" i="10"/>
  <c r="H303" i="10"/>
  <c r="H209" i="10"/>
  <c r="K194" i="10"/>
  <c r="K174" i="10"/>
  <c r="H147" i="10"/>
  <c r="K110" i="10"/>
  <c r="K83" i="10"/>
  <c r="K77" i="10"/>
  <c r="H76" i="10"/>
  <c r="K72" i="10"/>
  <c r="H69" i="10"/>
  <c r="K64" i="10"/>
  <c r="H61" i="10"/>
  <c r="K56" i="10"/>
  <c r="H53" i="10"/>
  <c r="K48" i="10"/>
  <c r="H45" i="10"/>
  <c r="K40" i="10"/>
  <c r="H37" i="10"/>
  <c r="K32" i="10"/>
  <c r="H29" i="10"/>
  <c r="K24" i="10"/>
  <c r="H21" i="10"/>
  <c r="K16" i="10"/>
  <c r="H13" i="10"/>
  <c r="K75" i="10"/>
  <c r="H56" i="10"/>
  <c r="H40" i="10"/>
  <c r="H32" i="10"/>
  <c r="H219" i="10"/>
  <c r="K190" i="10"/>
  <c r="H171" i="10"/>
  <c r="K134" i="10"/>
  <c r="H107" i="10"/>
  <c r="H83" i="10"/>
  <c r="K73" i="10"/>
  <c r="H70" i="10"/>
  <c r="K65" i="10"/>
  <c r="H62" i="10"/>
  <c r="K57" i="10"/>
  <c r="H54" i="10"/>
  <c r="K49" i="10"/>
  <c r="H46" i="10"/>
  <c r="K41" i="10"/>
  <c r="H38" i="10"/>
  <c r="K33" i="10"/>
  <c r="H30" i="10"/>
  <c r="K25" i="10"/>
  <c r="H22" i="10"/>
  <c r="K17" i="10"/>
  <c r="H14" i="10"/>
  <c r="K118" i="10"/>
  <c r="H91" i="10"/>
  <c r="K43" i="10"/>
  <c r="K35" i="10"/>
  <c r="K158" i="10"/>
  <c r="H131" i="10"/>
  <c r="K94" i="10"/>
  <c r="K74" i="10"/>
  <c r="H71" i="10"/>
  <c r="K66" i="10"/>
  <c r="H63" i="10"/>
  <c r="K58" i="10"/>
  <c r="H55" i="10"/>
  <c r="K50" i="10"/>
  <c r="H47" i="10"/>
  <c r="K42" i="10"/>
  <c r="H39" i="10"/>
  <c r="K34" i="10"/>
  <c r="H31" i="10"/>
  <c r="K26" i="10"/>
  <c r="H23" i="10"/>
  <c r="K18" i="10"/>
  <c r="H15" i="10"/>
  <c r="H155" i="10"/>
  <c r="K51" i="10"/>
  <c r="K19" i="10"/>
  <c r="K266" i="10"/>
  <c r="K142" i="10"/>
  <c r="H115" i="10"/>
  <c r="H73" i="10"/>
  <c r="K68" i="10"/>
  <c r="H65" i="10"/>
  <c r="K60" i="10"/>
  <c r="H57" i="10"/>
  <c r="K52" i="10"/>
  <c r="H49" i="10"/>
  <c r="K44" i="10"/>
  <c r="H41" i="10"/>
  <c r="K36" i="10"/>
  <c r="H33" i="10"/>
  <c r="K28" i="10"/>
  <c r="H25" i="10"/>
  <c r="K20" i="10"/>
  <c r="H17" i="10"/>
  <c r="K12" i="10"/>
  <c r="H215" i="10"/>
  <c r="K78" i="10"/>
  <c r="H72" i="10"/>
  <c r="K27" i="10"/>
  <c r="H24" i="10"/>
  <c r="K11" i="10"/>
  <c r="I308" i="9"/>
  <c r="I302" i="9"/>
  <c r="I294" i="9"/>
  <c r="I286" i="9"/>
  <c r="I278" i="9"/>
  <c r="I270" i="9"/>
  <c r="I262" i="9"/>
  <c r="I254" i="9"/>
  <c r="I246" i="9"/>
  <c r="I238" i="9"/>
  <c r="I230" i="9"/>
  <c r="I222" i="9"/>
  <c r="I214" i="9"/>
  <c r="I206" i="9"/>
  <c r="I198" i="9"/>
  <c r="I190" i="9"/>
  <c r="I182" i="9"/>
  <c r="I303" i="9"/>
  <c r="I295" i="9"/>
  <c r="I287" i="9"/>
  <c r="I279" i="9"/>
  <c r="I271" i="9"/>
  <c r="I263" i="9"/>
  <c r="I255" i="9"/>
  <c r="I247" i="9"/>
  <c r="I239" i="9"/>
  <c r="I231" i="9"/>
  <c r="I223" i="9"/>
  <c r="I215" i="9"/>
  <c r="I207" i="9"/>
  <c r="I199" i="9"/>
  <c r="I191" i="9"/>
  <c r="I183" i="9"/>
  <c r="I175" i="9"/>
  <c r="I304" i="9"/>
  <c r="I296" i="9"/>
  <c r="I288" i="9"/>
  <c r="I280" i="9"/>
  <c r="I272" i="9"/>
  <c r="I264" i="9"/>
  <c r="I256" i="9"/>
  <c r="I248" i="9"/>
  <c r="I240" i="9"/>
  <c r="I232" i="9"/>
  <c r="I224" i="9"/>
  <c r="I216" i="9"/>
  <c r="I208" i="9"/>
  <c r="I200" i="9"/>
  <c r="I192" i="9"/>
  <c r="I184" i="9"/>
  <c r="I176" i="9"/>
  <c r="I291" i="9"/>
  <c r="I274" i="9"/>
  <c r="I269" i="9"/>
  <c r="I249" i="9"/>
  <c r="I244" i="9"/>
  <c r="I227" i="9"/>
  <c r="I210" i="9"/>
  <c r="I205" i="9"/>
  <c r="I185" i="9"/>
  <c r="I180" i="9"/>
  <c r="I168" i="9"/>
  <c r="I160" i="9"/>
  <c r="I152" i="9"/>
  <c r="I305" i="9"/>
  <c r="I300" i="9"/>
  <c r="I283" i="9"/>
  <c r="I266" i="9"/>
  <c r="I261" i="9"/>
  <c r="I241" i="9"/>
  <c r="I236" i="9"/>
  <c r="I219" i="9"/>
  <c r="I202" i="9"/>
  <c r="I197" i="9"/>
  <c r="I177" i="9"/>
  <c r="I174" i="9"/>
  <c r="I169" i="9"/>
  <c r="I161" i="9"/>
  <c r="I153" i="9"/>
  <c r="I145" i="9"/>
  <c r="I137" i="9"/>
  <c r="I129" i="9"/>
  <c r="I297" i="9"/>
  <c r="I292" i="9"/>
  <c r="I275" i="9"/>
  <c r="I258" i="9"/>
  <c r="I253" i="9"/>
  <c r="I233" i="9"/>
  <c r="I228" i="9"/>
  <c r="I211" i="9"/>
  <c r="I194" i="9"/>
  <c r="I189" i="9"/>
  <c r="I170" i="9"/>
  <c r="I162" i="9"/>
  <c r="I154" i="9"/>
  <c r="I289" i="9"/>
  <c r="I284" i="9"/>
  <c r="I267" i="9"/>
  <c r="I250" i="9"/>
  <c r="I245" i="9"/>
  <c r="I225" i="9"/>
  <c r="I220" i="9"/>
  <c r="I203" i="9"/>
  <c r="I186" i="9"/>
  <c r="I181" i="9"/>
  <c r="I171" i="9"/>
  <c r="I163" i="9"/>
  <c r="I155" i="9"/>
  <c r="I147" i="9"/>
  <c r="I139" i="9"/>
  <c r="I306" i="9"/>
  <c r="I301" i="9"/>
  <c r="I281" i="9"/>
  <c r="I276" i="9"/>
  <c r="I259" i="9"/>
  <c r="I242" i="9"/>
  <c r="I237" i="9"/>
  <c r="I217" i="9"/>
  <c r="I212" i="9"/>
  <c r="I195" i="9"/>
  <c r="I178" i="9"/>
  <c r="I172" i="9"/>
  <c r="I164" i="9"/>
  <c r="I156" i="9"/>
  <c r="I148" i="9"/>
  <c r="I140" i="9"/>
  <c r="I298" i="9"/>
  <c r="I293" i="9"/>
  <c r="I273" i="9"/>
  <c r="I268" i="9"/>
  <c r="I251" i="9"/>
  <c r="I234" i="9"/>
  <c r="I229" i="9"/>
  <c r="I209" i="9"/>
  <c r="I204" i="9"/>
  <c r="I187" i="9"/>
  <c r="I165" i="9"/>
  <c r="I157" i="9"/>
  <c r="I149" i="9"/>
  <c r="I141" i="9"/>
  <c r="I133" i="9"/>
  <c r="I125" i="9"/>
  <c r="I290" i="9"/>
  <c r="I285" i="9"/>
  <c r="I265" i="9"/>
  <c r="I260" i="9"/>
  <c r="I243" i="9"/>
  <c r="I226" i="9"/>
  <c r="I221" i="9"/>
  <c r="I201" i="9"/>
  <c r="I196" i="9"/>
  <c r="I179" i="9"/>
  <c r="I173" i="9"/>
  <c r="I166" i="9"/>
  <c r="I158" i="9"/>
  <c r="I150" i="9"/>
  <c r="I142" i="9"/>
  <c r="I134" i="9"/>
  <c r="I126" i="9"/>
  <c r="I282" i="9"/>
  <c r="I235" i="9"/>
  <c r="I188" i="9"/>
  <c r="I159" i="9"/>
  <c r="I117" i="9"/>
  <c r="I109" i="9"/>
  <c r="I101" i="9"/>
  <c r="I93" i="9"/>
  <c r="I85" i="9"/>
  <c r="I77" i="9"/>
  <c r="I69" i="9"/>
  <c r="I61" i="9"/>
  <c r="I53" i="9"/>
  <c r="I45" i="9"/>
  <c r="I37" i="9"/>
  <c r="I29" i="9"/>
  <c r="I21" i="9"/>
  <c r="I218" i="9"/>
  <c r="I135" i="9"/>
  <c r="I132" i="9"/>
  <c r="I118" i="9"/>
  <c r="I110" i="9"/>
  <c r="I102" i="9"/>
  <c r="I94" i="9"/>
  <c r="I86" i="9"/>
  <c r="I78" i="9"/>
  <c r="I70" i="9"/>
  <c r="I62" i="9"/>
  <c r="I54" i="9"/>
  <c r="I46" i="9"/>
  <c r="I38" i="9"/>
  <c r="I30" i="9"/>
  <c r="I22" i="9"/>
  <c r="I143" i="9"/>
  <c r="I130" i="9"/>
  <c r="I127" i="9"/>
  <c r="I124" i="9"/>
  <c r="I119" i="9"/>
  <c r="I111" i="9"/>
  <c r="I103" i="9"/>
  <c r="I95" i="9"/>
  <c r="I87" i="9"/>
  <c r="I79" i="9"/>
  <c r="I71" i="9"/>
  <c r="I63" i="9"/>
  <c r="I55" i="9"/>
  <c r="I47" i="9"/>
  <c r="I39" i="9"/>
  <c r="I31" i="9"/>
  <c r="I23" i="9"/>
  <c r="I307" i="9"/>
  <c r="I277" i="9"/>
  <c r="I167" i="9"/>
  <c r="I120" i="9"/>
  <c r="I112" i="9"/>
  <c r="I104" i="9"/>
  <c r="I96" i="9"/>
  <c r="I88" i="9"/>
  <c r="I80" i="9"/>
  <c r="I72" i="9"/>
  <c r="I64" i="9"/>
  <c r="I56" i="9"/>
  <c r="I48" i="9"/>
  <c r="I40" i="9"/>
  <c r="I32" i="9"/>
  <c r="I24" i="9"/>
  <c r="I257" i="9"/>
  <c r="I213" i="9"/>
  <c r="I138" i="9"/>
  <c r="I121" i="9"/>
  <c r="I113" i="9"/>
  <c r="I105" i="9"/>
  <c r="I97" i="9"/>
  <c r="I89" i="9"/>
  <c r="I81" i="9"/>
  <c r="I73" i="9"/>
  <c r="I65" i="9"/>
  <c r="I57" i="9"/>
  <c r="I49" i="9"/>
  <c r="I41" i="9"/>
  <c r="I33" i="9"/>
  <c r="I25" i="9"/>
  <c r="I17" i="9"/>
  <c r="I193" i="9"/>
  <c r="I151" i="9"/>
  <c r="I146" i="9"/>
  <c r="I136" i="9"/>
  <c r="I131" i="9"/>
  <c r="I122" i="9"/>
  <c r="I114" i="9"/>
  <c r="I106" i="9"/>
  <c r="I98" i="9"/>
  <c r="I90" i="9"/>
  <c r="I82" i="9"/>
  <c r="I74" i="9"/>
  <c r="I66" i="9"/>
  <c r="I58" i="9"/>
  <c r="I50" i="9"/>
  <c r="I42" i="9"/>
  <c r="I34" i="9"/>
  <c r="I26" i="9"/>
  <c r="I18" i="9"/>
  <c r="I299" i="9"/>
  <c r="I252" i="9"/>
  <c r="I123" i="9"/>
  <c r="I116" i="9"/>
  <c r="I108" i="9"/>
  <c r="I100" i="9"/>
  <c r="I92" i="9"/>
  <c r="I84" i="9"/>
  <c r="I76" i="9"/>
  <c r="I68" i="9"/>
  <c r="I60" i="9"/>
  <c r="I52" i="9"/>
  <c r="I44" i="9"/>
  <c r="I36" i="9"/>
  <c r="I28" i="9"/>
  <c r="I20" i="9"/>
  <c r="I75" i="9"/>
  <c r="I12" i="9"/>
  <c r="I16" i="9"/>
  <c r="I10" i="9"/>
  <c r="I144" i="9"/>
  <c r="I99" i="9"/>
  <c r="I35" i="9"/>
  <c r="I13" i="9"/>
  <c r="I14" i="9"/>
  <c r="I15" i="9"/>
  <c r="I27" i="9"/>
  <c r="I59" i="9"/>
  <c r="I19" i="9"/>
  <c r="I128" i="9"/>
  <c r="I83" i="9"/>
  <c r="I107" i="9"/>
  <c r="I43" i="9"/>
  <c r="I67" i="9"/>
  <c r="I91" i="9"/>
  <c r="I115" i="9"/>
  <c r="I51" i="9"/>
  <c r="I11" i="9"/>
  <c r="H308" i="9"/>
  <c r="K304" i="9"/>
  <c r="H301" i="9"/>
  <c r="K296" i="9"/>
  <c r="H293" i="9"/>
  <c r="K288" i="9"/>
  <c r="H285" i="9"/>
  <c r="K280" i="9"/>
  <c r="H277" i="9"/>
  <c r="K272" i="9"/>
  <c r="H269" i="9"/>
  <c r="K264" i="9"/>
  <c r="H261" i="9"/>
  <c r="K256" i="9"/>
  <c r="H253" i="9"/>
  <c r="K248" i="9"/>
  <c r="H245" i="9"/>
  <c r="K240" i="9"/>
  <c r="H237" i="9"/>
  <c r="K232" i="9"/>
  <c r="H229" i="9"/>
  <c r="K224" i="9"/>
  <c r="H221" i="9"/>
  <c r="K216" i="9"/>
  <c r="H213" i="9"/>
  <c r="K208" i="9"/>
  <c r="H205" i="9"/>
  <c r="K200" i="9"/>
  <c r="H197" i="9"/>
  <c r="K192" i="9"/>
  <c r="H189" i="9"/>
  <c r="K184" i="9"/>
  <c r="H181" i="9"/>
  <c r="K176" i="9"/>
  <c r="K305" i="9"/>
  <c r="H302" i="9"/>
  <c r="K297" i="9"/>
  <c r="H294" i="9"/>
  <c r="K289" i="9"/>
  <c r="H286" i="9"/>
  <c r="K281" i="9"/>
  <c r="H278" i="9"/>
  <c r="K273" i="9"/>
  <c r="H270" i="9"/>
  <c r="K265" i="9"/>
  <c r="H262" i="9"/>
  <c r="K257" i="9"/>
  <c r="H254" i="9"/>
  <c r="K249" i="9"/>
  <c r="H246" i="9"/>
  <c r="K241" i="9"/>
  <c r="H238" i="9"/>
  <c r="K233" i="9"/>
  <c r="H230" i="9"/>
  <c r="K225" i="9"/>
  <c r="H222" i="9"/>
  <c r="K217" i="9"/>
  <c r="H214" i="9"/>
  <c r="K209" i="9"/>
  <c r="H206" i="9"/>
  <c r="K201" i="9"/>
  <c r="H198" i="9"/>
  <c r="K193" i="9"/>
  <c r="H190" i="9"/>
  <c r="K185" i="9"/>
  <c r="H182" i="9"/>
  <c r="K177" i="9"/>
  <c r="H174" i="9"/>
  <c r="K306" i="9"/>
  <c r="H303" i="9"/>
  <c r="K298" i="9"/>
  <c r="H295" i="9"/>
  <c r="K290" i="9"/>
  <c r="H287" i="9"/>
  <c r="K282" i="9"/>
  <c r="H279" i="9"/>
  <c r="K274" i="9"/>
  <c r="H271" i="9"/>
  <c r="K266" i="9"/>
  <c r="H263" i="9"/>
  <c r="K258" i="9"/>
  <c r="H255" i="9"/>
  <c r="K250" i="9"/>
  <c r="H247" i="9"/>
  <c r="K242" i="9"/>
  <c r="H239" i="9"/>
  <c r="K234" i="9"/>
  <c r="H231" i="9"/>
  <c r="K226" i="9"/>
  <c r="H223" i="9"/>
  <c r="K218" i="9"/>
  <c r="H215" i="9"/>
  <c r="K210" i="9"/>
  <c r="H207" i="9"/>
  <c r="K202" i="9"/>
  <c r="H199" i="9"/>
  <c r="K194" i="9"/>
  <c r="H191" i="9"/>
  <c r="K186" i="9"/>
  <c r="H183" i="9"/>
  <c r="K178" i="9"/>
  <c r="H175" i="9"/>
  <c r="H307" i="9"/>
  <c r="H299" i="9"/>
  <c r="K292" i="9"/>
  <c r="H288" i="9"/>
  <c r="K286" i="9"/>
  <c r="H282" i="9"/>
  <c r="K275" i="9"/>
  <c r="H257" i="9"/>
  <c r="K255" i="9"/>
  <c r="K253" i="9"/>
  <c r="H252" i="9"/>
  <c r="H235" i="9"/>
  <c r="K228" i="9"/>
  <c r="H224" i="9"/>
  <c r="K222" i="9"/>
  <c r="H218" i="9"/>
  <c r="K211" i="9"/>
  <c r="H193" i="9"/>
  <c r="K191" i="9"/>
  <c r="K189" i="9"/>
  <c r="H188" i="9"/>
  <c r="K170" i="9"/>
  <c r="H167" i="9"/>
  <c r="K162" i="9"/>
  <c r="H159" i="9"/>
  <c r="K154" i="9"/>
  <c r="H151" i="9"/>
  <c r="K308" i="9"/>
  <c r="H291" i="9"/>
  <c r="K284" i="9"/>
  <c r="H280" i="9"/>
  <c r="K278" i="9"/>
  <c r="H274" i="9"/>
  <c r="K267" i="9"/>
  <c r="H249" i="9"/>
  <c r="K247" i="9"/>
  <c r="K245" i="9"/>
  <c r="H244" i="9"/>
  <c r="H227" i="9"/>
  <c r="K220" i="9"/>
  <c r="H216" i="9"/>
  <c r="K214" i="9"/>
  <c r="H210" i="9"/>
  <c r="K203" i="9"/>
  <c r="H185" i="9"/>
  <c r="K183" i="9"/>
  <c r="K181" i="9"/>
  <c r="H180" i="9"/>
  <c r="K171" i="9"/>
  <c r="H168" i="9"/>
  <c r="K163" i="9"/>
  <c r="H160" i="9"/>
  <c r="K155" i="9"/>
  <c r="H152" i="9"/>
  <c r="K147" i="9"/>
  <c r="H144" i="9"/>
  <c r="K139" i="9"/>
  <c r="H136" i="9"/>
  <c r="K131" i="9"/>
  <c r="H128" i="9"/>
  <c r="H305" i="9"/>
  <c r="K303" i="9"/>
  <c r="K301" i="9"/>
  <c r="H300" i="9"/>
  <c r="H283" i="9"/>
  <c r="K276" i="9"/>
  <c r="H272" i="9"/>
  <c r="K270" i="9"/>
  <c r="H266" i="9"/>
  <c r="K259" i="9"/>
  <c r="H241" i="9"/>
  <c r="K239" i="9"/>
  <c r="K237" i="9"/>
  <c r="H236" i="9"/>
  <c r="H219" i="9"/>
  <c r="K212" i="9"/>
  <c r="H208" i="9"/>
  <c r="K206" i="9"/>
  <c r="H202" i="9"/>
  <c r="K195" i="9"/>
  <c r="H177" i="9"/>
  <c r="K175" i="9"/>
  <c r="K172" i="9"/>
  <c r="H169" i="9"/>
  <c r="K164" i="9"/>
  <c r="H161" i="9"/>
  <c r="K156" i="9"/>
  <c r="H153" i="9"/>
  <c r="H297" i="9"/>
  <c r="K295" i="9"/>
  <c r="K293" i="9"/>
  <c r="H292" i="9"/>
  <c r="H275" i="9"/>
  <c r="K268" i="9"/>
  <c r="H264" i="9"/>
  <c r="K262" i="9"/>
  <c r="H258" i="9"/>
  <c r="K251" i="9"/>
  <c r="H233" i="9"/>
  <c r="K231" i="9"/>
  <c r="K229" i="9"/>
  <c r="H228" i="9"/>
  <c r="H211" i="9"/>
  <c r="K204" i="9"/>
  <c r="H200" i="9"/>
  <c r="K198" i="9"/>
  <c r="H194" i="9"/>
  <c r="K187" i="9"/>
  <c r="H170" i="9"/>
  <c r="K165" i="9"/>
  <c r="H162" i="9"/>
  <c r="K157" i="9"/>
  <c r="H154" i="9"/>
  <c r="K149" i="9"/>
  <c r="H146" i="9"/>
  <c r="K141" i="9"/>
  <c r="H138" i="9"/>
  <c r="H289" i="9"/>
  <c r="K287" i="9"/>
  <c r="K285" i="9"/>
  <c r="H284" i="9"/>
  <c r="H267" i="9"/>
  <c r="K260" i="9"/>
  <c r="H256" i="9"/>
  <c r="K254" i="9"/>
  <c r="H250" i="9"/>
  <c r="K243" i="9"/>
  <c r="H225" i="9"/>
  <c r="K223" i="9"/>
  <c r="K221" i="9"/>
  <c r="H220" i="9"/>
  <c r="H203" i="9"/>
  <c r="K196" i="9"/>
  <c r="H192" i="9"/>
  <c r="K190" i="9"/>
  <c r="H186" i="9"/>
  <c r="K179" i="9"/>
  <c r="K173" i="9"/>
  <c r="H171" i="9"/>
  <c r="K166" i="9"/>
  <c r="H163" i="9"/>
  <c r="K158" i="9"/>
  <c r="H155" i="9"/>
  <c r="K150" i="9"/>
  <c r="H147" i="9"/>
  <c r="K142" i="9"/>
  <c r="H139" i="9"/>
  <c r="K307" i="9"/>
  <c r="H306" i="9"/>
  <c r="K299" i="9"/>
  <c r="H281" i="9"/>
  <c r="K279" i="9"/>
  <c r="K277" i="9"/>
  <c r="H276" i="9"/>
  <c r="H259" i="9"/>
  <c r="K252" i="9"/>
  <c r="H248" i="9"/>
  <c r="K246" i="9"/>
  <c r="H242" i="9"/>
  <c r="K235" i="9"/>
  <c r="H217" i="9"/>
  <c r="K215" i="9"/>
  <c r="K213" i="9"/>
  <c r="H212" i="9"/>
  <c r="H195" i="9"/>
  <c r="K188" i="9"/>
  <c r="H184" i="9"/>
  <c r="K182" i="9"/>
  <c r="H178" i="9"/>
  <c r="H172" i="9"/>
  <c r="K167" i="9"/>
  <c r="H164" i="9"/>
  <c r="K159" i="9"/>
  <c r="H156" i="9"/>
  <c r="K151" i="9"/>
  <c r="H148" i="9"/>
  <c r="K143" i="9"/>
  <c r="H140" i="9"/>
  <c r="K135" i="9"/>
  <c r="H132" i="9"/>
  <c r="K127" i="9"/>
  <c r="H124" i="9"/>
  <c r="H304" i="9"/>
  <c r="K302" i="9"/>
  <c r="H298" i="9"/>
  <c r="K291" i="9"/>
  <c r="H273" i="9"/>
  <c r="K271" i="9"/>
  <c r="K269" i="9"/>
  <c r="H268" i="9"/>
  <c r="H251" i="9"/>
  <c r="K244" i="9"/>
  <c r="H240" i="9"/>
  <c r="K238" i="9"/>
  <c r="H234" i="9"/>
  <c r="K227" i="9"/>
  <c r="H209" i="9"/>
  <c r="K207" i="9"/>
  <c r="K205" i="9"/>
  <c r="H204" i="9"/>
  <c r="H187" i="9"/>
  <c r="K180" i="9"/>
  <c r="H176" i="9"/>
  <c r="K168" i="9"/>
  <c r="H165" i="9"/>
  <c r="K160" i="9"/>
  <c r="H157" i="9"/>
  <c r="K152" i="9"/>
  <c r="H149" i="9"/>
  <c r="K144" i="9"/>
  <c r="H141" i="9"/>
  <c r="K136" i="9"/>
  <c r="H133" i="9"/>
  <c r="K128" i="9"/>
  <c r="H125" i="9"/>
  <c r="H265" i="9"/>
  <c r="H232" i="9"/>
  <c r="H150" i="9"/>
  <c r="K145" i="9"/>
  <c r="K124" i="9"/>
  <c r="H123" i="9"/>
  <c r="K119" i="9"/>
  <c r="H116" i="9"/>
  <c r="K111" i="9"/>
  <c r="H108" i="9"/>
  <c r="K103" i="9"/>
  <c r="H100" i="9"/>
  <c r="K95" i="9"/>
  <c r="H92" i="9"/>
  <c r="K87" i="9"/>
  <c r="H84" i="9"/>
  <c r="K79" i="9"/>
  <c r="H76" i="9"/>
  <c r="K71" i="9"/>
  <c r="H68" i="9"/>
  <c r="K63" i="9"/>
  <c r="H60" i="9"/>
  <c r="K55" i="9"/>
  <c r="H52" i="9"/>
  <c r="K47" i="9"/>
  <c r="H44" i="9"/>
  <c r="K39" i="9"/>
  <c r="H36" i="9"/>
  <c r="K31" i="9"/>
  <c r="H28" i="9"/>
  <c r="K23" i="9"/>
  <c r="H20" i="9"/>
  <c r="H201" i="9"/>
  <c r="K174" i="9"/>
  <c r="H137" i="9"/>
  <c r="K130" i="9"/>
  <c r="H129" i="9"/>
  <c r="K120" i="9"/>
  <c r="H117" i="9"/>
  <c r="K112" i="9"/>
  <c r="H109" i="9"/>
  <c r="K104" i="9"/>
  <c r="H101" i="9"/>
  <c r="K96" i="9"/>
  <c r="H93" i="9"/>
  <c r="K88" i="9"/>
  <c r="H85" i="9"/>
  <c r="K80" i="9"/>
  <c r="H77" i="9"/>
  <c r="K72" i="9"/>
  <c r="H69" i="9"/>
  <c r="K64" i="9"/>
  <c r="H61" i="9"/>
  <c r="K56" i="9"/>
  <c r="H53" i="9"/>
  <c r="K48" i="9"/>
  <c r="H45" i="9"/>
  <c r="K40" i="9"/>
  <c r="H37" i="9"/>
  <c r="K32" i="9"/>
  <c r="H29" i="9"/>
  <c r="K24" i="9"/>
  <c r="H21" i="9"/>
  <c r="K16" i="9"/>
  <c r="K261" i="9"/>
  <c r="K161" i="9"/>
  <c r="H145" i="9"/>
  <c r="H135" i="9"/>
  <c r="K133" i="9"/>
  <c r="K121" i="9"/>
  <c r="H118" i="9"/>
  <c r="K113" i="9"/>
  <c r="H110" i="9"/>
  <c r="K105" i="9"/>
  <c r="H102" i="9"/>
  <c r="K97" i="9"/>
  <c r="H94" i="9"/>
  <c r="K89" i="9"/>
  <c r="H86" i="9"/>
  <c r="K81" i="9"/>
  <c r="H78" i="9"/>
  <c r="K73" i="9"/>
  <c r="H70" i="9"/>
  <c r="K65" i="9"/>
  <c r="H62" i="9"/>
  <c r="K57" i="9"/>
  <c r="H54" i="9"/>
  <c r="K49" i="9"/>
  <c r="H46" i="9"/>
  <c r="K41" i="9"/>
  <c r="H38" i="9"/>
  <c r="K33" i="9"/>
  <c r="H30" i="9"/>
  <c r="K25" i="9"/>
  <c r="H22" i="9"/>
  <c r="K17" i="9"/>
  <c r="K197" i="9"/>
  <c r="H158" i="9"/>
  <c r="H143" i="9"/>
  <c r="K138" i="9"/>
  <c r="H130" i="9"/>
  <c r="H127" i="9"/>
  <c r="K125" i="9"/>
  <c r="K122" i="9"/>
  <c r="H119" i="9"/>
  <c r="K114" i="9"/>
  <c r="H111" i="9"/>
  <c r="K106" i="9"/>
  <c r="H103" i="9"/>
  <c r="K98" i="9"/>
  <c r="H95" i="9"/>
  <c r="K90" i="9"/>
  <c r="H87" i="9"/>
  <c r="K82" i="9"/>
  <c r="H79" i="9"/>
  <c r="K74" i="9"/>
  <c r="H71" i="9"/>
  <c r="K66" i="9"/>
  <c r="H63" i="9"/>
  <c r="K58" i="9"/>
  <c r="H55" i="9"/>
  <c r="K50" i="9"/>
  <c r="H47" i="9"/>
  <c r="K42" i="9"/>
  <c r="H39" i="9"/>
  <c r="K34" i="9"/>
  <c r="H31" i="9"/>
  <c r="K26" i="9"/>
  <c r="H23" i="9"/>
  <c r="K300" i="9"/>
  <c r="K294" i="9"/>
  <c r="H243" i="9"/>
  <c r="H173" i="9"/>
  <c r="K146" i="9"/>
  <c r="H120" i="9"/>
  <c r="K115" i="9"/>
  <c r="H112" i="9"/>
  <c r="K107" i="9"/>
  <c r="H104" i="9"/>
  <c r="K99" i="9"/>
  <c r="H96" i="9"/>
  <c r="K91" i="9"/>
  <c r="H88" i="9"/>
  <c r="K83" i="9"/>
  <c r="H80" i="9"/>
  <c r="K75" i="9"/>
  <c r="H72" i="9"/>
  <c r="K67" i="9"/>
  <c r="H64" i="9"/>
  <c r="K59" i="9"/>
  <c r="H56" i="9"/>
  <c r="K51" i="9"/>
  <c r="H48" i="9"/>
  <c r="K43" i="9"/>
  <c r="H40" i="9"/>
  <c r="K35" i="9"/>
  <c r="H32" i="9"/>
  <c r="K27" i="9"/>
  <c r="H24" i="9"/>
  <c r="K19" i="9"/>
  <c r="H16" i="9"/>
  <c r="K283" i="9"/>
  <c r="K263" i="9"/>
  <c r="H260" i="9"/>
  <c r="K236" i="9"/>
  <c r="K230" i="9"/>
  <c r="H179" i="9"/>
  <c r="K169" i="9"/>
  <c r="K140" i="9"/>
  <c r="K134" i="9"/>
  <c r="K123" i="9"/>
  <c r="H121" i="9"/>
  <c r="K116" i="9"/>
  <c r="H113" i="9"/>
  <c r="K108" i="9"/>
  <c r="H105" i="9"/>
  <c r="K100" i="9"/>
  <c r="H97" i="9"/>
  <c r="K92" i="9"/>
  <c r="H89" i="9"/>
  <c r="K84" i="9"/>
  <c r="H81" i="9"/>
  <c r="K76" i="9"/>
  <c r="H73" i="9"/>
  <c r="K68" i="9"/>
  <c r="H65" i="9"/>
  <c r="K60" i="9"/>
  <c r="H57" i="9"/>
  <c r="K52" i="9"/>
  <c r="H49" i="9"/>
  <c r="K44" i="9"/>
  <c r="H41" i="9"/>
  <c r="K36" i="9"/>
  <c r="H33" i="9"/>
  <c r="K28" i="9"/>
  <c r="H25" i="9"/>
  <c r="K20" i="9"/>
  <c r="H17" i="9"/>
  <c r="H296" i="9"/>
  <c r="H226" i="9"/>
  <c r="K153" i="9"/>
  <c r="K137" i="9"/>
  <c r="K132" i="9"/>
  <c r="K129" i="9"/>
  <c r="H126" i="9"/>
  <c r="K118" i="9"/>
  <c r="H115" i="9"/>
  <c r="K110" i="9"/>
  <c r="H107" i="9"/>
  <c r="K102" i="9"/>
  <c r="H99" i="9"/>
  <c r="K94" i="9"/>
  <c r="H91" i="9"/>
  <c r="K86" i="9"/>
  <c r="H83" i="9"/>
  <c r="K78" i="9"/>
  <c r="H75" i="9"/>
  <c r="K70" i="9"/>
  <c r="H67" i="9"/>
  <c r="K62" i="9"/>
  <c r="H59" i="9"/>
  <c r="K54" i="9"/>
  <c r="H51" i="9"/>
  <c r="K46" i="9"/>
  <c r="H43" i="9"/>
  <c r="K38" i="9"/>
  <c r="H35" i="9"/>
  <c r="K30" i="9"/>
  <c r="H27" i="9"/>
  <c r="K22" i="9"/>
  <c r="H19" i="9"/>
  <c r="K148" i="9"/>
  <c r="H134" i="9"/>
  <c r="K93" i="9"/>
  <c r="H66" i="9"/>
  <c r="K29" i="9"/>
  <c r="K14" i="9"/>
  <c r="H11" i="9"/>
  <c r="H82" i="9"/>
  <c r="K117" i="9"/>
  <c r="H90" i="9"/>
  <c r="K53" i="9"/>
  <c r="H26" i="9"/>
  <c r="H12" i="9"/>
  <c r="K37" i="9"/>
  <c r="K109" i="9"/>
  <c r="K45" i="9"/>
  <c r="H166" i="9"/>
  <c r="H114" i="9"/>
  <c r="K77" i="9"/>
  <c r="H50" i="9"/>
  <c r="K15" i="9"/>
  <c r="H13" i="9"/>
  <c r="H14" i="9"/>
  <c r="K126" i="9"/>
  <c r="K101" i="9"/>
  <c r="H74" i="9"/>
  <c r="K219" i="9"/>
  <c r="H98" i="9"/>
  <c r="K61" i="9"/>
  <c r="H34" i="9"/>
  <c r="H15" i="9"/>
  <c r="K10" i="9"/>
  <c r="K11" i="9"/>
  <c r="H142" i="9"/>
  <c r="K18" i="9"/>
  <c r="K12" i="9"/>
  <c r="H290" i="9"/>
  <c r="H196" i="9"/>
  <c r="H122" i="9"/>
  <c r="K85" i="9"/>
  <c r="H58" i="9"/>
  <c r="K21" i="9"/>
  <c r="K199" i="9"/>
  <c r="H131" i="9"/>
  <c r="H106" i="9"/>
  <c r="K69" i="9"/>
  <c r="H42" i="9"/>
  <c r="H18" i="9"/>
  <c r="K13" i="9"/>
  <c r="H10" i="9"/>
  <c r="M607" i="8"/>
  <c r="G607" i="8"/>
  <c r="M606" i="8"/>
  <c r="G606" i="8"/>
  <c r="M605" i="8"/>
  <c r="G605" i="8"/>
  <c r="M604" i="8"/>
  <c r="G604" i="8"/>
  <c r="M603" i="8"/>
  <c r="G603" i="8"/>
  <c r="M602" i="8"/>
  <c r="G602" i="8"/>
  <c r="M601" i="8"/>
  <c r="G601" i="8"/>
  <c r="M600" i="8"/>
  <c r="G600" i="8"/>
  <c r="M599" i="8"/>
  <c r="G599" i="8"/>
  <c r="M598" i="8"/>
  <c r="G598" i="8"/>
  <c r="M597" i="8"/>
  <c r="G597" i="8"/>
  <c r="M596" i="8"/>
  <c r="G596" i="8"/>
  <c r="M595" i="8"/>
  <c r="G595" i="8"/>
  <c r="M594" i="8"/>
  <c r="G594" i="8"/>
  <c r="M593" i="8"/>
  <c r="G593" i="8"/>
  <c r="M592" i="8"/>
  <c r="G592" i="8"/>
  <c r="M591" i="8"/>
  <c r="G591" i="8"/>
  <c r="M590" i="8"/>
  <c r="G590" i="8"/>
  <c r="M589" i="8"/>
  <c r="G589" i="8"/>
  <c r="M588" i="8"/>
  <c r="G588" i="8"/>
  <c r="M587" i="8"/>
  <c r="G587" i="8"/>
  <c r="M586" i="8"/>
  <c r="G586" i="8"/>
  <c r="M585" i="8"/>
  <c r="G585" i="8"/>
  <c r="M584" i="8"/>
  <c r="G584" i="8"/>
  <c r="M583" i="8"/>
  <c r="G583" i="8"/>
  <c r="M582" i="8"/>
  <c r="G582" i="8"/>
  <c r="M581" i="8"/>
  <c r="G581" i="8"/>
  <c r="M580" i="8"/>
  <c r="G580" i="8"/>
  <c r="M579" i="8"/>
  <c r="G579" i="8"/>
  <c r="M578" i="8"/>
  <c r="G578" i="8"/>
  <c r="M577" i="8"/>
  <c r="G577" i="8"/>
  <c r="M576" i="8"/>
  <c r="G576" i="8"/>
  <c r="M575" i="8"/>
  <c r="G575" i="8"/>
  <c r="M574" i="8"/>
  <c r="G574" i="8"/>
  <c r="M573" i="8"/>
  <c r="G573" i="8"/>
  <c r="M572" i="8"/>
  <c r="G572" i="8"/>
  <c r="M571" i="8"/>
  <c r="G571" i="8"/>
  <c r="M570" i="8"/>
  <c r="G570" i="8"/>
  <c r="M569" i="8"/>
  <c r="G569" i="8"/>
  <c r="M568" i="8"/>
  <c r="G568" i="8"/>
  <c r="M567" i="8"/>
  <c r="G567" i="8"/>
  <c r="M566" i="8"/>
  <c r="G566" i="8"/>
  <c r="M565" i="8"/>
  <c r="G565" i="8"/>
  <c r="M564" i="8"/>
  <c r="G564" i="8"/>
  <c r="M563" i="8"/>
  <c r="G563" i="8"/>
  <c r="M562" i="8"/>
  <c r="G562" i="8"/>
  <c r="M561" i="8"/>
  <c r="G561" i="8"/>
  <c r="M560" i="8"/>
  <c r="G560" i="8"/>
  <c r="M559" i="8"/>
  <c r="G559" i="8"/>
  <c r="M558" i="8"/>
  <c r="G558" i="8"/>
  <c r="M557" i="8"/>
  <c r="G557" i="8"/>
  <c r="M556" i="8"/>
  <c r="G556" i="8"/>
  <c r="M555" i="8"/>
  <c r="G555" i="8"/>
  <c r="M554" i="8"/>
  <c r="G554" i="8"/>
  <c r="M553" i="8"/>
  <c r="G553" i="8"/>
  <c r="M552" i="8"/>
  <c r="G552" i="8"/>
  <c r="M551" i="8"/>
  <c r="G551" i="8"/>
  <c r="M550" i="8"/>
  <c r="G550" i="8"/>
  <c r="M549" i="8"/>
  <c r="G549" i="8"/>
  <c r="M548" i="8"/>
  <c r="G548" i="8"/>
  <c r="M547" i="8"/>
  <c r="G547" i="8"/>
  <c r="M546" i="8"/>
  <c r="G546" i="8"/>
  <c r="M545" i="8"/>
  <c r="G545" i="8"/>
  <c r="M544" i="8"/>
  <c r="G544" i="8"/>
  <c r="M543" i="8"/>
  <c r="G543" i="8"/>
  <c r="M542" i="8"/>
  <c r="G542" i="8"/>
  <c r="M541" i="8"/>
  <c r="G541" i="8"/>
  <c r="M540" i="8"/>
  <c r="G540" i="8"/>
  <c r="M539" i="8"/>
  <c r="G539" i="8"/>
  <c r="M538" i="8"/>
  <c r="G538" i="8"/>
  <c r="M537" i="8"/>
  <c r="G537" i="8"/>
  <c r="M536" i="8"/>
  <c r="G536" i="8"/>
  <c r="M535" i="8"/>
  <c r="G535" i="8"/>
  <c r="M534" i="8"/>
  <c r="G534" i="8"/>
  <c r="M533" i="8"/>
  <c r="G533" i="8"/>
  <c r="M532" i="8"/>
  <c r="G532" i="8"/>
  <c r="M531" i="8"/>
  <c r="G531" i="8"/>
  <c r="M530" i="8"/>
  <c r="G530" i="8"/>
  <c r="M529" i="8"/>
  <c r="G529" i="8"/>
  <c r="M528" i="8"/>
  <c r="G528" i="8"/>
  <c r="M527" i="8"/>
  <c r="G527" i="8"/>
  <c r="M526" i="8"/>
  <c r="G526" i="8"/>
  <c r="M525" i="8"/>
  <c r="G525" i="8"/>
  <c r="M524" i="8"/>
  <c r="G524" i="8"/>
  <c r="M523" i="8"/>
  <c r="G523" i="8"/>
  <c r="M522" i="8"/>
  <c r="G522" i="8"/>
  <c r="M521" i="8"/>
  <c r="G521" i="8"/>
  <c r="M520" i="8"/>
  <c r="G520" i="8"/>
  <c r="M519" i="8"/>
  <c r="G519" i="8"/>
  <c r="M518" i="8"/>
  <c r="G518" i="8"/>
  <c r="M517" i="8"/>
  <c r="G517" i="8"/>
  <c r="M516" i="8"/>
  <c r="G516" i="8"/>
  <c r="M515" i="8"/>
  <c r="G515" i="8"/>
  <c r="M514" i="8"/>
  <c r="G514" i="8"/>
  <c r="M513" i="8"/>
  <c r="G513" i="8"/>
  <c r="M512" i="8"/>
  <c r="G512" i="8"/>
  <c r="M511" i="8"/>
  <c r="G511" i="8"/>
  <c r="M510" i="8"/>
  <c r="G510" i="8"/>
  <c r="M509" i="8"/>
  <c r="G509" i="8"/>
  <c r="M508" i="8"/>
  <c r="G508" i="8"/>
  <c r="M507" i="8"/>
  <c r="G507" i="8"/>
  <c r="M506" i="8"/>
  <c r="G506" i="8"/>
  <c r="M505" i="8"/>
  <c r="G505" i="8"/>
  <c r="M504" i="8"/>
  <c r="G504" i="8"/>
  <c r="M503" i="8"/>
  <c r="G503" i="8"/>
  <c r="M502" i="8"/>
  <c r="G502" i="8"/>
  <c r="M501" i="8"/>
  <c r="G501" i="8"/>
  <c r="M500" i="8"/>
  <c r="G500" i="8"/>
  <c r="M499" i="8"/>
  <c r="G499" i="8"/>
  <c r="M498" i="8"/>
  <c r="G498" i="8"/>
  <c r="M497" i="8"/>
  <c r="G497" i="8"/>
  <c r="M496" i="8"/>
  <c r="G496" i="8"/>
  <c r="M495" i="8"/>
  <c r="G495" i="8"/>
  <c r="M494" i="8"/>
  <c r="G494" i="8"/>
  <c r="M493" i="8"/>
  <c r="G493" i="8"/>
  <c r="M492" i="8"/>
  <c r="G492" i="8"/>
  <c r="M491" i="8"/>
  <c r="G491" i="8"/>
  <c r="M490" i="8"/>
  <c r="G490" i="8"/>
  <c r="M489" i="8"/>
  <c r="G489" i="8"/>
  <c r="M488" i="8"/>
  <c r="G488" i="8"/>
  <c r="M487" i="8"/>
  <c r="G487" i="8"/>
  <c r="M486" i="8"/>
  <c r="G486" i="8"/>
  <c r="M485" i="8"/>
  <c r="G485" i="8"/>
  <c r="M484" i="8"/>
  <c r="G484" i="8"/>
  <c r="M483" i="8"/>
  <c r="G483" i="8"/>
  <c r="M482" i="8"/>
  <c r="G482" i="8"/>
  <c r="M481" i="8"/>
  <c r="G481" i="8"/>
  <c r="M480" i="8"/>
  <c r="G480" i="8"/>
  <c r="M479" i="8"/>
  <c r="G479" i="8"/>
  <c r="M478" i="8"/>
  <c r="G478" i="8"/>
  <c r="M477" i="8"/>
  <c r="G477" i="8"/>
  <c r="M476" i="8"/>
  <c r="G476" i="8"/>
  <c r="M475" i="8"/>
  <c r="G475" i="8"/>
  <c r="M474" i="8"/>
  <c r="G474" i="8"/>
  <c r="M473" i="8"/>
  <c r="G473" i="8"/>
  <c r="M472" i="8"/>
  <c r="G472" i="8"/>
  <c r="M471" i="8"/>
  <c r="G471" i="8"/>
  <c r="M470" i="8"/>
  <c r="G470" i="8"/>
  <c r="M469" i="8"/>
  <c r="G469" i="8"/>
  <c r="M468" i="8"/>
  <c r="G468" i="8"/>
  <c r="M467" i="8"/>
  <c r="G467" i="8"/>
  <c r="M466" i="8"/>
  <c r="G466" i="8"/>
  <c r="M465" i="8"/>
  <c r="G465" i="8"/>
  <c r="M464" i="8"/>
  <c r="G464" i="8"/>
  <c r="M463" i="8"/>
  <c r="G463" i="8"/>
  <c r="M462" i="8"/>
  <c r="G462" i="8"/>
  <c r="M461" i="8"/>
  <c r="G461" i="8"/>
  <c r="M460" i="8"/>
  <c r="G460" i="8"/>
  <c r="M459" i="8"/>
  <c r="G459" i="8"/>
  <c r="M458" i="8"/>
  <c r="G458" i="8"/>
  <c r="M457" i="8"/>
  <c r="G457" i="8"/>
  <c r="M456" i="8"/>
  <c r="G456" i="8"/>
  <c r="M455" i="8"/>
  <c r="G455" i="8"/>
  <c r="M454" i="8"/>
  <c r="G454" i="8"/>
  <c r="M453" i="8"/>
  <c r="G453" i="8"/>
  <c r="M452" i="8"/>
  <c r="G452" i="8"/>
  <c r="M451" i="8"/>
  <c r="G451" i="8"/>
  <c r="M450" i="8"/>
  <c r="G450" i="8"/>
  <c r="M449" i="8"/>
  <c r="G449" i="8"/>
  <c r="M448" i="8"/>
  <c r="G448" i="8"/>
  <c r="M447" i="8"/>
  <c r="G447" i="8"/>
  <c r="M446" i="8"/>
  <c r="G446" i="8"/>
  <c r="M445" i="8"/>
  <c r="G445" i="8"/>
  <c r="M444" i="8"/>
  <c r="G444" i="8"/>
  <c r="M443" i="8"/>
  <c r="G443" i="8"/>
  <c r="M442" i="8"/>
  <c r="G442" i="8"/>
  <c r="M441" i="8"/>
  <c r="G441" i="8"/>
  <c r="M440" i="8"/>
  <c r="G440" i="8"/>
  <c r="M439" i="8"/>
  <c r="G439" i="8"/>
  <c r="M438" i="8"/>
  <c r="G438" i="8"/>
  <c r="M437" i="8"/>
  <c r="G437" i="8"/>
  <c r="M436" i="8"/>
  <c r="G436" i="8"/>
  <c r="M435" i="8"/>
  <c r="G435" i="8"/>
  <c r="M434" i="8"/>
  <c r="G434" i="8"/>
  <c r="M433" i="8"/>
  <c r="G433" i="8"/>
  <c r="M432" i="8"/>
  <c r="G432" i="8"/>
  <c r="M431" i="8"/>
  <c r="G431" i="8"/>
  <c r="M430" i="8"/>
  <c r="G430" i="8"/>
  <c r="M429" i="8"/>
  <c r="G429" i="8"/>
  <c r="M428" i="8"/>
  <c r="G428" i="8"/>
  <c r="M427" i="8"/>
  <c r="G427" i="8"/>
  <c r="M426" i="8"/>
  <c r="G426" i="8"/>
  <c r="M425" i="8"/>
  <c r="G425" i="8"/>
  <c r="M424" i="8"/>
  <c r="G424" i="8"/>
  <c r="M423" i="8"/>
  <c r="G423" i="8"/>
  <c r="M422" i="8"/>
  <c r="G422" i="8"/>
  <c r="M421" i="8"/>
  <c r="G421" i="8"/>
  <c r="M420" i="8"/>
  <c r="G420" i="8"/>
  <c r="M419" i="8"/>
  <c r="G419" i="8"/>
  <c r="M418" i="8"/>
  <c r="G418" i="8"/>
  <c r="M417" i="8"/>
  <c r="G417" i="8"/>
  <c r="M416" i="8"/>
  <c r="G416" i="8"/>
  <c r="M415" i="8"/>
  <c r="G415" i="8"/>
  <c r="M414" i="8"/>
  <c r="G414" i="8"/>
  <c r="M413" i="8"/>
  <c r="G413" i="8"/>
  <c r="M412" i="8"/>
  <c r="G412" i="8"/>
  <c r="M411" i="8"/>
  <c r="G411" i="8"/>
  <c r="M410" i="8"/>
  <c r="G410" i="8"/>
  <c r="M409" i="8"/>
  <c r="G409" i="8"/>
  <c r="M408" i="8"/>
  <c r="G408" i="8"/>
  <c r="M407" i="8"/>
  <c r="G407" i="8"/>
  <c r="M406" i="8"/>
  <c r="G406" i="8"/>
  <c r="M405" i="8"/>
  <c r="G405" i="8"/>
  <c r="M404" i="8"/>
  <c r="G404" i="8"/>
  <c r="M403" i="8"/>
  <c r="G403" i="8"/>
  <c r="M402" i="8"/>
  <c r="G402" i="8"/>
  <c r="M401" i="8"/>
  <c r="G401" i="8"/>
  <c r="M400" i="8"/>
  <c r="G400" i="8"/>
  <c r="M399" i="8"/>
  <c r="G399" i="8"/>
  <c r="M398" i="8"/>
  <c r="G398" i="8"/>
  <c r="M397" i="8"/>
  <c r="G397" i="8"/>
  <c r="M396" i="8"/>
  <c r="G396" i="8"/>
  <c r="M395" i="8"/>
  <c r="G395" i="8"/>
  <c r="M394" i="8"/>
  <c r="G394" i="8"/>
  <c r="M393" i="8"/>
  <c r="G393" i="8"/>
  <c r="M392" i="8"/>
  <c r="G392" i="8"/>
  <c r="M391" i="8"/>
  <c r="G391" i="8"/>
  <c r="M390" i="8"/>
  <c r="G390" i="8"/>
  <c r="M389" i="8"/>
  <c r="G389" i="8"/>
  <c r="M388" i="8"/>
  <c r="G388" i="8"/>
  <c r="M387" i="8"/>
  <c r="G387" i="8"/>
  <c r="M386" i="8"/>
  <c r="G386" i="8"/>
  <c r="M385" i="8"/>
  <c r="G385" i="8"/>
  <c r="M384" i="8"/>
  <c r="G384" i="8"/>
  <c r="M383" i="8"/>
  <c r="G383" i="8"/>
  <c r="M382" i="8"/>
  <c r="G382" i="8"/>
  <c r="M381" i="8"/>
  <c r="G381" i="8"/>
  <c r="M380" i="8"/>
  <c r="G380" i="8"/>
  <c r="M379" i="8"/>
  <c r="G379" i="8"/>
  <c r="M378" i="8"/>
  <c r="G378" i="8"/>
  <c r="M377" i="8"/>
  <c r="G377" i="8"/>
  <c r="M376" i="8"/>
  <c r="G376" i="8"/>
  <c r="M375" i="8"/>
  <c r="G375" i="8"/>
  <c r="M374" i="8"/>
  <c r="G374" i="8"/>
  <c r="M373" i="8"/>
  <c r="G373" i="8"/>
  <c r="M372" i="8"/>
  <c r="G372" i="8"/>
  <c r="M371" i="8"/>
  <c r="G371" i="8"/>
  <c r="M370" i="8"/>
  <c r="G370" i="8"/>
  <c r="M369" i="8"/>
  <c r="G369" i="8"/>
  <c r="M368" i="8"/>
  <c r="G368" i="8"/>
  <c r="M367" i="8"/>
  <c r="G367" i="8"/>
  <c r="M366" i="8"/>
  <c r="G366" i="8"/>
  <c r="M365" i="8"/>
  <c r="G365" i="8"/>
  <c r="M364" i="8"/>
  <c r="G364" i="8"/>
  <c r="M363" i="8"/>
  <c r="G363" i="8"/>
  <c r="M362" i="8"/>
  <c r="G362" i="8"/>
  <c r="M361" i="8"/>
  <c r="G361" i="8"/>
  <c r="M360" i="8"/>
  <c r="G360" i="8"/>
  <c r="M359" i="8"/>
  <c r="G359" i="8"/>
  <c r="M358" i="8"/>
  <c r="G358" i="8"/>
  <c r="M357" i="8"/>
  <c r="G357" i="8"/>
  <c r="M356" i="8"/>
  <c r="G356" i="8"/>
  <c r="M355" i="8"/>
  <c r="G355" i="8"/>
  <c r="M354" i="8"/>
  <c r="G354" i="8"/>
  <c r="M353" i="8"/>
  <c r="G353" i="8"/>
  <c r="M352" i="8"/>
  <c r="G352" i="8"/>
  <c r="M351" i="8"/>
  <c r="G351" i="8"/>
  <c r="M350" i="8"/>
  <c r="G350" i="8"/>
  <c r="M349" i="8"/>
  <c r="G349" i="8"/>
  <c r="M348" i="8"/>
  <c r="G348" i="8"/>
  <c r="M347" i="8"/>
  <c r="G347" i="8"/>
  <c r="M346" i="8"/>
  <c r="G346" i="8"/>
  <c r="M345" i="8"/>
  <c r="G345" i="8"/>
  <c r="M344" i="8"/>
  <c r="G344" i="8"/>
  <c r="M343" i="8"/>
  <c r="G343" i="8"/>
  <c r="M342" i="8"/>
  <c r="G342" i="8"/>
  <c r="M341" i="8"/>
  <c r="G341" i="8"/>
  <c r="M340" i="8"/>
  <c r="G340" i="8"/>
  <c r="M339" i="8"/>
  <c r="G339" i="8"/>
  <c r="M338" i="8"/>
  <c r="G338" i="8"/>
  <c r="M337" i="8"/>
  <c r="G337" i="8"/>
  <c r="M336" i="8"/>
  <c r="G336" i="8"/>
  <c r="M335" i="8"/>
  <c r="G335" i="8"/>
  <c r="M334" i="8"/>
  <c r="G334" i="8"/>
  <c r="M333" i="8"/>
  <c r="G333" i="8"/>
  <c r="M332" i="8"/>
  <c r="G332" i="8"/>
  <c r="M331" i="8"/>
  <c r="G331" i="8"/>
  <c r="M330" i="8"/>
  <c r="G330" i="8"/>
  <c r="M329" i="8"/>
  <c r="G329" i="8"/>
  <c r="M328" i="8"/>
  <c r="G328" i="8"/>
  <c r="M327" i="8"/>
  <c r="G327" i="8"/>
  <c r="M326" i="8"/>
  <c r="G326" i="8"/>
  <c r="M325" i="8"/>
  <c r="G325" i="8"/>
  <c r="M324" i="8"/>
  <c r="G324" i="8"/>
  <c r="M323" i="8"/>
  <c r="G323" i="8"/>
  <c r="M322" i="8"/>
  <c r="G322" i="8"/>
  <c r="M321" i="8"/>
  <c r="G321" i="8"/>
  <c r="M320" i="8"/>
  <c r="G320" i="8"/>
  <c r="M319" i="8"/>
  <c r="G319" i="8"/>
  <c r="M318" i="8"/>
  <c r="G318" i="8"/>
  <c r="M317" i="8"/>
  <c r="G317" i="8"/>
  <c r="M316" i="8"/>
  <c r="G316" i="8"/>
  <c r="M315" i="8"/>
  <c r="G315" i="8"/>
  <c r="M314" i="8"/>
  <c r="G314" i="8"/>
  <c r="M313" i="8"/>
  <c r="G313" i="8"/>
  <c r="M312" i="8"/>
  <c r="G312" i="8"/>
  <c r="M311" i="8"/>
  <c r="G311" i="8"/>
  <c r="M310" i="8"/>
  <c r="G310" i="8"/>
  <c r="M309" i="8"/>
  <c r="G309" i="8"/>
  <c r="M308" i="8"/>
  <c r="G308" i="8"/>
  <c r="M307" i="8"/>
  <c r="G307" i="8"/>
  <c r="M306" i="8"/>
  <c r="G306" i="8"/>
  <c r="M305" i="8"/>
  <c r="G305" i="8"/>
  <c r="M304" i="8"/>
  <c r="G304" i="8"/>
  <c r="M303" i="8"/>
  <c r="G303" i="8"/>
  <c r="M302" i="8"/>
  <c r="G302" i="8"/>
  <c r="M301" i="8"/>
  <c r="G301" i="8"/>
  <c r="M300" i="8"/>
  <c r="G300" i="8"/>
  <c r="M299" i="8"/>
  <c r="G299" i="8"/>
  <c r="M298" i="8"/>
  <c r="G298" i="8"/>
  <c r="M297" i="8"/>
  <c r="G297" i="8"/>
  <c r="M296" i="8"/>
  <c r="G296" i="8"/>
  <c r="M295" i="8"/>
  <c r="G295" i="8"/>
  <c r="M294" i="8"/>
  <c r="G294" i="8"/>
  <c r="M293" i="8"/>
  <c r="G293" i="8"/>
  <c r="M292" i="8"/>
  <c r="G292" i="8"/>
  <c r="M291" i="8"/>
  <c r="G291" i="8"/>
  <c r="M290" i="8"/>
  <c r="G290" i="8"/>
  <c r="M289" i="8"/>
  <c r="G289" i="8"/>
  <c r="M288" i="8"/>
  <c r="G288" i="8"/>
  <c r="M287" i="8"/>
  <c r="G287" i="8"/>
  <c r="M286" i="8"/>
  <c r="G286" i="8"/>
  <c r="M285" i="8"/>
  <c r="G285" i="8"/>
  <c r="M284" i="8"/>
  <c r="G284" i="8"/>
  <c r="M283" i="8"/>
  <c r="G283" i="8"/>
  <c r="M282" i="8"/>
  <c r="G282" i="8"/>
  <c r="M281" i="8"/>
  <c r="G281" i="8"/>
  <c r="M280" i="8"/>
  <c r="G280" i="8"/>
  <c r="M279" i="8"/>
  <c r="G279" i="8"/>
  <c r="M278" i="8"/>
  <c r="G278" i="8"/>
  <c r="M277" i="8"/>
  <c r="G277" i="8"/>
  <c r="M276" i="8"/>
  <c r="G276" i="8"/>
  <c r="M275" i="8"/>
  <c r="G275" i="8"/>
  <c r="M274" i="8"/>
  <c r="G274" i="8"/>
  <c r="M273" i="8"/>
  <c r="G273" i="8"/>
  <c r="M272" i="8"/>
  <c r="G272" i="8"/>
  <c r="M271" i="8"/>
  <c r="G271" i="8"/>
  <c r="M270" i="8"/>
  <c r="G270" i="8"/>
  <c r="M269" i="8"/>
  <c r="G269" i="8"/>
  <c r="M268" i="8"/>
  <c r="G268" i="8"/>
  <c r="M267" i="8"/>
  <c r="G267" i="8"/>
  <c r="M266" i="8"/>
  <c r="G266" i="8"/>
  <c r="M265" i="8"/>
  <c r="G265" i="8"/>
  <c r="M264" i="8"/>
  <c r="G264" i="8"/>
  <c r="M263" i="8"/>
  <c r="G263" i="8"/>
  <c r="M262" i="8"/>
  <c r="G262" i="8"/>
  <c r="M261" i="8"/>
  <c r="G261" i="8"/>
  <c r="M260" i="8"/>
  <c r="G260" i="8"/>
  <c r="M259" i="8"/>
  <c r="G259" i="8"/>
  <c r="M258" i="8"/>
  <c r="G258" i="8"/>
  <c r="M257" i="8"/>
  <c r="G257" i="8"/>
  <c r="M256" i="8"/>
  <c r="G256" i="8"/>
  <c r="M255" i="8"/>
  <c r="G255" i="8"/>
  <c r="M254" i="8"/>
  <c r="G254" i="8"/>
  <c r="M253" i="8"/>
  <c r="G253" i="8"/>
  <c r="M252" i="8"/>
  <c r="G252" i="8"/>
  <c r="M251" i="8"/>
  <c r="G251" i="8"/>
  <c r="M250" i="8"/>
  <c r="G250" i="8"/>
  <c r="M249" i="8"/>
  <c r="G249" i="8"/>
  <c r="M248" i="8"/>
  <c r="G248" i="8"/>
  <c r="M247" i="8"/>
  <c r="G247" i="8"/>
  <c r="M246" i="8"/>
  <c r="G246" i="8"/>
  <c r="M245" i="8"/>
  <c r="G245" i="8"/>
  <c r="M244" i="8"/>
  <c r="G244" i="8"/>
  <c r="M243" i="8"/>
  <c r="G243" i="8"/>
  <c r="M242" i="8"/>
  <c r="G242" i="8"/>
  <c r="M241" i="8"/>
  <c r="G241" i="8"/>
  <c r="M240" i="8"/>
  <c r="G240" i="8"/>
  <c r="M239" i="8"/>
  <c r="G239" i="8"/>
  <c r="M238" i="8"/>
  <c r="G238" i="8"/>
  <c r="M237" i="8"/>
  <c r="G237" i="8"/>
  <c r="M236" i="8"/>
  <c r="G236" i="8"/>
  <c r="M235" i="8"/>
  <c r="G235" i="8"/>
  <c r="M234" i="8"/>
  <c r="G234" i="8"/>
  <c r="M233" i="8"/>
  <c r="G233" i="8"/>
  <c r="M232" i="8"/>
  <c r="G232" i="8"/>
  <c r="M231" i="8"/>
  <c r="G231" i="8"/>
  <c r="M230" i="8"/>
  <c r="G230" i="8"/>
  <c r="M229" i="8"/>
  <c r="G229" i="8"/>
  <c r="M228" i="8"/>
  <c r="G228" i="8"/>
  <c r="M227" i="8"/>
  <c r="G227" i="8"/>
  <c r="M226" i="8"/>
  <c r="G226" i="8"/>
  <c r="M225" i="8"/>
  <c r="G225" i="8"/>
  <c r="M224" i="8"/>
  <c r="G224" i="8"/>
  <c r="M223" i="8"/>
  <c r="G223" i="8"/>
  <c r="M222" i="8"/>
  <c r="G222" i="8"/>
  <c r="M221" i="8"/>
  <c r="G221" i="8"/>
  <c r="M220" i="8"/>
  <c r="G220" i="8"/>
  <c r="M219" i="8"/>
  <c r="G219" i="8"/>
  <c r="M218" i="8"/>
  <c r="G218" i="8"/>
  <c r="M217" i="8"/>
  <c r="G217" i="8"/>
  <c r="M216" i="8"/>
  <c r="G216" i="8"/>
  <c r="M215" i="8"/>
  <c r="G215" i="8"/>
  <c r="M214" i="8"/>
  <c r="G214" i="8"/>
  <c r="M213" i="8"/>
  <c r="G213" i="8"/>
  <c r="M212" i="8"/>
  <c r="G212" i="8"/>
  <c r="M211" i="8"/>
  <c r="G211" i="8"/>
  <c r="M210" i="8"/>
  <c r="G210" i="8"/>
  <c r="M209" i="8"/>
  <c r="G209" i="8"/>
  <c r="M208" i="8"/>
  <c r="G208" i="8"/>
  <c r="M207" i="8"/>
  <c r="G207" i="8"/>
  <c r="M206" i="8"/>
  <c r="G206" i="8"/>
  <c r="M205" i="8"/>
  <c r="G205" i="8"/>
  <c r="M204" i="8"/>
  <c r="G204" i="8"/>
  <c r="M203" i="8"/>
  <c r="G203" i="8"/>
  <c r="M202" i="8"/>
  <c r="G202" i="8"/>
  <c r="M201" i="8"/>
  <c r="G201" i="8"/>
  <c r="M200" i="8"/>
  <c r="G200" i="8"/>
  <c r="M199" i="8"/>
  <c r="G199" i="8"/>
  <c r="M198" i="8"/>
  <c r="G198" i="8"/>
  <c r="M197" i="8"/>
  <c r="G197" i="8"/>
  <c r="M196" i="8"/>
  <c r="G196" i="8"/>
  <c r="M195" i="8"/>
  <c r="G195" i="8"/>
  <c r="M194" i="8"/>
  <c r="G194" i="8"/>
  <c r="M193" i="8"/>
  <c r="G193" i="8"/>
  <c r="M192" i="8"/>
  <c r="G192" i="8"/>
  <c r="M191" i="8"/>
  <c r="G191" i="8"/>
  <c r="M190" i="8"/>
  <c r="G190" i="8"/>
  <c r="M189" i="8"/>
  <c r="G189" i="8"/>
  <c r="M188" i="8"/>
  <c r="G188" i="8"/>
  <c r="M187" i="8"/>
  <c r="G187" i="8"/>
  <c r="M186" i="8"/>
  <c r="G186" i="8"/>
  <c r="M185" i="8"/>
  <c r="G185" i="8"/>
  <c r="M184" i="8"/>
  <c r="G184" i="8"/>
  <c r="M183" i="8"/>
  <c r="G183" i="8"/>
  <c r="M182" i="8"/>
  <c r="G182" i="8"/>
  <c r="M181" i="8"/>
  <c r="G181" i="8"/>
  <c r="M180" i="8"/>
  <c r="G180" i="8"/>
  <c r="M179" i="8"/>
  <c r="G179" i="8"/>
  <c r="M178" i="8"/>
  <c r="G178" i="8"/>
  <c r="M177" i="8"/>
  <c r="G177" i="8"/>
  <c r="M176" i="8"/>
  <c r="G176" i="8"/>
  <c r="M175" i="8"/>
  <c r="G175" i="8"/>
  <c r="M174" i="8"/>
  <c r="G174" i="8"/>
  <c r="M173" i="8"/>
  <c r="G173" i="8"/>
  <c r="M172" i="8"/>
  <c r="G172" i="8"/>
  <c r="M171" i="8"/>
  <c r="G171" i="8"/>
  <c r="M170" i="8"/>
  <c r="G170" i="8"/>
  <c r="M169" i="8"/>
  <c r="G169" i="8"/>
  <c r="M168" i="8"/>
  <c r="G168" i="8"/>
  <c r="M167" i="8"/>
  <c r="G167" i="8"/>
  <c r="M166" i="8"/>
  <c r="G166" i="8"/>
  <c r="M165" i="8"/>
  <c r="G165" i="8"/>
  <c r="M164" i="8"/>
  <c r="G164" i="8"/>
  <c r="M163" i="8"/>
  <c r="G163" i="8"/>
  <c r="M162" i="8"/>
  <c r="G162" i="8"/>
  <c r="M161" i="8"/>
  <c r="G161" i="8"/>
  <c r="M160" i="8"/>
  <c r="G160" i="8"/>
  <c r="M159" i="8"/>
  <c r="G159" i="8"/>
  <c r="M158" i="8"/>
  <c r="G158" i="8"/>
  <c r="M157" i="8"/>
  <c r="G157" i="8"/>
  <c r="M156" i="8"/>
  <c r="G156" i="8"/>
  <c r="M155" i="8"/>
  <c r="G155" i="8"/>
  <c r="M154" i="8"/>
  <c r="G154" i="8"/>
  <c r="M153" i="8"/>
  <c r="G153" i="8"/>
  <c r="M152" i="8"/>
  <c r="G152" i="8"/>
  <c r="M151" i="8"/>
  <c r="G151" i="8"/>
  <c r="M150" i="8"/>
  <c r="G150" i="8"/>
  <c r="M149" i="8"/>
  <c r="G149" i="8"/>
  <c r="M148" i="8"/>
  <c r="G148" i="8"/>
  <c r="M147" i="8"/>
  <c r="G147" i="8"/>
  <c r="M146" i="8"/>
  <c r="G146" i="8"/>
  <c r="M145" i="8"/>
  <c r="G145" i="8"/>
  <c r="M144" i="8"/>
  <c r="G144" i="8"/>
  <c r="M143" i="8"/>
  <c r="G143" i="8"/>
  <c r="M142" i="8"/>
  <c r="G142" i="8"/>
  <c r="M141" i="8"/>
  <c r="G141" i="8"/>
  <c r="M140" i="8"/>
  <c r="G140" i="8"/>
  <c r="M139" i="8"/>
  <c r="G139" i="8"/>
  <c r="M138" i="8"/>
  <c r="G138" i="8"/>
  <c r="M137" i="8"/>
  <c r="G137" i="8"/>
  <c r="M136" i="8"/>
  <c r="G136" i="8"/>
  <c r="M135" i="8"/>
  <c r="G135" i="8"/>
  <c r="M134" i="8"/>
  <c r="G134" i="8"/>
  <c r="M133" i="8"/>
  <c r="G133" i="8"/>
  <c r="M132" i="8"/>
  <c r="G132" i="8"/>
  <c r="M131" i="8"/>
  <c r="G131" i="8"/>
  <c r="M130" i="8"/>
  <c r="G130" i="8"/>
  <c r="M129" i="8"/>
  <c r="G129" i="8"/>
  <c r="M128" i="8"/>
  <c r="G128" i="8"/>
  <c r="M127" i="8"/>
  <c r="G127" i="8"/>
  <c r="M126" i="8"/>
  <c r="G126" i="8"/>
  <c r="M125" i="8"/>
  <c r="G125" i="8"/>
  <c r="M124" i="8"/>
  <c r="G124" i="8"/>
  <c r="M123" i="8"/>
  <c r="G123" i="8"/>
  <c r="M122" i="8"/>
  <c r="G122" i="8"/>
  <c r="M121" i="8"/>
  <c r="G121" i="8"/>
  <c r="M120" i="8"/>
  <c r="G120" i="8"/>
  <c r="M119" i="8"/>
  <c r="G119" i="8"/>
  <c r="M118" i="8"/>
  <c r="G118" i="8"/>
  <c r="M117" i="8"/>
  <c r="G117" i="8"/>
  <c r="M116" i="8"/>
  <c r="G116" i="8"/>
  <c r="M115" i="8"/>
  <c r="G115" i="8"/>
  <c r="M114" i="8"/>
  <c r="G114" i="8"/>
  <c r="M113" i="8"/>
  <c r="G113" i="8"/>
  <c r="M112" i="8"/>
  <c r="G112" i="8"/>
  <c r="M111" i="8"/>
  <c r="G111" i="8"/>
  <c r="M110" i="8"/>
  <c r="G110" i="8"/>
  <c r="M109" i="8"/>
  <c r="G109" i="8"/>
  <c r="M108" i="8"/>
  <c r="G108" i="8"/>
  <c r="M107" i="8"/>
  <c r="G107" i="8"/>
  <c r="M106" i="8"/>
  <c r="G106" i="8"/>
  <c r="M105" i="8"/>
  <c r="G105" i="8"/>
  <c r="M104" i="8"/>
  <c r="G104" i="8"/>
  <c r="M103" i="8"/>
  <c r="G103" i="8"/>
  <c r="M102" i="8"/>
  <c r="G102" i="8"/>
  <c r="M101" i="8"/>
  <c r="G101" i="8"/>
  <c r="M100" i="8"/>
  <c r="G100" i="8"/>
  <c r="M99" i="8"/>
  <c r="G99" i="8"/>
  <c r="M98" i="8"/>
  <c r="G98" i="8"/>
  <c r="M97" i="8"/>
  <c r="G97" i="8"/>
  <c r="M96" i="8"/>
  <c r="G96" i="8"/>
  <c r="M95" i="8"/>
  <c r="G95" i="8"/>
  <c r="M94" i="8"/>
  <c r="G94" i="8"/>
  <c r="M93" i="8"/>
  <c r="G93" i="8"/>
  <c r="M92" i="8"/>
  <c r="G92" i="8"/>
  <c r="M91" i="8"/>
  <c r="G91" i="8"/>
  <c r="M90" i="8"/>
  <c r="G90" i="8"/>
  <c r="M89" i="8"/>
  <c r="G89" i="8"/>
  <c r="M88" i="8"/>
  <c r="G88" i="8"/>
  <c r="M87" i="8"/>
  <c r="G87" i="8"/>
  <c r="M86" i="8"/>
  <c r="G86" i="8"/>
  <c r="M85" i="8"/>
  <c r="G85" i="8"/>
  <c r="M84" i="8"/>
  <c r="G84" i="8"/>
  <c r="M83" i="8"/>
  <c r="G83" i="8"/>
  <c r="M82" i="8"/>
  <c r="G82" i="8"/>
  <c r="M81" i="8"/>
  <c r="G81" i="8"/>
  <c r="M80" i="8"/>
  <c r="G80" i="8"/>
  <c r="M79" i="8"/>
  <c r="G79" i="8"/>
  <c r="M78" i="8"/>
  <c r="G78" i="8"/>
  <c r="M77" i="8"/>
  <c r="G77" i="8"/>
  <c r="M76" i="8"/>
  <c r="G76" i="8"/>
  <c r="M75" i="8"/>
  <c r="G75" i="8"/>
  <c r="M74" i="8"/>
  <c r="G74" i="8"/>
  <c r="M73" i="8"/>
  <c r="G73" i="8"/>
  <c r="M72" i="8"/>
  <c r="G72" i="8"/>
  <c r="M71" i="8"/>
  <c r="G71" i="8"/>
  <c r="M70" i="8"/>
  <c r="G70" i="8"/>
  <c r="M69" i="8"/>
  <c r="G69" i="8"/>
  <c r="M68" i="8"/>
  <c r="G68" i="8"/>
  <c r="M67" i="8"/>
  <c r="G67" i="8"/>
  <c r="M66" i="8"/>
  <c r="G66" i="8"/>
  <c r="M65" i="8"/>
  <c r="G65" i="8"/>
  <c r="M64" i="8"/>
  <c r="G64" i="8"/>
  <c r="M63" i="8"/>
  <c r="G63" i="8"/>
  <c r="M62" i="8"/>
  <c r="G62" i="8"/>
  <c r="M61" i="8"/>
  <c r="G61" i="8"/>
  <c r="M60" i="8"/>
  <c r="G60" i="8"/>
  <c r="M59" i="8"/>
  <c r="G59" i="8"/>
  <c r="M58" i="8"/>
  <c r="G58" i="8"/>
  <c r="M57" i="8"/>
  <c r="G57" i="8"/>
  <c r="M56" i="8"/>
  <c r="G56" i="8"/>
  <c r="M55" i="8"/>
  <c r="G55" i="8"/>
  <c r="M54" i="8"/>
  <c r="G54" i="8"/>
  <c r="M53" i="8"/>
  <c r="G53" i="8"/>
  <c r="M52" i="8"/>
  <c r="G52" i="8"/>
  <c r="M51" i="8"/>
  <c r="G51" i="8"/>
  <c r="M50" i="8"/>
  <c r="G50" i="8"/>
  <c r="M49" i="8"/>
  <c r="G49" i="8"/>
  <c r="M48" i="8"/>
  <c r="G48" i="8"/>
  <c r="M47" i="8"/>
  <c r="G47" i="8"/>
  <c r="M46" i="8"/>
  <c r="G46" i="8"/>
  <c r="M45" i="8"/>
  <c r="G45" i="8"/>
  <c r="M44" i="8"/>
  <c r="G44" i="8"/>
  <c r="M43" i="8"/>
  <c r="G43" i="8"/>
  <c r="M42" i="8"/>
  <c r="G42" i="8"/>
  <c r="M41" i="8"/>
  <c r="G41" i="8"/>
  <c r="M40" i="8"/>
  <c r="G40" i="8"/>
  <c r="M39" i="8"/>
  <c r="G39" i="8"/>
  <c r="M38" i="8"/>
  <c r="G38" i="8"/>
  <c r="M37" i="8"/>
  <c r="G37" i="8"/>
  <c r="M36" i="8"/>
  <c r="G36" i="8"/>
  <c r="M35" i="8"/>
  <c r="G35" i="8"/>
  <c r="M34" i="8"/>
  <c r="G34" i="8"/>
  <c r="M33" i="8"/>
  <c r="G33" i="8"/>
  <c r="M32" i="8"/>
  <c r="G32" i="8"/>
  <c r="M31" i="8"/>
  <c r="G31" i="8"/>
  <c r="M30" i="8"/>
  <c r="G30" i="8"/>
  <c r="M29" i="8"/>
  <c r="G29" i="8"/>
  <c r="M28" i="8"/>
  <c r="G28" i="8"/>
  <c r="M27" i="8"/>
  <c r="G27" i="8"/>
  <c r="M26" i="8"/>
  <c r="G26" i="8"/>
  <c r="M25" i="8"/>
  <c r="G25" i="8"/>
  <c r="M24" i="8"/>
  <c r="G24" i="8"/>
  <c r="M23" i="8"/>
  <c r="G23" i="8"/>
  <c r="M22" i="8"/>
  <c r="G22" i="8"/>
  <c r="M21" i="8"/>
  <c r="G21" i="8"/>
  <c r="M20" i="8"/>
  <c r="G20" i="8"/>
  <c r="M19" i="8"/>
  <c r="G19" i="8"/>
  <c r="M18" i="8"/>
  <c r="G18" i="8"/>
  <c r="M17" i="8"/>
  <c r="G17" i="8"/>
  <c r="M16" i="8"/>
  <c r="G16" i="8"/>
  <c r="M15" i="8"/>
  <c r="G15" i="8"/>
  <c r="M14" i="8"/>
  <c r="G14" i="8"/>
  <c r="M13" i="8"/>
  <c r="G13" i="8"/>
  <c r="M12" i="8"/>
  <c r="G12" i="8"/>
  <c r="M11" i="8"/>
  <c r="F4" i="8"/>
  <c r="H78" i="8" s="1"/>
  <c r="F3" i="8"/>
  <c r="M606" i="7"/>
  <c r="G606" i="7"/>
  <c r="M605" i="7"/>
  <c r="G605" i="7"/>
  <c r="M604" i="7"/>
  <c r="G604" i="7"/>
  <c r="M603" i="7"/>
  <c r="G603" i="7"/>
  <c r="M602" i="7"/>
  <c r="G602" i="7"/>
  <c r="M601" i="7"/>
  <c r="G601" i="7"/>
  <c r="M600" i="7"/>
  <c r="G600" i="7"/>
  <c r="M599" i="7"/>
  <c r="G599" i="7"/>
  <c r="M598" i="7"/>
  <c r="G598" i="7"/>
  <c r="M597" i="7"/>
  <c r="G597" i="7"/>
  <c r="M596" i="7"/>
  <c r="G596" i="7"/>
  <c r="M595" i="7"/>
  <c r="G595" i="7"/>
  <c r="M594" i="7"/>
  <c r="G594" i="7"/>
  <c r="M593" i="7"/>
  <c r="G593" i="7"/>
  <c r="M592" i="7"/>
  <c r="G592" i="7"/>
  <c r="M591" i="7"/>
  <c r="G591" i="7"/>
  <c r="M590" i="7"/>
  <c r="G590" i="7"/>
  <c r="M589" i="7"/>
  <c r="G589" i="7"/>
  <c r="M588" i="7"/>
  <c r="G588" i="7"/>
  <c r="M587" i="7"/>
  <c r="G587" i="7"/>
  <c r="M586" i="7"/>
  <c r="G586" i="7"/>
  <c r="M585" i="7"/>
  <c r="G585" i="7"/>
  <c r="M584" i="7"/>
  <c r="G584" i="7"/>
  <c r="M583" i="7"/>
  <c r="G583" i="7"/>
  <c r="M582" i="7"/>
  <c r="G582" i="7"/>
  <c r="M581" i="7"/>
  <c r="G581" i="7"/>
  <c r="M580" i="7"/>
  <c r="G580" i="7"/>
  <c r="M579" i="7"/>
  <c r="G579" i="7"/>
  <c r="M578" i="7"/>
  <c r="G578" i="7"/>
  <c r="M577" i="7"/>
  <c r="G577" i="7"/>
  <c r="M576" i="7"/>
  <c r="G576" i="7"/>
  <c r="M575" i="7"/>
  <c r="G575" i="7"/>
  <c r="M574" i="7"/>
  <c r="G574" i="7"/>
  <c r="M573" i="7"/>
  <c r="G573" i="7"/>
  <c r="M572" i="7"/>
  <c r="G572" i="7"/>
  <c r="M571" i="7"/>
  <c r="G571" i="7"/>
  <c r="M570" i="7"/>
  <c r="G570" i="7"/>
  <c r="M569" i="7"/>
  <c r="G569" i="7"/>
  <c r="M568" i="7"/>
  <c r="G568" i="7"/>
  <c r="M567" i="7"/>
  <c r="G567" i="7"/>
  <c r="M566" i="7"/>
  <c r="G566" i="7"/>
  <c r="M565" i="7"/>
  <c r="G565" i="7"/>
  <c r="M564" i="7"/>
  <c r="G564" i="7"/>
  <c r="M563" i="7"/>
  <c r="G563" i="7"/>
  <c r="M562" i="7"/>
  <c r="G562" i="7"/>
  <c r="M561" i="7"/>
  <c r="G561" i="7"/>
  <c r="M560" i="7"/>
  <c r="G560" i="7"/>
  <c r="M559" i="7"/>
  <c r="G559" i="7"/>
  <c r="M558" i="7"/>
  <c r="G558" i="7"/>
  <c r="M557" i="7"/>
  <c r="G557" i="7"/>
  <c r="M556" i="7"/>
  <c r="G556" i="7"/>
  <c r="M555" i="7"/>
  <c r="G555" i="7"/>
  <c r="M554" i="7"/>
  <c r="G554" i="7"/>
  <c r="M553" i="7"/>
  <c r="G553" i="7"/>
  <c r="M552" i="7"/>
  <c r="G552" i="7"/>
  <c r="M551" i="7"/>
  <c r="G551" i="7"/>
  <c r="M550" i="7"/>
  <c r="G550" i="7"/>
  <c r="M549" i="7"/>
  <c r="G549" i="7"/>
  <c r="M548" i="7"/>
  <c r="G548" i="7"/>
  <c r="M547" i="7"/>
  <c r="G547" i="7"/>
  <c r="M546" i="7"/>
  <c r="G546" i="7"/>
  <c r="M545" i="7"/>
  <c r="G545" i="7"/>
  <c r="M544" i="7"/>
  <c r="G544" i="7"/>
  <c r="M543" i="7"/>
  <c r="G543" i="7"/>
  <c r="M542" i="7"/>
  <c r="G542" i="7"/>
  <c r="M541" i="7"/>
  <c r="G541" i="7"/>
  <c r="M540" i="7"/>
  <c r="G540" i="7"/>
  <c r="M539" i="7"/>
  <c r="G539" i="7"/>
  <c r="M538" i="7"/>
  <c r="G538" i="7"/>
  <c r="M537" i="7"/>
  <c r="G537" i="7"/>
  <c r="M536" i="7"/>
  <c r="G536" i="7"/>
  <c r="M535" i="7"/>
  <c r="G535" i="7"/>
  <c r="M534" i="7"/>
  <c r="G534" i="7"/>
  <c r="M533" i="7"/>
  <c r="G533" i="7"/>
  <c r="M532" i="7"/>
  <c r="G532" i="7"/>
  <c r="M531" i="7"/>
  <c r="G531" i="7"/>
  <c r="M530" i="7"/>
  <c r="G530" i="7"/>
  <c r="M529" i="7"/>
  <c r="G529" i="7"/>
  <c r="M528" i="7"/>
  <c r="G528" i="7"/>
  <c r="M527" i="7"/>
  <c r="G527" i="7"/>
  <c r="M526" i="7"/>
  <c r="G526" i="7"/>
  <c r="M525" i="7"/>
  <c r="G525" i="7"/>
  <c r="M524" i="7"/>
  <c r="G524" i="7"/>
  <c r="M523" i="7"/>
  <c r="G523" i="7"/>
  <c r="M522" i="7"/>
  <c r="G522" i="7"/>
  <c r="M521" i="7"/>
  <c r="G521" i="7"/>
  <c r="M520" i="7"/>
  <c r="G520" i="7"/>
  <c r="M519" i="7"/>
  <c r="G519" i="7"/>
  <c r="M518" i="7"/>
  <c r="G518" i="7"/>
  <c r="M517" i="7"/>
  <c r="G517" i="7"/>
  <c r="M516" i="7"/>
  <c r="G516" i="7"/>
  <c r="M515" i="7"/>
  <c r="G515" i="7"/>
  <c r="M514" i="7"/>
  <c r="G514" i="7"/>
  <c r="M513" i="7"/>
  <c r="G513" i="7"/>
  <c r="M512" i="7"/>
  <c r="G512" i="7"/>
  <c r="M511" i="7"/>
  <c r="G511" i="7"/>
  <c r="M510" i="7"/>
  <c r="G510" i="7"/>
  <c r="M509" i="7"/>
  <c r="G509" i="7"/>
  <c r="M508" i="7"/>
  <c r="G508" i="7"/>
  <c r="M507" i="7"/>
  <c r="G507" i="7"/>
  <c r="M506" i="7"/>
  <c r="G506" i="7"/>
  <c r="M505" i="7"/>
  <c r="G505" i="7"/>
  <c r="M504" i="7"/>
  <c r="G504" i="7"/>
  <c r="M503" i="7"/>
  <c r="G503" i="7"/>
  <c r="M502" i="7"/>
  <c r="G502" i="7"/>
  <c r="M501" i="7"/>
  <c r="G501" i="7"/>
  <c r="M500" i="7"/>
  <c r="G500" i="7"/>
  <c r="M499" i="7"/>
  <c r="G499" i="7"/>
  <c r="M498" i="7"/>
  <c r="G498" i="7"/>
  <c r="M497" i="7"/>
  <c r="G497" i="7"/>
  <c r="M496" i="7"/>
  <c r="G496" i="7"/>
  <c r="M495" i="7"/>
  <c r="G495" i="7"/>
  <c r="M494" i="7"/>
  <c r="G494" i="7"/>
  <c r="M493" i="7"/>
  <c r="G493" i="7"/>
  <c r="M492" i="7"/>
  <c r="G492" i="7"/>
  <c r="M491" i="7"/>
  <c r="G491" i="7"/>
  <c r="M490" i="7"/>
  <c r="G490" i="7"/>
  <c r="M489" i="7"/>
  <c r="G489" i="7"/>
  <c r="M488" i="7"/>
  <c r="G488" i="7"/>
  <c r="M487" i="7"/>
  <c r="G487" i="7"/>
  <c r="M486" i="7"/>
  <c r="G486" i="7"/>
  <c r="M485" i="7"/>
  <c r="G485" i="7"/>
  <c r="M484" i="7"/>
  <c r="G484" i="7"/>
  <c r="M483" i="7"/>
  <c r="G483" i="7"/>
  <c r="M482" i="7"/>
  <c r="G482" i="7"/>
  <c r="M481" i="7"/>
  <c r="G481" i="7"/>
  <c r="M480" i="7"/>
  <c r="G480" i="7"/>
  <c r="M479" i="7"/>
  <c r="G479" i="7"/>
  <c r="M478" i="7"/>
  <c r="G478" i="7"/>
  <c r="M477" i="7"/>
  <c r="G477" i="7"/>
  <c r="M476" i="7"/>
  <c r="G476" i="7"/>
  <c r="M475" i="7"/>
  <c r="G475" i="7"/>
  <c r="M474" i="7"/>
  <c r="G474" i="7"/>
  <c r="M473" i="7"/>
  <c r="G473" i="7"/>
  <c r="M472" i="7"/>
  <c r="G472" i="7"/>
  <c r="M471" i="7"/>
  <c r="G471" i="7"/>
  <c r="M470" i="7"/>
  <c r="G470" i="7"/>
  <c r="M469" i="7"/>
  <c r="G469" i="7"/>
  <c r="M468" i="7"/>
  <c r="G468" i="7"/>
  <c r="M467" i="7"/>
  <c r="G467" i="7"/>
  <c r="M466" i="7"/>
  <c r="G466" i="7"/>
  <c r="M465" i="7"/>
  <c r="G465" i="7"/>
  <c r="M464" i="7"/>
  <c r="G464" i="7"/>
  <c r="M463" i="7"/>
  <c r="G463" i="7"/>
  <c r="M462" i="7"/>
  <c r="G462" i="7"/>
  <c r="M461" i="7"/>
  <c r="G461" i="7"/>
  <c r="M460" i="7"/>
  <c r="G460" i="7"/>
  <c r="M459" i="7"/>
  <c r="G459" i="7"/>
  <c r="M458" i="7"/>
  <c r="G458" i="7"/>
  <c r="M457" i="7"/>
  <c r="G457" i="7"/>
  <c r="M456" i="7"/>
  <c r="G456" i="7"/>
  <c r="M455" i="7"/>
  <c r="G455" i="7"/>
  <c r="M454" i="7"/>
  <c r="G454" i="7"/>
  <c r="M453" i="7"/>
  <c r="G453" i="7"/>
  <c r="M452" i="7"/>
  <c r="G452" i="7"/>
  <c r="M451" i="7"/>
  <c r="G451" i="7"/>
  <c r="M450" i="7"/>
  <c r="G450" i="7"/>
  <c r="M449" i="7"/>
  <c r="G449" i="7"/>
  <c r="M448" i="7"/>
  <c r="G448" i="7"/>
  <c r="M447" i="7"/>
  <c r="G447" i="7"/>
  <c r="M446" i="7"/>
  <c r="G446" i="7"/>
  <c r="M445" i="7"/>
  <c r="G445" i="7"/>
  <c r="M444" i="7"/>
  <c r="G444" i="7"/>
  <c r="M443" i="7"/>
  <c r="G443" i="7"/>
  <c r="M442" i="7"/>
  <c r="G442" i="7"/>
  <c r="M441" i="7"/>
  <c r="G441" i="7"/>
  <c r="M440" i="7"/>
  <c r="G440" i="7"/>
  <c r="M439" i="7"/>
  <c r="G439" i="7"/>
  <c r="M438" i="7"/>
  <c r="G438" i="7"/>
  <c r="M437" i="7"/>
  <c r="G437" i="7"/>
  <c r="M436" i="7"/>
  <c r="G436" i="7"/>
  <c r="M435" i="7"/>
  <c r="G435" i="7"/>
  <c r="M434" i="7"/>
  <c r="G434" i="7"/>
  <c r="M433" i="7"/>
  <c r="G433" i="7"/>
  <c r="M432" i="7"/>
  <c r="G432" i="7"/>
  <c r="M431" i="7"/>
  <c r="G431" i="7"/>
  <c r="M430" i="7"/>
  <c r="G430" i="7"/>
  <c r="M429" i="7"/>
  <c r="G429" i="7"/>
  <c r="M428" i="7"/>
  <c r="G428" i="7"/>
  <c r="M427" i="7"/>
  <c r="G427" i="7"/>
  <c r="M426" i="7"/>
  <c r="G426" i="7"/>
  <c r="M425" i="7"/>
  <c r="G425" i="7"/>
  <c r="M424" i="7"/>
  <c r="G424" i="7"/>
  <c r="M423" i="7"/>
  <c r="G423" i="7"/>
  <c r="M422" i="7"/>
  <c r="G422" i="7"/>
  <c r="M421" i="7"/>
  <c r="G421" i="7"/>
  <c r="M420" i="7"/>
  <c r="G420" i="7"/>
  <c r="M419" i="7"/>
  <c r="G419" i="7"/>
  <c r="M418" i="7"/>
  <c r="G418" i="7"/>
  <c r="M417" i="7"/>
  <c r="G417" i="7"/>
  <c r="M416" i="7"/>
  <c r="G416" i="7"/>
  <c r="M415" i="7"/>
  <c r="G415" i="7"/>
  <c r="M414" i="7"/>
  <c r="G414" i="7"/>
  <c r="M413" i="7"/>
  <c r="G413" i="7"/>
  <c r="M412" i="7"/>
  <c r="G412" i="7"/>
  <c r="M411" i="7"/>
  <c r="G411" i="7"/>
  <c r="M410" i="7"/>
  <c r="G410" i="7"/>
  <c r="M409" i="7"/>
  <c r="G409" i="7"/>
  <c r="M408" i="7"/>
  <c r="G408" i="7"/>
  <c r="M407" i="7"/>
  <c r="G407" i="7"/>
  <c r="M406" i="7"/>
  <c r="G406" i="7"/>
  <c r="M405" i="7"/>
  <c r="G405" i="7"/>
  <c r="M404" i="7"/>
  <c r="G404" i="7"/>
  <c r="M403" i="7"/>
  <c r="G403" i="7"/>
  <c r="M402" i="7"/>
  <c r="G402" i="7"/>
  <c r="M401" i="7"/>
  <c r="G401" i="7"/>
  <c r="M400" i="7"/>
  <c r="G400" i="7"/>
  <c r="M399" i="7"/>
  <c r="G399" i="7"/>
  <c r="M398" i="7"/>
  <c r="G398" i="7"/>
  <c r="M397" i="7"/>
  <c r="G397" i="7"/>
  <c r="M396" i="7"/>
  <c r="G396" i="7"/>
  <c r="M395" i="7"/>
  <c r="G395" i="7"/>
  <c r="M394" i="7"/>
  <c r="G394" i="7"/>
  <c r="M393" i="7"/>
  <c r="G393" i="7"/>
  <c r="M392" i="7"/>
  <c r="G392" i="7"/>
  <c r="M391" i="7"/>
  <c r="G391" i="7"/>
  <c r="M390" i="7"/>
  <c r="G390" i="7"/>
  <c r="M389" i="7"/>
  <c r="G389" i="7"/>
  <c r="M388" i="7"/>
  <c r="G388" i="7"/>
  <c r="M387" i="7"/>
  <c r="G387" i="7"/>
  <c r="M386" i="7"/>
  <c r="G386" i="7"/>
  <c r="M385" i="7"/>
  <c r="G385" i="7"/>
  <c r="M384" i="7"/>
  <c r="G384" i="7"/>
  <c r="M383" i="7"/>
  <c r="G383" i="7"/>
  <c r="M382" i="7"/>
  <c r="G382" i="7"/>
  <c r="M381" i="7"/>
  <c r="G381" i="7"/>
  <c r="M380" i="7"/>
  <c r="G380" i="7"/>
  <c r="M379" i="7"/>
  <c r="G379" i="7"/>
  <c r="M378" i="7"/>
  <c r="G378" i="7"/>
  <c r="M377" i="7"/>
  <c r="G377" i="7"/>
  <c r="M376" i="7"/>
  <c r="G376" i="7"/>
  <c r="M375" i="7"/>
  <c r="G375" i="7"/>
  <c r="M374" i="7"/>
  <c r="G374" i="7"/>
  <c r="M373" i="7"/>
  <c r="G373" i="7"/>
  <c r="M372" i="7"/>
  <c r="G372" i="7"/>
  <c r="M371" i="7"/>
  <c r="G371" i="7"/>
  <c r="M370" i="7"/>
  <c r="G370" i="7"/>
  <c r="M369" i="7"/>
  <c r="G369" i="7"/>
  <c r="M368" i="7"/>
  <c r="G368" i="7"/>
  <c r="M367" i="7"/>
  <c r="G367" i="7"/>
  <c r="M366" i="7"/>
  <c r="G366" i="7"/>
  <c r="M365" i="7"/>
  <c r="G365" i="7"/>
  <c r="M364" i="7"/>
  <c r="G364" i="7"/>
  <c r="M363" i="7"/>
  <c r="G363" i="7"/>
  <c r="M362" i="7"/>
  <c r="G362" i="7"/>
  <c r="M361" i="7"/>
  <c r="G361" i="7"/>
  <c r="M360" i="7"/>
  <c r="G360" i="7"/>
  <c r="M359" i="7"/>
  <c r="G359" i="7"/>
  <c r="M358" i="7"/>
  <c r="G358" i="7"/>
  <c r="M357" i="7"/>
  <c r="G357" i="7"/>
  <c r="M356" i="7"/>
  <c r="G356" i="7"/>
  <c r="M355" i="7"/>
  <c r="G355" i="7"/>
  <c r="M354" i="7"/>
  <c r="G354" i="7"/>
  <c r="M353" i="7"/>
  <c r="G353" i="7"/>
  <c r="M352" i="7"/>
  <c r="G352" i="7"/>
  <c r="M351" i="7"/>
  <c r="G351" i="7"/>
  <c r="M350" i="7"/>
  <c r="G350" i="7"/>
  <c r="M349" i="7"/>
  <c r="G349" i="7"/>
  <c r="M348" i="7"/>
  <c r="G348" i="7"/>
  <c r="M347" i="7"/>
  <c r="G347" i="7"/>
  <c r="M346" i="7"/>
  <c r="G346" i="7"/>
  <c r="M345" i="7"/>
  <c r="G345" i="7"/>
  <c r="M344" i="7"/>
  <c r="G344" i="7"/>
  <c r="M343" i="7"/>
  <c r="G343" i="7"/>
  <c r="M342" i="7"/>
  <c r="G342" i="7"/>
  <c r="M341" i="7"/>
  <c r="G341" i="7"/>
  <c r="M340" i="7"/>
  <c r="G340" i="7"/>
  <c r="M339" i="7"/>
  <c r="G339" i="7"/>
  <c r="M338" i="7"/>
  <c r="G338" i="7"/>
  <c r="M337" i="7"/>
  <c r="G337" i="7"/>
  <c r="M336" i="7"/>
  <c r="G336" i="7"/>
  <c r="M335" i="7"/>
  <c r="G335" i="7"/>
  <c r="M334" i="7"/>
  <c r="G334" i="7"/>
  <c r="M333" i="7"/>
  <c r="G333" i="7"/>
  <c r="M332" i="7"/>
  <c r="G332" i="7"/>
  <c r="M331" i="7"/>
  <c r="G331" i="7"/>
  <c r="M330" i="7"/>
  <c r="G330" i="7"/>
  <c r="M329" i="7"/>
  <c r="G329" i="7"/>
  <c r="M328" i="7"/>
  <c r="G328" i="7"/>
  <c r="M327" i="7"/>
  <c r="G327" i="7"/>
  <c r="M326" i="7"/>
  <c r="G326" i="7"/>
  <c r="M325" i="7"/>
  <c r="G325" i="7"/>
  <c r="M324" i="7"/>
  <c r="G324" i="7"/>
  <c r="M323" i="7"/>
  <c r="G323" i="7"/>
  <c r="M322" i="7"/>
  <c r="G322" i="7"/>
  <c r="M321" i="7"/>
  <c r="G321" i="7"/>
  <c r="M320" i="7"/>
  <c r="G320" i="7"/>
  <c r="M319" i="7"/>
  <c r="G319" i="7"/>
  <c r="M318" i="7"/>
  <c r="G318" i="7"/>
  <c r="M317" i="7"/>
  <c r="G317" i="7"/>
  <c r="M316" i="7"/>
  <c r="G316" i="7"/>
  <c r="M315" i="7"/>
  <c r="G315" i="7"/>
  <c r="M314" i="7"/>
  <c r="G314" i="7"/>
  <c r="M313" i="7"/>
  <c r="G313" i="7"/>
  <c r="M312" i="7"/>
  <c r="G312" i="7"/>
  <c r="M311" i="7"/>
  <c r="G311" i="7"/>
  <c r="M310" i="7"/>
  <c r="G310" i="7"/>
  <c r="M309" i="7"/>
  <c r="G309" i="7"/>
  <c r="M308" i="7"/>
  <c r="G308" i="7"/>
  <c r="M307" i="7"/>
  <c r="G307" i="7"/>
  <c r="M306" i="7"/>
  <c r="G306" i="7"/>
  <c r="M305" i="7"/>
  <c r="G305" i="7"/>
  <c r="M304" i="7"/>
  <c r="G304" i="7"/>
  <c r="M303" i="7"/>
  <c r="G303" i="7"/>
  <c r="M302" i="7"/>
  <c r="G302" i="7"/>
  <c r="M301" i="7"/>
  <c r="G301" i="7"/>
  <c r="M300" i="7"/>
  <c r="G300" i="7"/>
  <c r="M299" i="7"/>
  <c r="G299" i="7"/>
  <c r="M298" i="7"/>
  <c r="G298" i="7"/>
  <c r="M297" i="7"/>
  <c r="G297" i="7"/>
  <c r="M296" i="7"/>
  <c r="G296" i="7"/>
  <c r="M295" i="7"/>
  <c r="G295" i="7"/>
  <c r="M294" i="7"/>
  <c r="G294" i="7"/>
  <c r="M293" i="7"/>
  <c r="G293" i="7"/>
  <c r="M292" i="7"/>
  <c r="G292" i="7"/>
  <c r="M291" i="7"/>
  <c r="G291" i="7"/>
  <c r="M290" i="7"/>
  <c r="G290" i="7"/>
  <c r="M289" i="7"/>
  <c r="G289" i="7"/>
  <c r="M288" i="7"/>
  <c r="G288" i="7"/>
  <c r="M287" i="7"/>
  <c r="G287" i="7"/>
  <c r="M286" i="7"/>
  <c r="G286" i="7"/>
  <c r="M285" i="7"/>
  <c r="G285" i="7"/>
  <c r="M284" i="7"/>
  <c r="G284" i="7"/>
  <c r="M283" i="7"/>
  <c r="G283" i="7"/>
  <c r="M282" i="7"/>
  <c r="G282" i="7"/>
  <c r="M281" i="7"/>
  <c r="G281" i="7"/>
  <c r="M280" i="7"/>
  <c r="G280" i="7"/>
  <c r="M279" i="7"/>
  <c r="G279" i="7"/>
  <c r="M278" i="7"/>
  <c r="G278" i="7"/>
  <c r="M277" i="7"/>
  <c r="G277" i="7"/>
  <c r="M276" i="7"/>
  <c r="G276" i="7"/>
  <c r="M275" i="7"/>
  <c r="G275" i="7"/>
  <c r="M274" i="7"/>
  <c r="G274" i="7"/>
  <c r="M273" i="7"/>
  <c r="G273" i="7"/>
  <c r="M272" i="7"/>
  <c r="G272" i="7"/>
  <c r="M271" i="7"/>
  <c r="G271" i="7"/>
  <c r="M270" i="7"/>
  <c r="G270" i="7"/>
  <c r="M269" i="7"/>
  <c r="G269" i="7"/>
  <c r="M268" i="7"/>
  <c r="G268" i="7"/>
  <c r="M267" i="7"/>
  <c r="G267" i="7"/>
  <c r="M266" i="7"/>
  <c r="G266" i="7"/>
  <c r="M265" i="7"/>
  <c r="G265" i="7"/>
  <c r="M264" i="7"/>
  <c r="G264" i="7"/>
  <c r="M263" i="7"/>
  <c r="G263" i="7"/>
  <c r="M262" i="7"/>
  <c r="G262" i="7"/>
  <c r="M261" i="7"/>
  <c r="G261" i="7"/>
  <c r="M260" i="7"/>
  <c r="G260" i="7"/>
  <c r="M259" i="7"/>
  <c r="G259" i="7"/>
  <c r="M258" i="7"/>
  <c r="G258" i="7"/>
  <c r="M257" i="7"/>
  <c r="G257" i="7"/>
  <c r="M256" i="7"/>
  <c r="G256" i="7"/>
  <c r="M255" i="7"/>
  <c r="G255" i="7"/>
  <c r="M254" i="7"/>
  <c r="G254" i="7"/>
  <c r="M253" i="7"/>
  <c r="G253" i="7"/>
  <c r="M252" i="7"/>
  <c r="G252" i="7"/>
  <c r="M251" i="7"/>
  <c r="G251" i="7"/>
  <c r="M250" i="7"/>
  <c r="G250" i="7"/>
  <c r="M249" i="7"/>
  <c r="G249" i="7"/>
  <c r="M248" i="7"/>
  <c r="G248" i="7"/>
  <c r="M247" i="7"/>
  <c r="G247" i="7"/>
  <c r="M246" i="7"/>
  <c r="G246" i="7"/>
  <c r="M245" i="7"/>
  <c r="G245" i="7"/>
  <c r="M244" i="7"/>
  <c r="G244" i="7"/>
  <c r="M243" i="7"/>
  <c r="G243" i="7"/>
  <c r="M242" i="7"/>
  <c r="H242" i="7"/>
  <c r="G242" i="7"/>
  <c r="M241" i="7"/>
  <c r="G241" i="7"/>
  <c r="M240" i="7"/>
  <c r="G240" i="7"/>
  <c r="M239" i="7"/>
  <c r="G239" i="7"/>
  <c r="M238" i="7"/>
  <c r="G238" i="7"/>
  <c r="M237" i="7"/>
  <c r="G237" i="7"/>
  <c r="M236" i="7"/>
  <c r="G236" i="7"/>
  <c r="M235" i="7"/>
  <c r="G235" i="7"/>
  <c r="M234" i="7"/>
  <c r="G234" i="7"/>
  <c r="M233" i="7"/>
  <c r="G233" i="7"/>
  <c r="M232" i="7"/>
  <c r="G232" i="7"/>
  <c r="M231" i="7"/>
  <c r="G231" i="7"/>
  <c r="M230" i="7"/>
  <c r="G230" i="7"/>
  <c r="M229" i="7"/>
  <c r="G229" i="7"/>
  <c r="M228" i="7"/>
  <c r="G228" i="7"/>
  <c r="M227" i="7"/>
  <c r="G227" i="7"/>
  <c r="M226" i="7"/>
  <c r="G226" i="7"/>
  <c r="M225" i="7"/>
  <c r="G225" i="7"/>
  <c r="M224" i="7"/>
  <c r="G224" i="7"/>
  <c r="M223" i="7"/>
  <c r="G223" i="7"/>
  <c r="M222" i="7"/>
  <c r="G222" i="7"/>
  <c r="M221" i="7"/>
  <c r="G221" i="7"/>
  <c r="M220" i="7"/>
  <c r="G220" i="7"/>
  <c r="M219" i="7"/>
  <c r="G219" i="7"/>
  <c r="M218" i="7"/>
  <c r="G218" i="7"/>
  <c r="M217" i="7"/>
  <c r="H217" i="7"/>
  <c r="G217" i="7"/>
  <c r="M216" i="7"/>
  <c r="G216" i="7"/>
  <c r="M215" i="7"/>
  <c r="G215" i="7"/>
  <c r="M214" i="7"/>
  <c r="G214" i="7"/>
  <c r="M213" i="7"/>
  <c r="G213" i="7"/>
  <c r="M212" i="7"/>
  <c r="G212" i="7"/>
  <c r="M211" i="7"/>
  <c r="G211" i="7"/>
  <c r="M210" i="7"/>
  <c r="G210" i="7"/>
  <c r="M209" i="7"/>
  <c r="G209" i="7"/>
  <c r="M208" i="7"/>
  <c r="G208" i="7"/>
  <c r="M207" i="7"/>
  <c r="G207" i="7"/>
  <c r="M206" i="7"/>
  <c r="G206" i="7"/>
  <c r="M205" i="7"/>
  <c r="G205" i="7"/>
  <c r="M204" i="7"/>
  <c r="G204" i="7"/>
  <c r="M203" i="7"/>
  <c r="G203" i="7"/>
  <c r="M202" i="7"/>
  <c r="G202" i="7"/>
  <c r="M201" i="7"/>
  <c r="G201" i="7"/>
  <c r="M200" i="7"/>
  <c r="G200" i="7"/>
  <c r="M199" i="7"/>
  <c r="G199" i="7"/>
  <c r="M198" i="7"/>
  <c r="G198" i="7"/>
  <c r="M197" i="7"/>
  <c r="G197" i="7"/>
  <c r="M196" i="7"/>
  <c r="G196" i="7"/>
  <c r="M195" i="7"/>
  <c r="G195" i="7"/>
  <c r="M194" i="7"/>
  <c r="G194" i="7"/>
  <c r="M193" i="7"/>
  <c r="G193" i="7"/>
  <c r="M192" i="7"/>
  <c r="G192" i="7"/>
  <c r="M191" i="7"/>
  <c r="G191" i="7"/>
  <c r="M190" i="7"/>
  <c r="G190" i="7"/>
  <c r="M189" i="7"/>
  <c r="G189" i="7"/>
  <c r="M188" i="7"/>
  <c r="G188" i="7"/>
  <c r="M187" i="7"/>
  <c r="G187" i="7"/>
  <c r="M186" i="7"/>
  <c r="G186" i="7"/>
  <c r="M185" i="7"/>
  <c r="G185" i="7"/>
  <c r="M184" i="7"/>
  <c r="G184" i="7"/>
  <c r="M183" i="7"/>
  <c r="G183" i="7"/>
  <c r="M182" i="7"/>
  <c r="G182" i="7"/>
  <c r="M181" i="7"/>
  <c r="G181" i="7"/>
  <c r="M180" i="7"/>
  <c r="G180" i="7"/>
  <c r="M179" i="7"/>
  <c r="G179" i="7"/>
  <c r="M178" i="7"/>
  <c r="G178" i="7"/>
  <c r="M177" i="7"/>
  <c r="G177" i="7"/>
  <c r="M176" i="7"/>
  <c r="G176" i="7"/>
  <c r="M175" i="7"/>
  <c r="G175" i="7"/>
  <c r="M174" i="7"/>
  <c r="G174" i="7"/>
  <c r="M173" i="7"/>
  <c r="G173" i="7"/>
  <c r="M172" i="7"/>
  <c r="G172" i="7"/>
  <c r="M171" i="7"/>
  <c r="G171" i="7"/>
  <c r="M170" i="7"/>
  <c r="H170" i="7"/>
  <c r="G170" i="7"/>
  <c r="M169" i="7"/>
  <c r="G169" i="7"/>
  <c r="M168" i="7"/>
  <c r="G168" i="7"/>
  <c r="M167" i="7"/>
  <c r="G167" i="7"/>
  <c r="M166" i="7"/>
  <c r="G166" i="7"/>
  <c r="M165" i="7"/>
  <c r="G165" i="7"/>
  <c r="M164" i="7"/>
  <c r="G164" i="7"/>
  <c r="M163" i="7"/>
  <c r="G163" i="7"/>
  <c r="M162" i="7"/>
  <c r="G162" i="7"/>
  <c r="M161" i="7"/>
  <c r="G161" i="7"/>
  <c r="M160" i="7"/>
  <c r="G160" i="7"/>
  <c r="M159" i="7"/>
  <c r="G159" i="7"/>
  <c r="M158" i="7"/>
  <c r="G158" i="7"/>
  <c r="M157" i="7"/>
  <c r="G157" i="7"/>
  <c r="M156" i="7"/>
  <c r="G156" i="7"/>
  <c r="M155" i="7"/>
  <c r="H155" i="7"/>
  <c r="G155" i="7"/>
  <c r="M154" i="7"/>
  <c r="G154" i="7"/>
  <c r="M153" i="7"/>
  <c r="G153" i="7"/>
  <c r="M152" i="7"/>
  <c r="G152" i="7"/>
  <c r="M151" i="7"/>
  <c r="G151" i="7"/>
  <c r="M150" i="7"/>
  <c r="G150" i="7"/>
  <c r="M149" i="7"/>
  <c r="G149" i="7"/>
  <c r="M148" i="7"/>
  <c r="G148" i="7"/>
  <c r="M147" i="7"/>
  <c r="G147" i="7"/>
  <c r="M146" i="7"/>
  <c r="G146" i="7"/>
  <c r="M145" i="7"/>
  <c r="G145" i="7"/>
  <c r="M144" i="7"/>
  <c r="G144" i="7"/>
  <c r="M143" i="7"/>
  <c r="G143" i="7"/>
  <c r="M142" i="7"/>
  <c r="G142" i="7"/>
  <c r="M141" i="7"/>
  <c r="G141" i="7"/>
  <c r="M140" i="7"/>
  <c r="G140" i="7"/>
  <c r="M139" i="7"/>
  <c r="G139" i="7"/>
  <c r="M138" i="7"/>
  <c r="H138" i="7"/>
  <c r="G138" i="7"/>
  <c r="M137" i="7"/>
  <c r="G137" i="7"/>
  <c r="M136" i="7"/>
  <c r="G136" i="7"/>
  <c r="M135" i="7"/>
  <c r="G135" i="7"/>
  <c r="M134" i="7"/>
  <c r="G134" i="7"/>
  <c r="M133" i="7"/>
  <c r="G133" i="7"/>
  <c r="M132" i="7"/>
  <c r="G132" i="7"/>
  <c r="M131" i="7"/>
  <c r="G131" i="7"/>
  <c r="M130" i="7"/>
  <c r="G130" i="7"/>
  <c r="M129" i="7"/>
  <c r="G129" i="7"/>
  <c r="M128" i="7"/>
  <c r="G128" i="7"/>
  <c r="M127" i="7"/>
  <c r="G127" i="7"/>
  <c r="M126" i="7"/>
  <c r="G126" i="7"/>
  <c r="M125" i="7"/>
  <c r="G125" i="7"/>
  <c r="M124" i="7"/>
  <c r="G124" i="7"/>
  <c r="M123" i="7"/>
  <c r="H123" i="7"/>
  <c r="G123" i="7"/>
  <c r="M122" i="7"/>
  <c r="G122" i="7"/>
  <c r="M121" i="7"/>
  <c r="G121" i="7"/>
  <c r="M120" i="7"/>
  <c r="G120" i="7"/>
  <c r="M119" i="7"/>
  <c r="G119" i="7"/>
  <c r="M118" i="7"/>
  <c r="G118" i="7"/>
  <c r="M117" i="7"/>
  <c r="G117" i="7"/>
  <c r="M116" i="7"/>
  <c r="G116" i="7"/>
  <c r="M115" i="7"/>
  <c r="G115" i="7"/>
  <c r="M114" i="7"/>
  <c r="G114" i="7"/>
  <c r="M113" i="7"/>
  <c r="G113" i="7"/>
  <c r="M112" i="7"/>
  <c r="G112" i="7"/>
  <c r="M111" i="7"/>
  <c r="G111" i="7"/>
  <c r="M110" i="7"/>
  <c r="G110" i="7"/>
  <c r="M109" i="7"/>
  <c r="G109" i="7"/>
  <c r="M108" i="7"/>
  <c r="G108" i="7"/>
  <c r="M107" i="7"/>
  <c r="G107" i="7"/>
  <c r="M106" i="7"/>
  <c r="H106" i="7"/>
  <c r="G106" i="7"/>
  <c r="M105" i="7"/>
  <c r="G105" i="7"/>
  <c r="M104" i="7"/>
  <c r="G104" i="7"/>
  <c r="M103" i="7"/>
  <c r="G103" i="7"/>
  <c r="M102" i="7"/>
  <c r="G102" i="7"/>
  <c r="M101" i="7"/>
  <c r="G101" i="7"/>
  <c r="M100" i="7"/>
  <c r="G100" i="7"/>
  <c r="M99" i="7"/>
  <c r="G99" i="7"/>
  <c r="M98" i="7"/>
  <c r="G98" i="7"/>
  <c r="M97" i="7"/>
  <c r="G97" i="7"/>
  <c r="M96" i="7"/>
  <c r="G96" i="7"/>
  <c r="M95" i="7"/>
  <c r="G95" i="7"/>
  <c r="M94" i="7"/>
  <c r="G94" i="7"/>
  <c r="M93" i="7"/>
  <c r="G93" i="7"/>
  <c r="M92" i="7"/>
  <c r="G92" i="7"/>
  <c r="M91" i="7"/>
  <c r="H91" i="7"/>
  <c r="G91" i="7"/>
  <c r="M90" i="7"/>
  <c r="G90" i="7"/>
  <c r="M89" i="7"/>
  <c r="G89" i="7"/>
  <c r="M88" i="7"/>
  <c r="G88" i="7"/>
  <c r="M87" i="7"/>
  <c r="G87" i="7"/>
  <c r="M86" i="7"/>
  <c r="G86" i="7"/>
  <c r="M85" i="7"/>
  <c r="G85" i="7"/>
  <c r="M84" i="7"/>
  <c r="G84" i="7"/>
  <c r="M83" i="7"/>
  <c r="G83" i="7"/>
  <c r="M82" i="7"/>
  <c r="G82" i="7"/>
  <c r="M81" i="7"/>
  <c r="G81" i="7"/>
  <c r="M80" i="7"/>
  <c r="G80" i="7"/>
  <c r="M79" i="7"/>
  <c r="G79" i="7"/>
  <c r="M78" i="7"/>
  <c r="G78" i="7"/>
  <c r="M77" i="7"/>
  <c r="G77" i="7"/>
  <c r="M76" i="7"/>
  <c r="G76" i="7"/>
  <c r="M75" i="7"/>
  <c r="G75" i="7"/>
  <c r="M74" i="7"/>
  <c r="H74" i="7"/>
  <c r="G74" i="7"/>
  <c r="M73" i="7"/>
  <c r="G73" i="7"/>
  <c r="M72" i="7"/>
  <c r="G72" i="7"/>
  <c r="M71" i="7"/>
  <c r="G71" i="7"/>
  <c r="M70" i="7"/>
  <c r="G70" i="7"/>
  <c r="M69" i="7"/>
  <c r="G69" i="7"/>
  <c r="M68" i="7"/>
  <c r="G68" i="7"/>
  <c r="M67" i="7"/>
  <c r="H67" i="7"/>
  <c r="G67" i="7"/>
  <c r="M66" i="7"/>
  <c r="G66" i="7"/>
  <c r="M65" i="7"/>
  <c r="G65" i="7"/>
  <c r="M64" i="7"/>
  <c r="G64" i="7"/>
  <c r="M63" i="7"/>
  <c r="G63" i="7"/>
  <c r="M62" i="7"/>
  <c r="G62" i="7"/>
  <c r="M61" i="7"/>
  <c r="H61" i="7"/>
  <c r="G61" i="7"/>
  <c r="M60" i="7"/>
  <c r="H60" i="7"/>
  <c r="G60" i="7"/>
  <c r="M59" i="7"/>
  <c r="G59" i="7"/>
  <c r="M58" i="7"/>
  <c r="G58" i="7"/>
  <c r="M57" i="7"/>
  <c r="G57" i="7"/>
  <c r="M56" i="7"/>
  <c r="G56" i="7"/>
  <c r="M55" i="7"/>
  <c r="G55" i="7"/>
  <c r="M54" i="7"/>
  <c r="G54" i="7"/>
  <c r="M53" i="7"/>
  <c r="H53" i="7"/>
  <c r="G53" i="7"/>
  <c r="M52" i="7"/>
  <c r="H52" i="7"/>
  <c r="G52" i="7"/>
  <c r="M51" i="7"/>
  <c r="G51" i="7"/>
  <c r="M50" i="7"/>
  <c r="G50" i="7"/>
  <c r="M49" i="7"/>
  <c r="G49" i="7"/>
  <c r="M48" i="7"/>
  <c r="G48" i="7"/>
  <c r="M47" i="7"/>
  <c r="G47" i="7"/>
  <c r="M46" i="7"/>
  <c r="G46" i="7"/>
  <c r="M45" i="7"/>
  <c r="H45" i="7"/>
  <c r="G45" i="7"/>
  <c r="M44" i="7"/>
  <c r="H44" i="7"/>
  <c r="G44" i="7"/>
  <c r="M43" i="7"/>
  <c r="G43" i="7"/>
  <c r="M42" i="7"/>
  <c r="G42" i="7"/>
  <c r="M41" i="7"/>
  <c r="G41" i="7"/>
  <c r="M40" i="7"/>
  <c r="G40" i="7"/>
  <c r="M39" i="7"/>
  <c r="G39" i="7"/>
  <c r="M38" i="7"/>
  <c r="G38" i="7"/>
  <c r="M37" i="7"/>
  <c r="H37" i="7"/>
  <c r="G37" i="7"/>
  <c r="M36" i="7"/>
  <c r="H36" i="7"/>
  <c r="G36" i="7"/>
  <c r="M35" i="7"/>
  <c r="G35" i="7"/>
  <c r="M34" i="7"/>
  <c r="G34" i="7"/>
  <c r="M33" i="7"/>
  <c r="G33" i="7"/>
  <c r="M32" i="7"/>
  <c r="G32" i="7"/>
  <c r="M31" i="7"/>
  <c r="G31" i="7"/>
  <c r="M30" i="7"/>
  <c r="G30" i="7"/>
  <c r="M29" i="7"/>
  <c r="H29" i="7"/>
  <c r="G29" i="7"/>
  <c r="M28" i="7"/>
  <c r="H28" i="7"/>
  <c r="G28" i="7"/>
  <c r="M27" i="7"/>
  <c r="G27" i="7"/>
  <c r="M26" i="7"/>
  <c r="G26" i="7"/>
  <c r="M25" i="7"/>
  <c r="G25" i="7"/>
  <c r="M24" i="7"/>
  <c r="G24" i="7"/>
  <c r="M23" i="7"/>
  <c r="G23" i="7"/>
  <c r="M22" i="7"/>
  <c r="G22" i="7"/>
  <c r="M21" i="7"/>
  <c r="H21" i="7"/>
  <c r="G21" i="7"/>
  <c r="M20" i="7"/>
  <c r="H20" i="7"/>
  <c r="G20" i="7"/>
  <c r="M19" i="7"/>
  <c r="G19" i="7"/>
  <c r="M18" i="7"/>
  <c r="G18" i="7"/>
  <c r="M17" i="7"/>
  <c r="G17" i="7"/>
  <c r="M16" i="7"/>
  <c r="G16" i="7"/>
  <c r="M15" i="7"/>
  <c r="G15" i="7"/>
  <c r="M14" i="7"/>
  <c r="G14" i="7"/>
  <c r="M13" i="7"/>
  <c r="H13" i="7"/>
  <c r="G13" i="7"/>
  <c r="M12" i="7"/>
  <c r="H12" i="7"/>
  <c r="G12" i="7"/>
  <c r="M11" i="7"/>
  <c r="G11" i="7"/>
  <c r="M10" i="7"/>
  <c r="H421" i="7"/>
  <c r="M609" i="6"/>
  <c r="G609" i="6"/>
  <c r="M608" i="6"/>
  <c r="G608" i="6"/>
  <c r="M607" i="6"/>
  <c r="G607" i="6"/>
  <c r="M606" i="6"/>
  <c r="G606" i="6"/>
  <c r="M605" i="6"/>
  <c r="G605" i="6"/>
  <c r="M604" i="6"/>
  <c r="G604" i="6"/>
  <c r="M603" i="6"/>
  <c r="G603" i="6"/>
  <c r="M602" i="6"/>
  <c r="G602" i="6"/>
  <c r="M601" i="6"/>
  <c r="G601" i="6"/>
  <c r="M600" i="6"/>
  <c r="G600" i="6"/>
  <c r="M599" i="6"/>
  <c r="G599" i="6"/>
  <c r="M598" i="6"/>
  <c r="G598" i="6"/>
  <c r="M597" i="6"/>
  <c r="G597" i="6"/>
  <c r="M596" i="6"/>
  <c r="G596" i="6"/>
  <c r="M595" i="6"/>
  <c r="G595" i="6"/>
  <c r="M594" i="6"/>
  <c r="G594" i="6"/>
  <c r="M593" i="6"/>
  <c r="G593" i="6"/>
  <c r="M592" i="6"/>
  <c r="G592" i="6"/>
  <c r="M591" i="6"/>
  <c r="G591" i="6"/>
  <c r="M590" i="6"/>
  <c r="G590" i="6"/>
  <c r="M589" i="6"/>
  <c r="G589" i="6"/>
  <c r="M588" i="6"/>
  <c r="G588" i="6"/>
  <c r="M587" i="6"/>
  <c r="G587" i="6"/>
  <c r="M586" i="6"/>
  <c r="G586" i="6"/>
  <c r="M585" i="6"/>
  <c r="G585" i="6"/>
  <c r="M584" i="6"/>
  <c r="G584" i="6"/>
  <c r="M583" i="6"/>
  <c r="G583" i="6"/>
  <c r="M582" i="6"/>
  <c r="G582" i="6"/>
  <c r="M581" i="6"/>
  <c r="G581" i="6"/>
  <c r="M580" i="6"/>
  <c r="G580" i="6"/>
  <c r="M579" i="6"/>
  <c r="G579" i="6"/>
  <c r="M578" i="6"/>
  <c r="G578" i="6"/>
  <c r="M577" i="6"/>
  <c r="G577" i="6"/>
  <c r="M576" i="6"/>
  <c r="G576" i="6"/>
  <c r="M575" i="6"/>
  <c r="G575" i="6"/>
  <c r="M574" i="6"/>
  <c r="G574" i="6"/>
  <c r="M573" i="6"/>
  <c r="G573" i="6"/>
  <c r="M572" i="6"/>
  <c r="G572" i="6"/>
  <c r="M571" i="6"/>
  <c r="G571" i="6"/>
  <c r="M570" i="6"/>
  <c r="G570" i="6"/>
  <c r="M569" i="6"/>
  <c r="G569" i="6"/>
  <c r="M568" i="6"/>
  <c r="G568" i="6"/>
  <c r="M567" i="6"/>
  <c r="G567" i="6"/>
  <c r="M566" i="6"/>
  <c r="G566" i="6"/>
  <c r="M565" i="6"/>
  <c r="G565" i="6"/>
  <c r="M564" i="6"/>
  <c r="G564" i="6"/>
  <c r="M563" i="6"/>
  <c r="G563" i="6"/>
  <c r="M562" i="6"/>
  <c r="G562" i="6"/>
  <c r="M561" i="6"/>
  <c r="G561" i="6"/>
  <c r="M560" i="6"/>
  <c r="G560" i="6"/>
  <c r="M559" i="6"/>
  <c r="G559" i="6"/>
  <c r="M558" i="6"/>
  <c r="G558" i="6"/>
  <c r="M557" i="6"/>
  <c r="G557" i="6"/>
  <c r="M556" i="6"/>
  <c r="G556" i="6"/>
  <c r="M555" i="6"/>
  <c r="G555" i="6"/>
  <c r="M554" i="6"/>
  <c r="G554" i="6"/>
  <c r="M553" i="6"/>
  <c r="G553" i="6"/>
  <c r="M552" i="6"/>
  <c r="G552" i="6"/>
  <c r="M551" i="6"/>
  <c r="G551" i="6"/>
  <c r="M550" i="6"/>
  <c r="G550" i="6"/>
  <c r="M549" i="6"/>
  <c r="G549" i="6"/>
  <c r="M548" i="6"/>
  <c r="G548" i="6"/>
  <c r="M547" i="6"/>
  <c r="G547" i="6"/>
  <c r="M546" i="6"/>
  <c r="G546" i="6"/>
  <c r="M545" i="6"/>
  <c r="G545" i="6"/>
  <c r="M544" i="6"/>
  <c r="G544" i="6"/>
  <c r="M543" i="6"/>
  <c r="G543" i="6"/>
  <c r="M542" i="6"/>
  <c r="G542" i="6"/>
  <c r="M541" i="6"/>
  <c r="G541" i="6"/>
  <c r="M540" i="6"/>
  <c r="G540" i="6"/>
  <c r="M539" i="6"/>
  <c r="G539" i="6"/>
  <c r="M538" i="6"/>
  <c r="G538" i="6"/>
  <c r="M537" i="6"/>
  <c r="G537" i="6"/>
  <c r="M536" i="6"/>
  <c r="G536" i="6"/>
  <c r="M535" i="6"/>
  <c r="G535" i="6"/>
  <c r="M534" i="6"/>
  <c r="G534" i="6"/>
  <c r="M533" i="6"/>
  <c r="G533" i="6"/>
  <c r="M532" i="6"/>
  <c r="G532" i="6"/>
  <c r="M531" i="6"/>
  <c r="G531" i="6"/>
  <c r="M530" i="6"/>
  <c r="G530" i="6"/>
  <c r="M529" i="6"/>
  <c r="G529" i="6"/>
  <c r="M528" i="6"/>
  <c r="G528" i="6"/>
  <c r="M527" i="6"/>
  <c r="G527" i="6"/>
  <c r="M526" i="6"/>
  <c r="G526" i="6"/>
  <c r="M525" i="6"/>
  <c r="G525" i="6"/>
  <c r="M524" i="6"/>
  <c r="G524" i="6"/>
  <c r="M523" i="6"/>
  <c r="G523" i="6"/>
  <c r="M522" i="6"/>
  <c r="G522" i="6"/>
  <c r="M521" i="6"/>
  <c r="G521" i="6"/>
  <c r="M520" i="6"/>
  <c r="G520" i="6"/>
  <c r="M519" i="6"/>
  <c r="G519" i="6"/>
  <c r="M518" i="6"/>
  <c r="G518" i="6"/>
  <c r="M517" i="6"/>
  <c r="G517" i="6"/>
  <c r="M516" i="6"/>
  <c r="G516" i="6"/>
  <c r="M515" i="6"/>
  <c r="G515" i="6"/>
  <c r="M514" i="6"/>
  <c r="G514" i="6"/>
  <c r="M513" i="6"/>
  <c r="G513" i="6"/>
  <c r="M512" i="6"/>
  <c r="G512" i="6"/>
  <c r="M511" i="6"/>
  <c r="G511" i="6"/>
  <c r="M510" i="6"/>
  <c r="G510" i="6"/>
  <c r="M509" i="6"/>
  <c r="G509" i="6"/>
  <c r="M508" i="6"/>
  <c r="G508" i="6"/>
  <c r="M507" i="6"/>
  <c r="G507" i="6"/>
  <c r="M506" i="6"/>
  <c r="G506" i="6"/>
  <c r="M505" i="6"/>
  <c r="G505" i="6"/>
  <c r="M504" i="6"/>
  <c r="G504" i="6"/>
  <c r="M503" i="6"/>
  <c r="G503" i="6"/>
  <c r="M502" i="6"/>
  <c r="G502" i="6"/>
  <c r="M501" i="6"/>
  <c r="G501" i="6"/>
  <c r="M500" i="6"/>
  <c r="G500" i="6"/>
  <c r="M499" i="6"/>
  <c r="G499" i="6"/>
  <c r="M498" i="6"/>
  <c r="G498" i="6"/>
  <c r="M497" i="6"/>
  <c r="G497" i="6"/>
  <c r="M496" i="6"/>
  <c r="G496" i="6"/>
  <c r="M495" i="6"/>
  <c r="G495" i="6"/>
  <c r="M494" i="6"/>
  <c r="G494" i="6"/>
  <c r="M493" i="6"/>
  <c r="G493" i="6"/>
  <c r="M492" i="6"/>
  <c r="G492" i="6"/>
  <c r="M491" i="6"/>
  <c r="G491" i="6"/>
  <c r="M490" i="6"/>
  <c r="G490" i="6"/>
  <c r="M489" i="6"/>
  <c r="G489" i="6"/>
  <c r="M488" i="6"/>
  <c r="G488" i="6"/>
  <c r="M487" i="6"/>
  <c r="G487" i="6"/>
  <c r="M486" i="6"/>
  <c r="G486" i="6"/>
  <c r="M485" i="6"/>
  <c r="G485" i="6"/>
  <c r="M484" i="6"/>
  <c r="G484" i="6"/>
  <c r="M483" i="6"/>
  <c r="G483" i="6"/>
  <c r="M482" i="6"/>
  <c r="G482" i="6"/>
  <c r="M481" i="6"/>
  <c r="G481" i="6"/>
  <c r="M480" i="6"/>
  <c r="G480" i="6"/>
  <c r="M479" i="6"/>
  <c r="G479" i="6"/>
  <c r="M478" i="6"/>
  <c r="G478" i="6"/>
  <c r="M477" i="6"/>
  <c r="G477" i="6"/>
  <c r="M476" i="6"/>
  <c r="G476" i="6"/>
  <c r="M475" i="6"/>
  <c r="G475" i="6"/>
  <c r="M474" i="6"/>
  <c r="G474" i="6"/>
  <c r="M473" i="6"/>
  <c r="G473" i="6"/>
  <c r="M472" i="6"/>
  <c r="G472" i="6"/>
  <c r="M471" i="6"/>
  <c r="G471" i="6"/>
  <c r="M470" i="6"/>
  <c r="G470" i="6"/>
  <c r="M469" i="6"/>
  <c r="G469" i="6"/>
  <c r="M468" i="6"/>
  <c r="G468" i="6"/>
  <c r="M467" i="6"/>
  <c r="G467" i="6"/>
  <c r="M466" i="6"/>
  <c r="G466" i="6"/>
  <c r="M465" i="6"/>
  <c r="G465" i="6"/>
  <c r="M464" i="6"/>
  <c r="G464" i="6"/>
  <c r="M463" i="6"/>
  <c r="G463" i="6"/>
  <c r="M462" i="6"/>
  <c r="G462" i="6"/>
  <c r="M461" i="6"/>
  <c r="G461" i="6"/>
  <c r="M460" i="6"/>
  <c r="G460" i="6"/>
  <c r="M459" i="6"/>
  <c r="G459" i="6"/>
  <c r="M458" i="6"/>
  <c r="G458" i="6"/>
  <c r="M457" i="6"/>
  <c r="G457" i="6"/>
  <c r="M456" i="6"/>
  <c r="G456" i="6"/>
  <c r="M455" i="6"/>
  <c r="G455" i="6"/>
  <c r="M454" i="6"/>
  <c r="G454" i="6"/>
  <c r="M453" i="6"/>
  <c r="G453" i="6"/>
  <c r="M452" i="6"/>
  <c r="G452" i="6"/>
  <c r="M451" i="6"/>
  <c r="G451" i="6"/>
  <c r="M450" i="6"/>
  <c r="G450" i="6"/>
  <c r="M449" i="6"/>
  <c r="G449" i="6"/>
  <c r="M448" i="6"/>
  <c r="G448" i="6"/>
  <c r="M447" i="6"/>
  <c r="G447" i="6"/>
  <c r="M446" i="6"/>
  <c r="G446" i="6"/>
  <c r="M445" i="6"/>
  <c r="G445" i="6"/>
  <c r="M444" i="6"/>
  <c r="G444" i="6"/>
  <c r="M443" i="6"/>
  <c r="G443" i="6"/>
  <c r="M442" i="6"/>
  <c r="G442" i="6"/>
  <c r="M441" i="6"/>
  <c r="G441" i="6"/>
  <c r="M440" i="6"/>
  <c r="G440" i="6"/>
  <c r="M439" i="6"/>
  <c r="G439" i="6"/>
  <c r="M438" i="6"/>
  <c r="G438" i="6"/>
  <c r="M437" i="6"/>
  <c r="G437" i="6"/>
  <c r="M436" i="6"/>
  <c r="G436" i="6"/>
  <c r="M435" i="6"/>
  <c r="G435" i="6"/>
  <c r="M434" i="6"/>
  <c r="G434" i="6"/>
  <c r="M433" i="6"/>
  <c r="G433" i="6"/>
  <c r="M432" i="6"/>
  <c r="G432" i="6"/>
  <c r="M431" i="6"/>
  <c r="G431" i="6"/>
  <c r="M430" i="6"/>
  <c r="G430" i="6"/>
  <c r="M429" i="6"/>
  <c r="G429" i="6"/>
  <c r="M428" i="6"/>
  <c r="G428" i="6"/>
  <c r="M427" i="6"/>
  <c r="G427" i="6"/>
  <c r="M426" i="6"/>
  <c r="G426" i="6"/>
  <c r="M425" i="6"/>
  <c r="G425" i="6"/>
  <c r="M424" i="6"/>
  <c r="G424" i="6"/>
  <c r="M423" i="6"/>
  <c r="G423" i="6"/>
  <c r="M422" i="6"/>
  <c r="G422" i="6"/>
  <c r="M421" i="6"/>
  <c r="G421" i="6"/>
  <c r="M420" i="6"/>
  <c r="G420" i="6"/>
  <c r="M419" i="6"/>
  <c r="G419" i="6"/>
  <c r="M418" i="6"/>
  <c r="G418" i="6"/>
  <c r="M417" i="6"/>
  <c r="G417" i="6"/>
  <c r="M416" i="6"/>
  <c r="G416" i="6"/>
  <c r="M415" i="6"/>
  <c r="G415" i="6"/>
  <c r="M414" i="6"/>
  <c r="G414" i="6"/>
  <c r="M413" i="6"/>
  <c r="G413" i="6"/>
  <c r="M412" i="6"/>
  <c r="G412" i="6"/>
  <c r="M411" i="6"/>
  <c r="G411" i="6"/>
  <c r="M410" i="6"/>
  <c r="G410" i="6"/>
  <c r="M409" i="6"/>
  <c r="G409" i="6"/>
  <c r="M408" i="6"/>
  <c r="G408" i="6"/>
  <c r="M407" i="6"/>
  <c r="G407" i="6"/>
  <c r="M406" i="6"/>
  <c r="G406" i="6"/>
  <c r="M405" i="6"/>
  <c r="G405" i="6"/>
  <c r="M404" i="6"/>
  <c r="G404" i="6"/>
  <c r="M403" i="6"/>
  <c r="G403" i="6"/>
  <c r="M402" i="6"/>
  <c r="G402" i="6"/>
  <c r="M401" i="6"/>
  <c r="G401" i="6"/>
  <c r="M400" i="6"/>
  <c r="G400" i="6"/>
  <c r="M399" i="6"/>
  <c r="G399" i="6"/>
  <c r="M398" i="6"/>
  <c r="G398" i="6"/>
  <c r="M397" i="6"/>
  <c r="G397" i="6"/>
  <c r="M396" i="6"/>
  <c r="G396" i="6"/>
  <c r="M395" i="6"/>
  <c r="G395" i="6"/>
  <c r="M394" i="6"/>
  <c r="G394" i="6"/>
  <c r="M393" i="6"/>
  <c r="G393" i="6"/>
  <c r="M392" i="6"/>
  <c r="G392" i="6"/>
  <c r="M391" i="6"/>
  <c r="G391" i="6"/>
  <c r="M390" i="6"/>
  <c r="G390" i="6"/>
  <c r="M389" i="6"/>
  <c r="G389" i="6"/>
  <c r="M388" i="6"/>
  <c r="G388" i="6"/>
  <c r="M387" i="6"/>
  <c r="G387" i="6"/>
  <c r="M386" i="6"/>
  <c r="G386" i="6"/>
  <c r="M385" i="6"/>
  <c r="G385" i="6"/>
  <c r="M384" i="6"/>
  <c r="G384" i="6"/>
  <c r="M383" i="6"/>
  <c r="G383" i="6"/>
  <c r="M382" i="6"/>
  <c r="G382" i="6"/>
  <c r="M381" i="6"/>
  <c r="G381" i="6"/>
  <c r="M380" i="6"/>
  <c r="G380" i="6"/>
  <c r="M379" i="6"/>
  <c r="G379" i="6"/>
  <c r="M378" i="6"/>
  <c r="G378" i="6"/>
  <c r="M377" i="6"/>
  <c r="G377" i="6"/>
  <c r="M376" i="6"/>
  <c r="G376" i="6"/>
  <c r="M375" i="6"/>
  <c r="G375" i="6"/>
  <c r="M374" i="6"/>
  <c r="G374" i="6"/>
  <c r="M373" i="6"/>
  <c r="G373" i="6"/>
  <c r="M372" i="6"/>
  <c r="G372" i="6"/>
  <c r="M371" i="6"/>
  <c r="G371" i="6"/>
  <c r="M370" i="6"/>
  <c r="G370" i="6"/>
  <c r="M369" i="6"/>
  <c r="G369" i="6"/>
  <c r="M368" i="6"/>
  <c r="G368" i="6"/>
  <c r="M367" i="6"/>
  <c r="G367" i="6"/>
  <c r="M366" i="6"/>
  <c r="G366" i="6"/>
  <c r="M365" i="6"/>
  <c r="G365" i="6"/>
  <c r="M364" i="6"/>
  <c r="G364" i="6"/>
  <c r="M363" i="6"/>
  <c r="G363" i="6"/>
  <c r="M362" i="6"/>
  <c r="G362" i="6"/>
  <c r="M361" i="6"/>
  <c r="G361" i="6"/>
  <c r="M360" i="6"/>
  <c r="G360" i="6"/>
  <c r="M359" i="6"/>
  <c r="G359" i="6"/>
  <c r="M358" i="6"/>
  <c r="G358" i="6"/>
  <c r="M357" i="6"/>
  <c r="G357" i="6"/>
  <c r="M356" i="6"/>
  <c r="G356" i="6"/>
  <c r="M355" i="6"/>
  <c r="G355" i="6"/>
  <c r="M354" i="6"/>
  <c r="G354" i="6"/>
  <c r="M353" i="6"/>
  <c r="G353" i="6"/>
  <c r="M352" i="6"/>
  <c r="G352" i="6"/>
  <c r="M351" i="6"/>
  <c r="G351" i="6"/>
  <c r="M350" i="6"/>
  <c r="G350" i="6"/>
  <c r="M349" i="6"/>
  <c r="G349" i="6"/>
  <c r="M348" i="6"/>
  <c r="G348" i="6"/>
  <c r="M347" i="6"/>
  <c r="G347" i="6"/>
  <c r="M346" i="6"/>
  <c r="G346" i="6"/>
  <c r="M345" i="6"/>
  <c r="G345" i="6"/>
  <c r="M344" i="6"/>
  <c r="G344" i="6"/>
  <c r="M343" i="6"/>
  <c r="G343" i="6"/>
  <c r="M342" i="6"/>
  <c r="G342" i="6"/>
  <c r="M341" i="6"/>
  <c r="G341" i="6"/>
  <c r="M340" i="6"/>
  <c r="G340" i="6"/>
  <c r="M339" i="6"/>
  <c r="G339" i="6"/>
  <c r="M338" i="6"/>
  <c r="G338" i="6"/>
  <c r="M337" i="6"/>
  <c r="G337" i="6"/>
  <c r="M336" i="6"/>
  <c r="G336" i="6"/>
  <c r="M335" i="6"/>
  <c r="G335" i="6"/>
  <c r="M334" i="6"/>
  <c r="G334" i="6"/>
  <c r="M333" i="6"/>
  <c r="G333" i="6"/>
  <c r="M332" i="6"/>
  <c r="G332" i="6"/>
  <c r="M331" i="6"/>
  <c r="G331" i="6"/>
  <c r="M330" i="6"/>
  <c r="G330" i="6"/>
  <c r="M329" i="6"/>
  <c r="G329" i="6"/>
  <c r="M328" i="6"/>
  <c r="G328" i="6"/>
  <c r="M327" i="6"/>
  <c r="G327" i="6"/>
  <c r="M326" i="6"/>
  <c r="G326" i="6"/>
  <c r="M325" i="6"/>
  <c r="G325" i="6"/>
  <c r="M324" i="6"/>
  <c r="G324" i="6"/>
  <c r="M323" i="6"/>
  <c r="G323" i="6"/>
  <c r="M322" i="6"/>
  <c r="G322" i="6"/>
  <c r="M321" i="6"/>
  <c r="G321" i="6"/>
  <c r="M320" i="6"/>
  <c r="G320" i="6"/>
  <c r="M319" i="6"/>
  <c r="G319" i="6"/>
  <c r="M318" i="6"/>
  <c r="G318" i="6"/>
  <c r="M317" i="6"/>
  <c r="G317" i="6"/>
  <c r="M316" i="6"/>
  <c r="G316" i="6"/>
  <c r="M315" i="6"/>
  <c r="G315" i="6"/>
  <c r="M314" i="6"/>
  <c r="G314" i="6"/>
  <c r="M313" i="6"/>
  <c r="G313" i="6"/>
  <c r="M312" i="6"/>
  <c r="G312" i="6"/>
  <c r="M311" i="6"/>
  <c r="G311" i="6"/>
  <c r="M310" i="6"/>
  <c r="G310" i="6"/>
  <c r="M309" i="6"/>
  <c r="G309" i="6"/>
  <c r="M308" i="6"/>
  <c r="G308" i="6"/>
  <c r="M307" i="6"/>
  <c r="G307" i="6"/>
  <c r="M306" i="6"/>
  <c r="G306" i="6"/>
  <c r="M305" i="6"/>
  <c r="G305" i="6"/>
  <c r="M304" i="6"/>
  <c r="G304" i="6"/>
  <c r="M303" i="6"/>
  <c r="G303" i="6"/>
  <c r="M302" i="6"/>
  <c r="G302" i="6"/>
  <c r="M301" i="6"/>
  <c r="G301" i="6"/>
  <c r="M300" i="6"/>
  <c r="G300" i="6"/>
  <c r="M299" i="6"/>
  <c r="G299" i="6"/>
  <c r="M298" i="6"/>
  <c r="G298" i="6"/>
  <c r="M297" i="6"/>
  <c r="G297" i="6"/>
  <c r="M296" i="6"/>
  <c r="G296" i="6"/>
  <c r="M295" i="6"/>
  <c r="G295" i="6"/>
  <c r="M294" i="6"/>
  <c r="G294" i="6"/>
  <c r="M293" i="6"/>
  <c r="G293" i="6"/>
  <c r="M292" i="6"/>
  <c r="G292" i="6"/>
  <c r="M291" i="6"/>
  <c r="G291" i="6"/>
  <c r="M290" i="6"/>
  <c r="G290" i="6"/>
  <c r="M289" i="6"/>
  <c r="G289" i="6"/>
  <c r="M288" i="6"/>
  <c r="G288" i="6"/>
  <c r="M287" i="6"/>
  <c r="G287" i="6"/>
  <c r="M286" i="6"/>
  <c r="G286" i="6"/>
  <c r="M285" i="6"/>
  <c r="G285" i="6"/>
  <c r="M284" i="6"/>
  <c r="G284" i="6"/>
  <c r="M283" i="6"/>
  <c r="G283" i="6"/>
  <c r="M282" i="6"/>
  <c r="G282" i="6"/>
  <c r="M281" i="6"/>
  <c r="G281" i="6"/>
  <c r="M280" i="6"/>
  <c r="G280" i="6"/>
  <c r="M279" i="6"/>
  <c r="G279" i="6"/>
  <c r="M278" i="6"/>
  <c r="G278" i="6"/>
  <c r="M277" i="6"/>
  <c r="G277" i="6"/>
  <c r="M276" i="6"/>
  <c r="G276" i="6"/>
  <c r="M275" i="6"/>
  <c r="G275" i="6"/>
  <c r="M274" i="6"/>
  <c r="G274" i="6"/>
  <c r="M273" i="6"/>
  <c r="G273" i="6"/>
  <c r="M272" i="6"/>
  <c r="G272" i="6"/>
  <c r="M271" i="6"/>
  <c r="G271" i="6"/>
  <c r="M270" i="6"/>
  <c r="G270" i="6"/>
  <c r="M269" i="6"/>
  <c r="G269" i="6"/>
  <c r="M268" i="6"/>
  <c r="G268" i="6"/>
  <c r="M267" i="6"/>
  <c r="G267" i="6"/>
  <c r="M266" i="6"/>
  <c r="G266" i="6"/>
  <c r="M265" i="6"/>
  <c r="G265" i="6"/>
  <c r="M264" i="6"/>
  <c r="G264" i="6"/>
  <c r="M263" i="6"/>
  <c r="G263" i="6"/>
  <c r="M262" i="6"/>
  <c r="G262" i="6"/>
  <c r="M261" i="6"/>
  <c r="G261" i="6"/>
  <c r="M260" i="6"/>
  <c r="G260" i="6"/>
  <c r="M259" i="6"/>
  <c r="G259" i="6"/>
  <c r="M258" i="6"/>
  <c r="G258" i="6"/>
  <c r="M257" i="6"/>
  <c r="G257" i="6"/>
  <c r="M256" i="6"/>
  <c r="G256" i="6"/>
  <c r="M255" i="6"/>
  <c r="G255" i="6"/>
  <c r="M254" i="6"/>
  <c r="G254" i="6"/>
  <c r="M253" i="6"/>
  <c r="G253" i="6"/>
  <c r="M252" i="6"/>
  <c r="G252" i="6"/>
  <c r="M251" i="6"/>
  <c r="G251" i="6"/>
  <c r="M250" i="6"/>
  <c r="G250" i="6"/>
  <c r="M249" i="6"/>
  <c r="G249" i="6"/>
  <c r="M248" i="6"/>
  <c r="G248" i="6"/>
  <c r="M247" i="6"/>
  <c r="G247" i="6"/>
  <c r="M246" i="6"/>
  <c r="G246" i="6"/>
  <c r="M245" i="6"/>
  <c r="G245" i="6"/>
  <c r="M244" i="6"/>
  <c r="G244" i="6"/>
  <c r="M243" i="6"/>
  <c r="G243" i="6"/>
  <c r="M242" i="6"/>
  <c r="G242" i="6"/>
  <c r="M241" i="6"/>
  <c r="G241" i="6"/>
  <c r="M240" i="6"/>
  <c r="G240" i="6"/>
  <c r="M239" i="6"/>
  <c r="G239" i="6"/>
  <c r="M238" i="6"/>
  <c r="G238" i="6"/>
  <c r="M237" i="6"/>
  <c r="G237" i="6"/>
  <c r="M236" i="6"/>
  <c r="G236" i="6"/>
  <c r="M235" i="6"/>
  <c r="G235" i="6"/>
  <c r="M234" i="6"/>
  <c r="G234" i="6"/>
  <c r="M233" i="6"/>
  <c r="G233" i="6"/>
  <c r="M232" i="6"/>
  <c r="G232" i="6"/>
  <c r="M231" i="6"/>
  <c r="G231" i="6"/>
  <c r="M230" i="6"/>
  <c r="G230" i="6"/>
  <c r="M229" i="6"/>
  <c r="G229" i="6"/>
  <c r="M228" i="6"/>
  <c r="G228" i="6"/>
  <c r="M227" i="6"/>
  <c r="G227" i="6"/>
  <c r="M226" i="6"/>
  <c r="G226" i="6"/>
  <c r="M225" i="6"/>
  <c r="G225" i="6"/>
  <c r="M224" i="6"/>
  <c r="G224" i="6"/>
  <c r="M223" i="6"/>
  <c r="G223" i="6"/>
  <c r="M222" i="6"/>
  <c r="G222" i="6"/>
  <c r="M221" i="6"/>
  <c r="G221" i="6"/>
  <c r="M220" i="6"/>
  <c r="G220" i="6"/>
  <c r="M219" i="6"/>
  <c r="G219" i="6"/>
  <c r="M218" i="6"/>
  <c r="G218" i="6"/>
  <c r="M217" i="6"/>
  <c r="G217" i="6"/>
  <c r="M216" i="6"/>
  <c r="G216" i="6"/>
  <c r="M215" i="6"/>
  <c r="G215" i="6"/>
  <c r="M214" i="6"/>
  <c r="G214" i="6"/>
  <c r="M213" i="6"/>
  <c r="G213" i="6"/>
  <c r="M212" i="6"/>
  <c r="G212" i="6"/>
  <c r="M211" i="6"/>
  <c r="G211" i="6"/>
  <c r="M210" i="6"/>
  <c r="G210" i="6"/>
  <c r="M209" i="6"/>
  <c r="G209" i="6"/>
  <c r="M208" i="6"/>
  <c r="G208" i="6"/>
  <c r="M207" i="6"/>
  <c r="G207" i="6"/>
  <c r="M206" i="6"/>
  <c r="G206" i="6"/>
  <c r="M205" i="6"/>
  <c r="G205" i="6"/>
  <c r="M204" i="6"/>
  <c r="G204" i="6"/>
  <c r="M203" i="6"/>
  <c r="G203" i="6"/>
  <c r="M202" i="6"/>
  <c r="G202" i="6"/>
  <c r="M201" i="6"/>
  <c r="G201" i="6"/>
  <c r="M200" i="6"/>
  <c r="G200" i="6"/>
  <c r="M199" i="6"/>
  <c r="G199" i="6"/>
  <c r="M198" i="6"/>
  <c r="G198" i="6"/>
  <c r="M197" i="6"/>
  <c r="G197" i="6"/>
  <c r="M196" i="6"/>
  <c r="G196" i="6"/>
  <c r="M195" i="6"/>
  <c r="G195" i="6"/>
  <c r="M194" i="6"/>
  <c r="G194" i="6"/>
  <c r="M193" i="6"/>
  <c r="G193" i="6"/>
  <c r="M192" i="6"/>
  <c r="G192" i="6"/>
  <c r="M191" i="6"/>
  <c r="G191" i="6"/>
  <c r="M190" i="6"/>
  <c r="G190" i="6"/>
  <c r="M189" i="6"/>
  <c r="G189" i="6"/>
  <c r="M188" i="6"/>
  <c r="G188" i="6"/>
  <c r="M187" i="6"/>
  <c r="G187" i="6"/>
  <c r="M186" i="6"/>
  <c r="G186" i="6"/>
  <c r="M185" i="6"/>
  <c r="G185" i="6"/>
  <c r="M184" i="6"/>
  <c r="G184" i="6"/>
  <c r="M183" i="6"/>
  <c r="G183" i="6"/>
  <c r="M182" i="6"/>
  <c r="G182" i="6"/>
  <c r="M181" i="6"/>
  <c r="G181" i="6"/>
  <c r="M180" i="6"/>
  <c r="G180" i="6"/>
  <c r="M179" i="6"/>
  <c r="G179" i="6"/>
  <c r="M178" i="6"/>
  <c r="G178" i="6"/>
  <c r="M177" i="6"/>
  <c r="G177" i="6"/>
  <c r="M176" i="6"/>
  <c r="G176" i="6"/>
  <c r="M175" i="6"/>
  <c r="G175" i="6"/>
  <c r="M174" i="6"/>
  <c r="G174" i="6"/>
  <c r="M173" i="6"/>
  <c r="G173" i="6"/>
  <c r="M172" i="6"/>
  <c r="G172" i="6"/>
  <c r="M171" i="6"/>
  <c r="G171" i="6"/>
  <c r="M170" i="6"/>
  <c r="G170" i="6"/>
  <c r="M169" i="6"/>
  <c r="G169" i="6"/>
  <c r="M168" i="6"/>
  <c r="G168" i="6"/>
  <c r="M167" i="6"/>
  <c r="G167" i="6"/>
  <c r="M166" i="6"/>
  <c r="G166" i="6"/>
  <c r="M165" i="6"/>
  <c r="G165" i="6"/>
  <c r="M164" i="6"/>
  <c r="G164" i="6"/>
  <c r="M163" i="6"/>
  <c r="G163" i="6"/>
  <c r="M162" i="6"/>
  <c r="G162" i="6"/>
  <c r="M161" i="6"/>
  <c r="G161" i="6"/>
  <c r="M160" i="6"/>
  <c r="G160" i="6"/>
  <c r="M159" i="6"/>
  <c r="G159" i="6"/>
  <c r="M158" i="6"/>
  <c r="G158" i="6"/>
  <c r="M157" i="6"/>
  <c r="G157" i="6"/>
  <c r="M156" i="6"/>
  <c r="G156" i="6"/>
  <c r="M155" i="6"/>
  <c r="G155" i="6"/>
  <c r="M154" i="6"/>
  <c r="G154" i="6"/>
  <c r="M153" i="6"/>
  <c r="G153" i="6"/>
  <c r="M152" i="6"/>
  <c r="G152" i="6"/>
  <c r="M151" i="6"/>
  <c r="G151" i="6"/>
  <c r="M150" i="6"/>
  <c r="G150" i="6"/>
  <c r="M149" i="6"/>
  <c r="G149" i="6"/>
  <c r="M148" i="6"/>
  <c r="G148" i="6"/>
  <c r="M147" i="6"/>
  <c r="G147" i="6"/>
  <c r="M146" i="6"/>
  <c r="G146" i="6"/>
  <c r="M145" i="6"/>
  <c r="G145" i="6"/>
  <c r="M144" i="6"/>
  <c r="G144" i="6"/>
  <c r="M143" i="6"/>
  <c r="G143" i="6"/>
  <c r="M142" i="6"/>
  <c r="G142" i="6"/>
  <c r="M141" i="6"/>
  <c r="G141" i="6"/>
  <c r="M140" i="6"/>
  <c r="G140" i="6"/>
  <c r="M139" i="6"/>
  <c r="G139" i="6"/>
  <c r="M138" i="6"/>
  <c r="G138" i="6"/>
  <c r="M137" i="6"/>
  <c r="G137" i="6"/>
  <c r="M136" i="6"/>
  <c r="G136" i="6"/>
  <c r="M135" i="6"/>
  <c r="G135" i="6"/>
  <c r="M134" i="6"/>
  <c r="G134" i="6"/>
  <c r="M133" i="6"/>
  <c r="G133" i="6"/>
  <c r="M132" i="6"/>
  <c r="G132" i="6"/>
  <c r="M131" i="6"/>
  <c r="G131" i="6"/>
  <c r="M130" i="6"/>
  <c r="G130" i="6"/>
  <c r="M129" i="6"/>
  <c r="G129" i="6"/>
  <c r="M128" i="6"/>
  <c r="G128" i="6"/>
  <c r="M127" i="6"/>
  <c r="G127" i="6"/>
  <c r="M126" i="6"/>
  <c r="G126" i="6"/>
  <c r="M125" i="6"/>
  <c r="G125" i="6"/>
  <c r="M124" i="6"/>
  <c r="G124" i="6"/>
  <c r="M123" i="6"/>
  <c r="G123" i="6"/>
  <c r="M122" i="6"/>
  <c r="G122" i="6"/>
  <c r="M121" i="6"/>
  <c r="G121" i="6"/>
  <c r="M120" i="6"/>
  <c r="G120" i="6"/>
  <c r="M119" i="6"/>
  <c r="G119" i="6"/>
  <c r="M118" i="6"/>
  <c r="G118" i="6"/>
  <c r="M117" i="6"/>
  <c r="G117" i="6"/>
  <c r="M116" i="6"/>
  <c r="G116" i="6"/>
  <c r="M115" i="6"/>
  <c r="G115" i="6"/>
  <c r="M114" i="6"/>
  <c r="G114" i="6"/>
  <c r="M113" i="6"/>
  <c r="G113" i="6"/>
  <c r="M112" i="6"/>
  <c r="G112" i="6"/>
  <c r="M111" i="6"/>
  <c r="G111" i="6"/>
  <c r="M110" i="6"/>
  <c r="G110" i="6"/>
  <c r="M109" i="6"/>
  <c r="G109" i="6"/>
  <c r="M108" i="6"/>
  <c r="G108" i="6"/>
  <c r="M107" i="6"/>
  <c r="G107" i="6"/>
  <c r="M106" i="6"/>
  <c r="G106" i="6"/>
  <c r="M105" i="6"/>
  <c r="G105" i="6"/>
  <c r="M104" i="6"/>
  <c r="G104" i="6"/>
  <c r="M103" i="6"/>
  <c r="G103" i="6"/>
  <c r="M102" i="6"/>
  <c r="G102" i="6"/>
  <c r="M101" i="6"/>
  <c r="G101" i="6"/>
  <c r="M100" i="6"/>
  <c r="G100" i="6"/>
  <c r="M99" i="6"/>
  <c r="G99" i="6"/>
  <c r="M98" i="6"/>
  <c r="G98" i="6"/>
  <c r="M97" i="6"/>
  <c r="G97" i="6"/>
  <c r="M96" i="6"/>
  <c r="G96" i="6"/>
  <c r="M95" i="6"/>
  <c r="G95" i="6"/>
  <c r="M94" i="6"/>
  <c r="G94" i="6"/>
  <c r="M93" i="6"/>
  <c r="G93" i="6"/>
  <c r="M92" i="6"/>
  <c r="G92" i="6"/>
  <c r="M91" i="6"/>
  <c r="G91" i="6"/>
  <c r="M90" i="6"/>
  <c r="G90" i="6"/>
  <c r="M89" i="6"/>
  <c r="G89" i="6"/>
  <c r="M88" i="6"/>
  <c r="G88" i="6"/>
  <c r="M87" i="6"/>
  <c r="G87" i="6"/>
  <c r="M86" i="6"/>
  <c r="G86" i="6"/>
  <c r="M85" i="6"/>
  <c r="G85" i="6"/>
  <c r="M84" i="6"/>
  <c r="G84" i="6"/>
  <c r="M83" i="6"/>
  <c r="G83" i="6"/>
  <c r="M82" i="6"/>
  <c r="G82" i="6"/>
  <c r="M81" i="6"/>
  <c r="G81" i="6"/>
  <c r="M80" i="6"/>
  <c r="G80" i="6"/>
  <c r="M79" i="6"/>
  <c r="G79" i="6"/>
  <c r="M78" i="6"/>
  <c r="G78" i="6"/>
  <c r="M77" i="6"/>
  <c r="G77" i="6"/>
  <c r="M76" i="6"/>
  <c r="G76" i="6"/>
  <c r="M75" i="6"/>
  <c r="G75" i="6"/>
  <c r="M74" i="6"/>
  <c r="G74" i="6"/>
  <c r="M73" i="6"/>
  <c r="G73" i="6"/>
  <c r="M72" i="6"/>
  <c r="G72" i="6"/>
  <c r="M71" i="6"/>
  <c r="G71" i="6"/>
  <c r="M70" i="6"/>
  <c r="G70" i="6"/>
  <c r="M69" i="6"/>
  <c r="G69" i="6"/>
  <c r="M68" i="6"/>
  <c r="G68" i="6"/>
  <c r="M67" i="6"/>
  <c r="G67" i="6"/>
  <c r="M66" i="6"/>
  <c r="G66" i="6"/>
  <c r="M65" i="6"/>
  <c r="G65" i="6"/>
  <c r="M64" i="6"/>
  <c r="G64" i="6"/>
  <c r="M63" i="6"/>
  <c r="G63" i="6"/>
  <c r="M62" i="6"/>
  <c r="G62" i="6"/>
  <c r="M61" i="6"/>
  <c r="G61" i="6"/>
  <c r="M60" i="6"/>
  <c r="G60" i="6"/>
  <c r="M59" i="6"/>
  <c r="G59" i="6"/>
  <c r="M58" i="6"/>
  <c r="G58" i="6"/>
  <c r="M57" i="6"/>
  <c r="G57" i="6"/>
  <c r="M56" i="6"/>
  <c r="G56" i="6"/>
  <c r="M55" i="6"/>
  <c r="G55" i="6"/>
  <c r="M54" i="6"/>
  <c r="G54" i="6"/>
  <c r="M53" i="6"/>
  <c r="G53" i="6"/>
  <c r="M52" i="6"/>
  <c r="G52" i="6"/>
  <c r="M51" i="6"/>
  <c r="G51" i="6"/>
  <c r="M50" i="6"/>
  <c r="G50" i="6"/>
  <c r="M49" i="6"/>
  <c r="G49" i="6"/>
  <c r="M48" i="6"/>
  <c r="G48" i="6"/>
  <c r="M47" i="6"/>
  <c r="G47" i="6"/>
  <c r="M46" i="6"/>
  <c r="G46" i="6"/>
  <c r="M45" i="6"/>
  <c r="G45" i="6"/>
  <c r="M44" i="6"/>
  <c r="G44" i="6"/>
  <c r="M43" i="6"/>
  <c r="G43" i="6"/>
  <c r="M42" i="6"/>
  <c r="G42" i="6"/>
  <c r="M41" i="6"/>
  <c r="G41" i="6"/>
  <c r="M40" i="6"/>
  <c r="G40" i="6"/>
  <c r="M39" i="6"/>
  <c r="G39" i="6"/>
  <c r="M38" i="6"/>
  <c r="G38" i="6"/>
  <c r="M37" i="6"/>
  <c r="G37" i="6"/>
  <c r="M36" i="6"/>
  <c r="G36" i="6"/>
  <c r="M35" i="6"/>
  <c r="G35" i="6"/>
  <c r="M34" i="6"/>
  <c r="G34" i="6"/>
  <c r="M33" i="6"/>
  <c r="G33" i="6"/>
  <c r="M32" i="6"/>
  <c r="G32" i="6"/>
  <c r="M31" i="6"/>
  <c r="G31" i="6"/>
  <c r="M30" i="6"/>
  <c r="G30" i="6"/>
  <c r="M29" i="6"/>
  <c r="G29" i="6"/>
  <c r="M28" i="6"/>
  <c r="G28" i="6"/>
  <c r="M27" i="6"/>
  <c r="G27" i="6"/>
  <c r="M26" i="6"/>
  <c r="G26" i="6"/>
  <c r="M25" i="6"/>
  <c r="G25" i="6"/>
  <c r="M24" i="6"/>
  <c r="G24" i="6"/>
  <c r="M23" i="6"/>
  <c r="G23" i="6"/>
  <c r="M22" i="6"/>
  <c r="G22" i="6"/>
  <c r="M21" i="6"/>
  <c r="G21" i="6"/>
  <c r="M20" i="6"/>
  <c r="G20" i="6"/>
  <c r="M19" i="6"/>
  <c r="G19" i="6"/>
  <c r="M18" i="6"/>
  <c r="G18" i="6"/>
  <c r="M17" i="6"/>
  <c r="G17" i="6"/>
  <c r="M16" i="6"/>
  <c r="G16" i="6"/>
  <c r="M15" i="6"/>
  <c r="G15" i="6"/>
  <c r="M14" i="6"/>
  <c r="G14" i="6"/>
  <c r="M13" i="6"/>
  <c r="G13" i="6"/>
  <c r="M12" i="6"/>
  <c r="G12" i="6"/>
  <c r="M11" i="6"/>
  <c r="G11" i="6"/>
  <c r="M10" i="6"/>
  <c r="Q3" i="6"/>
  <c r="H147" i="6" s="1"/>
  <c r="Q2" i="6"/>
  <c r="H20" i="6" l="1"/>
  <c r="H12" i="6"/>
  <c r="H28" i="6"/>
  <c r="H75" i="6"/>
  <c r="H114" i="6"/>
  <c r="H36" i="6"/>
  <c r="H146" i="6"/>
  <c r="Q4" i="6"/>
  <c r="Q5" i="6" s="1"/>
  <c r="Q8" i="6" s="1"/>
  <c r="H77" i="6"/>
  <c r="F5" i="8"/>
  <c r="K597" i="8" s="1"/>
  <c r="H62" i="8"/>
  <c r="H126" i="8"/>
  <c r="H12" i="8"/>
  <c r="H238" i="8"/>
  <c r="H20" i="8"/>
  <c r="Q8" i="14"/>
  <c r="Q6" i="14"/>
  <c r="F5" i="7"/>
  <c r="H13" i="8"/>
  <c r="H86" i="8"/>
  <c r="H11" i="8"/>
  <c r="H19" i="8"/>
  <c r="H38" i="8"/>
  <c r="H102" i="8"/>
  <c r="H18" i="8"/>
  <c r="H602" i="8"/>
  <c r="H594" i="8"/>
  <c r="H586" i="8"/>
  <c r="H578" i="8"/>
  <c r="H570" i="8"/>
  <c r="H562" i="8"/>
  <c r="H554" i="8"/>
  <c r="H546" i="8"/>
  <c r="H538" i="8"/>
  <c r="H530" i="8"/>
  <c r="H522" i="8"/>
  <c r="H514" i="8"/>
  <c r="H506" i="8"/>
  <c r="H498" i="8"/>
  <c r="H603" i="8"/>
  <c r="H595" i="8"/>
  <c r="H587" i="8"/>
  <c r="H579" i="8"/>
  <c r="H571" i="8"/>
  <c r="H563" i="8"/>
  <c r="H555" i="8"/>
  <c r="H547" i="8"/>
  <c r="H539" i="8"/>
  <c r="H531" i="8"/>
  <c r="H523" i="8"/>
  <c r="H515" i="8"/>
  <c r="H507" i="8"/>
  <c r="H499" i="8"/>
  <c r="H491" i="8"/>
  <c r="H483" i="8"/>
  <c r="H475" i="8"/>
  <c r="H604" i="8"/>
  <c r="H596" i="8"/>
  <c r="H588" i="8"/>
  <c r="H580" i="8"/>
  <c r="H572" i="8"/>
  <c r="H564" i="8"/>
  <c r="H556" i="8"/>
  <c r="H548" i="8"/>
  <c r="H540" i="8"/>
  <c r="H532" i="8"/>
  <c r="H524" i="8"/>
  <c r="H516" i="8"/>
  <c r="H508" i="8"/>
  <c r="H500" i="8"/>
  <c r="H492" i="8"/>
  <c r="H484" i="8"/>
  <c r="H476" i="8"/>
  <c r="H605" i="8"/>
  <c r="H597" i="8"/>
  <c r="H589" i="8"/>
  <c r="H581" i="8"/>
  <c r="H573" i="8"/>
  <c r="H565" i="8"/>
  <c r="H557" i="8"/>
  <c r="H549" i="8"/>
  <c r="H541" i="8"/>
  <c r="H533" i="8"/>
  <c r="H525" i="8"/>
  <c r="H517" i="8"/>
  <c r="H509" i="8"/>
  <c r="H501" i="8"/>
  <c r="H493" i="8"/>
  <c r="H485" i="8"/>
  <c r="H477" i="8"/>
  <c r="H606" i="8"/>
  <c r="H598" i="8"/>
  <c r="H590" i="8"/>
  <c r="H582" i="8"/>
  <c r="H574" i="8"/>
  <c r="H566" i="8"/>
  <c r="H558" i="8"/>
  <c r="H550" i="8"/>
  <c r="H542" i="8"/>
  <c r="H534" i="8"/>
  <c r="H526" i="8"/>
  <c r="H518" i="8"/>
  <c r="H510" i="8"/>
  <c r="H502" i="8"/>
  <c r="H494" i="8"/>
  <c r="H486" i="8"/>
  <c r="H478" i="8"/>
  <c r="H607" i="8"/>
  <c r="H599" i="8"/>
  <c r="H591" i="8"/>
  <c r="H583" i="8"/>
  <c r="H575" i="8"/>
  <c r="H567" i="8"/>
  <c r="H559" i="8"/>
  <c r="H551" i="8"/>
  <c r="H543" i="8"/>
  <c r="H535" i="8"/>
  <c r="H527" i="8"/>
  <c r="H519" i="8"/>
  <c r="H511" i="8"/>
  <c r="H503" i="8"/>
  <c r="H495" i="8"/>
  <c r="H487" i="8"/>
  <c r="H479" i="8"/>
  <c r="H601" i="8"/>
  <c r="H593" i="8"/>
  <c r="H585" i="8"/>
  <c r="H577" i="8"/>
  <c r="H569" i="8"/>
  <c r="H561" i="8"/>
  <c r="H553" i="8"/>
  <c r="H545" i="8"/>
  <c r="H537" i="8"/>
  <c r="H529" i="8"/>
  <c r="H521" i="8"/>
  <c r="H513" i="8"/>
  <c r="H505" i="8"/>
  <c r="H497" i="8"/>
  <c r="H489" i="8"/>
  <c r="H481" i="8"/>
  <c r="H592" i="8"/>
  <c r="H528" i="8"/>
  <c r="H490" i="8"/>
  <c r="H480" i="8"/>
  <c r="H471" i="8"/>
  <c r="H463" i="8"/>
  <c r="H455" i="8"/>
  <c r="H447" i="8"/>
  <c r="H439" i="8"/>
  <c r="H431" i="8"/>
  <c r="H423" i="8"/>
  <c r="H415" i="8"/>
  <c r="H407" i="8"/>
  <c r="H399" i="8"/>
  <c r="H391" i="8"/>
  <c r="H383" i="8"/>
  <c r="H375" i="8"/>
  <c r="H367" i="8"/>
  <c r="H552" i="8"/>
  <c r="H472" i="8"/>
  <c r="H464" i="8"/>
  <c r="H456" i="8"/>
  <c r="H448" i="8"/>
  <c r="H440" i="8"/>
  <c r="H432" i="8"/>
  <c r="H424" i="8"/>
  <c r="H416" i="8"/>
  <c r="H408" i="8"/>
  <c r="H400" i="8"/>
  <c r="H392" i="8"/>
  <c r="H384" i="8"/>
  <c r="H376" i="8"/>
  <c r="H368" i="8"/>
  <c r="H360" i="8"/>
  <c r="H576" i="8"/>
  <c r="H512" i="8"/>
  <c r="H482" i="8"/>
  <c r="H473" i="8"/>
  <c r="H465" i="8"/>
  <c r="H457" i="8"/>
  <c r="H449" i="8"/>
  <c r="H441" i="8"/>
  <c r="H433" i="8"/>
  <c r="H425" i="8"/>
  <c r="H417" i="8"/>
  <c r="H409" i="8"/>
  <c r="H401" i="8"/>
  <c r="H393" i="8"/>
  <c r="H385" i="8"/>
  <c r="H377" i="8"/>
  <c r="H369" i="8"/>
  <c r="H361" i="8"/>
  <c r="H600" i="8"/>
  <c r="H536" i="8"/>
  <c r="H466" i="8"/>
  <c r="H458" i="8"/>
  <c r="H450" i="8"/>
  <c r="H442" i="8"/>
  <c r="H434" i="8"/>
  <c r="H426" i="8"/>
  <c r="H418" i="8"/>
  <c r="H410" i="8"/>
  <c r="H402" i="8"/>
  <c r="H394" i="8"/>
  <c r="H386" i="8"/>
  <c r="H378" i="8"/>
  <c r="H370" i="8"/>
  <c r="H362" i="8"/>
  <c r="H560" i="8"/>
  <c r="H496" i="8"/>
  <c r="H467" i="8"/>
  <c r="H459" i="8"/>
  <c r="H451" i="8"/>
  <c r="H443" i="8"/>
  <c r="H435" i="8"/>
  <c r="H427" i="8"/>
  <c r="H419" i="8"/>
  <c r="H411" i="8"/>
  <c r="H403" i="8"/>
  <c r="H395" i="8"/>
  <c r="H387" i="8"/>
  <c r="H379" i="8"/>
  <c r="H371" i="8"/>
  <c r="H363" i="8"/>
  <c r="H584" i="8"/>
  <c r="H520" i="8"/>
  <c r="H474" i="8"/>
  <c r="H468" i="8"/>
  <c r="H460" i="8"/>
  <c r="H452" i="8"/>
  <c r="H444" i="8"/>
  <c r="H436" i="8"/>
  <c r="H428" i="8"/>
  <c r="H420" i="8"/>
  <c r="H412" i="8"/>
  <c r="H404" i="8"/>
  <c r="H396" i="8"/>
  <c r="H388" i="8"/>
  <c r="H380" i="8"/>
  <c r="H372" i="8"/>
  <c r="H364" i="8"/>
  <c r="H568" i="8"/>
  <c r="H504" i="8"/>
  <c r="H470" i="8"/>
  <c r="H462" i="8"/>
  <c r="H454" i="8"/>
  <c r="H446" i="8"/>
  <c r="H438" i="8"/>
  <c r="H430" i="8"/>
  <c r="H422" i="8"/>
  <c r="H414" i="8"/>
  <c r="H406" i="8"/>
  <c r="H398" i="8"/>
  <c r="H390" i="8"/>
  <c r="H382" i="8"/>
  <c r="H374" i="8"/>
  <c r="H366" i="8"/>
  <c r="H461" i="8"/>
  <c r="H397" i="8"/>
  <c r="H353" i="8"/>
  <c r="H345" i="8"/>
  <c r="H337" i="8"/>
  <c r="H329" i="8"/>
  <c r="H321" i="8"/>
  <c r="H313" i="8"/>
  <c r="H305" i="8"/>
  <c r="H297" i="8"/>
  <c r="H421" i="8"/>
  <c r="H354" i="8"/>
  <c r="H346" i="8"/>
  <c r="H338" i="8"/>
  <c r="H330" i="8"/>
  <c r="H322" i="8"/>
  <c r="H314" i="8"/>
  <c r="H306" i="8"/>
  <c r="H298" i="8"/>
  <c r="H290" i="8"/>
  <c r="H282" i="8"/>
  <c r="H274" i="8"/>
  <c r="H266" i="8"/>
  <c r="H258" i="8"/>
  <c r="H250" i="8"/>
  <c r="H445" i="8"/>
  <c r="H381" i="8"/>
  <c r="H355" i="8"/>
  <c r="H347" i="8"/>
  <c r="H339" i="8"/>
  <c r="H331" i="8"/>
  <c r="H323" i="8"/>
  <c r="H315" i="8"/>
  <c r="H307" i="8"/>
  <c r="H299" i="8"/>
  <c r="H291" i="8"/>
  <c r="H283" i="8"/>
  <c r="H275" i="8"/>
  <c r="H267" i="8"/>
  <c r="H259" i="8"/>
  <c r="H251" i="8"/>
  <c r="H243" i="8"/>
  <c r="H544" i="8"/>
  <c r="H469" i="8"/>
  <c r="H405" i="8"/>
  <c r="H356" i="8"/>
  <c r="H348" i="8"/>
  <c r="H340" i="8"/>
  <c r="H332" i="8"/>
  <c r="H324" i="8"/>
  <c r="H316" i="8"/>
  <c r="H308" i="8"/>
  <c r="H300" i="8"/>
  <c r="H292" i="8"/>
  <c r="H284" i="8"/>
  <c r="H276" i="8"/>
  <c r="H268" i="8"/>
  <c r="H260" i="8"/>
  <c r="H252" i="8"/>
  <c r="H244" i="8"/>
  <c r="H429" i="8"/>
  <c r="H365" i="8"/>
  <c r="H357" i="8"/>
  <c r="H349" i="8"/>
  <c r="H341" i="8"/>
  <c r="H333" i="8"/>
  <c r="H325" i="8"/>
  <c r="H317" i="8"/>
  <c r="H309" i="8"/>
  <c r="H301" i="8"/>
  <c r="H293" i="8"/>
  <c r="H453" i="8"/>
  <c r="H389" i="8"/>
  <c r="H358" i="8"/>
  <c r="H350" i="8"/>
  <c r="H342" i="8"/>
  <c r="H334" i="8"/>
  <c r="H326" i="8"/>
  <c r="H318" i="8"/>
  <c r="H310" i="8"/>
  <c r="H302" i="8"/>
  <c r="H294" i="8"/>
  <c r="H286" i="8"/>
  <c r="H278" i="8"/>
  <c r="H270" i="8"/>
  <c r="H262" i="8"/>
  <c r="H254" i="8"/>
  <c r="H246" i="8"/>
  <c r="H488" i="8"/>
  <c r="H437" i="8"/>
  <c r="H373" i="8"/>
  <c r="H352" i="8"/>
  <c r="H344" i="8"/>
  <c r="H336" i="8"/>
  <c r="H328" i="8"/>
  <c r="H320" i="8"/>
  <c r="H312" i="8"/>
  <c r="H304" i="8"/>
  <c r="H296" i="8"/>
  <c r="H288" i="8"/>
  <c r="H280" i="8"/>
  <c r="H272" i="8"/>
  <c r="H264" i="8"/>
  <c r="H256" i="8"/>
  <c r="H248" i="8"/>
  <c r="H311" i="8"/>
  <c r="H253" i="8"/>
  <c r="H249" i="8"/>
  <c r="H247" i="8"/>
  <c r="H240" i="8"/>
  <c r="H232" i="8"/>
  <c r="H224" i="8"/>
  <c r="H216" i="8"/>
  <c r="H208" i="8"/>
  <c r="H200" i="8"/>
  <c r="H192" i="8"/>
  <c r="H184" i="8"/>
  <c r="H176" i="8"/>
  <c r="H168" i="8"/>
  <c r="H160" i="8"/>
  <c r="H152" i="8"/>
  <c r="H144" i="8"/>
  <c r="H335" i="8"/>
  <c r="H261" i="8"/>
  <c r="H257" i="8"/>
  <c r="H255" i="8"/>
  <c r="H233" i="8"/>
  <c r="H225" i="8"/>
  <c r="H217" i="8"/>
  <c r="H209" i="8"/>
  <c r="H201" i="8"/>
  <c r="H193" i="8"/>
  <c r="H185" i="8"/>
  <c r="H177" i="8"/>
  <c r="H169" i="8"/>
  <c r="H161" i="8"/>
  <c r="H153" i="8"/>
  <c r="H145" i="8"/>
  <c r="H413" i="8"/>
  <c r="H359" i="8"/>
  <c r="H295" i="8"/>
  <c r="H269" i="8"/>
  <c r="H265" i="8"/>
  <c r="H263" i="8"/>
  <c r="H241" i="8"/>
  <c r="H234" i="8"/>
  <c r="H226" i="8"/>
  <c r="H218" i="8"/>
  <c r="H210" i="8"/>
  <c r="H202" i="8"/>
  <c r="H194" i="8"/>
  <c r="H186" i="8"/>
  <c r="H178" i="8"/>
  <c r="H170" i="8"/>
  <c r="H162" i="8"/>
  <c r="H154" i="8"/>
  <c r="H146" i="8"/>
  <c r="H319" i="8"/>
  <c r="H277" i="8"/>
  <c r="H273" i="8"/>
  <c r="H271" i="8"/>
  <c r="H235" i="8"/>
  <c r="H227" i="8"/>
  <c r="H219" i="8"/>
  <c r="H211" i="8"/>
  <c r="H203" i="8"/>
  <c r="H195" i="8"/>
  <c r="H187" i="8"/>
  <c r="H179" i="8"/>
  <c r="H171" i="8"/>
  <c r="H163" i="8"/>
  <c r="H155" i="8"/>
  <c r="H147" i="8"/>
  <c r="H343" i="8"/>
  <c r="H285" i="8"/>
  <c r="H281" i="8"/>
  <c r="H279" i="8"/>
  <c r="H242" i="8"/>
  <c r="H236" i="8"/>
  <c r="H228" i="8"/>
  <c r="H220" i="8"/>
  <c r="H212" i="8"/>
  <c r="H204" i="8"/>
  <c r="H196" i="8"/>
  <c r="H188" i="8"/>
  <c r="H180" i="8"/>
  <c r="H172" i="8"/>
  <c r="H164" i="8"/>
  <c r="H156" i="8"/>
  <c r="H148" i="8"/>
  <c r="H140" i="8"/>
  <c r="H303" i="8"/>
  <c r="H289" i="8"/>
  <c r="H287" i="8"/>
  <c r="H237" i="8"/>
  <c r="H229" i="8"/>
  <c r="H221" i="8"/>
  <c r="H213" i="8"/>
  <c r="H205" i="8"/>
  <c r="H197" i="8"/>
  <c r="H189" i="8"/>
  <c r="H181" i="8"/>
  <c r="H173" i="8"/>
  <c r="H165" i="8"/>
  <c r="H157" i="8"/>
  <c r="H149" i="8"/>
  <c r="H141" i="8"/>
  <c r="H351" i="8"/>
  <c r="H245" i="8"/>
  <c r="H239" i="8"/>
  <c r="H231" i="8"/>
  <c r="H223" i="8"/>
  <c r="H215" i="8"/>
  <c r="H207" i="8"/>
  <c r="H199" i="8"/>
  <c r="H191" i="8"/>
  <c r="H183" i="8"/>
  <c r="H175" i="8"/>
  <c r="H167" i="8"/>
  <c r="H159" i="8"/>
  <c r="H151" i="8"/>
  <c r="H143" i="8"/>
  <c r="H222" i="8"/>
  <c r="H158" i="8"/>
  <c r="H136" i="8"/>
  <c r="H128" i="8"/>
  <c r="H120" i="8"/>
  <c r="H112" i="8"/>
  <c r="H104" i="8"/>
  <c r="H96" i="8"/>
  <c r="H88" i="8"/>
  <c r="H80" i="8"/>
  <c r="H72" i="8"/>
  <c r="H64" i="8"/>
  <c r="H56" i="8"/>
  <c r="H48" i="8"/>
  <c r="H40" i="8"/>
  <c r="H32" i="8"/>
  <c r="H24" i="8"/>
  <c r="H182" i="8"/>
  <c r="H137" i="8"/>
  <c r="H129" i="8"/>
  <c r="H121" i="8"/>
  <c r="H113" i="8"/>
  <c r="H105" i="8"/>
  <c r="H97" i="8"/>
  <c r="H89" i="8"/>
  <c r="H81" i="8"/>
  <c r="H73" i="8"/>
  <c r="H65" i="8"/>
  <c r="H57" i="8"/>
  <c r="H49" i="8"/>
  <c r="H41" i="8"/>
  <c r="H33" i="8"/>
  <c r="H25" i="8"/>
  <c r="H206" i="8"/>
  <c r="H138" i="8"/>
  <c r="H130" i="8"/>
  <c r="H122" i="8"/>
  <c r="H114" i="8"/>
  <c r="H106" i="8"/>
  <c r="H98" i="8"/>
  <c r="H90" i="8"/>
  <c r="H82" i="8"/>
  <c r="H74" i="8"/>
  <c r="H66" i="8"/>
  <c r="H58" i="8"/>
  <c r="H50" i="8"/>
  <c r="H42" i="8"/>
  <c r="H34" i="8"/>
  <c r="H26" i="8"/>
  <c r="H230" i="8"/>
  <c r="H166" i="8"/>
  <c r="H142" i="8"/>
  <c r="H131" i="8"/>
  <c r="H123" i="8"/>
  <c r="H115" i="8"/>
  <c r="H107" i="8"/>
  <c r="H99" i="8"/>
  <c r="H91" i="8"/>
  <c r="H83" i="8"/>
  <c r="H75" i="8"/>
  <c r="H67" i="8"/>
  <c r="H59" i="8"/>
  <c r="H51" i="8"/>
  <c r="H43" i="8"/>
  <c r="H35" i="8"/>
  <c r="H27" i="8"/>
  <c r="H190" i="8"/>
  <c r="H132" i="8"/>
  <c r="H124" i="8"/>
  <c r="H116" i="8"/>
  <c r="H108" i="8"/>
  <c r="H100" i="8"/>
  <c r="H92" i="8"/>
  <c r="H84" i="8"/>
  <c r="H76" i="8"/>
  <c r="H68" i="8"/>
  <c r="H60" i="8"/>
  <c r="H52" i="8"/>
  <c r="H44" i="8"/>
  <c r="H36" i="8"/>
  <c r="H28" i="8"/>
  <c r="H214" i="8"/>
  <c r="H150" i="8"/>
  <c r="H139" i="8"/>
  <c r="H133" i="8"/>
  <c r="H125" i="8"/>
  <c r="H117" i="8"/>
  <c r="H109" i="8"/>
  <c r="H101" i="8"/>
  <c r="H93" i="8"/>
  <c r="H85" i="8"/>
  <c r="H77" i="8"/>
  <c r="H69" i="8"/>
  <c r="H61" i="8"/>
  <c r="H53" i="8"/>
  <c r="H45" i="8"/>
  <c r="H37" i="8"/>
  <c r="H29" i="8"/>
  <c r="H198" i="8"/>
  <c r="H135" i="8"/>
  <c r="H127" i="8"/>
  <c r="H119" i="8"/>
  <c r="H111" i="8"/>
  <c r="H103" i="8"/>
  <c r="H95" i="8"/>
  <c r="H87" i="8"/>
  <c r="H79" i="8"/>
  <c r="H71" i="8"/>
  <c r="H63" i="8"/>
  <c r="H55" i="8"/>
  <c r="H47" i="8"/>
  <c r="H39" i="8"/>
  <c r="H31" i="8"/>
  <c r="H23" i="8"/>
  <c r="H17" i="8"/>
  <c r="H22" i="8"/>
  <c r="H54" i="8"/>
  <c r="H118" i="8"/>
  <c r="H174" i="8"/>
  <c r="H16" i="8"/>
  <c r="H30" i="8"/>
  <c r="H94" i="8"/>
  <c r="H15" i="8"/>
  <c r="H70" i="8"/>
  <c r="H134" i="8"/>
  <c r="H327" i="8"/>
  <c r="H14" i="8"/>
  <c r="H21" i="8"/>
  <c r="H46" i="8"/>
  <c r="H110" i="8"/>
  <c r="K484" i="7"/>
  <c r="K557" i="7"/>
  <c r="K493" i="7"/>
  <c r="K502" i="7"/>
  <c r="K567" i="7"/>
  <c r="K503" i="7"/>
  <c r="K560" i="7"/>
  <c r="K544" i="7"/>
  <c r="K528" i="7"/>
  <c r="K496" i="7"/>
  <c r="K480" i="7"/>
  <c r="K601" i="7"/>
  <c r="K569" i="7"/>
  <c r="K553" i="7"/>
  <c r="K537" i="7"/>
  <c r="K505" i="7"/>
  <c r="K489" i="7"/>
  <c r="K586" i="7"/>
  <c r="K466" i="7"/>
  <c r="K450" i="7"/>
  <c r="K434" i="7"/>
  <c r="K402" i="7"/>
  <c r="K386" i="7"/>
  <c r="K603" i="7"/>
  <c r="K475" i="7"/>
  <c r="K467" i="7"/>
  <c r="K451" i="7"/>
  <c r="K419" i="7"/>
  <c r="K403" i="7"/>
  <c r="K387" i="7"/>
  <c r="K514" i="7"/>
  <c r="K468" i="7"/>
  <c r="K452" i="7"/>
  <c r="K420" i="7"/>
  <c r="K404" i="7"/>
  <c r="K388" i="7"/>
  <c r="K531" i="7"/>
  <c r="K469" i="7"/>
  <c r="K453" i="7"/>
  <c r="K421" i="7"/>
  <c r="K405" i="7"/>
  <c r="K389" i="7"/>
  <c r="K602" i="7"/>
  <c r="K538" i="7"/>
  <c r="K470" i="7"/>
  <c r="K454" i="7"/>
  <c r="K438" i="7"/>
  <c r="K422" i="7"/>
  <c r="K406" i="7"/>
  <c r="K390" i="7"/>
  <c r="K587" i="7"/>
  <c r="K523" i="7"/>
  <c r="K474" i="7"/>
  <c r="K463" i="7"/>
  <c r="K447" i="7"/>
  <c r="K431" i="7"/>
  <c r="K415" i="7"/>
  <c r="K399" i="7"/>
  <c r="K383" i="7"/>
  <c r="K498" i="7"/>
  <c r="K432" i="7"/>
  <c r="K376" i="7"/>
  <c r="K366" i="7"/>
  <c r="K350" i="7"/>
  <c r="K334" i="7"/>
  <c r="K318" i="7"/>
  <c r="K302" i="7"/>
  <c r="K286" i="7"/>
  <c r="K270" i="7"/>
  <c r="K449" i="7"/>
  <c r="K385" i="7"/>
  <c r="K359" i="7"/>
  <c r="K343" i="7"/>
  <c r="K335" i="7"/>
  <c r="K327" i="7"/>
  <c r="K311" i="7"/>
  <c r="K303" i="7"/>
  <c r="K295" i="7"/>
  <c r="K287" i="7"/>
  <c r="K279" i="7"/>
  <c r="K271" i="7"/>
  <c r="K594" i="7"/>
  <c r="K456" i="7"/>
  <c r="K424" i="7"/>
  <c r="K392" i="7"/>
  <c r="K374" i="7"/>
  <c r="K368" i="7"/>
  <c r="K360" i="7"/>
  <c r="K352" i="7"/>
  <c r="K344" i="7"/>
  <c r="K336" i="7"/>
  <c r="K328" i="7"/>
  <c r="K320" i="7"/>
  <c r="K312" i="7"/>
  <c r="K304" i="7"/>
  <c r="K296" i="7"/>
  <c r="K288" i="7"/>
  <c r="K280" i="7"/>
  <c r="K272" i="7"/>
  <c r="K483" i="7"/>
  <c r="K441" i="7"/>
  <c r="K409" i="7"/>
  <c r="K369" i="7"/>
  <c r="K361" i="7"/>
  <c r="K353" i="7"/>
  <c r="K345" i="7"/>
  <c r="K337" i="7"/>
  <c r="K329" i="7"/>
  <c r="K321" i="7"/>
  <c r="K313" i="7"/>
  <c r="K305" i="7"/>
  <c r="K297" i="7"/>
  <c r="K289" i="7"/>
  <c r="K281" i="7"/>
  <c r="K273" i="7"/>
  <c r="K562" i="7"/>
  <c r="K448" i="7"/>
  <c r="K416" i="7"/>
  <c r="K384" i="7"/>
  <c r="K370" i="7"/>
  <c r="K362" i="7"/>
  <c r="K354" i="7"/>
  <c r="K346" i="7"/>
  <c r="K338" i="7"/>
  <c r="K330" i="7"/>
  <c r="K322" i="7"/>
  <c r="K314" i="7"/>
  <c r="K306" i="7"/>
  <c r="K298" i="7"/>
  <c r="K290" i="7"/>
  <c r="K282" i="7"/>
  <c r="K579" i="7"/>
  <c r="K465" i="7"/>
  <c r="K433" i="7"/>
  <c r="K401" i="7"/>
  <c r="K377" i="7"/>
  <c r="K371" i="7"/>
  <c r="K363" i="7"/>
  <c r="K355" i="7"/>
  <c r="K347" i="7"/>
  <c r="K339" i="7"/>
  <c r="K331" i="7"/>
  <c r="K323" i="7"/>
  <c r="K315" i="7"/>
  <c r="K307" i="7"/>
  <c r="K299" i="7"/>
  <c r="K291" i="7"/>
  <c r="K283" i="7"/>
  <c r="K275" i="7"/>
  <c r="K357" i="7"/>
  <c r="K325" i="7"/>
  <c r="K293" i="7"/>
  <c r="K274" i="7"/>
  <c r="K262" i="7"/>
  <c r="K254" i="7"/>
  <c r="K246" i="7"/>
  <c r="K238" i="7"/>
  <c r="K230" i="7"/>
  <c r="K222" i="7"/>
  <c r="K214" i="7"/>
  <c r="K206" i="7"/>
  <c r="K198" i="7"/>
  <c r="K190" i="7"/>
  <c r="K182" i="7"/>
  <c r="K174" i="7"/>
  <c r="K547" i="7"/>
  <c r="K440" i="7"/>
  <c r="K364" i="7"/>
  <c r="K332" i="7"/>
  <c r="K300" i="7"/>
  <c r="K269" i="7"/>
  <c r="K263" i="7"/>
  <c r="K255" i="7"/>
  <c r="K247" i="7"/>
  <c r="K239" i="7"/>
  <c r="K231" i="7"/>
  <c r="K223" i="7"/>
  <c r="K215" i="7"/>
  <c r="K207" i="7"/>
  <c r="K199" i="7"/>
  <c r="K191" i="7"/>
  <c r="K183" i="7"/>
  <c r="K175" i="7"/>
  <c r="K457" i="7"/>
  <c r="K349" i="7"/>
  <c r="K317" i="7"/>
  <c r="K285" i="7"/>
  <c r="K264" i="7"/>
  <c r="K256" i="7"/>
  <c r="K248" i="7"/>
  <c r="K240" i="7"/>
  <c r="K232" i="7"/>
  <c r="K224" i="7"/>
  <c r="K216" i="7"/>
  <c r="K208" i="7"/>
  <c r="K200" i="7"/>
  <c r="K192" i="7"/>
  <c r="K184" i="7"/>
  <c r="K176" i="7"/>
  <c r="K408" i="7"/>
  <c r="K356" i="7"/>
  <c r="K324" i="7"/>
  <c r="K292" i="7"/>
  <c r="K265" i="7"/>
  <c r="K257" i="7"/>
  <c r="K249" i="7"/>
  <c r="K241" i="7"/>
  <c r="K233" i="7"/>
  <c r="K225" i="7"/>
  <c r="K217" i="7"/>
  <c r="K209" i="7"/>
  <c r="K201" i="7"/>
  <c r="K193" i="7"/>
  <c r="K185" i="7"/>
  <c r="K177" i="7"/>
  <c r="K530" i="7"/>
  <c r="K425" i="7"/>
  <c r="K341" i="7"/>
  <c r="K309" i="7"/>
  <c r="K277" i="7"/>
  <c r="K266" i="7"/>
  <c r="K258" i="7"/>
  <c r="K250" i="7"/>
  <c r="K242" i="7"/>
  <c r="K234" i="7"/>
  <c r="K226" i="7"/>
  <c r="K218" i="7"/>
  <c r="K210" i="7"/>
  <c r="K202" i="7"/>
  <c r="K194" i="7"/>
  <c r="K186" i="7"/>
  <c r="K178" i="7"/>
  <c r="K348" i="7"/>
  <c r="K316" i="7"/>
  <c r="K284" i="7"/>
  <c r="K267" i="7"/>
  <c r="K259" i="7"/>
  <c r="K251" i="7"/>
  <c r="K243" i="7"/>
  <c r="K235" i="7"/>
  <c r="K227" i="7"/>
  <c r="K219" i="7"/>
  <c r="K211" i="7"/>
  <c r="K203" i="7"/>
  <c r="K195" i="7"/>
  <c r="K187" i="7"/>
  <c r="K179" i="7"/>
  <c r="K340" i="7"/>
  <c r="K333" i="7"/>
  <c r="K253" i="7"/>
  <c r="K221" i="7"/>
  <c r="K189" i="7"/>
  <c r="K172" i="7"/>
  <c r="K167" i="7"/>
  <c r="K159" i="7"/>
  <c r="K151" i="7"/>
  <c r="K143" i="7"/>
  <c r="K135" i="7"/>
  <c r="K127" i="7"/>
  <c r="K119" i="7"/>
  <c r="K111" i="7"/>
  <c r="K103" i="7"/>
  <c r="K95" i="7"/>
  <c r="K87" i="7"/>
  <c r="K79" i="7"/>
  <c r="K71" i="7"/>
  <c r="K393" i="7"/>
  <c r="K260" i="7"/>
  <c r="K228" i="7"/>
  <c r="K196" i="7"/>
  <c r="K168" i="7"/>
  <c r="K160" i="7"/>
  <c r="K152" i="7"/>
  <c r="K144" i="7"/>
  <c r="K136" i="7"/>
  <c r="K128" i="7"/>
  <c r="K120" i="7"/>
  <c r="K112" i="7"/>
  <c r="K104" i="7"/>
  <c r="K96" i="7"/>
  <c r="K88" i="7"/>
  <c r="K80" i="7"/>
  <c r="K72" i="7"/>
  <c r="K308" i="7"/>
  <c r="K301" i="7"/>
  <c r="K245" i="7"/>
  <c r="K213" i="7"/>
  <c r="K181" i="7"/>
  <c r="K169" i="7"/>
  <c r="K161" i="7"/>
  <c r="K153" i="7"/>
  <c r="K145" i="7"/>
  <c r="K137" i="7"/>
  <c r="K129" i="7"/>
  <c r="K121" i="7"/>
  <c r="K113" i="7"/>
  <c r="K105" i="7"/>
  <c r="K97" i="7"/>
  <c r="K89" i="7"/>
  <c r="K81" i="7"/>
  <c r="K73" i="7"/>
  <c r="K252" i="7"/>
  <c r="K220" i="7"/>
  <c r="K188" i="7"/>
  <c r="K170" i="7"/>
  <c r="K162" i="7"/>
  <c r="K154" i="7"/>
  <c r="K146" i="7"/>
  <c r="K138" i="7"/>
  <c r="K130" i="7"/>
  <c r="K122" i="7"/>
  <c r="K114" i="7"/>
  <c r="K106" i="7"/>
  <c r="K98" i="7"/>
  <c r="K90" i="7"/>
  <c r="K82" i="7"/>
  <c r="K74" i="7"/>
  <c r="K276" i="7"/>
  <c r="K237" i="7"/>
  <c r="K205" i="7"/>
  <c r="K173" i="7"/>
  <c r="K163" i="7"/>
  <c r="K155" i="7"/>
  <c r="K147" i="7"/>
  <c r="K139" i="7"/>
  <c r="K131" i="7"/>
  <c r="K123" i="7"/>
  <c r="K115" i="7"/>
  <c r="K107" i="7"/>
  <c r="K99" i="7"/>
  <c r="K91" i="7"/>
  <c r="K83" i="7"/>
  <c r="K75" i="7"/>
  <c r="K244" i="7"/>
  <c r="K212" i="7"/>
  <c r="K180" i="7"/>
  <c r="K171" i="7"/>
  <c r="K164" i="7"/>
  <c r="K156" i="7"/>
  <c r="K148" i="7"/>
  <c r="K140" i="7"/>
  <c r="K132" i="7"/>
  <c r="K124" i="7"/>
  <c r="K116" i="7"/>
  <c r="K108" i="7"/>
  <c r="K100" i="7"/>
  <c r="K92" i="7"/>
  <c r="K84" i="7"/>
  <c r="K76" i="7"/>
  <c r="K68" i="7"/>
  <c r="K365" i="7"/>
  <c r="K149" i="7"/>
  <c r="K117" i="7"/>
  <c r="K85" i="7"/>
  <c r="K65" i="7"/>
  <c r="K57" i="7"/>
  <c r="K49" i="7"/>
  <c r="K41" i="7"/>
  <c r="K33" i="7"/>
  <c r="K25" i="7"/>
  <c r="K17" i="7"/>
  <c r="K157" i="7"/>
  <c r="K55" i="7"/>
  <c r="K31" i="7"/>
  <c r="K23" i="7"/>
  <c r="K15" i="7"/>
  <c r="K142" i="7"/>
  <c r="K56" i="7"/>
  <c r="K24" i="7"/>
  <c r="K16" i="7"/>
  <c r="K372" i="7"/>
  <c r="K268" i="7"/>
  <c r="K261" i="7"/>
  <c r="K166" i="7"/>
  <c r="K134" i="7"/>
  <c r="K102" i="7"/>
  <c r="K70" i="7"/>
  <c r="K58" i="7"/>
  <c r="K50" i="7"/>
  <c r="K42" i="7"/>
  <c r="K34" i="7"/>
  <c r="K26" i="7"/>
  <c r="K18" i="7"/>
  <c r="K10" i="7"/>
  <c r="K47" i="7"/>
  <c r="K39" i="7"/>
  <c r="K141" i="7"/>
  <c r="K109" i="7"/>
  <c r="K77" i="7"/>
  <c r="K66" i="7"/>
  <c r="K59" i="7"/>
  <c r="K51" i="7"/>
  <c r="K43" i="7"/>
  <c r="K35" i="7"/>
  <c r="K27" i="7"/>
  <c r="K19" i="7"/>
  <c r="K11" i="7"/>
  <c r="K236" i="7"/>
  <c r="K229" i="7"/>
  <c r="K158" i="7"/>
  <c r="K126" i="7"/>
  <c r="K94" i="7"/>
  <c r="K60" i="7"/>
  <c r="K52" i="7"/>
  <c r="K44" i="7"/>
  <c r="K36" i="7"/>
  <c r="K28" i="7"/>
  <c r="K20" i="7"/>
  <c r="K12" i="7"/>
  <c r="K63" i="7"/>
  <c r="K110" i="7"/>
  <c r="K78" i="7"/>
  <c r="K64" i="7"/>
  <c r="K48" i="7"/>
  <c r="K40" i="7"/>
  <c r="K32" i="7"/>
  <c r="K165" i="7"/>
  <c r="K133" i="7"/>
  <c r="K101" i="7"/>
  <c r="K69" i="7"/>
  <c r="K67" i="7"/>
  <c r="K61" i="7"/>
  <c r="K53" i="7"/>
  <c r="K45" i="7"/>
  <c r="K37" i="7"/>
  <c r="K29" i="7"/>
  <c r="K21" i="7"/>
  <c r="K13" i="7"/>
  <c r="K125" i="7"/>
  <c r="K204" i="7"/>
  <c r="K197" i="7"/>
  <c r="K150" i="7"/>
  <c r="K118" i="7"/>
  <c r="K86" i="7"/>
  <c r="K62" i="7"/>
  <c r="K54" i="7"/>
  <c r="K46" i="7"/>
  <c r="K38" i="7"/>
  <c r="K30" i="7"/>
  <c r="K22" i="7"/>
  <c r="K14" i="7"/>
  <c r="K93" i="7"/>
  <c r="H11" i="7"/>
  <c r="H19" i="7"/>
  <c r="H27" i="7"/>
  <c r="H35" i="7"/>
  <c r="H43" i="7"/>
  <c r="H51" i="7"/>
  <c r="H59" i="7"/>
  <c r="H66" i="7"/>
  <c r="H99" i="7"/>
  <c r="H131" i="7"/>
  <c r="H163" i="7"/>
  <c r="H249" i="7"/>
  <c r="H289" i="7"/>
  <c r="H10" i="7"/>
  <c r="H18" i="7"/>
  <c r="H26" i="7"/>
  <c r="H34" i="7"/>
  <c r="H42" i="7"/>
  <c r="H50" i="7"/>
  <c r="H58" i="7"/>
  <c r="H82" i="7"/>
  <c r="H114" i="7"/>
  <c r="H146" i="7"/>
  <c r="H282" i="7"/>
  <c r="H17" i="7"/>
  <c r="H25" i="7"/>
  <c r="H33" i="7"/>
  <c r="H41" i="7"/>
  <c r="H49" i="7"/>
  <c r="H57" i="7"/>
  <c r="H65" i="7"/>
  <c r="H75" i="7"/>
  <c r="H107" i="7"/>
  <c r="H139" i="7"/>
  <c r="H601" i="7"/>
  <c r="H593" i="7"/>
  <c r="H585" i="7"/>
  <c r="H577" i="7"/>
  <c r="H569" i="7"/>
  <c r="H561" i="7"/>
  <c r="H553" i="7"/>
  <c r="H545" i="7"/>
  <c r="H537" i="7"/>
  <c r="H529" i="7"/>
  <c r="H521" i="7"/>
  <c r="H513" i="7"/>
  <c r="H505" i="7"/>
  <c r="H497" i="7"/>
  <c r="H489" i="7"/>
  <c r="H481" i="7"/>
  <c r="H473" i="7"/>
  <c r="H602" i="7"/>
  <c r="H594" i="7"/>
  <c r="H586" i="7"/>
  <c r="H578" i="7"/>
  <c r="H570" i="7"/>
  <c r="H562" i="7"/>
  <c r="H554" i="7"/>
  <c r="H546" i="7"/>
  <c r="H538" i="7"/>
  <c r="H530" i="7"/>
  <c r="H522" i="7"/>
  <c r="H514" i="7"/>
  <c r="H506" i="7"/>
  <c r="H498" i="7"/>
  <c r="H490" i="7"/>
  <c r="H482" i="7"/>
  <c r="H474" i="7"/>
  <c r="H603" i="7"/>
  <c r="H595" i="7"/>
  <c r="H587" i="7"/>
  <c r="H579" i="7"/>
  <c r="H571" i="7"/>
  <c r="H563" i="7"/>
  <c r="H555" i="7"/>
  <c r="H547" i="7"/>
  <c r="H539" i="7"/>
  <c r="H531" i="7"/>
  <c r="H523" i="7"/>
  <c r="H515" i="7"/>
  <c r="H507" i="7"/>
  <c r="H499" i="7"/>
  <c r="H491" i="7"/>
  <c r="H483" i="7"/>
  <c r="H475" i="7"/>
  <c r="H604" i="7"/>
  <c r="H596" i="7"/>
  <c r="H588" i="7"/>
  <c r="H580" i="7"/>
  <c r="H572" i="7"/>
  <c r="H564" i="7"/>
  <c r="H556" i="7"/>
  <c r="H548" i="7"/>
  <c r="H540" i="7"/>
  <c r="H532" i="7"/>
  <c r="H524" i="7"/>
  <c r="H516" i="7"/>
  <c r="H508" i="7"/>
  <c r="H500" i="7"/>
  <c r="H492" i="7"/>
  <c r="H484" i="7"/>
  <c r="H476" i="7"/>
  <c r="H605" i="7"/>
  <c r="H597" i="7"/>
  <c r="H589" i="7"/>
  <c r="H581" i="7"/>
  <c r="H573" i="7"/>
  <c r="H565" i="7"/>
  <c r="H557" i="7"/>
  <c r="H549" i="7"/>
  <c r="H541" i="7"/>
  <c r="H533" i="7"/>
  <c r="H525" i="7"/>
  <c r="H517" i="7"/>
  <c r="H509" i="7"/>
  <c r="H501" i="7"/>
  <c r="H493" i="7"/>
  <c r="H485" i="7"/>
  <c r="H477" i="7"/>
  <c r="H606" i="7"/>
  <c r="H598" i="7"/>
  <c r="H590" i="7"/>
  <c r="H582" i="7"/>
  <c r="H574" i="7"/>
  <c r="H566" i="7"/>
  <c r="H558" i="7"/>
  <c r="H550" i="7"/>
  <c r="H542" i="7"/>
  <c r="H534" i="7"/>
  <c r="H526" i="7"/>
  <c r="H518" i="7"/>
  <c r="H510" i="7"/>
  <c r="H502" i="7"/>
  <c r="H494" i="7"/>
  <c r="H486" i="7"/>
  <c r="H478" i="7"/>
  <c r="H599" i="7"/>
  <c r="H567" i="7"/>
  <c r="H535" i="7"/>
  <c r="H503" i="7"/>
  <c r="H471" i="7"/>
  <c r="H463" i="7"/>
  <c r="H455" i="7"/>
  <c r="H447" i="7"/>
  <c r="H439" i="7"/>
  <c r="H431" i="7"/>
  <c r="H423" i="7"/>
  <c r="H415" i="7"/>
  <c r="H407" i="7"/>
  <c r="H399" i="7"/>
  <c r="H391" i="7"/>
  <c r="H383" i="7"/>
  <c r="H375" i="7"/>
  <c r="H584" i="7"/>
  <c r="H552" i="7"/>
  <c r="H520" i="7"/>
  <c r="H488" i="7"/>
  <c r="H472" i="7"/>
  <c r="H464" i="7"/>
  <c r="H456" i="7"/>
  <c r="H448" i="7"/>
  <c r="H440" i="7"/>
  <c r="H432" i="7"/>
  <c r="H424" i="7"/>
  <c r="H416" i="7"/>
  <c r="H408" i="7"/>
  <c r="H400" i="7"/>
  <c r="H392" i="7"/>
  <c r="H384" i="7"/>
  <c r="H376" i="7"/>
  <c r="H591" i="7"/>
  <c r="H559" i="7"/>
  <c r="H527" i="7"/>
  <c r="H495" i="7"/>
  <c r="H465" i="7"/>
  <c r="H457" i="7"/>
  <c r="H449" i="7"/>
  <c r="H441" i="7"/>
  <c r="H433" i="7"/>
  <c r="H425" i="7"/>
  <c r="H417" i="7"/>
  <c r="H409" i="7"/>
  <c r="H401" i="7"/>
  <c r="H393" i="7"/>
  <c r="H385" i="7"/>
  <c r="H377" i="7"/>
  <c r="H576" i="7"/>
  <c r="H544" i="7"/>
  <c r="H512" i="7"/>
  <c r="H480" i="7"/>
  <c r="H466" i="7"/>
  <c r="H458" i="7"/>
  <c r="H450" i="7"/>
  <c r="H442" i="7"/>
  <c r="H434" i="7"/>
  <c r="H426" i="7"/>
  <c r="H418" i="7"/>
  <c r="H410" i="7"/>
  <c r="H402" i="7"/>
  <c r="H394" i="7"/>
  <c r="H386" i="7"/>
  <c r="H378" i="7"/>
  <c r="H583" i="7"/>
  <c r="H551" i="7"/>
  <c r="H519" i="7"/>
  <c r="H487" i="7"/>
  <c r="H467" i="7"/>
  <c r="H459" i="7"/>
  <c r="H451" i="7"/>
  <c r="H443" i="7"/>
  <c r="H435" i="7"/>
  <c r="H427" i="7"/>
  <c r="H419" i="7"/>
  <c r="H411" i="7"/>
  <c r="H403" i="7"/>
  <c r="H395" i="7"/>
  <c r="H387" i="7"/>
  <c r="H600" i="7"/>
  <c r="H568" i="7"/>
  <c r="H536" i="7"/>
  <c r="H504" i="7"/>
  <c r="H468" i="7"/>
  <c r="H460" i="7"/>
  <c r="H452" i="7"/>
  <c r="H444" i="7"/>
  <c r="H436" i="7"/>
  <c r="H428" i="7"/>
  <c r="H420" i="7"/>
  <c r="H412" i="7"/>
  <c r="H404" i="7"/>
  <c r="H396" i="7"/>
  <c r="H388" i="7"/>
  <c r="H380" i="7"/>
  <c r="H575" i="7"/>
  <c r="H445" i="7"/>
  <c r="H413" i="7"/>
  <c r="H381" i="7"/>
  <c r="H371" i="7"/>
  <c r="H363" i="7"/>
  <c r="H355" i="7"/>
  <c r="H347" i="7"/>
  <c r="H339" i="7"/>
  <c r="H331" i="7"/>
  <c r="H323" i="7"/>
  <c r="H315" i="7"/>
  <c r="H307" i="7"/>
  <c r="H299" i="7"/>
  <c r="H291" i="7"/>
  <c r="H283" i="7"/>
  <c r="H275" i="7"/>
  <c r="H592" i="7"/>
  <c r="H462" i="7"/>
  <c r="H430" i="7"/>
  <c r="H398" i="7"/>
  <c r="H372" i="7"/>
  <c r="H364" i="7"/>
  <c r="H356" i="7"/>
  <c r="H348" i="7"/>
  <c r="H340" i="7"/>
  <c r="H332" i="7"/>
  <c r="H324" i="7"/>
  <c r="H316" i="7"/>
  <c r="H308" i="7"/>
  <c r="H300" i="7"/>
  <c r="H292" i="7"/>
  <c r="H284" i="7"/>
  <c r="H276" i="7"/>
  <c r="H543" i="7"/>
  <c r="H469" i="7"/>
  <c r="H437" i="7"/>
  <c r="H405" i="7"/>
  <c r="H373" i="7"/>
  <c r="H365" i="7"/>
  <c r="H357" i="7"/>
  <c r="H349" i="7"/>
  <c r="H341" i="7"/>
  <c r="H333" i="7"/>
  <c r="H325" i="7"/>
  <c r="H317" i="7"/>
  <c r="H309" i="7"/>
  <c r="H301" i="7"/>
  <c r="H293" i="7"/>
  <c r="H285" i="7"/>
  <c r="H277" i="7"/>
  <c r="H560" i="7"/>
  <c r="H454" i="7"/>
  <c r="H422" i="7"/>
  <c r="H390" i="7"/>
  <c r="H366" i="7"/>
  <c r="H358" i="7"/>
  <c r="H350" i="7"/>
  <c r="H342" i="7"/>
  <c r="H334" i="7"/>
  <c r="H326" i="7"/>
  <c r="H318" i="7"/>
  <c r="H310" i="7"/>
  <c r="H302" i="7"/>
  <c r="H294" i="7"/>
  <c r="H286" i="7"/>
  <c r="H278" i="7"/>
  <c r="H511" i="7"/>
  <c r="H461" i="7"/>
  <c r="H429" i="7"/>
  <c r="H397" i="7"/>
  <c r="H374" i="7"/>
  <c r="H367" i="7"/>
  <c r="H359" i="7"/>
  <c r="H351" i="7"/>
  <c r="H343" i="7"/>
  <c r="H335" i="7"/>
  <c r="H327" i="7"/>
  <c r="H319" i="7"/>
  <c r="H311" i="7"/>
  <c r="H303" i="7"/>
  <c r="H295" i="7"/>
  <c r="H287" i="7"/>
  <c r="H279" i="7"/>
  <c r="H528" i="7"/>
  <c r="H446" i="7"/>
  <c r="H414" i="7"/>
  <c r="H382" i="7"/>
  <c r="H368" i="7"/>
  <c r="H360" i="7"/>
  <c r="H352" i="7"/>
  <c r="H344" i="7"/>
  <c r="H336" i="7"/>
  <c r="H328" i="7"/>
  <c r="H320" i="7"/>
  <c r="H312" i="7"/>
  <c r="H304" i="7"/>
  <c r="H296" i="7"/>
  <c r="H288" i="7"/>
  <c r="H280" i="7"/>
  <c r="H479" i="7"/>
  <c r="H438" i="7"/>
  <c r="H370" i="7"/>
  <c r="H338" i="7"/>
  <c r="H306" i="7"/>
  <c r="H273" i="7"/>
  <c r="H267" i="7"/>
  <c r="H259" i="7"/>
  <c r="H251" i="7"/>
  <c r="H243" i="7"/>
  <c r="H235" i="7"/>
  <c r="H227" i="7"/>
  <c r="H219" i="7"/>
  <c r="H211" i="7"/>
  <c r="H203" i="7"/>
  <c r="H195" i="7"/>
  <c r="H187" i="7"/>
  <c r="H179" i="7"/>
  <c r="H171" i="7"/>
  <c r="H389" i="7"/>
  <c r="H345" i="7"/>
  <c r="H313" i="7"/>
  <c r="H281" i="7"/>
  <c r="H271" i="7"/>
  <c r="H268" i="7"/>
  <c r="H260" i="7"/>
  <c r="H252" i="7"/>
  <c r="H244" i="7"/>
  <c r="H236" i="7"/>
  <c r="H228" i="7"/>
  <c r="H220" i="7"/>
  <c r="H212" i="7"/>
  <c r="H204" i="7"/>
  <c r="H196" i="7"/>
  <c r="H188" i="7"/>
  <c r="H180" i="7"/>
  <c r="H172" i="7"/>
  <c r="H406" i="7"/>
  <c r="H362" i="7"/>
  <c r="H330" i="7"/>
  <c r="H298" i="7"/>
  <c r="H269" i="7"/>
  <c r="H261" i="7"/>
  <c r="H253" i="7"/>
  <c r="H245" i="7"/>
  <c r="H237" i="7"/>
  <c r="H229" i="7"/>
  <c r="H221" i="7"/>
  <c r="H213" i="7"/>
  <c r="H205" i="7"/>
  <c r="H197" i="7"/>
  <c r="H189" i="7"/>
  <c r="H181" i="7"/>
  <c r="H173" i="7"/>
  <c r="H369" i="7"/>
  <c r="H337" i="7"/>
  <c r="H305" i="7"/>
  <c r="H274" i="7"/>
  <c r="H262" i="7"/>
  <c r="H254" i="7"/>
  <c r="H246" i="7"/>
  <c r="H238" i="7"/>
  <c r="H230" i="7"/>
  <c r="H222" i="7"/>
  <c r="H214" i="7"/>
  <c r="H206" i="7"/>
  <c r="H198" i="7"/>
  <c r="H190" i="7"/>
  <c r="H182" i="7"/>
  <c r="H174" i="7"/>
  <c r="H354" i="7"/>
  <c r="H322" i="7"/>
  <c r="H290" i="7"/>
  <c r="H263" i="7"/>
  <c r="H255" i="7"/>
  <c r="H247" i="7"/>
  <c r="H239" i="7"/>
  <c r="H231" i="7"/>
  <c r="H223" i="7"/>
  <c r="H215" i="7"/>
  <c r="H207" i="7"/>
  <c r="H199" i="7"/>
  <c r="H191" i="7"/>
  <c r="H183" i="7"/>
  <c r="H175" i="7"/>
  <c r="H496" i="7"/>
  <c r="H453" i="7"/>
  <c r="H361" i="7"/>
  <c r="H329" i="7"/>
  <c r="H297" i="7"/>
  <c r="H272" i="7"/>
  <c r="H270" i="7"/>
  <c r="H264" i="7"/>
  <c r="H256" i="7"/>
  <c r="H248" i="7"/>
  <c r="H240" i="7"/>
  <c r="H232" i="7"/>
  <c r="H224" i="7"/>
  <c r="H216" i="7"/>
  <c r="H208" i="7"/>
  <c r="H200" i="7"/>
  <c r="H192" i="7"/>
  <c r="H184" i="7"/>
  <c r="H176" i="7"/>
  <c r="H266" i="7"/>
  <c r="H234" i="7"/>
  <c r="H202" i="7"/>
  <c r="H164" i="7"/>
  <c r="H156" i="7"/>
  <c r="H148" i="7"/>
  <c r="H140" i="7"/>
  <c r="H132" i="7"/>
  <c r="H124" i="7"/>
  <c r="H116" i="7"/>
  <c r="H108" i="7"/>
  <c r="H100" i="7"/>
  <c r="H92" i="7"/>
  <c r="H84" i="7"/>
  <c r="H76" i="7"/>
  <c r="H68" i="7"/>
  <c r="H241" i="7"/>
  <c r="H209" i="7"/>
  <c r="H177" i="7"/>
  <c r="H165" i="7"/>
  <c r="H157" i="7"/>
  <c r="H149" i="7"/>
  <c r="H141" i="7"/>
  <c r="H133" i="7"/>
  <c r="H125" i="7"/>
  <c r="H117" i="7"/>
  <c r="H109" i="7"/>
  <c r="H101" i="7"/>
  <c r="H93" i="7"/>
  <c r="H85" i="7"/>
  <c r="H77" i="7"/>
  <c r="H69" i="7"/>
  <c r="H470" i="7"/>
  <c r="H353" i="7"/>
  <c r="H258" i="7"/>
  <c r="H226" i="7"/>
  <c r="H194" i="7"/>
  <c r="H166" i="7"/>
  <c r="H158" i="7"/>
  <c r="H150" i="7"/>
  <c r="H142" i="7"/>
  <c r="H134" i="7"/>
  <c r="H126" i="7"/>
  <c r="H118" i="7"/>
  <c r="H110" i="7"/>
  <c r="H102" i="7"/>
  <c r="H94" i="7"/>
  <c r="H86" i="7"/>
  <c r="H78" i="7"/>
  <c r="H70" i="7"/>
  <c r="H346" i="7"/>
  <c r="H265" i="7"/>
  <c r="H233" i="7"/>
  <c r="H201" i="7"/>
  <c r="H167" i="7"/>
  <c r="H159" i="7"/>
  <c r="H151" i="7"/>
  <c r="H143" i="7"/>
  <c r="H135" i="7"/>
  <c r="H127" i="7"/>
  <c r="H119" i="7"/>
  <c r="H111" i="7"/>
  <c r="H103" i="7"/>
  <c r="H95" i="7"/>
  <c r="H87" i="7"/>
  <c r="H79" i="7"/>
  <c r="H71" i="7"/>
  <c r="H321" i="7"/>
  <c r="H250" i="7"/>
  <c r="H218" i="7"/>
  <c r="H186" i="7"/>
  <c r="H168" i="7"/>
  <c r="H160" i="7"/>
  <c r="H152" i="7"/>
  <c r="H144" i="7"/>
  <c r="H136" i="7"/>
  <c r="H128" i="7"/>
  <c r="H120" i="7"/>
  <c r="H112" i="7"/>
  <c r="H104" i="7"/>
  <c r="H96" i="7"/>
  <c r="H88" i="7"/>
  <c r="H80" i="7"/>
  <c r="H72" i="7"/>
  <c r="H314" i="7"/>
  <c r="H257" i="7"/>
  <c r="H225" i="7"/>
  <c r="H193" i="7"/>
  <c r="H169" i="7"/>
  <c r="H161" i="7"/>
  <c r="H153" i="7"/>
  <c r="H145" i="7"/>
  <c r="H137" i="7"/>
  <c r="H129" i="7"/>
  <c r="H121" i="7"/>
  <c r="H113" i="7"/>
  <c r="H105" i="7"/>
  <c r="H97" i="7"/>
  <c r="H89" i="7"/>
  <c r="H81" i="7"/>
  <c r="H73" i="7"/>
  <c r="H16" i="7"/>
  <c r="H24" i="7"/>
  <c r="H32" i="7"/>
  <c r="H40" i="7"/>
  <c r="H48" i="7"/>
  <c r="H56" i="7"/>
  <c r="H64" i="7"/>
  <c r="H90" i="7"/>
  <c r="H122" i="7"/>
  <c r="H154" i="7"/>
  <c r="H178" i="7"/>
  <c r="H15" i="7"/>
  <c r="H23" i="7"/>
  <c r="H31" i="7"/>
  <c r="H39" i="7"/>
  <c r="H47" i="7"/>
  <c r="H55" i="7"/>
  <c r="H63" i="7"/>
  <c r="H83" i="7"/>
  <c r="H115" i="7"/>
  <c r="H147" i="7"/>
  <c r="H185" i="7"/>
  <c r="H379" i="7"/>
  <c r="H14" i="7"/>
  <c r="H22" i="7"/>
  <c r="H30" i="7"/>
  <c r="H38" i="7"/>
  <c r="H46" i="7"/>
  <c r="H54" i="7"/>
  <c r="H62" i="7"/>
  <c r="H98" i="7"/>
  <c r="H130" i="7"/>
  <c r="H162" i="7"/>
  <c r="H210" i="7"/>
  <c r="H13" i="6"/>
  <c r="H21" i="6"/>
  <c r="H29" i="6"/>
  <c r="H37" i="6"/>
  <c r="H58" i="6"/>
  <c r="H83" i="6"/>
  <c r="H85" i="6"/>
  <c r="H131" i="6"/>
  <c r="H163" i="6"/>
  <c r="H11" i="6"/>
  <c r="H19" i="6"/>
  <c r="H27" i="6"/>
  <c r="H35" i="6"/>
  <c r="H43" i="6"/>
  <c r="H67" i="6"/>
  <c r="H69" i="6"/>
  <c r="H106" i="6"/>
  <c r="H139" i="6"/>
  <c r="H171" i="6"/>
  <c r="H194" i="6"/>
  <c r="H10" i="6"/>
  <c r="H18" i="6"/>
  <c r="H26" i="6"/>
  <c r="H34" i="6"/>
  <c r="H51" i="6"/>
  <c r="H59" i="6"/>
  <c r="H61" i="6"/>
  <c r="H98" i="6"/>
  <c r="H122" i="6"/>
  <c r="H154" i="6"/>
  <c r="H176" i="6"/>
  <c r="H258" i="6"/>
  <c r="H17" i="6"/>
  <c r="H25" i="6"/>
  <c r="H33" i="6"/>
  <c r="H53" i="6"/>
  <c r="H90" i="6"/>
  <c r="H115" i="6"/>
  <c r="H604" i="6"/>
  <c r="H596" i="6"/>
  <c r="H588" i="6"/>
  <c r="H580" i="6"/>
  <c r="H572" i="6"/>
  <c r="H564" i="6"/>
  <c r="H556" i="6"/>
  <c r="H548" i="6"/>
  <c r="H540" i="6"/>
  <c r="H532" i="6"/>
  <c r="H524" i="6"/>
  <c r="H516" i="6"/>
  <c r="H508" i="6"/>
  <c r="H500" i="6"/>
  <c r="H492" i="6"/>
  <c r="H484" i="6"/>
  <c r="H476" i="6"/>
  <c r="H605" i="6"/>
  <c r="H597" i="6"/>
  <c r="H589" i="6"/>
  <c r="H581" i="6"/>
  <c r="H573" i="6"/>
  <c r="H565" i="6"/>
  <c r="H557" i="6"/>
  <c r="H606" i="6"/>
  <c r="H598" i="6"/>
  <c r="H590" i="6"/>
  <c r="H582" i="6"/>
  <c r="H574" i="6"/>
  <c r="H566" i="6"/>
  <c r="H558" i="6"/>
  <c r="H550" i="6"/>
  <c r="H542" i="6"/>
  <c r="H534" i="6"/>
  <c r="H526" i="6"/>
  <c r="H518" i="6"/>
  <c r="H510" i="6"/>
  <c r="H502" i="6"/>
  <c r="H494" i="6"/>
  <c r="H486" i="6"/>
  <c r="H478" i="6"/>
  <c r="H607" i="6"/>
  <c r="H599" i="6"/>
  <c r="H591" i="6"/>
  <c r="H583" i="6"/>
  <c r="H575" i="6"/>
  <c r="H567" i="6"/>
  <c r="H559" i="6"/>
  <c r="H551" i="6"/>
  <c r="H543" i="6"/>
  <c r="H535" i="6"/>
  <c r="H527" i="6"/>
  <c r="H519" i="6"/>
  <c r="H511" i="6"/>
  <c r="H503" i="6"/>
  <c r="H495" i="6"/>
  <c r="H487" i="6"/>
  <c r="H479" i="6"/>
  <c r="H608" i="6"/>
  <c r="H600" i="6"/>
  <c r="H592" i="6"/>
  <c r="H584" i="6"/>
  <c r="H576" i="6"/>
  <c r="H568" i="6"/>
  <c r="H560" i="6"/>
  <c r="H552" i="6"/>
  <c r="H544" i="6"/>
  <c r="H536" i="6"/>
  <c r="H528" i="6"/>
  <c r="H520" i="6"/>
  <c r="H512" i="6"/>
  <c r="H504" i="6"/>
  <c r="H496" i="6"/>
  <c r="H488" i="6"/>
  <c r="H480" i="6"/>
  <c r="H609" i="6"/>
  <c r="H601" i="6"/>
  <c r="H593" i="6"/>
  <c r="H585" i="6"/>
  <c r="H577" i="6"/>
  <c r="H569" i="6"/>
  <c r="H561" i="6"/>
  <c r="H553" i="6"/>
  <c r="H545" i="6"/>
  <c r="H537" i="6"/>
  <c r="H529" i="6"/>
  <c r="H521" i="6"/>
  <c r="H513" i="6"/>
  <c r="H505" i="6"/>
  <c r="H497" i="6"/>
  <c r="H489" i="6"/>
  <c r="H481" i="6"/>
  <c r="H602" i="6"/>
  <c r="H594" i="6"/>
  <c r="H586" i="6"/>
  <c r="H578" i="6"/>
  <c r="H570" i="6"/>
  <c r="H562" i="6"/>
  <c r="H554" i="6"/>
  <c r="H546" i="6"/>
  <c r="H538" i="6"/>
  <c r="H530" i="6"/>
  <c r="H522" i="6"/>
  <c r="H514" i="6"/>
  <c r="H506" i="6"/>
  <c r="H498" i="6"/>
  <c r="H490" i="6"/>
  <c r="H482" i="6"/>
  <c r="H579" i="6"/>
  <c r="H547" i="6"/>
  <c r="H525" i="6"/>
  <c r="H515" i="6"/>
  <c r="H493" i="6"/>
  <c r="H483" i="6"/>
  <c r="H473" i="6"/>
  <c r="H465" i="6"/>
  <c r="H457" i="6"/>
  <c r="H603" i="6"/>
  <c r="H474" i="6"/>
  <c r="H466" i="6"/>
  <c r="H458" i="6"/>
  <c r="H450" i="6"/>
  <c r="H442" i="6"/>
  <c r="H434" i="6"/>
  <c r="H426" i="6"/>
  <c r="H418" i="6"/>
  <c r="H410" i="6"/>
  <c r="H402" i="6"/>
  <c r="H394" i="6"/>
  <c r="H386" i="6"/>
  <c r="H378" i="6"/>
  <c r="H370" i="6"/>
  <c r="H563" i="6"/>
  <c r="H549" i="6"/>
  <c r="H539" i="6"/>
  <c r="H517" i="6"/>
  <c r="H507" i="6"/>
  <c r="H485" i="6"/>
  <c r="H475" i="6"/>
  <c r="H467" i="6"/>
  <c r="H459" i="6"/>
  <c r="H451" i="6"/>
  <c r="H443" i="6"/>
  <c r="H435" i="6"/>
  <c r="H427" i="6"/>
  <c r="H419" i="6"/>
  <c r="H411" i="6"/>
  <c r="H403" i="6"/>
  <c r="H395" i="6"/>
  <c r="H387" i="6"/>
  <c r="H379" i="6"/>
  <c r="H371" i="6"/>
  <c r="H587" i="6"/>
  <c r="H468" i="6"/>
  <c r="H460" i="6"/>
  <c r="H452" i="6"/>
  <c r="H444" i="6"/>
  <c r="H436" i="6"/>
  <c r="H428" i="6"/>
  <c r="H420" i="6"/>
  <c r="H412" i="6"/>
  <c r="H404" i="6"/>
  <c r="H396" i="6"/>
  <c r="H388" i="6"/>
  <c r="H380" i="6"/>
  <c r="H372" i="6"/>
  <c r="H541" i="6"/>
  <c r="H531" i="6"/>
  <c r="H509" i="6"/>
  <c r="H499" i="6"/>
  <c r="H477" i="6"/>
  <c r="H469" i="6"/>
  <c r="H461" i="6"/>
  <c r="H453" i="6"/>
  <c r="H571" i="6"/>
  <c r="H470" i="6"/>
  <c r="H462" i="6"/>
  <c r="H454" i="6"/>
  <c r="H446" i="6"/>
  <c r="H438" i="6"/>
  <c r="H430" i="6"/>
  <c r="H422" i="6"/>
  <c r="H414" i="6"/>
  <c r="H406" i="6"/>
  <c r="H398" i="6"/>
  <c r="H390" i="6"/>
  <c r="H382" i="6"/>
  <c r="H374" i="6"/>
  <c r="H595" i="6"/>
  <c r="H533" i="6"/>
  <c r="H523" i="6"/>
  <c r="H501" i="6"/>
  <c r="H491" i="6"/>
  <c r="H471" i="6"/>
  <c r="H463" i="6"/>
  <c r="H455" i="6"/>
  <c r="H447" i="6"/>
  <c r="H439" i="6"/>
  <c r="H431" i="6"/>
  <c r="H423" i="6"/>
  <c r="H415" i="6"/>
  <c r="H407" i="6"/>
  <c r="H399" i="6"/>
  <c r="H391" i="6"/>
  <c r="H383" i="6"/>
  <c r="H375" i="6"/>
  <c r="H367" i="6"/>
  <c r="H456" i="6"/>
  <c r="H449" i="6"/>
  <c r="H416" i="6"/>
  <c r="H397" i="6"/>
  <c r="H385" i="6"/>
  <c r="H360" i="6"/>
  <c r="H352" i="6"/>
  <c r="H344" i="6"/>
  <c r="H336" i="6"/>
  <c r="H328" i="6"/>
  <c r="H555" i="6"/>
  <c r="H424" i="6"/>
  <c r="H405" i="6"/>
  <c r="H393" i="6"/>
  <c r="H361" i="6"/>
  <c r="H353" i="6"/>
  <c r="H345" i="6"/>
  <c r="H337" i="6"/>
  <c r="H329" i="6"/>
  <c r="H321" i="6"/>
  <c r="H313" i="6"/>
  <c r="H305" i="6"/>
  <c r="H297" i="6"/>
  <c r="H289" i="6"/>
  <c r="H281" i="6"/>
  <c r="H273" i="6"/>
  <c r="H432" i="6"/>
  <c r="H413" i="6"/>
  <c r="H401" i="6"/>
  <c r="H362" i="6"/>
  <c r="H354" i="6"/>
  <c r="H346" i="6"/>
  <c r="H338" i="6"/>
  <c r="H330" i="6"/>
  <c r="H322" i="6"/>
  <c r="H314" i="6"/>
  <c r="H306" i="6"/>
  <c r="H298" i="6"/>
  <c r="H290" i="6"/>
  <c r="H282" i="6"/>
  <c r="H274" i="6"/>
  <c r="H464" i="6"/>
  <c r="H440" i="6"/>
  <c r="H421" i="6"/>
  <c r="H409" i="6"/>
  <c r="H376" i="6"/>
  <c r="H368" i="6"/>
  <c r="H363" i="6"/>
  <c r="H355" i="6"/>
  <c r="H347" i="6"/>
  <c r="H339" i="6"/>
  <c r="H331" i="6"/>
  <c r="H323" i="6"/>
  <c r="H315" i="6"/>
  <c r="H307" i="6"/>
  <c r="H299" i="6"/>
  <c r="H291" i="6"/>
  <c r="H283" i="6"/>
  <c r="H275" i="6"/>
  <c r="H448" i="6"/>
  <c r="H429" i="6"/>
  <c r="H417" i="6"/>
  <c r="H384" i="6"/>
  <c r="H364" i="6"/>
  <c r="H356" i="6"/>
  <c r="H348" i="6"/>
  <c r="H340" i="6"/>
  <c r="H332" i="6"/>
  <c r="H437" i="6"/>
  <c r="H425" i="6"/>
  <c r="H392" i="6"/>
  <c r="H373" i="6"/>
  <c r="H365" i="6"/>
  <c r="H357" i="6"/>
  <c r="H349" i="6"/>
  <c r="H341" i="6"/>
  <c r="H333" i="6"/>
  <c r="H325" i="6"/>
  <c r="H317" i="6"/>
  <c r="H309" i="6"/>
  <c r="H301" i="6"/>
  <c r="H293" i="6"/>
  <c r="H285" i="6"/>
  <c r="H277" i="6"/>
  <c r="H441" i="6"/>
  <c r="H408" i="6"/>
  <c r="H389" i="6"/>
  <c r="H377" i="6"/>
  <c r="H359" i="6"/>
  <c r="H351" i="6"/>
  <c r="H343" i="6"/>
  <c r="H335" i="6"/>
  <c r="H327" i="6"/>
  <c r="H319" i="6"/>
  <c r="H311" i="6"/>
  <c r="H303" i="6"/>
  <c r="H295" i="6"/>
  <c r="H287" i="6"/>
  <c r="H279" i="6"/>
  <c r="H284" i="6"/>
  <c r="H280" i="6"/>
  <c r="H278" i="6"/>
  <c r="H268" i="6"/>
  <c r="H260" i="6"/>
  <c r="H252" i="6"/>
  <c r="H244" i="6"/>
  <c r="H236" i="6"/>
  <c r="H228" i="6"/>
  <c r="H220" i="6"/>
  <c r="H212" i="6"/>
  <c r="H204" i="6"/>
  <c r="H196" i="6"/>
  <c r="H188" i="6"/>
  <c r="H180" i="6"/>
  <c r="H342" i="6"/>
  <c r="H292" i="6"/>
  <c r="H288" i="6"/>
  <c r="H286" i="6"/>
  <c r="H269" i="6"/>
  <c r="H261" i="6"/>
  <c r="H253" i="6"/>
  <c r="H245" i="6"/>
  <c r="H237" i="6"/>
  <c r="H229" i="6"/>
  <c r="H221" i="6"/>
  <c r="H213" i="6"/>
  <c r="H205" i="6"/>
  <c r="H197" i="6"/>
  <c r="H189" i="6"/>
  <c r="H181" i="6"/>
  <c r="H369" i="6"/>
  <c r="H366" i="6"/>
  <c r="H300" i="6"/>
  <c r="H296" i="6"/>
  <c r="H294" i="6"/>
  <c r="H270" i="6"/>
  <c r="H262" i="6"/>
  <c r="H254" i="6"/>
  <c r="H246" i="6"/>
  <c r="H238" i="6"/>
  <c r="H230" i="6"/>
  <c r="H222" i="6"/>
  <c r="H214" i="6"/>
  <c r="H206" i="6"/>
  <c r="H198" i="6"/>
  <c r="H190" i="6"/>
  <c r="H182" i="6"/>
  <c r="H433" i="6"/>
  <c r="H308" i="6"/>
  <c r="H304" i="6"/>
  <c r="H302" i="6"/>
  <c r="H271" i="6"/>
  <c r="H263" i="6"/>
  <c r="H255" i="6"/>
  <c r="H247" i="6"/>
  <c r="H239" i="6"/>
  <c r="H231" i="6"/>
  <c r="H223" i="6"/>
  <c r="H215" i="6"/>
  <c r="H207" i="6"/>
  <c r="H199" i="6"/>
  <c r="H191" i="6"/>
  <c r="H183" i="6"/>
  <c r="H400" i="6"/>
  <c r="H350" i="6"/>
  <c r="H316" i="6"/>
  <c r="H312" i="6"/>
  <c r="H310" i="6"/>
  <c r="H272" i="6"/>
  <c r="H264" i="6"/>
  <c r="H256" i="6"/>
  <c r="H248" i="6"/>
  <c r="H240" i="6"/>
  <c r="H232" i="6"/>
  <c r="H224" i="6"/>
  <c r="H216" i="6"/>
  <c r="H208" i="6"/>
  <c r="H200" i="6"/>
  <c r="H192" i="6"/>
  <c r="H184" i="6"/>
  <c r="H324" i="6"/>
  <c r="H320" i="6"/>
  <c r="H318" i="6"/>
  <c r="H265" i="6"/>
  <c r="H257" i="6"/>
  <c r="H249" i="6"/>
  <c r="H241" i="6"/>
  <c r="H233" i="6"/>
  <c r="H225" i="6"/>
  <c r="H217" i="6"/>
  <c r="H209" i="6"/>
  <c r="H201" i="6"/>
  <c r="H193" i="6"/>
  <c r="H185" i="6"/>
  <c r="H177" i="6"/>
  <c r="H445" i="6"/>
  <c r="H358" i="6"/>
  <c r="H276" i="6"/>
  <c r="H267" i="6"/>
  <c r="H259" i="6"/>
  <c r="H251" i="6"/>
  <c r="H243" i="6"/>
  <c r="H235" i="6"/>
  <c r="H227" i="6"/>
  <c r="H219" i="6"/>
  <c r="H211" i="6"/>
  <c r="H203" i="6"/>
  <c r="H195" i="6"/>
  <c r="H187" i="6"/>
  <c r="H179" i="6"/>
  <c r="H334" i="6"/>
  <c r="H242" i="6"/>
  <c r="H178" i="6"/>
  <c r="H172" i="6"/>
  <c r="H164" i="6"/>
  <c r="H156" i="6"/>
  <c r="H148" i="6"/>
  <c r="H140" i="6"/>
  <c r="H132" i="6"/>
  <c r="H124" i="6"/>
  <c r="H116" i="6"/>
  <c r="H108" i="6"/>
  <c r="H100" i="6"/>
  <c r="H92" i="6"/>
  <c r="H84" i="6"/>
  <c r="H76" i="6"/>
  <c r="H68" i="6"/>
  <c r="H60" i="6"/>
  <c r="H52" i="6"/>
  <c r="H266" i="6"/>
  <c r="H202" i="6"/>
  <c r="H173" i="6"/>
  <c r="H165" i="6"/>
  <c r="H157" i="6"/>
  <c r="H149" i="6"/>
  <c r="H141" i="6"/>
  <c r="H133" i="6"/>
  <c r="H125" i="6"/>
  <c r="H117" i="6"/>
  <c r="H326" i="6"/>
  <c r="H226" i="6"/>
  <c r="H174" i="6"/>
  <c r="H166" i="6"/>
  <c r="H158" i="6"/>
  <c r="H150" i="6"/>
  <c r="H142" i="6"/>
  <c r="H134" i="6"/>
  <c r="H126" i="6"/>
  <c r="H118" i="6"/>
  <c r="H110" i="6"/>
  <c r="H102" i="6"/>
  <c r="H94" i="6"/>
  <c r="H86" i="6"/>
  <c r="H78" i="6"/>
  <c r="H70" i="6"/>
  <c r="H62" i="6"/>
  <c r="H54" i="6"/>
  <c r="H46" i="6"/>
  <c r="H472" i="6"/>
  <c r="H250" i="6"/>
  <c r="H186" i="6"/>
  <c r="H167" i="6"/>
  <c r="H159" i="6"/>
  <c r="H151" i="6"/>
  <c r="H143" i="6"/>
  <c r="H135" i="6"/>
  <c r="H127" i="6"/>
  <c r="H119" i="6"/>
  <c r="H111" i="6"/>
  <c r="H103" i="6"/>
  <c r="H95" i="6"/>
  <c r="H87" i="6"/>
  <c r="H79" i="6"/>
  <c r="H71" i="6"/>
  <c r="H63" i="6"/>
  <c r="H55" i="6"/>
  <c r="H47" i="6"/>
  <c r="H210" i="6"/>
  <c r="H175" i="6"/>
  <c r="H168" i="6"/>
  <c r="H160" i="6"/>
  <c r="H152" i="6"/>
  <c r="H144" i="6"/>
  <c r="H136" i="6"/>
  <c r="H128" i="6"/>
  <c r="H120" i="6"/>
  <c r="H112" i="6"/>
  <c r="H104" i="6"/>
  <c r="H96" i="6"/>
  <c r="H88" i="6"/>
  <c r="H80" i="6"/>
  <c r="H72" i="6"/>
  <c r="H64" i="6"/>
  <c r="H56" i="6"/>
  <c r="H234" i="6"/>
  <c r="H169" i="6"/>
  <c r="H161" i="6"/>
  <c r="H153" i="6"/>
  <c r="H145" i="6"/>
  <c r="H137" i="6"/>
  <c r="H129" i="6"/>
  <c r="H121" i="6"/>
  <c r="H113" i="6"/>
  <c r="H105" i="6"/>
  <c r="H97" i="6"/>
  <c r="H89" i="6"/>
  <c r="H81" i="6"/>
  <c r="H73" i="6"/>
  <c r="H65" i="6"/>
  <c r="H57" i="6"/>
  <c r="H49" i="6"/>
  <c r="H41" i="6"/>
  <c r="H16" i="6"/>
  <c r="H24" i="6"/>
  <c r="H32" i="6"/>
  <c r="H40" i="6"/>
  <c r="H45" i="6"/>
  <c r="H82" i="6"/>
  <c r="H107" i="6"/>
  <c r="H109" i="6"/>
  <c r="H130" i="6"/>
  <c r="H162" i="6"/>
  <c r="H218" i="6"/>
  <c r="H381" i="6"/>
  <c r="H15" i="6"/>
  <c r="H23" i="6"/>
  <c r="H31" i="6"/>
  <c r="H39" i="6"/>
  <c r="H42" i="6"/>
  <c r="H48" i="6"/>
  <c r="H74" i="6"/>
  <c r="H99" i="6"/>
  <c r="H101" i="6"/>
  <c r="H123" i="6"/>
  <c r="H155" i="6"/>
  <c r="H14" i="6"/>
  <c r="H22" i="6"/>
  <c r="H30" i="6"/>
  <c r="H38" i="6"/>
  <c r="H44" i="6"/>
  <c r="H50" i="6"/>
  <c r="H66" i="6"/>
  <c r="H91" i="6"/>
  <c r="H93" i="6"/>
  <c r="H138" i="6"/>
  <c r="H170" i="6"/>
  <c r="K100" i="6" l="1"/>
  <c r="K342" i="6"/>
  <c r="K547" i="6"/>
  <c r="K141" i="6"/>
  <c r="K164" i="6"/>
  <c r="K144" i="6"/>
  <c r="K259" i="6"/>
  <c r="K247" i="6"/>
  <c r="K277" i="6"/>
  <c r="K377" i="6"/>
  <c r="K445" i="6"/>
  <c r="K482" i="6"/>
  <c r="K69" i="6"/>
  <c r="K83" i="6"/>
  <c r="K79" i="6"/>
  <c r="K202" i="6"/>
  <c r="K282" i="6"/>
  <c r="K341" i="6"/>
  <c r="K441" i="6"/>
  <c r="K468" i="6"/>
  <c r="K546" i="6"/>
  <c r="K161" i="6"/>
  <c r="K381" i="6"/>
  <c r="K19" i="6"/>
  <c r="K147" i="6"/>
  <c r="K143" i="6"/>
  <c r="K266" i="6"/>
  <c r="K346" i="6"/>
  <c r="K444" i="6"/>
  <c r="K598" i="6"/>
  <c r="K501" i="6"/>
  <c r="K481" i="6"/>
  <c r="K117" i="6"/>
  <c r="K50" i="6"/>
  <c r="K190" i="6"/>
  <c r="K185" i="6"/>
  <c r="K288" i="6"/>
  <c r="K324" i="6"/>
  <c r="K375" i="6"/>
  <c r="K565" i="6"/>
  <c r="K545" i="6"/>
  <c r="K195" i="6"/>
  <c r="K458" i="6"/>
  <c r="Q7" i="6"/>
  <c r="K40" i="6"/>
  <c r="K114" i="6"/>
  <c r="K254" i="6"/>
  <c r="K249" i="6"/>
  <c r="K352" i="6"/>
  <c r="K411" i="6"/>
  <c r="K439" i="6"/>
  <c r="K492" i="6"/>
  <c r="K609" i="6"/>
  <c r="K72" i="6"/>
  <c r="K25" i="6"/>
  <c r="K213" i="6"/>
  <c r="K196" i="6"/>
  <c r="K192" i="6"/>
  <c r="K351" i="6"/>
  <c r="K363" i="6"/>
  <c r="K382" i="6"/>
  <c r="K556" i="6"/>
  <c r="K479" i="6"/>
  <c r="K158" i="6"/>
  <c r="K183" i="6"/>
  <c r="K607" i="6"/>
  <c r="K22" i="6"/>
  <c r="K361" i="6"/>
  <c r="K97" i="6"/>
  <c r="K260" i="6"/>
  <c r="K256" i="6"/>
  <c r="K278" i="6"/>
  <c r="K394" i="6"/>
  <c r="K446" i="6"/>
  <c r="K483" i="6"/>
  <c r="K543" i="6"/>
  <c r="Q6" i="6"/>
  <c r="K70" i="6"/>
  <c r="K14" i="6"/>
  <c r="K126" i="6"/>
  <c r="K112" i="6"/>
  <c r="K43" i="6"/>
  <c r="K11" i="6"/>
  <c r="K96" i="6"/>
  <c r="K34" i="6"/>
  <c r="K17" i="6"/>
  <c r="K157" i="6"/>
  <c r="K92" i="6"/>
  <c r="K156" i="6"/>
  <c r="K75" i="6"/>
  <c r="K139" i="6"/>
  <c r="K42" i="6"/>
  <c r="K106" i="6"/>
  <c r="K170" i="6"/>
  <c r="K89" i="6"/>
  <c r="K153" i="6"/>
  <c r="K136" i="6"/>
  <c r="K71" i="6"/>
  <c r="K135" i="6"/>
  <c r="K182" i="6"/>
  <c r="K246" i="6"/>
  <c r="K188" i="6"/>
  <c r="K252" i="6"/>
  <c r="K187" i="6"/>
  <c r="K251" i="6"/>
  <c r="K194" i="6"/>
  <c r="K258" i="6"/>
  <c r="K177" i="6"/>
  <c r="K241" i="6"/>
  <c r="K184" i="6"/>
  <c r="K248" i="6"/>
  <c r="K175" i="6"/>
  <c r="K239" i="6"/>
  <c r="K387" i="6"/>
  <c r="K338" i="6"/>
  <c r="K280" i="6"/>
  <c r="K344" i="6"/>
  <c r="K343" i="6"/>
  <c r="K542" i="6"/>
  <c r="K334" i="6"/>
  <c r="K452" i="6"/>
  <c r="K333" i="6"/>
  <c r="K440" i="6"/>
  <c r="K316" i="6"/>
  <c r="K372" i="6"/>
  <c r="K355" i="6"/>
  <c r="K386" i="6"/>
  <c r="K450" i="6"/>
  <c r="K369" i="6"/>
  <c r="K433" i="6"/>
  <c r="K550" i="6"/>
  <c r="K367" i="6"/>
  <c r="K431" i="6"/>
  <c r="K374" i="6"/>
  <c r="K438" i="6"/>
  <c r="K373" i="6"/>
  <c r="K437" i="6"/>
  <c r="K460" i="6"/>
  <c r="K493" i="6"/>
  <c r="K557" i="6"/>
  <c r="K484" i="6"/>
  <c r="K548" i="6"/>
  <c r="K475" i="6"/>
  <c r="K539" i="6"/>
  <c r="K603" i="6"/>
  <c r="K538" i="6"/>
  <c r="K602" i="6"/>
  <c r="K537" i="6"/>
  <c r="K601" i="6"/>
  <c r="K608" i="6"/>
  <c r="K535" i="6"/>
  <c r="K599" i="6"/>
  <c r="K15" i="6"/>
  <c r="K101" i="6"/>
  <c r="K30" i="6"/>
  <c r="K13" i="6"/>
  <c r="K173" i="6"/>
  <c r="K102" i="6"/>
  <c r="K27" i="6"/>
  <c r="K149" i="6"/>
  <c r="K53" i="6"/>
  <c r="K33" i="6"/>
  <c r="K44" i="6"/>
  <c r="K108" i="6"/>
  <c r="K172" i="6"/>
  <c r="K91" i="6"/>
  <c r="K155" i="6"/>
  <c r="K58" i="6"/>
  <c r="K122" i="6"/>
  <c r="K41" i="6"/>
  <c r="K105" i="6"/>
  <c r="K169" i="6"/>
  <c r="K152" i="6"/>
  <c r="K87" i="6"/>
  <c r="K151" i="6"/>
  <c r="K198" i="6"/>
  <c r="K262" i="6"/>
  <c r="K204" i="6"/>
  <c r="K268" i="6"/>
  <c r="K203" i="6"/>
  <c r="K267" i="6"/>
  <c r="K210" i="6"/>
  <c r="K273" i="6"/>
  <c r="K193" i="6"/>
  <c r="K257" i="6"/>
  <c r="K200" i="6"/>
  <c r="K264" i="6"/>
  <c r="K191" i="6"/>
  <c r="K255" i="6"/>
  <c r="K290" i="6"/>
  <c r="K354" i="6"/>
  <c r="K296" i="6"/>
  <c r="K360" i="6"/>
  <c r="K359" i="6"/>
  <c r="K286" i="6"/>
  <c r="K350" i="6"/>
  <c r="K285" i="6"/>
  <c r="K349" i="6"/>
  <c r="K467" i="6"/>
  <c r="K332" i="6"/>
  <c r="K432" i="6"/>
  <c r="K403" i="6"/>
  <c r="K402" i="6"/>
  <c r="K466" i="6"/>
  <c r="K385" i="6"/>
  <c r="K449" i="6"/>
  <c r="K456" i="6"/>
  <c r="K383" i="6"/>
  <c r="K447" i="6"/>
  <c r="K390" i="6"/>
  <c r="K454" i="6"/>
  <c r="K389" i="6"/>
  <c r="K453" i="6"/>
  <c r="K480" i="6"/>
  <c r="K509" i="6"/>
  <c r="K573" i="6"/>
  <c r="K500" i="6"/>
  <c r="K564" i="6"/>
  <c r="K491" i="6"/>
  <c r="K555" i="6"/>
  <c r="K490" i="6"/>
  <c r="K554" i="6"/>
  <c r="K489" i="6"/>
  <c r="K553" i="6"/>
  <c r="K560" i="6"/>
  <c r="K487" i="6"/>
  <c r="K551" i="6"/>
  <c r="K62" i="6"/>
  <c r="K118" i="6"/>
  <c r="K38" i="6"/>
  <c r="K21" i="6"/>
  <c r="K133" i="6"/>
  <c r="K104" i="6"/>
  <c r="K35" i="6"/>
  <c r="K31" i="6"/>
  <c r="K86" i="6"/>
  <c r="K48" i="6"/>
  <c r="K52" i="6"/>
  <c r="K116" i="6"/>
  <c r="K197" i="6"/>
  <c r="K99" i="6"/>
  <c r="K163" i="6"/>
  <c r="K66" i="6"/>
  <c r="K130" i="6"/>
  <c r="K49" i="6"/>
  <c r="K113" i="6"/>
  <c r="K189" i="6"/>
  <c r="K160" i="6"/>
  <c r="K95" i="6"/>
  <c r="K159" i="6"/>
  <c r="K206" i="6"/>
  <c r="K270" i="6"/>
  <c r="K212" i="6"/>
  <c r="K295" i="6"/>
  <c r="K211" i="6"/>
  <c r="K287" i="6"/>
  <c r="K218" i="6"/>
  <c r="K279" i="6"/>
  <c r="K201" i="6"/>
  <c r="K265" i="6"/>
  <c r="K208" i="6"/>
  <c r="K272" i="6"/>
  <c r="K199" i="6"/>
  <c r="K263" i="6"/>
  <c r="K298" i="6"/>
  <c r="K362" i="6"/>
  <c r="K304" i="6"/>
  <c r="K379" i="6"/>
  <c r="K366" i="6"/>
  <c r="K294" i="6"/>
  <c r="K358" i="6"/>
  <c r="K293" i="6"/>
  <c r="K357" i="6"/>
  <c r="K276" i="6"/>
  <c r="K340" i="6"/>
  <c r="K436" i="6"/>
  <c r="K424" i="6"/>
  <c r="K410" i="6"/>
  <c r="K474" i="6"/>
  <c r="K393" i="6"/>
  <c r="K457" i="6"/>
  <c r="K464" i="6"/>
  <c r="K391" i="6"/>
  <c r="K455" i="6"/>
  <c r="K398" i="6"/>
  <c r="K462" i="6"/>
  <c r="K397" i="6"/>
  <c r="K461" i="6"/>
  <c r="K512" i="6"/>
  <c r="K517" i="6"/>
  <c r="K581" i="6"/>
  <c r="K508" i="6"/>
  <c r="K572" i="6"/>
  <c r="K499" i="6"/>
  <c r="K563" i="6"/>
  <c r="K498" i="6"/>
  <c r="K562" i="6"/>
  <c r="K497" i="6"/>
  <c r="K561" i="6"/>
  <c r="K568" i="6"/>
  <c r="K495" i="6"/>
  <c r="K559" i="6"/>
  <c r="K16" i="6"/>
  <c r="K150" i="6"/>
  <c r="K47" i="6"/>
  <c r="K29" i="6"/>
  <c r="K12" i="6"/>
  <c r="K134" i="6"/>
  <c r="K46" i="6"/>
  <c r="K39" i="6"/>
  <c r="K88" i="6"/>
  <c r="K78" i="6"/>
  <c r="K60" i="6"/>
  <c r="K124" i="6"/>
  <c r="K261" i="6"/>
  <c r="K107" i="6"/>
  <c r="K171" i="6"/>
  <c r="K74" i="6"/>
  <c r="K138" i="6"/>
  <c r="K57" i="6"/>
  <c r="K121" i="6"/>
  <c r="K253" i="6"/>
  <c r="K168" i="6"/>
  <c r="K103" i="6"/>
  <c r="K167" i="6"/>
  <c r="K214" i="6"/>
  <c r="K311" i="6"/>
  <c r="K220" i="6"/>
  <c r="K299" i="6"/>
  <c r="K219" i="6"/>
  <c r="K291" i="6"/>
  <c r="K226" i="6"/>
  <c r="K283" i="6"/>
  <c r="K209" i="6"/>
  <c r="K275" i="6"/>
  <c r="K216" i="6"/>
  <c r="K327" i="6"/>
  <c r="K207" i="6"/>
  <c r="K271" i="6"/>
  <c r="K306" i="6"/>
  <c r="K395" i="6"/>
  <c r="K312" i="6"/>
  <c r="K400" i="6"/>
  <c r="K371" i="6"/>
  <c r="K302" i="6"/>
  <c r="K384" i="6"/>
  <c r="K301" i="6"/>
  <c r="K365" i="6"/>
  <c r="K284" i="6"/>
  <c r="K348" i="6"/>
  <c r="K510" i="6"/>
  <c r="K428" i="6"/>
  <c r="K418" i="6"/>
  <c r="K488" i="6"/>
  <c r="K401" i="6"/>
  <c r="K465" i="6"/>
  <c r="K472" i="6"/>
  <c r="K399" i="6"/>
  <c r="K463" i="6"/>
  <c r="K406" i="6"/>
  <c r="K470" i="6"/>
  <c r="K405" i="6"/>
  <c r="K469" i="6"/>
  <c r="K544" i="6"/>
  <c r="K525" i="6"/>
  <c r="K589" i="6"/>
  <c r="K516" i="6"/>
  <c r="K580" i="6"/>
  <c r="K507" i="6"/>
  <c r="K571" i="6"/>
  <c r="K506" i="6"/>
  <c r="K570" i="6"/>
  <c r="K505" i="6"/>
  <c r="K569" i="6"/>
  <c r="K576" i="6"/>
  <c r="K503" i="6"/>
  <c r="K567" i="6"/>
  <c r="K24" i="6"/>
  <c r="K245" i="6"/>
  <c r="K54" i="6"/>
  <c r="K37" i="6"/>
  <c r="K20" i="6"/>
  <c r="K166" i="6"/>
  <c r="K51" i="6"/>
  <c r="K10" i="6"/>
  <c r="K142" i="6"/>
  <c r="K80" i="6"/>
  <c r="K68" i="6"/>
  <c r="K132" i="6"/>
  <c r="K313" i="6"/>
  <c r="K115" i="6"/>
  <c r="K237" i="6"/>
  <c r="K82" i="6"/>
  <c r="K146" i="6"/>
  <c r="K65" i="6"/>
  <c r="K129" i="6"/>
  <c r="K307" i="6"/>
  <c r="K229" i="6"/>
  <c r="K111" i="6"/>
  <c r="K174" i="6"/>
  <c r="K222" i="6"/>
  <c r="K315" i="6"/>
  <c r="K228" i="6"/>
  <c r="K305" i="6"/>
  <c r="K227" i="6"/>
  <c r="K297" i="6"/>
  <c r="K234" i="6"/>
  <c r="K289" i="6"/>
  <c r="K217" i="6"/>
  <c r="K281" i="6"/>
  <c r="K224" i="6"/>
  <c r="K412" i="6"/>
  <c r="K215" i="6"/>
  <c r="K319" i="6"/>
  <c r="K314" i="6"/>
  <c r="K416" i="6"/>
  <c r="K320" i="6"/>
  <c r="K404" i="6"/>
  <c r="K392" i="6"/>
  <c r="K310" i="6"/>
  <c r="K388" i="6"/>
  <c r="K309" i="6"/>
  <c r="K376" i="6"/>
  <c r="K292" i="6"/>
  <c r="K356" i="6"/>
  <c r="K331" i="6"/>
  <c r="K582" i="6"/>
  <c r="K426" i="6"/>
  <c r="K520" i="6"/>
  <c r="K409" i="6"/>
  <c r="K473" i="6"/>
  <c r="K496" i="6"/>
  <c r="K407" i="6"/>
  <c r="K471" i="6"/>
  <c r="K414" i="6"/>
  <c r="K504" i="6"/>
  <c r="K413" i="6"/>
  <c r="K502" i="6"/>
  <c r="K606" i="6"/>
  <c r="K533" i="6"/>
  <c r="K597" i="6"/>
  <c r="K524" i="6"/>
  <c r="K588" i="6"/>
  <c r="K515" i="6"/>
  <c r="K579" i="6"/>
  <c r="K514" i="6"/>
  <c r="K578" i="6"/>
  <c r="K513" i="6"/>
  <c r="K577" i="6"/>
  <c r="K584" i="6"/>
  <c r="K511" i="6"/>
  <c r="K575" i="6"/>
  <c r="K32" i="6"/>
  <c r="K93" i="6"/>
  <c r="K56" i="6"/>
  <c r="K77" i="6"/>
  <c r="K28" i="6"/>
  <c r="K221" i="6"/>
  <c r="K61" i="6"/>
  <c r="K18" i="6"/>
  <c r="K181" i="6"/>
  <c r="K109" i="6"/>
  <c r="K76" i="6"/>
  <c r="K140" i="6"/>
  <c r="K59" i="6"/>
  <c r="K123" i="6"/>
  <c r="K274" i="6"/>
  <c r="K90" i="6"/>
  <c r="K154" i="6"/>
  <c r="K73" i="6"/>
  <c r="K137" i="6"/>
  <c r="K120" i="6"/>
  <c r="K55" i="6"/>
  <c r="K119" i="6"/>
  <c r="K205" i="6"/>
  <c r="K230" i="6"/>
  <c r="K321" i="6"/>
  <c r="K236" i="6"/>
  <c r="K337" i="6"/>
  <c r="K235" i="6"/>
  <c r="K178" i="6"/>
  <c r="K242" i="6"/>
  <c r="K353" i="6"/>
  <c r="K225" i="6"/>
  <c r="K329" i="6"/>
  <c r="K232" i="6"/>
  <c r="K451" i="6"/>
  <c r="K223" i="6"/>
  <c r="K323" i="6"/>
  <c r="K322" i="6"/>
  <c r="K420" i="6"/>
  <c r="K328" i="6"/>
  <c r="K443" i="6"/>
  <c r="K396" i="6"/>
  <c r="K318" i="6"/>
  <c r="K427" i="6"/>
  <c r="K317" i="6"/>
  <c r="K380" i="6"/>
  <c r="K300" i="6"/>
  <c r="K364" i="6"/>
  <c r="K339" i="6"/>
  <c r="K370" i="6"/>
  <c r="K434" i="6"/>
  <c r="K552" i="6"/>
  <c r="K417" i="6"/>
  <c r="K486" i="6"/>
  <c r="K528" i="6"/>
  <c r="K415" i="6"/>
  <c r="K494" i="6"/>
  <c r="K422" i="6"/>
  <c r="K536" i="6"/>
  <c r="K421" i="6"/>
  <c r="K534" i="6"/>
  <c r="K477" i="6"/>
  <c r="K541" i="6"/>
  <c r="K605" i="6"/>
  <c r="K532" i="6"/>
  <c r="K596" i="6"/>
  <c r="K523" i="6"/>
  <c r="K587" i="6"/>
  <c r="K522" i="6"/>
  <c r="K586" i="6"/>
  <c r="K521" i="6"/>
  <c r="K585" i="6"/>
  <c r="K592" i="6"/>
  <c r="K519" i="6"/>
  <c r="K583" i="6"/>
  <c r="K45" i="6"/>
  <c r="K165" i="6"/>
  <c r="K85" i="6"/>
  <c r="K110" i="6"/>
  <c r="K36" i="6"/>
  <c r="K23" i="6"/>
  <c r="K94" i="6"/>
  <c r="K26" i="6"/>
  <c r="K64" i="6"/>
  <c r="K125" i="6"/>
  <c r="K84" i="6"/>
  <c r="K148" i="6"/>
  <c r="K67" i="6"/>
  <c r="K131" i="6"/>
  <c r="K303" i="6"/>
  <c r="K98" i="6"/>
  <c r="K162" i="6"/>
  <c r="K81" i="6"/>
  <c r="K145" i="6"/>
  <c r="K128" i="6"/>
  <c r="K63" i="6"/>
  <c r="K127" i="6"/>
  <c r="K269" i="6"/>
  <c r="K238" i="6"/>
  <c r="K180" i="6"/>
  <c r="K244" i="6"/>
  <c r="K179" i="6"/>
  <c r="K243" i="6"/>
  <c r="K186" i="6"/>
  <c r="K250" i="6"/>
  <c r="K408" i="6"/>
  <c r="K233" i="6"/>
  <c r="K176" i="6"/>
  <c r="K240" i="6"/>
  <c r="K478" i="6"/>
  <c r="K231" i="6"/>
  <c r="K345" i="6"/>
  <c r="K330" i="6"/>
  <c r="K459" i="6"/>
  <c r="K336" i="6"/>
  <c r="K335" i="6"/>
  <c r="K435" i="6"/>
  <c r="K326" i="6"/>
  <c r="K448" i="6"/>
  <c r="K325" i="6"/>
  <c r="K419" i="6"/>
  <c r="K308" i="6"/>
  <c r="K368" i="6"/>
  <c r="K347" i="6"/>
  <c r="K378" i="6"/>
  <c r="K442" i="6"/>
  <c r="K558" i="6"/>
  <c r="K425" i="6"/>
  <c r="K518" i="6"/>
  <c r="K574" i="6"/>
  <c r="K423" i="6"/>
  <c r="K526" i="6"/>
  <c r="K430" i="6"/>
  <c r="K590" i="6"/>
  <c r="K429" i="6"/>
  <c r="K566" i="6"/>
  <c r="K485" i="6"/>
  <c r="K549" i="6"/>
  <c r="K476" i="6"/>
  <c r="K540" i="6"/>
  <c r="K604" i="6"/>
  <c r="K531" i="6"/>
  <c r="K595" i="6"/>
  <c r="K530" i="6"/>
  <c r="K594" i="6"/>
  <c r="K529" i="6"/>
  <c r="K593" i="6"/>
  <c r="K600" i="6"/>
  <c r="K527" i="6"/>
  <c r="K591" i="6"/>
  <c r="K57" i="8"/>
  <c r="K99" i="8"/>
  <c r="K279" i="8"/>
  <c r="K201" i="8"/>
  <c r="K107" i="8"/>
  <c r="K295" i="8"/>
  <c r="K161" i="8"/>
  <c r="K208" i="8"/>
  <c r="K409" i="8"/>
  <c r="K225" i="8"/>
  <c r="K216" i="8"/>
  <c r="K425" i="8"/>
  <c r="K113" i="8"/>
  <c r="K127" i="8"/>
  <c r="K190" i="8"/>
  <c r="K388" i="8"/>
  <c r="K141" i="8"/>
  <c r="K135" i="8"/>
  <c r="K198" i="8"/>
  <c r="K404" i="8"/>
  <c r="K13" i="8"/>
  <c r="K125" i="8"/>
  <c r="K139" i="8"/>
  <c r="K578" i="8"/>
  <c r="K20" i="8"/>
  <c r="K133" i="8"/>
  <c r="K155" i="8"/>
  <c r="K473" i="8"/>
  <c r="K15" i="8"/>
  <c r="K41" i="8"/>
  <c r="F6" i="8"/>
  <c r="K72" i="8"/>
  <c r="K62" i="8"/>
  <c r="K52" i="8"/>
  <c r="K146" i="8"/>
  <c r="K485" i="8"/>
  <c r="K252" i="8"/>
  <c r="K251" i="8"/>
  <c r="K278" i="8"/>
  <c r="K407" i="8"/>
  <c r="K387" i="8"/>
  <c r="K480" i="8"/>
  <c r="K25" i="8"/>
  <c r="K105" i="8"/>
  <c r="K33" i="8"/>
  <c r="K80" i="8"/>
  <c r="K70" i="8"/>
  <c r="K60" i="8"/>
  <c r="K154" i="8"/>
  <c r="K143" i="8"/>
  <c r="K258" i="8"/>
  <c r="K267" i="8"/>
  <c r="K294" i="8"/>
  <c r="K423" i="8"/>
  <c r="K403" i="8"/>
  <c r="K504" i="8"/>
  <c r="K89" i="8"/>
  <c r="K12" i="8"/>
  <c r="K73" i="8"/>
  <c r="K136" i="8"/>
  <c r="K126" i="8"/>
  <c r="K116" i="8"/>
  <c r="K210" i="8"/>
  <c r="K199" i="8"/>
  <c r="K197" i="8"/>
  <c r="K507" i="8"/>
  <c r="K261" i="8"/>
  <c r="K406" i="8"/>
  <c r="K386" i="8"/>
  <c r="K535" i="8"/>
  <c r="F8" i="8"/>
  <c r="J565" i="8" s="1"/>
  <c r="K14" i="8"/>
  <c r="K81" i="8"/>
  <c r="K137" i="8"/>
  <c r="K177" i="8"/>
  <c r="K134" i="8"/>
  <c r="K124" i="8"/>
  <c r="K218" i="8"/>
  <c r="K207" i="8"/>
  <c r="K205" i="8"/>
  <c r="K249" i="8"/>
  <c r="K277" i="8"/>
  <c r="K422" i="8"/>
  <c r="K410" i="8"/>
  <c r="K543" i="8"/>
  <c r="K16" i="8"/>
  <c r="K65" i="8"/>
  <c r="K11" i="8"/>
  <c r="K74" i="8"/>
  <c r="K63" i="8"/>
  <c r="K61" i="8"/>
  <c r="K35" i="8"/>
  <c r="K144" i="8"/>
  <c r="K266" i="8"/>
  <c r="K156" i="8"/>
  <c r="K416" i="8"/>
  <c r="K292" i="8"/>
  <c r="K397" i="8"/>
  <c r="K556" i="8"/>
  <c r="K558" i="8"/>
  <c r="K49" i="8"/>
  <c r="K129" i="8"/>
  <c r="K19" i="8"/>
  <c r="K82" i="8"/>
  <c r="K71" i="8"/>
  <c r="K69" i="8"/>
  <c r="K43" i="8"/>
  <c r="K152" i="8"/>
  <c r="K306" i="8"/>
  <c r="K164" i="8"/>
  <c r="K304" i="8"/>
  <c r="K308" i="8"/>
  <c r="K413" i="8"/>
  <c r="K564" i="8"/>
  <c r="K590" i="8"/>
  <c r="K18" i="8"/>
  <c r="K26" i="8"/>
  <c r="K90" i="8"/>
  <c r="K276" i="8"/>
  <c r="K88" i="8"/>
  <c r="K354" i="8"/>
  <c r="K79" i="8"/>
  <c r="K153" i="8"/>
  <c r="K78" i="8"/>
  <c r="K193" i="8"/>
  <c r="K77" i="8"/>
  <c r="K169" i="8"/>
  <c r="K68" i="8"/>
  <c r="K132" i="8"/>
  <c r="K51" i="8"/>
  <c r="K115" i="8"/>
  <c r="K162" i="8"/>
  <c r="K226" i="8"/>
  <c r="K160" i="8"/>
  <c r="K224" i="8"/>
  <c r="K151" i="8"/>
  <c r="K215" i="8"/>
  <c r="K142" i="8"/>
  <c r="K206" i="8"/>
  <c r="K346" i="8"/>
  <c r="K221" i="8"/>
  <c r="K172" i="8"/>
  <c r="K163" i="8"/>
  <c r="K275" i="8"/>
  <c r="K257" i="8"/>
  <c r="K312" i="8"/>
  <c r="K303" i="8"/>
  <c r="K302" i="8"/>
  <c r="K285" i="8"/>
  <c r="K316" i="8"/>
  <c r="K433" i="8"/>
  <c r="K431" i="8"/>
  <c r="K430" i="8"/>
  <c r="K421" i="8"/>
  <c r="K412" i="8"/>
  <c r="K411" i="8"/>
  <c r="K442" i="8"/>
  <c r="K588" i="8"/>
  <c r="K481" i="8"/>
  <c r="K536" i="8"/>
  <c r="K567" i="8"/>
  <c r="K598" i="8"/>
  <c r="K22" i="8"/>
  <c r="K34" i="8"/>
  <c r="K98" i="8"/>
  <c r="K32" i="8"/>
  <c r="K96" i="8"/>
  <c r="K23" i="8"/>
  <c r="K87" i="8"/>
  <c r="K217" i="8"/>
  <c r="K86" i="8"/>
  <c r="K21" i="8"/>
  <c r="K85" i="8"/>
  <c r="K233" i="8"/>
  <c r="K76" i="8"/>
  <c r="K138" i="8"/>
  <c r="K59" i="8"/>
  <c r="K123" i="8"/>
  <c r="K170" i="8"/>
  <c r="K234" i="8"/>
  <c r="K168" i="8"/>
  <c r="K232" i="8"/>
  <c r="K159" i="8"/>
  <c r="K223" i="8"/>
  <c r="K150" i="8"/>
  <c r="K214" i="8"/>
  <c r="K149" i="8"/>
  <c r="K229" i="8"/>
  <c r="K196" i="8"/>
  <c r="K195" i="8"/>
  <c r="K307" i="8"/>
  <c r="K289" i="8"/>
  <c r="K344" i="8"/>
  <c r="K335" i="8"/>
  <c r="K334" i="8"/>
  <c r="K317" i="8"/>
  <c r="K348" i="8"/>
  <c r="K465" i="8"/>
  <c r="K463" i="8"/>
  <c r="K462" i="8"/>
  <c r="K453" i="8"/>
  <c r="K444" i="8"/>
  <c r="K443" i="8"/>
  <c r="K450" i="8"/>
  <c r="K482" i="8"/>
  <c r="K505" i="8"/>
  <c r="K544" i="8"/>
  <c r="K599" i="8"/>
  <c r="K509" i="8"/>
  <c r="K24" i="8"/>
  <c r="K42" i="8"/>
  <c r="K106" i="8"/>
  <c r="K40" i="8"/>
  <c r="K104" i="8"/>
  <c r="K31" i="8"/>
  <c r="K95" i="8"/>
  <c r="K30" i="8"/>
  <c r="K94" i="8"/>
  <c r="K29" i="8"/>
  <c r="K93" i="8"/>
  <c r="K282" i="8"/>
  <c r="K84" i="8"/>
  <c r="K145" i="8"/>
  <c r="K67" i="8"/>
  <c r="K131" i="8"/>
  <c r="K178" i="8"/>
  <c r="K280" i="8"/>
  <c r="K176" i="8"/>
  <c r="K264" i="8"/>
  <c r="K167" i="8"/>
  <c r="K231" i="8"/>
  <c r="K158" i="8"/>
  <c r="K222" i="8"/>
  <c r="K157" i="8"/>
  <c r="K237" i="8"/>
  <c r="K204" i="8"/>
  <c r="K203" i="8"/>
  <c r="K315" i="8"/>
  <c r="K297" i="8"/>
  <c r="K352" i="8"/>
  <c r="K343" i="8"/>
  <c r="K342" i="8"/>
  <c r="K325" i="8"/>
  <c r="K356" i="8"/>
  <c r="K475" i="8"/>
  <c r="K471" i="8"/>
  <c r="K470" i="8"/>
  <c r="K461" i="8"/>
  <c r="K452" i="8"/>
  <c r="K451" i="8"/>
  <c r="K477" i="8"/>
  <c r="K490" i="8"/>
  <c r="K537" i="8"/>
  <c r="K568" i="8"/>
  <c r="K607" i="8"/>
  <c r="K541" i="8"/>
  <c r="K50" i="8"/>
  <c r="K114" i="8"/>
  <c r="K48" i="8"/>
  <c r="K112" i="8"/>
  <c r="K39" i="8"/>
  <c r="K103" i="8"/>
  <c r="K38" i="8"/>
  <c r="K102" i="8"/>
  <c r="K37" i="8"/>
  <c r="K101" i="8"/>
  <c r="K28" i="8"/>
  <c r="K92" i="8"/>
  <c r="K209" i="8"/>
  <c r="K75" i="8"/>
  <c r="K185" i="8"/>
  <c r="K186" i="8"/>
  <c r="K284" i="8"/>
  <c r="K184" i="8"/>
  <c r="K268" i="8"/>
  <c r="K175" i="8"/>
  <c r="K239" i="8"/>
  <c r="K166" i="8"/>
  <c r="K230" i="8"/>
  <c r="K165" i="8"/>
  <c r="K244" i="8"/>
  <c r="K220" i="8"/>
  <c r="K219" i="8"/>
  <c r="K331" i="8"/>
  <c r="K313" i="8"/>
  <c r="K392" i="8"/>
  <c r="K368" i="8"/>
  <c r="K358" i="8"/>
  <c r="K341" i="8"/>
  <c r="K361" i="8"/>
  <c r="K595" i="8"/>
  <c r="K547" i="8"/>
  <c r="K523" i="8"/>
  <c r="K491" i="8"/>
  <c r="K468" i="8"/>
  <c r="K467" i="8"/>
  <c r="K492" i="8"/>
  <c r="K514" i="8"/>
  <c r="K545" i="8"/>
  <c r="K600" i="8"/>
  <c r="K494" i="8"/>
  <c r="K549" i="8"/>
  <c r="K97" i="8"/>
  <c r="K58" i="8"/>
  <c r="K122" i="8"/>
  <c r="K56" i="8"/>
  <c r="K120" i="8"/>
  <c r="K47" i="8"/>
  <c r="K111" i="8"/>
  <c r="K46" i="8"/>
  <c r="K110" i="8"/>
  <c r="K45" i="8"/>
  <c r="K109" i="8"/>
  <c r="K36" i="8"/>
  <c r="K100" i="8"/>
  <c r="K272" i="8"/>
  <c r="K83" i="8"/>
  <c r="K240" i="8"/>
  <c r="K194" i="8"/>
  <c r="K290" i="8"/>
  <c r="K192" i="8"/>
  <c r="K274" i="8"/>
  <c r="K183" i="8"/>
  <c r="K256" i="8"/>
  <c r="K174" i="8"/>
  <c r="K238" i="8"/>
  <c r="K173" i="8"/>
  <c r="K322" i="8"/>
  <c r="K228" i="8"/>
  <c r="K227" i="8"/>
  <c r="K339" i="8"/>
  <c r="K321" i="8"/>
  <c r="K456" i="8"/>
  <c r="K432" i="8"/>
  <c r="K408" i="8"/>
  <c r="K349" i="8"/>
  <c r="K369" i="8"/>
  <c r="K367" i="8"/>
  <c r="K366" i="8"/>
  <c r="K587" i="8"/>
  <c r="K499" i="8"/>
  <c r="K539" i="8"/>
  <c r="K515" i="8"/>
  <c r="K500" i="8"/>
  <c r="K546" i="8"/>
  <c r="K569" i="8"/>
  <c r="K479" i="8"/>
  <c r="K526" i="8"/>
  <c r="K573" i="8"/>
  <c r="K121" i="8"/>
  <c r="K17" i="8"/>
  <c r="K66" i="8"/>
  <c r="K130" i="8"/>
  <c r="K64" i="8"/>
  <c r="K128" i="8"/>
  <c r="K55" i="8"/>
  <c r="K119" i="8"/>
  <c r="K54" i="8"/>
  <c r="K118" i="8"/>
  <c r="K53" i="8"/>
  <c r="K117" i="8"/>
  <c r="K44" i="8"/>
  <c r="K108" i="8"/>
  <c r="K27" i="8"/>
  <c r="K91" i="8"/>
  <c r="K376" i="8"/>
  <c r="K202" i="8"/>
  <c r="K314" i="8"/>
  <c r="K200" i="8"/>
  <c r="K330" i="8"/>
  <c r="K191" i="8"/>
  <c r="K260" i="8"/>
  <c r="K182" i="8"/>
  <c r="K248" i="8"/>
  <c r="K181" i="8"/>
  <c r="K140" i="8"/>
  <c r="K440" i="8"/>
  <c r="K243" i="8"/>
  <c r="K464" i="8"/>
  <c r="K353" i="8"/>
  <c r="K271" i="8"/>
  <c r="K270" i="8"/>
  <c r="K253" i="8"/>
  <c r="K448" i="8"/>
  <c r="K401" i="8"/>
  <c r="K399" i="8"/>
  <c r="K398" i="8"/>
  <c r="K389" i="8"/>
  <c r="K380" i="8"/>
  <c r="K379" i="8"/>
  <c r="K378" i="8"/>
  <c r="K524" i="8"/>
  <c r="K554" i="8"/>
  <c r="K601" i="8"/>
  <c r="K503" i="8"/>
  <c r="K534" i="8"/>
  <c r="K605" i="8"/>
  <c r="K213" i="8"/>
  <c r="K148" i="8"/>
  <c r="K212" i="8"/>
  <c r="K147" i="8"/>
  <c r="K211" i="8"/>
  <c r="K259" i="8"/>
  <c r="K323" i="8"/>
  <c r="K241" i="8"/>
  <c r="K305" i="8"/>
  <c r="K296" i="8"/>
  <c r="K359" i="8"/>
  <c r="K287" i="8"/>
  <c r="K351" i="8"/>
  <c r="K286" i="8"/>
  <c r="K350" i="8"/>
  <c r="K269" i="8"/>
  <c r="K333" i="8"/>
  <c r="K300" i="8"/>
  <c r="K424" i="8"/>
  <c r="K417" i="8"/>
  <c r="K531" i="8"/>
  <c r="K415" i="8"/>
  <c r="K483" i="8"/>
  <c r="K414" i="8"/>
  <c r="K493" i="8"/>
  <c r="K405" i="8"/>
  <c r="K469" i="8"/>
  <c r="K396" i="8"/>
  <c r="K460" i="8"/>
  <c r="K395" i="8"/>
  <c r="K459" i="8"/>
  <c r="K394" i="8"/>
  <c r="K458" i="8"/>
  <c r="K508" i="8"/>
  <c r="K572" i="8"/>
  <c r="K498" i="8"/>
  <c r="K562" i="8"/>
  <c r="K489" i="8"/>
  <c r="K553" i="8"/>
  <c r="K488" i="8"/>
  <c r="K552" i="8"/>
  <c r="K487" i="8"/>
  <c r="K551" i="8"/>
  <c r="K478" i="8"/>
  <c r="K542" i="8"/>
  <c r="K606" i="8"/>
  <c r="K557" i="8"/>
  <c r="K402" i="8"/>
  <c r="K466" i="8"/>
  <c r="K516" i="8"/>
  <c r="K580" i="8"/>
  <c r="K506" i="8"/>
  <c r="K570" i="8"/>
  <c r="K497" i="8"/>
  <c r="K561" i="8"/>
  <c r="K496" i="8"/>
  <c r="K560" i="8"/>
  <c r="K495" i="8"/>
  <c r="K559" i="8"/>
  <c r="K486" i="8"/>
  <c r="K550" i="8"/>
  <c r="K501" i="8"/>
  <c r="K565" i="8"/>
  <c r="K236" i="8"/>
  <c r="K171" i="8"/>
  <c r="K235" i="8"/>
  <c r="K283" i="8"/>
  <c r="K347" i="8"/>
  <c r="K265" i="8"/>
  <c r="K329" i="8"/>
  <c r="K320" i="8"/>
  <c r="K247" i="8"/>
  <c r="K311" i="8"/>
  <c r="K246" i="8"/>
  <c r="K310" i="8"/>
  <c r="K472" i="8"/>
  <c r="K293" i="8"/>
  <c r="K357" i="8"/>
  <c r="K324" i="8"/>
  <c r="K377" i="8"/>
  <c r="K441" i="8"/>
  <c r="K375" i="8"/>
  <c r="K439" i="8"/>
  <c r="K374" i="8"/>
  <c r="K438" i="8"/>
  <c r="K365" i="8"/>
  <c r="K429" i="8"/>
  <c r="K563" i="8"/>
  <c r="K420" i="8"/>
  <c r="K603" i="8"/>
  <c r="K419" i="8"/>
  <c r="K579" i="8"/>
  <c r="K418" i="8"/>
  <c r="K555" i="8"/>
  <c r="K532" i="8"/>
  <c r="K596" i="8"/>
  <c r="K522" i="8"/>
  <c r="K586" i="8"/>
  <c r="K513" i="8"/>
  <c r="K577" i="8"/>
  <c r="K512" i="8"/>
  <c r="K576" i="8"/>
  <c r="K511" i="8"/>
  <c r="K575" i="8"/>
  <c r="K502" i="8"/>
  <c r="K566" i="8"/>
  <c r="K517" i="8"/>
  <c r="K581" i="8"/>
  <c r="K180" i="8"/>
  <c r="K242" i="8"/>
  <c r="K179" i="8"/>
  <c r="K288" i="8"/>
  <c r="K291" i="8"/>
  <c r="K355" i="8"/>
  <c r="K273" i="8"/>
  <c r="K337" i="8"/>
  <c r="K328" i="8"/>
  <c r="K255" i="8"/>
  <c r="K319" i="8"/>
  <c r="K254" i="8"/>
  <c r="K318" i="8"/>
  <c r="K571" i="8"/>
  <c r="K301" i="8"/>
  <c r="K360" i="8"/>
  <c r="K332" i="8"/>
  <c r="K385" i="8"/>
  <c r="K449" i="8"/>
  <c r="K383" i="8"/>
  <c r="K447" i="8"/>
  <c r="K382" i="8"/>
  <c r="K446" i="8"/>
  <c r="K373" i="8"/>
  <c r="K437" i="8"/>
  <c r="K364" i="8"/>
  <c r="K428" i="8"/>
  <c r="K363" i="8"/>
  <c r="K427" i="8"/>
  <c r="K362" i="8"/>
  <c r="K426" i="8"/>
  <c r="K476" i="8"/>
  <c r="K540" i="8"/>
  <c r="K604" i="8"/>
  <c r="K530" i="8"/>
  <c r="K594" i="8"/>
  <c r="K521" i="8"/>
  <c r="K585" i="8"/>
  <c r="K520" i="8"/>
  <c r="K584" i="8"/>
  <c r="K519" i="8"/>
  <c r="K583" i="8"/>
  <c r="K510" i="8"/>
  <c r="K574" i="8"/>
  <c r="K525" i="8"/>
  <c r="K589" i="8"/>
  <c r="K189" i="8"/>
  <c r="K250" i="8"/>
  <c r="K188" i="8"/>
  <c r="K298" i="8"/>
  <c r="K187" i="8"/>
  <c r="K338" i="8"/>
  <c r="K299" i="8"/>
  <c r="K400" i="8"/>
  <c r="K281" i="8"/>
  <c r="K345" i="8"/>
  <c r="K336" i="8"/>
  <c r="K263" i="8"/>
  <c r="K327" i="8"/>
  <c r="K262" i="8"/>
  <c r="K326" i="8"/>
  <c r="K245" i="8"/>
  <c r="K309" i="8"/>
  <c r="K384" i="8"/>
  <c r="K340" i="8"/>
  <c r="K393" i="8"/>
  <c r="K457" i="8"/>
  <c r="K391" i="8"/>
  <c r="K455" i="8"/>
  <c r="K390" i="8"/>
  <c r="K454" i="8"/>
  <c r="K381" i="8"/>
  <c r="K445" i="8"/>
  <c r="K372" i="8"/>
  <c r="K436" i="8"/>
  <c r="K371" i="8"/>
  <c r="K435" i="8"/>
  <c r="K370" i="8"/>
  <c r="K434" i="8"/>
  <c r="K484" i="8"/>
  <c r="K548" i="8"/>
  <c r="K474" i="8"/>
  <c r="K538" i="8"/>
  <c r="K602" i="8"/>
  <c r="K529" i="8"/>
  <c r="K593" i="8"/>
  <c r="K528" i="8"/>
  <c r="K592" i="8"/>
  <c r="K527" i="8"/>
  <c r="K591" i="8"/>
  <c r="K518" i="8"/>
  <c r="K582" i="8"/>
  <c r="K533" i="8"/>
  <c r="H298" i="14"/>
  <c r="K286" i="14"/>
  <c r="K254" i="14"/>
  <c r="K222" i="14"/>
  <c r="K190" i="14"/>
  <c r="K287" i="14"/>
  <c r="K255" i="14"/>
  <c r="K223" i="14"/>
  <c r="K288" i="14"/>
  <c r="K256" i="14"/>
  <c r="K224" i="14"/>
  <c r="K192" i="14"/>
  <c r="H294" i="14"/>
  <c r="H262" i="14"/>
  <c r="H304" i="14"/>
  <c r="H272" i="14"/>
  <c r="H240" i="14"/>
  <c r="H208" i="14"/>
  <c r="H176" i="14"/>
  <c r="K204" i="14"/>
  <c r="H158" i="14"/>
  <c r="H126" i="14"/>
  <c r="K253" i="14"/>
  <c r="H201" i="14"/>
  <c r="K154" i="14"/>
  <c r="K122" i="14"/>
  <c r="K306" i="14"/>
  <c r="H242" i="14"/>
  <c r="K166" i="14"/>
  <c r="K134" i="14"/>
  <c r="K102" i="14"/>
  <c r="H160" i="14"/>
  <c r="H121" i="14"/>
  <c r="H72" i="14"/>
  <c r="K236" i="14"/>
  <c r="H161" i="14"/>
  <c r="K103" i="14"/>
  <c r="H67" i="14"/>
  <c r="K228" i="14"/>
  <c r="K140" i="14"/>
  <c r="K94" i="14"/>
  <c r="K63" i="14"/>
  <c r="K194" i="14"/>
  <c r="K144" i="14"/>
  <c r="H69" i="14"/>
  <c r="H39" i="14"/>
  <c r="H214" i="14"/>
  <c r="K117" i="14"/>
  <c r="K57" i="14"/>
  <c r="H26" i="14"/>
  <c r="K209" i="14"/>
  <c r="K157" i="14"/>
  <c r="K111" i="14"/>
  <c r="K46" i="14"/>
  <c r="K14" i="14"/>
  <c r="K125" i="14"/>
  <c r="K23" i="14"/>
  <c r="K205" i="14"/>
  <c r="H48" i="14"/>
  <c r="K213" i="14"/>
  <c r="K49" i="14"/>
  <c r="K10" i="14"/>
  <c r="H202" i="14"/>
  <c r="H96" i="14"/>
  <c r="H29" i="14"/>
  <c r="H186" i="14"/>
  <c r="H55" i="14"/>
  <c r="H234" i="14"/>
  <c r="K252" i="14"/>
  <c r="K85" i="14"/>
  <c r="K25" i="14"/>
  <c r="H231" i="14"/>
  <c r="H120" i="14"/>
  <c r="H38" i="14"/>
  <c r="K48" i="14"/>
  <c r="K293" i="14"/>
  <c r="H283" i="14"/>
  <c r="H251" i="14"/>
  <c r="H219" i="14"/>
  <c r="H187" i="14"/>
  <c r="H284" i="14"/>
  <c r="H252" i="14"/>
  <c r="H220" i="14"/>
  <c r="H285" i="14"/>
  <c r="H253" i="14"/>
  <c r="H221" i="14"/>
  <c r="H189" i="14"/>
  <c r="K289" i="14"/>
  <c r="K257" i="14"/>
  <c r="K299" i="14"/>
  <c r="K267" i="14"/>
  <c r="K235" i="14"/>
  <c r="K203" i="14"/>
  <c r="H289" i="14"/>
  <c r="H198" i="14"/>
  <c r="K153" i="14"/>
  <c r="K121" i="14"/>
  <c r="H241" i="14"/>
  <c r="K196" i="14"/>
  <c r="H151" i="14"/>
  <c r="H119" i="14"/>
  <c r="H295" i="14"/>
  <c r="H225" i="14"/>
  <c r="H163" i="14"/>
  <c r="H131" i="14"/>
  <c r="H99" i="14"/>
  <c r="K155" i="14"/>
  <c r="K108" i="14"/>
  <c r="K67" i="14"/>
  <c r="K234" i="14"/>
  <c r="K148" i="14"/>
  <c r="H100" i="14"/>
  <c r="K62" i="14"/>
  <c r="K226" i="14"/>
  <c r="H128" i="14"/>
  <c r="H92" i="14"/>
  <c r="H60" i="14"/>
  <c r="K183" i="14"/>
  <c r="H138" i="14"/>
  <c r="K64" i="14"/>
  <c r="K34" i="14"/>
  <c r="K191" i="14"/>
  <c r="K115" i="14"/>
  <c r="K51" i="14"/>
  <c r="K21" i="14"/>
  <c r="K202" i="14"/>
  <c r="K151" i="14"/>
  <c r="K100" i="14"/>
  <c r="H43" i="14"/>
  <c r="K298" i="14"/>
  <c r="K116" i="14"/>
  <c r="H22" i="14"/>
  <c r="H116" i="14"/>
  <c r="H45" i="14"/>
  <c r="H169" i="14"/>
  <c r="K43" i="14"/>
  <c r="K97" i="14"/>
  <c r="K188" i="14"/>
  <c r="K69" i="14"/>
  <c r="K11" i="14"/>
  <c r="H146" i="14"/>
  <c r="H53" i="14"/>
  <c r="K52" i="14"/>
  <c r="H223" i="14"/>
  <c r="H79" i="14"/>
  <c r="K19" i="14"/>
  <c r="H206" i="14"/>
  <c r="K104" i="14"/>
  <c r="K36" i="14"/>
  <c r="K28" i="14"/>
  <c r="K308" i="14"/>
  <c r="H290" i="14"/>
  <c r="K278" i="14"/>
  <c r="K246" i="14"/>
  <c r="K214" i="14"/>
  <c r="K182" i="14"/>
  <c r="K279" i="14"/>
  <c r="K247" i="14"/>
  <c r="K215" i="14"/>
  <c r="K280" i="14"/>
  <c r="K248" i="14"/>
  <c r="K216" i="14"/>
  <c r="K184" i="14"/>
  <c r="H286" i="14"/>
  <c r="H254" i="14"/>
  <c r="H296" i="14"/>
  <c r="H264" i="14"/>
  <c r="H232" i="14"/>
  <c r="H200" i="14"/>
  <c r="K284" i="14"/>
  <c r="K193" i="14"/>
  <c r="H150" i="14"/>
  <c r="H118" i="14"/>
  <c r="H239" i="14"/>
  <c r="H190" i="14"/>
  <c r="K146" i="14"/>
  <c r="K114" i="14"/>
  <c r="K292" i="14"/>
  <c r="H194" i="14"/>
  <c r="K158" i="14"/>
  <c r="K126" i="14"/>
  <c r="H250" i="14"/>
  <c r="H154" i="14"/>
  <c r="K96" i="14"/>
  <c r="H64" i="14"/>
  <c r="H215" i="14"/>
  <c r="H136" i="14"/>
  <c r="H91" i="14"/>
  <c r="H59" i="14"/>
  <c r="H199" i="14"/>
  <c r="K123" i="14"/>
  <c r="K87" i="14"/>
  <c r="K55" i="14"/>
  <c r="K181" i="14"/>
  <c r="K136" i="14"/>
  <c r="H63" i="14"/>
  <c r="H31" i="14"/>
  <c r="K163" i="14"/>
  <c r="H113" i="14"/>
  <c r="H50" i="14"/>
  <c r="H18" i="14"/>
  <c r="H193" i="14"/>
  <c r="K149" i="14"/>
  <c r="K93" i="14"/>
  <c r="K38" i="14"/>
  <c r="K266" i="14"/>
  <c r="H108" i="14"/>
  <c r="K20" i="14"/>
  <c r="K92" i="14"/>
  <c r="K32" i="14"/>
  <c r="K156" i="14"/>
  <c r="H40" i="14"/>
  <c r="K66" i="14"/>
  <c r="K186" i="14"/>
  <c r="H61" i="14"/>
  <c r="K244" i="14"/>
  <c r="H109" i="14"/>
  <c r="H49" i="14"/>
  <c r="H36" i="14"/>
  <c r="H218" i="14"/>
  <c r="H77" i="14"/>
  <c r="K16" i="14"/>
  <c r="K201" i="14"/>
  <c r="K95" i="14"/>
  <c r="H33" i="14"/>
  <c r="H305" i="14"/>
  <c r="H307" i="14"/>
  <c r="H275" i="14"/>
  <c r="H243" i="14"/>
  <c r="H211" i="14"/>
  <c r="H308" i="14"/>
  <c r="H276" i="14"/>
  <c r="H244" i="14"/>
  <c r="H309" i="14"/>
  <c r="H277" i="14"/>
  <c r="H245" i="14"/>
  <c r="H213" i="14"/>
  <c r="H181" i="14"/>
  <c r="K281" i="14"/>
  <c r="K249" i="14"/>
  <c r="K291" i="14"/>
  <c r="K259" i="14"/>
  <c r="K227" i="14"/>
  <c r="K195" i="14"/>
  <c r="K282" i="14"/>
  <c r="H178" i="14"/>
  <c r="K145" i="14"/>
  <c r="K113" i="14"/>
  <c r="H233" i="14"/>
  <c r="K185" i="14"/>
  <c r="H143" i="14"/>
  <c r="H111" i="14"/>
  <c r="K285" i="14"/>
  <c r="H191" i="14"/>
  <c r="H155" i="14"/>
  <c r="H123" i="14"/>
  <c r="K237" i="14"/>
  <c r="K152" i="14"/>
  <c r="K91" i="14"/>
  <c r="K59" i="14"/>
  <c r="H207" i="14"/>
  <c r="K131" i="14"/>
  <c r="K86" i="14"/>
  <c r="K54" i="14"/>
  <c r="H175" i="14"/>
  <c r="H122" i="14"/>
  <c r="H84" i="14"/>
  <c r="H52" i="14"/>
  <c r="H179" i="14"/>
  <c r="H132" i="14"/>
  <c r="K61" i="14"/>
  <c r="K26" i="14"/>
  <c r="H141" i="14"/>
  <c r="H105" i="14"/>
  <c r="K45" i="14"/>
  <c r="K13" i="14"/>
  <c r="H182" i="14"/>
  <c r="K147" i="14"/>
  <c r="H90" i="14"/>
  <c r="H35" i="14"/>
  <c r="K217" i="14"/>
  <c r="H106" i="14"/>
  <c r="H16" i="14"/>
  <c r="K90" i="14"/>
  <c r="H20" i="14"/>
  <c r="H144" i="14"/>
  <c r="H37" i="14"/>
  <c r="K56" i="14"/>
  <c r="H173" i="14"/>
  <c r="H57" i="14"/>
  <c r="H104" i="14"/>
  <c r="H98" i="14"/>
  <c r="K33" i="14"/>
  <c r="K31" i="14"/>
  <c r="K212" i="14"/>
  <c r="H71" i="14"/>
  <c r="H14" i="14"/>
  <c r="H183" i="14"/>
  <c r="H87" i="14"/>
  <c r="K12" i="14"/>
  <c r="K300" i="14"/>
  <c r="K302" i="14"/>
  <c r="K270" i="14"/>
  <c r="K238" i="14"/>
  <c r="K206" i="14"/>
  <c r="K303" i="14"/>
  <c r="K271" i="14"/>
  <c r="K239" i="14"/>
  <c r="K304" i="14"/>
  <c r="K272" i="14"/>
  <c r="K240" i="14"/>
  <c r="K208" i="14"/>
  <c r="K176" i="14"/>
  <c r="H278" i="14"/>
  <c r="H246" i="14"/>
  <c r="H288" i="14"/>
  <c r="H256" i="14"/>
  <c r="H224" i="14"/>
  <c r="H192" i="14"/>
  <c r="H266" i="14"/>
  <c r="H174" i="14"/>
  <c r="H142" i="14"/>
  <c r="H110" i="14"/>
  <c r="H217" i="14"/>
  <c r="K170" i="14"/>
  <c r="K138" i="14"/>
  <c r="K106" i="14"/>
  <c r="H273" i="14"/>
  <c r="K189" i="14"/>
  <c r="K150" i="14"/>
  <c r="K118" i="14"/>
  <c r="K233" i="14"/>
  <c r="H149" i="14"/>
  <c r="H88" i="14"/>
  <c r="H56" i="14"/>
  <c r="K175" i="14"/>
  <c r="H130" i="14"/>
  <c r="H83" i="14"/>
  <c r="H51" i="14"/>
  <c r="K165" i="14"/>
  <c r="K120" i="14"/>
  <c r="K79" i="14"/>
  <c r="H263" i="14"/>
  <c r="K177" i="14"/>
  <c r="H114" i="14"/>
  <c r="H58" i="14"/>
  <c r="H23" i="14"/>
  <c r="K139" i="14"/>
  <c r="K82" i="14"/>
  <c r="H42" i="14"/>
  <c r="K250" i="14"/>
  <c r="K180" i="14"/>
  <c r="H145" i="14"/>
  <c r="K74" i="14"/>
  <c r="K30" i="14"/>
  <c r="K197" i="14"/>
  <c r="H101" i="14"/>
  <c r="K80" i="14"/>
  <c r="K88" i="14"/>
  <c r="H281" i="14"/>
  <c r="K141" i="14"/>
  <c r="K24" i="14"/>
  <c r="H25" i="14"/>
  <c r="K132" i="14"/>
  <c r="K53" i="14"/>
  <c r="K58" i="14"/>
  <c r="K89" i="14"/>
  <c r="K27" i="14"/>
  <c r="K17" i="14"/>
  <c r="H188" i="14"/>
  <c r="K47" i="14"/>
  <c r="H10" i="14"/>
  <c r="H172" i="14"/>
  <c r="H85" i="14"/>
  <c r="H11" i="14"/>
  <c r="K309" i="14"/>
  <c r="H299" i="14"/>
  <c r="H267" i="14"/>
  <c r="H235" i="14"/>
  <c r="H203" i="14"/>
  <c r="H300" i="14"/>
  <c r="H268" i="14"/>
  <c r="H236" i="14"/>
  <c r="H301" i="14"/>
  <c r="H269" i="14"/>
  <c r="H237" i="14"/>
  <c r="H205" i="14"/>
  <c r="K305" i="14"/>
  <c r="K273" i="14"/>
  <c r="K241" i="14"/>
  <c r="K283" i="14"/>
  <c r="K251" i="14"/>
  <c r="K219" i="14"/>
  <c r="K187" i="14"/>
  <c r="K245" i="14"/>
  <c r="K169" i="14"/>
  <c r="K137" i="14"/>
  <c r="K105" i="14"/>
  <c r="H212" i="14"/>
  <c r="H167" i="14"/>
  <c r="H135" i="14"/>
  <c r="H103" i="14"/>
  <c r="H271" i="14"/>
  <c r="H180" i="14"/>
  <c r="H147" i="14"/>
  <c r="H115" i="14"/>
  <c r="K229" i="14"/>
  <c r="K133" i="14"/>
  <c r="K83" i="14"/>
  <c r="H257" i="14"/>
  <c r="K173" i="14"/>
  <c r="K128" i="14"/>
  <c r="K78" i="14"/>
  <c r="H303" i="14"/>
  <c r="K159" i="14"/>
  <c r="H117" i="14"/>
  <c r="H76" i="14"/>
  <c r="K242" i="14"/>
  <c r="K160" i="14"/>
  <c r="H112" i="14"/>
  <c r="K50" i="14"/>
  <c r="H287" i="14"/>
  <c r="K135" i="14"/>
  <c r="K76" i="14"/>
  <c r="K37" i="14"/>
  <c r="H222" i="14"/>
  <c r="K178" i="14"/>
  <c r="K143" i="14"/>
  <c r="K68" i="14"/>
  <c r="H27" i="14"/>
  <c r="H185" i="14"/>
  <c r="H82" i="14"/>
  <c r="K60" i="14"/>
  <c r="H86" i="14"/>
  <c r="H162" i="14"/>
  <c r="H94" i="14"/>
  <c r="K18" i="14"/>
  <c r="H297" i="14"/>
  <c r="K124" i="14"/>
  <c r="K41" i="14"/>
  <c r="H282" i="14"/>
  <c r="H81" i="14"/>
  <c r="H24" i="14"/>
  <c r="K261" i="14"/>
  <c r="K168" i="14"/>
  <c r="H46" i="14"/>
  <c r="H30" i="14"/>
  <c r="H170" i="14"/>
  <c r="K72" i="14"/>
  <c r="H157" i="14"/>
  <c r="H306" i="14"/>
  <c r="K294" i="14"/>
  <c r="K262" i="14"/>
  <c r="K230" i="14"/>
  <c r="K198" i="14"/>
  <c r="K295" i="14"/>
  <c r="K263" i="14"/>
  <c r="K231" i="14"/>
  <c r="K296" i="14"/>
  <c r="K264" i="14"/>
  <c r="K232" i="14"/>
  <c r="K200" i="14"/>
  <c r="H302" i="14"/>
  <c r="H270" i="14"/>
  <c r="H238" i="14"/>
  <c r="H280" i="14"/>
  <c r="H248" i="14"/>
  <c r="H216" i="14"/>
  <c r="H184" i="14"/>
  <c r="H226" i="14"/>
  <c r="H166" i="14"/>
  <c r="H134" i="14"/>
  <c r="H102" i="14"/>
  <c r="K210" i="14"/>
  <c r="K162" i="14"/>
  <c r="K130" i="14"/>
  <c r="K98" i="14"/>
  <c r="K260" i="14"/>
  <c r="K174" i="14"/>
  <c r="K142" i="14"/>
  <c r="K110" i="14"/>
  <c r="K225" i="14"/>
  <c r="K127" i="14"/>
  <c r="H80" i="14"/>
  <c r="H249" i="14"/>
  <c r="K167" i="14"/>
  <c r="H125" i="14"/>
  <c r="H75" i="14"/>
  <c r="K274" i="14"/>
  <c r="H156" i="14"/>
  <c r="K101" i="14"/>
  <c r="K71" i="14"/>
  <c r="K221" i="14"/>
  <c r="H152" i="14"/>
  <c r="K99" i="14"/>
  <c r="H47" i="14"/>
  <c r="K269" i="14"/>
  <c r="H133" i="14"/>
  <c r="H73" i="14"/>
  <c r="H34" i="14"/>
  <c r="K220" i="14"/>
  <c r="K171" i="14"/>
  <c r="H137" i="14"/>
  <c r="H65" i="14"/>
  <c r="K22" i="14"/>
  <c r="H177" i="14"/>
  <c r="K40" i="14"/>
  <c r="H15" i="14"/>
  <c r="H78" i="14"/>
  <c r="H12" i="14"/>
  <c r="K84" i="14"/>
  <c r="H17" i="14"/>
  <c r="K277" i="14"/>
  <c r="K112" i="14"/>
  <c r="K35" i="14"/>
  <c r="H204" i="14"/>
  <c r="K77" i="14"/>
  <c r="H21" i="14"/>
  <c r="H258" i="14"/>
  <c r="H93" i="14"/>
  <c r="K44" i="14"/>
  <c r="H279" i="14"/>
  <c r="H168" i="14"/>
  <c r="H44" i="14"/>
  <c r="H74" i="14"/>
  <c r="K301" i="14"/>
  <c r="H291" i="14"/>
  <c r="H259" i="14"/>
  <c r="H227" i="14"/>
  <c r="H195" i="14"/>
  <c r="H292" i="14"/>
  <c r="H260" i="14"/>
  <c r="H228" i="14"/>
  <c r="H293" i="14"/>
  <c r="H261" i="14"/>
  <c r="H229" i="14"/>
  <c r="H197" i="14"/>
  <c r="K297" i="14"/>
  <c r="K265" i="14"/>
  <c r="K307" i="14"/>
  <c r="K275" i="14"/>
  <c r="K243" i="14"/>
  <c r="K211" i="14"/>
  <c r="K179" i="14"/>
  <c r="H209" i="14"/>
  <c r="K161" i="14"/>
  <c r="K129" i="14"/>
  <c r="H274" i="14"/>
  <c r="K207" i="14"/>
  <c r="H159" i="14"/>
  <c r="H127" i="14"/>
  <c r="H95" i="14"/>
  <c r="K258" i="14"/>
  <c r="H171" i="14"/>
  <c r="H139" i="14"/>
  <c r="H107" i="14"/>
  <c r="K172" i="14"/>
  <c r="H124" i="14"/>
  <c r="K75" i="14"/>
  <c r="H247" i="14"/>
  <c r="H164" i="14"/>
  <c r="K109" i="14"/>
  <c r="K70" i="14"/>
  <c r="H230" i="14"/>
  <c r="H153" i="14"/>
  <c r="H97" i="14"/>
  <c r="H68" i="14"/>
  <c r="K199" i="14"/>
  <c r="H148" i="14"/>
  <c r="K81" i="14"/>
  <c r="K42" i="14"/>
  <c r="H265" i="14"/>
  <c r="K119" i="14"/>
  <c r="H70" i="14"/>
  <c r="K29" i="14"/>
  <c r="K218" i="14"/>
  <c r="H165" i="14"/>
  <c r="H129" i="14"/>
  <c r="H62" i="14"/>
  <c r="H19" i="14"/>
  <c r="K164" i="14"/>
  <c r="H28" i="14"/>
  <c r="K268" i="14"/>
  <c r="H66" i="14"/>
  <c r="K290" i="14"/>
  <c r="K73" i="14"/>
  <c r="H13" i="14"/>
  <c r="H210" i="14"/>
  <c r="K107" i="14"/>
  <c r="H32" i="14"/>
  <c r="H196" i="14"/>
  <c r="K65" i="14"/>
  <c r="K15" i="14"/>
  <c r="H255" i="14"/>
  <c r="H89" i="14"/>
  <c r="H41" i="14"/>
  <c r="K276" i="14"/>
  <c r="H140" i="14"/>
  <c r="K39" i="14"/>
  <c r="H54" i="14"/>
  <c r="K515" i="7"/>
  <c r="K326" i="7"/>
  <c r="K400" i="7"/>
  <c r="K407" i="7"/>
  <c r="K471" i="7"/>
  <c r="K398" i="7"/>
  <c r="K462" i="7"/>
  <c r="K397" i="7"/>
  <c r="K461" i="7"/>
  <c r="K396" i="7"/>
  <c r="K460" i="7"/>
  <c r="K395" i="7"/>
  <c r="K459" i="7"/>
  <c r="K378" i="7"/>
  <c r="K442" i="7"/>
  <c r="K481" i="7"/>
  <c r="K545" i="7"/>
  <c r="K472" i="7"/>
  <c r="K536" i="7"/>
  <c r="K519" i="7"/>
  <c r="K509" i="7"/>
  <c r="K351" i="7"/>
  <c r="K278" i="7"/>
  <c r="K342" i="7"/>
  <c r="K464" i="7"/>
  <c r="K423" i="7"/>
  <c r="K491" i="7"/>
  <c r="K414" i="7"/>
  <c r="K506" i="7"/>
  <c r="K413" i="7"/>
  <c r="K499" i="7"/>
  <c r="K412" i="7"/>
  <c r="K482" i="7"/>
  <c r="K411" i="7"/>
  <c r="K473" i="7"/>
  <c r="K394" i="7"/>
  <c r="K458" i="7"/>
  <c r="K497" i="7"/>
  <c r="K561" i="7"/>
  <c r="K488" i="7"/>
  <c r="K552" i="7"/>
  <c r="K583" i="7"/>
  <c r="K573" i="7"/>
  <c r="K367" i="7"/>
  <c r="K294" i="7"/>
  <c r="K358" i="7"/>
  <c r="K375" i="7"/>
  <c r="K439" i="7"/>
  <c r="K555" i="7"/>
  <c r="K430" i="7"/>
  <c r="K570" i="7"/>
  <c r="K429" i="7"/>
  <c r="K563" i="7"/>
  <c r="K428" i="7"/>
  <c r="K546" i="7"/>
  <c r="K427" i="7"/>
  <c r="K507" i="7"/>
  <c r="K410" i="7"/>
  <c r="K490" i="7"/>
  <c r="K513" i="7"/>
  <c r="K577" i="7"/>
  <c r="K504" i="7"/>
  <c r="K568" i="7"/>
  <c r="K518" i="7"/>
  <c r="K500" i="7"/>
  <c r="K437" i="7"/>
  <c r="K595" i="7"/>
  <c r="K436" i="7"/>
  <c r="K578" i="7"/>
  <c r="K435" i="7"/>
  <c r="K539" i="7"/>
  <c r="K418" i="7"/>
  <c r="K522" i="7"/>
  <c r="K521" i="7"/>
  <c r="K585" i="7"/>
  <c r="K512" i="7"/>
  <c r="K576" i="7"/>
  <c r="K566" i="7"/>
  <c r="K548" i="7"/>
  <c r="K319" i="7"/>
  <c r="K417" i="7"/>
  <c r="K310" i="7"/>
  <c r="K373" i="7"/>
  <c r="K391" i="7"/>
  <c r="K455" i="7"/>
  <c r="K382" i="7"/>
  <c r="K446" i="7"/>
  <c r="K381" i="7"/>
  <c r="K445" i="7"/>
  <c r="K380" i="7"/>
  <c r="K444" i="7"/>
  <c r="K379" i="7"/>
  <c r="K443" i="7"/>
  <c r="K571" i="7"/>
  <c r="K426" i="7"/>
  <c r="K554" i="7"/>
  <c r="K529" i="7"/>
  <c r="K593" i="7"/>
  <c r="K520" i="7"/>
  <c r="K584" i="7"/>
  <c r="K582" i="7"/>
  <c r="K564" i="7"/>
  <c r="K592" i="7"/>
  <c r="K527" i="7"/>
  <c r="K591" i="7"/>
  <c r="K526" i="7"/>
  <c r="K590" i="7"/>
  <c r="K517" i="7"/>
  <c r="K581" i="7"/>
  <c r="K508" i="7"/>
  <c r="K572" i="7"/>
  <c r="K600" i="7"/>
  <c r="K535" i="7"/>
  <c r="K599" i="7"/>
  <c r="K534" i="7"/>
  <c r="K598" i="7"/>
  <c r="K525" i="7"/>
  <c r="K589" i="7"/>
  <c r="K516" i="7"/>
  <c r="K580" i="7"/>
  <c r="K479" i="7"/>
  <c r="K543" i="7"/>
  <c r="K478" i="7"/>
  <c r="K542" i="7"/>
  <c r="K606" i="7"/>
  <c r="K533" i="7"/>
  <c r="K597" i="7"/>
  <c r="K524" i="7"/>
  <c r="K588" i="7"/>
  <c r="K487" i="7"/>
  <c r="K551" i="7"/>
  <c r="K486" i="7"/>
  <c r="K550" i="7"/>
  <c r="K477" i="7"/>
  <c r="K541" i="7"/>
  <c r="K605" i="7"/>
  <c r="K532" i="7"/>
  <c r="K596" i="7"/>
  <c r="K495" i="7"/>
  <c r="K559" i="7"/>
  <c r="K494" i="7"/>
  <c r="K558" i="7"/>
  <c r="K485" i="7"/>
  <c r="K549" i="7"/>
  <c r="K476" i="7"/>
  <c r="K540" i="7"/>
  <c r="K604" i="7"/>
  <c r="K511" i="7"/>
  <c r="K575" i="7"/>
  <c r="K510" i="7"/>
  <c r="K574" i="7"/>
  <c r="K501" i="7"/>
  <c r="K565" i="7"/>
  <c r="K492" i="7"/>
  <c r="K556" i="7"/>
  <c r="F6" i="7"/>
  <c r="H4" i="7" s="1"/>
  <c r="F8" i="7"/>
  <c r="J587" i="7" s="1"/>
  <c r="J603" i="7"/>
  <c r="J539" i="7"/>
  <c r="J475" i="7"/>
  <c r="J548" i="7"/>
  <c r="J484" i="7"/>
  <c r="J557" i="7"/>
  <c r="J493" i="7"/>
  <c r="J566" i="7"/>
  <c r="J502" i="7"/>
  <c r="J567" i="7"/>
  <c r="J503" i="7"/>
  <c r="J568" i="7"/>
  <c r="J504" i="7"/>
  <c r="J465" i="7"/>
  <c r="J401" i="7"/>
  <c r="J466" i="7"/>
  <c r="J402" i="7"/>
  <c r="J473" i="7"/>
  <c r="J411" i="7"/>
  <c r="J482" i="7"/>
  <c r="J412" i="7"/>
  <c r="J489" i="7"/>
  <c r="J413" i="7"/>
  <c r="J506" i="7"/>
  <c r="J414" i="7"/>
  <c r="J415" i="7"/>
  <c r="J317" i="7"/>
  <c r="J474" i="7"/>
  <c r="J350" i="7"/>
  <c r="J286" i="7"/>
  <c r="J359" i="7"/>
  <c r="J295" i="7"/>
  <c r="J368" i="7"/>
  <c r="J304" i="7"/>
  <c r="J369" i="7"/>
  <c r="J305" i="7"/>
  <c r="J375" i="7"/>
  <c r="J314" i="7"/>
  <c r="J340" i="7"/>
  <c r="J221" i="7"/>
  <c r="J347" i="7"/>
  <c r="J230" i="7"/>
  <c r="J440" i="7"/>
  <c r="J231" i="7"/>
  <c r="J391" i="7"/>
  <c r="J240" i="7"/>
  <c r="J176" i="7"/>
  <c r="J249" i="7"/>
  <c r="J185" i="7"/>
  <c r="J250" i="7"/>
  <c r="J186" i="7"/>
  <c r="J150" i="7"/>
  <c r="J86" i="7"/>
  <c r="J172" i="7"/>
  <c r="J111" i="7"/>
  <c r="J228" i="7"/>
  <c r="J120" i="7"/>
  <c r="J267" i="7"/>
  <c r="J129" i="7"/>
  <c r="J252" i="7"/>
  <c r="J130" i="7"/>
  <c r="J355" i="7"/>
  <c r="J131" i="7"/>
  <c r="J67" i="7"/>
  <c r="J48" i="7"/>
  <c r="J23" i="7"/>
  <c r="J41" i="7"/>
  <c r="J171" i="7"/>
  <c r="J26" i="7"/>
  <c r="J77" i="7"/>
  <c r="J11" i="7"/>
  <c r="J39" i="7"/>
  <c r="J52" i="7"/>
  <c r="J133" i="7"/>
  <c r="J21" i="7"/>
  <c r="L608" i="6"/>
  <c r="L592" i="6"/>
  <c r="I581" i="6"/>
  <c r="L576" i="6"/>
  <c r="L560" i="6"/>
  <c r="I549" i="6"/>
  <c r="L544" i="6"/>
  <c r="L528" i="6"/>
  <c r="I517" i="6"/>
  <c r="L512" i="6"/>
  <c r="L496" i="6"/>
  <c r="I485" i="6"/>
  <c r="L480" i="6"/>
  <c r="L601" i="6"/>
  <c r="I590" i="6"/>
  <c r="L585" i="6"/>
  <c r="L569" i="6"/>
  <c r="I558" i="6"/>
  <c r="L553" i="6"/>
  <c r="L594" i="6"/>
  <c r="I583" i="6"/>
  <c r="L578" i="6"/>
  <c r="L562" i="6"/>
  <c r="I551" i="6"/>
  <c r="L546" i="6"/>
  <c r="L530" i="6"/>
  <c r="I519" i="6"/>
  <c r="L514" i="6"/>
  <c r="L498" i="6"/>
  <c r="I487" i="6"/>
  <c r="L482" i="6"/>
  <c r="I600" i="6"/>
  <c r="L587" i="6"/>
  <c r="I584" i="6"/>
  <c r="I568" i="6"/>
  <c r="L555" i="6"/>
  <c r="I552" i="6"/>
  <c r="I536" i="6"/>
  <c r="L523" i="6"/>
  <c r="I520" i="6"/>
  <c r="I504" i="6"/>
  <c r="L491" i="6"/>
  <c r="I488" i="6"/>
  <c r="I609" i="6"/>
  <c r="L596" i="6"/>
  <c r="I593" i="6"/>
  <c r="I577" i="6"/>
  <c r="L564" i="6"/>
  <c r="I561" i="6"/>
  <c r="I545" i="6"/>
  <c r="L532" i="6"/>
  <c r="I529" i="6"/>
  <c r="I513" i="6"/>
  <c r="L500" i="6"/>
  <c r="I497" i="6"/>
  <c r="I481" i="6"/>
  <c r="I602" i="6"/>
  <c r="L597" i="6"/>
  <c r="L581" i="6"/>
  <c r="I570" i="6"/>
  <c r="L565" i="6"/>
  <c r="L549" i="6"/>
  <c r="I538" i="6"/>
  <c r="L533" i="6"/>
  <c r="L517" i="6"/>
  <c r="I506" i="6"/>
  <c r="L501" i="6"/>
  <c r="L485" i="6"/>
  <c r="L606" i="6"/>
  <c r="I603" i="6"/>
  <c r="I587" i="6"/>
  <c r="L574" i="6"/>
  <c r="I571" i="6"/>
  <c r="I555" i="6"/>
  <c r="L542" i="6"/>
  <c r="I539" i="6"/>
  <c r="I523" i="6"/>
  <c r="L510" i="6"/>
  <c r="I507" i="6"/>
  <c r="I491" i="6"/>
  <c r="L478" i="6"/>
  <c r="I475" i="6"/>
  <c r="I478" i="6"/>
  <c r="I466" i="6"/>
  <c r="L461" i="6"/>
  <c r="I532" i="6"/>
  <c r="I500" i="6"/>
  <c r="L497" i="6"/>
  <c r="L462" i="6"/>
  <c r="I451" i="6"/>
  <c r="L446" i="6"/>
  <c r="L430" i="6"/>
  <c r="I419" i="6"/>
  <c r="L414" i="6"/>
  <c r="L398" i="6"/>
  <c r="I387" i="6"/>
  <c r="L382" i="6"/>
  <c r="L599" i="6"/>
  <c r="I502" i="6"/>
  <c r="L471" i="6"/>
  <c r="L455" i="6"/>
  <c r="I444" i="6"/>
  <c r="L439" i="6"/>
  <c r="L423" i="6"/>
  <c r="I412" i="6"/>
  <c r="L407" i="6"/>
  <c r="L391" i="6"/>
  <c r="I380" i="6"/>
  <c r="L375" i="6"/>
  <c r="L543" i="6"/>
  <c r="L511" i="6"/>
  <c r="I492" i="6"/>
  <c r="I469" i="6"/>
  <c r="L456" i="6"/>
  <c r="I453" i="6"/>
  <c r="I437" i="6"/>
  <c r="L424" i="6"/>
  <c r="I421" i="6"/>
  <c r="I405" i="6"/>
  <c r="L392" i="6"/>
  <c r="I389" i="6"/>
  <c r="I373" i="6"/>
  <c r="I556" i="6"/>
  <c r="I526" i="6"/>
  <c r="L465" i="6"/>
  <c r="I454" i="6"/>
  <c r="L607" i="6"/>
  <c r="L535" i="6"/>
  <c r="L503" i="6"/>
  <c r="I484" i="6"/>
  <c r="L466" i="6"/>
  <c r="I455" i="6"/>
  <c r="L450" i="6"/>
  <c r="L434" i="6"/>
  <c r="I423" i="6"/>
  <c r="L418" i="6"/>
  <c r="L402" i="6"/>
  <c r="I391" i="6"/>
  <c r="L386" i="6"/>
  <c r="L370" i="6"/>
  <c r="I550" i="6"/>
  <c r="I518" i="6"/>
  <c r="I464" i="6"/>
  <c r="L451" i="6"/>
  <c r="I448" i="6"/>
  <c r="I432" i="6"/>
  <c r="L419" i="6"/>
  <c r="I416" i="6"/>
  <c r="I400" i="6"/>
  <c r="L387" i="6"/>
  <c r="I384" i="6"/>
  <c r="I368" i="6"/>
  <c r="L436" i="6"/>
  <c r="I430" i="6"/>
  <c r="I393" i="6"/>
  <c r="L364" i="6"/>
  <c r="I361" i="6"/>
  <c r="I345" i="6"/>
  <c r="L332" i="6"/>
  <c r="I329" i="6"/>
  <c r="I434" i="6"/>
  <c r="I401" i="6"/>
  <c r="L380" i="6"/>
  <c r="I362" i="6"/>
  <c r="L349" i="6"/>
  <c r="I346" i="6"/>
  <c r="I330" i="6"/>
  <c r="L317" i="6"/>
  <c r="I314" i="6"/>
  <c r="I298" i="6"/>
  <c r="L285" i="6"/>
  <c r="I282" i="6"/>
  <c r="L452" i="6"/>
  <c r="L421" i="6"/>
  <c r="L417" i="6"/>
  <c r="I378" i="6"/>
  <c r="I355" i="6"/>
  <c r="L350" i="6"/>
  <c r="L334" i="6"/>
  <c r="I323" i="6"/>
  <c r="L318" i="6"/>
  <c r="L302" i="6"/>
  <c r="I291" i="6"/>
  <c r="L286" i="6"/>
  <c r="I476" i="6"/>
  <c r="L429" i="6"/>
  <c r="L425" i="6"/>
  <c r="I386" i="6"/>
  <c r="L359" i="6"/>
  <c r="I356" i="6"/>
  <c r="I340" i="6"/>
  <c r="L327" i="6"/>
  <c r="I324" i="6"/>
  <c r="I308" i="6"/>
  <c r="L295" i="6"/>
  <c r="I292" i="6"/>
  <c r="I276" i="6"/>
  <c r="L433" i="6"/>
  <c r="I425" i="6"/>
  <c r="L373" i="6"/>
  <c r="L360" i="6"/>
  <c r="I357" i="6"/>
  <c r="I341" i="6"/>
  <c r="L591" i="6"/>
  <c r="L527" i="6"/>
  <c r="L441" i="6"/>
  <c r="I406" i="6"/>
  <c r="I402" i="6"/>
  <c r="I366" i="6"/>
  <c r="L353" i="6"/>
  <c r="I350" i="6"/>
  <c r="I334" i="6"/>
  <c r="L321" i="6"/>
  <c r="I318" i="6"/>
  <c r="I302" i="6"/>
  <c r="L289" i="6"/>
  <c r="I286" i="6"/>
  <c r="L453" i="6"/>
  <c r="I422" i="6"/>
  <c r="I418" i="6"/>
  <c r="L363" i="6"/>
  <c r="I352" i="6"/>
  <c r="L347" i="6"/>
  <c r="L331" i="6"/>
  <c r="I320" i="6"/>
  <c r="L315" i="6"/>
  <c r="L299" i="6"/>
  <c r="I288" i="6"/>
  <c r="L283" i="6"/>
  <c r="L354" i="6"/>
  <c r="I311" i="6"/>
  <c r="L298" i="6"/>
  <c r="I269" i="6"/>
  <c r="L256" i="6"/>
  <c r="I253" i="6"/>
  <c r="I237" i="6"/>
  <c r="L224" i="6"/>
  <c r="I221" i="6"/>
  <c r="I205" i="6"/>
  <c r="L192" i="6"/>
  <c r="I189" i="6"/>
  <c r="L184" i="6"/>
  <c r="I181" i="6"/>
  <c r="I441" i="6"/>
  <c r="I319" i="6"/>
  <c r="L306" i="6"/>
  <c r="L304" i="6"/>
  <c r="L300" i="6"/>
  <c r="I270" i="6"/>
  <c r="L265" i="6"/>
  <c r="I254" i="6"/>
  <c r="L249" i="6"/>
  <c r="I246" i="6"/>
  <c r="L241" i="6"/>
  <c r="I238" i="6"/>
  <c r="L233" i="6"/>
  <c r="I222" i="6"/>
  <c r="L217" i="6"/>
  <c r="I214" i="6"/>
  <c r="L209" i="6"/>
  <c r="I206" i="6"/>
  <c r="L201" i="6"/>
  <c r="I190" i="6"/>
  <c r="L185" i="6"/>
  <c r="I182" i="6"/>
  <c r="L177" i="6"/>
  <c r="L338" i="6"/>
  <c r="I327" i="6"/>
  <c r="L308" i="6"/>
  <c r="L273" i="6"/>
  <c r="I271" i="6"/>
  <c r="L266" i="6"/>
  <c r="I263" i="6"/>
  <c r="L258" i="6"/>
  <c r="I255" i="6"/>
  <c r="L250" i="6"/>
  <c r="I247" i="6"/>
  <c r="L242" i="6"/>
  <c r="I239" i="6"/>
  <c r="L234" i="6"/>
  <c r="I231" i="6"/>
  <c r="L226" i="6"/>
  <c r="I223" i="6"/>
  <c r="L218" i="6"/>
  <c r="I215" i="6"/>
  <c r="L210" i="6"/>
  <c r="I207" i="6"/>
  <c r="L202" i="6"/>
  <c r="I199" i="6"/>
  <c r="L194" i="6"/>
  <c r="I191" i="6"/>
  <c r="L186" i="6"/>
  <c r="I183" i="6"/>
  <c r="L178" i="6"/>
  <c r="I564" i="6"/>
  <c r="L389" i="6"/>
  <c r="L362" i="6"/>
  <c r="I335" i="6"/>
  <c r="L322" i="6"/>
  <c r="L320" i="6"/>
  <c r="L316" i="6"/>
  <c r="I281" i="6"/>
  <c r="I277" i="6"/>
  <c r="I272" i="6"/>
  <c r="L267" i="6"/>
  <c r="I264" i="6"/>
  <c r="L259" i="6"/>
  <c r="I256" i="6"/>
  <c r="L251" i="6"/>
  <c r="I248" i="6"/>
  <c r="L243" i="6"/>
  <c r="I240" i="6"/>
  <c r="L235" i="6"/>
  <c r="I232" i="6"/>
  <c r="L227" i="6"/>
  <c r="I224" i="6"/>
  <c r="L219" i="6"/>
  <c r="I216" i="6"/>
  <c r="L211" i="6"/>
  <c r="I208" i="6"/>
  <c r="L203" i="6"/>
  <c r="I200" i="6"/>
  <c r="L195" i="6"/>
  <c r="I192" i="6"/>
  <c r="L187" i="6"/>
  <c r="I184" i="6"/>
  <c r="L179" i="6"/>
  <c r="I508" i="6"/>
  <c r="I414" i="6"/>
  <c r="I359" i="6"/>
  <c r="L324" i="6"/>
  <c r="I289" i="6"/>
  <c r="I285" i="6"/>
  <c r="I279" i="6"/>
  <c r="L268" i="6"/>
  <c r="I265" i="6"/>
  <c r="L260" i="6"/>
  <c r="I257" i="6"/>
  <c r="L252" i="6"/>
  <c r="I249" i="6"/>
  <c r="L244" i="6"/>
  <c r="I241" i="6"/>
  <c r="L236" i="6"/>
  <c r="I233" i="6"/>
  <c r="L228" i="6"/>
  <c r="I225" i="6"/>
  <c r="L220" i="6"/>
  <c r="I217" i="6"/>
  <c r="L212" i="6"/>
  <c r="I209" i="6"/>
  <c r="L204" i="6"/>
  <c r="I201" i="6"/>
  <c r="L196" i="6"/>
  <c r="I193" i="6"/>
  <c r="L188" i="6"/>
  <c r="I185" i="6"/>
  <c r="L180" i="6"/>
  <c r="I177" i="6"/>
  <c r="L385" i="6"/>
  <c r="L346" i="6"/>
  <c r="L328" i="6"/>
  <c r="I297" i="6"/>
  <c r="I293" i="6"/>
  <c r="I287" i="6"/>
  <c r="L274" i="6"/>
  <c r="I273" i="6"/>
  <c r="L269" i="6"/>
  <c r="I266" i="6"/>
  <c r="L261" i="6"/>
  <c r="I258" i="6"/>
  <c r="L253" i="6"/>
  <c r="I250" i="6"/>
  <c r="L245" i="6"/>
  <c r="I242" i="6"/>
  <c r="L237" i="6"/>
  <c r="I234" i="6"/>
  <c r="L229" i="6"/>
  <c r="I226" i="6"/>
  <c r="L221" i="6"/>
  <c r="I218" i="6"/>
  <c r="L213" i="6"/>
  <c r="I210" i="6"/>
  <c r="L205" i="6"/>
  <c r="I202" i="6"/>
  <c r="L197" i="6"/>
  <c r="I194" i="6"/>
  <c r="L189" i="6"/>
  <c r="I186" i="6"/>
  <c r="L181" i="6"/>
  <c r="I178" i="6"/>
  <c r="L367" i="6"/>
  <c r="L330" i="6"/>
  <c r="I313" i="6"/>
  <c r="I309" i="6"/>
  <c r="I303" i="6"/>
  <c r="L290" i="6"/>
  <c r="L288" i="6"/>
  <c r="L284" i="6"/>
  <c r="L271" i="6"/>
  <c r="I268" i="6"/>
  <c r="L263" i="6"/>
  <c r="I260" i="6"/>
  <c r="L255" i="6"/>
  <c r="I252" i="6"/>
  <c r="L247" i="6"/>
  <c r="I244" i="6"/>
  <c r="L239" i="6"/>
  <c r="I236" i="6"/>
  <c r="L231" i="6"/>
  <c r="I228" i="6"/>
  <c r="L223" i="6"/>
  <c r="I220" i="6"/>
  <c r="L215" i="6"/>
  <c r="I212" i="6"/>
  <c r="L207" i="6"/>
  <c r="I204" i="6"/>
  <c r="L199" i="6"/>
  <c r="I196" i="6"/>
  <c r="L191" i="6"/>
  <c r="I188" i="6"/>
  <c r="L183" i="6"/>
  <c r="I180" i="6"/>
  <c r="I251" i="6"/>
  <c r="L214" i="6"/>
  <c r="I187" i="6"/>
  <c r="I173" i="6"/>
  <c r="L168" i="6"/>
  <c r="I165" i="6"/>
  <c r="L160" i="6"/>
  <c r="I157" i="6"/>
  <c r="L152" i="6"/>
  <c r="I149" i="6"/>
  <c r="L144" i="6"/>
  <c r="I141" i="6"/>
  <c r="L136" i="6"/>
  <c r="I133" i="6"/>
  <c r="L128" i="6"/>
  <c r="I125" i="6"/>
  <c r="L120" i="6"/>
  <c r="I117" i="6"/>
  <c r="L112" i="6"/>
  <c r="I109" i="6"/>
  <c r="L104" i="6"/>
  <c r="I101" i="6"/>
  <c r="L96" i="6"/>
  <c r="I93" i="6"/>
  <c r="L88" i="6"/>
  <c r="I85" i="6"/>
  <c r="L80" i="6"/>
  <c r="I77" i="6"/>
  <c r="L72" i="6"/>
  <c r="I69" i="6"/>
  <c r="L64" i="6"/>
  <c r="I61" i="6"/>
  <c r="L56" i="6"/>
  <c r="I53" i="6"/>
  <c r="I301" i="6"/>
  <c r="L282" i="6"/>
  <c r="L238" i="6"/>
  <c r="I211" i="6"/>
  <c r="L175" i="6"/>
  <c r="I174" i="6"/>
  <c r="L169" i="6"/>
  <c r="I166" i="6"/>
  <c r="L161" i="6"/>
  <c r="I158" i="6"/>
  <c r="L153" i="6"/>
  <c r="I150" i="6"/>
  <c r="L145" i="6"/>
  <c r="I142" i="6"/>
  <c r="L137" i="6"/>
  <c r="I134" i="6"/>
  <c r="L129" i="6"/>
  <c r="I126" i="6"/>
  <c r="L121" i="6"/>
  <c r="I118" i="6"/>
  <c r="L449" i="6"/>
  <c r="L262" i="6"/>
  <c r="I235" i="6"/>
  <c r="L198" i="6"/>
  <c r="L170" i="6"/>
  <c r="I167" i="6"/>
  <c r="L162" i="6"/>
  <c r="I159" i="6"/>
  <c r="L154" i="6"/>
  <c r="I151" i="6"/>
  <c r="L146" i="6"/>
  <c r="I143" i="6"/>
  <c r="L138" i="6"/>
  <c r="I135" i="6"/>
  <c r="L130" i="6"/>
  <c r="I127" i="6"/>
  <c r="L122" i="6"/>
  <c r="I119" i="6"/>
  <c r="L114" i="6"/>
  <c r="I111" i="6"/>
  <c r="L106" i="6"/>
  <c r="I103" i="6"/>
  <c r="L98" i="6"/>
  <c r="I95" i="6"/>
  <c r="L90" i="6"/>
  <c r="I87" i="6"/>
  <c r="L82" i="6"/>
  <c r="I79" i="6"/>
  <c r="L74" i="6"/>
  <c r="I71" i="6"/>
  <c r="L66" i="6"/>
  <c r="I63" i="6"/>
  <c r="L58" i="6"/>
  <c r="I55" i="6"/>
  <c r="L50" i="6"/>
  <c r="I47" i="6"/>
  <c r="L42" i="6"/>
  <c r="I410" i="6"/>
  <c r="I259" i="6"/>
  <c r="L222" i="6"/>
  <c r="I195" i="6"/>
  <c r="I175" i="6"/>
  <c r="L171" i="6"/>
  <c r="I168" i="6"/>
  <c r="L163" i="6"/>
  <c r="I160" i="6"/>
  <c r="L155" i="6"/>
  <c r="I152" i="6"/>
  <c r="L147" i="6"/>
  <c r="I144" i="6"/>
  <c r="L139" i="6"/>
  <c r="I136" i="6"/>
  <c r="L131" i="6"/>
  <c r="I128" i="6"/>
  <c r="L123" i="6"/>
  <c r="I120" i="6"/>
  <c r="L115" i="6"/>
  <c r="I112" i="6"/>
  <c r="L107" i="6"/>
  <c r="I104" i="6"/>
  <c r="L99" i="6"/>
  <c r="I96" i="6"/>
  <c r="L91" i="6"/>
  <c r="I88" i="6"/>
  <c r="L83" i="6"/>
  <c r="I80" i="6"/>
  <c r="L75" i="6"/>
  <c r="I72" i="6"/>
  <c r="L67" i="6"/>
  <c r="I64" i="6"/>
  <c r="L59" i="6"/>
  <c r="I56" i="6"/>
  <c r="L51" i="6"/>
  <c r="I48" i="6"/>
  <c r="L43" i="6"/>
  <c r="I40" i="6"/>
  <c r="L246" i="6"/>
  <c r="I219" i="6"/>
  <c r="L182" i="6"/>
  <c r="L172" i="6"/>
  <c r="I169" i="6"/>
  <c r="L164" i="6"/>
  <c r="I161" i="6"/>
  <c r="L156" i="6"/>
  <c r="I153" i="6"/>
  <c r="L148" i="6"/>
  <c r="I145" i="6"/>
  <c r="L140" i="6"/>
  <c r="I137" i="6"/>
  <c r="L132" i="6"/>
  <c r="I129" i="6"/>
  <c r="L124" i="6"/>
  <c r="I121" i="6"/>
  <c r="L116" i="6"/>
  <c r="I113" i="6"/>
  <c r="L108" i="6"/>
  <c r="I105" i="6"/>
  <c r="L100" i="6"/>
  <c r="I97" i="6"/>
  <c r="L92" i="6"/>
  <c r="I89" i="6"/>
  <c r="L84" i="6"/>
  <c r="I81" i="6"/>
  <c r="L76" i="6"/>
  <c r="I73" i="6"/>
  <c r="L68" i="6"/>
  <c r="I65" i="6"/>
  <c r="L60" i="6"/>
  <c r="I57" i="6"/>
  <c r="L52" i="6"/>
  <c r="I343" i="6"/>
  <c r="L270" i="6"/>
  <c r="I243" i="6"/>
  <c r="L206" i="6"/>
  <c r="I179" i="6"/>
  <c r="I176" i="6"/>
  <c r="L173" i="6"/>
  <c r="I170" i="6"/>
  <c r="L165" i="6"/>
  <c r="I162" i="6"/>
  <c r="L157" i="6"/>
  <c r="I154" i="6"/>
  <c r="L149" i="6"/>
  <c r="I146" i="6"/>
  <c r="L141" i="6"/>
  <c r="I138" i="6"/>
  <c r="L133" i="6"/>
  <c r="I130" i="6"/>
  <c r="L125" i="6"/>
  <c r="I122" i="6"/>
  <c r="L117" i="6"/>
  <c r="I114" i="6"/>
  <c r="L109" i="6"/>
  <c r="I106" i="6"/>
  <c r="L101" i="6"/>
  <c r="I98" i="6"/>
  <c r="L93" i="6"/>
  <c r="I90" i="6"/>
  <c r="L85" i="6"/>
  <c r="I82" i="6"/>
  <c r="L77" i="6"/>
  <c r="I74" i="6"/>
  <c r="L69" i="6"/>
  <c r="I66" i="6"/>
  <c r="L61" i="6"/>
  <c r="I58" i="6"/>
  <c r="L53" i="6"/>
  <c r="I50" i="6"/>
  <c r="L45" i="6"/>
  <c r="I42" i="6"/>
  <c r="I305" i="6"/>
  <c r="L276" i="6"/>
  <c r="L254" i="6"/>
  <c r="I155" i="6"/>
  <c r="L142" i="6"/>
  <c r="I123" i="6"/>
  <c r="L105" i="6"/>
  <c r="I99" i="6"/>
  <c r="L86" i="6"/>
  <c r="I70" i="6"/>
  <c r="I60" i="6"/>
  <c r="L55" i="6"/>
  <c r="L40" i="6"/>
  <c r="I39" i="6"/>
  <c r="L34" i="6"/>
  <c r="I31" i="6"/>
  <c r="L26" i="6"/>
  <c r="I23" i="6"/>
  <c r="L18" i="6"/>
  <c r="I15" i="6"/>
  <c r="L10" i="6"/>
  <c r="I227" i="6"/>
  <c r="I267" i="6"/>
  <c r="L174" i="6"/>
  <c r="I172" i="6"/>
  <c r="L159" i="6"/>
  <c r="I140" i="6"/>
  <c r="L127" i="6"/>
  <c r="L113" i="6"/>
  <c r="I107" i="6"/>
  <c r="L94" i="6"/>
  <c r="I78" i="6"/>
  <c r="I68" i="6"/>
  <c r="L63" i="6"/>
  <c r="L46" i="6"/>
  <c r="I45" i="6"/>
  <c r="L35" i="6"/>
  <c r="I32" i="6"/>
  <c r="L27" i="6"/>
  <c r="I24" i="6"/>
  <c r="L19" i="6"/>
  <c r="I16" i="6"/>
  <c r="L11" i="6"/>
  <c r="L280" i="6"/>
  <c r="I163" i="6"/>
  <c r="I131" i="6"/>
  <c r="L70" i="6"/>
  <c r="I21" i="6"/>
  <c r="I203" i="6"/>
  <c r="L166" i="6"/>
  <c r="I147" i="6"/>
  <c r="L134" i="6"/>
  <c r="I115" i="6"/>
  <c r="L102" i="6"/>
  <c r="I86" i="6"/>
  <c r="I76" i="6"/>
  <c r="L71" i="6"/>
  <c r="L57" i="6"/>
  <c r="L36" i="6"/>
  <c r="I33" i="6"/>
  <c r="L28" i="6"/>
  <c r="I25" i="6"/>
  <c r="L20" i="6"/>
  <c r="I17" i="6"/>
  <c r="L12" i="6"/>
  <c r="L190" i="6"/>
  <c r="L118" i="6"/>
  <c r="L89" i="6"/>
  <c r="L32" i="6"/>
  <c r="L420" i="6"/>
  <c r="I164" i="6"/>
  <c r="L151" i="6"/>
  <c r="I132" i="6"/>
  <c r="L119" i="6"/>
  <c r="L110" i="6"/>
  <c r="I94" i="6"/>
  <c r="I84" i="6"/>
  <c r="L79" i="6"/>
  <c r="L65" i="6"/>
  <c r="I59" i="6"/>
  <c r="I51" i="6"/>
  <c r="L49" i="6"/>
  <c r="L37" i="6"/>
  <c r="I34" i="6"/>
  <c r="L29" i="6"/>
  <c r="I26" i="6"/>
  <c r="L21" i="6"/>
  <c r="I18" i="6"/>
  <c r="L13" i="6"/>
  <c r="L103" i="6"/>
  <c r="L24" i="6"/>
  <c r="L16" i="6"/>
  <c r="I171" i="6"/>
  <c r="L158" i="6"/>
  <c r="I139" i="6"/>
  <c r="L126" i="6"/>
  <c r="I102" i="6"/>
  <c r="I92" i="6"/>
  <c r="L87" i="6"/>
  <c r="L73" i="6"/>
  <c r="I67" i="6"/>
  <c r="L54" i="6"/>
  <c r="I49" i="6"/>
  <c r="L47" i="6"/>
  <c r="I46" i="6"/>
  <c r="I43" i="6"/>
  <c r="L41" i="6"/>
  <c r="L38" i="6"/>
  <c r="I35" i="6"/>
  <c r="L30" i="6"/>
  <c r="I27" i="6"/>
  <c r="L22" i="6"/>
  <c r="I19" i="6"/>
  <c r="L14" i="6"/>
  <c r="I11" i="6"/>
  <c r="I83" i="6"/>
  <c r="I156" i="6"/>
  <c r="L143" i="6"/>
  <c r="I124" i="6"/>
  <c r="I110" i="6"/>
  <c r="I100" i="6"/>
  <c r="L95" i="6"/>
  <c r="L81" i="6"/>
  <c r="I75" i="6"/>
  <c r="L62" i="6"/>
  <c r="L44" i="6"/>
  <c r="I41" i="6"/>
  <c r="L39" i="6"/>
  <c r="I36" i="6"/>
  <c r="L31" i="6"/>
  <c r="I28" i="6"/>
  <c r="L23" i="6"/>
  <c r="I20" i="6"/>
  <c r="L15" i="6"/>
  <c r="I12" i="6"/>
  <c r="I54" i="6"/>
  <c r="I37" i="6"/>
  <c r="I29" i="6"/>
  <c r="I13" i="6"/>
  <c r="I295" i="6"/>
  <c r="L230" i="6"/>
  <c r="L167" i="6"/>
  <c r="I148" i="6"/>
  <c r="L135" i="6"/>
  <c r="I116" i="6"/>
  <c r="L111" i="6"/>
  <c r="L97" i="6"/>
  <c r="I91" i="6"/>
  <c r="L78" i="6"/>
  <c r="I62" i="6"/>
  <c r="I52" i="6"/>
  <c r="L48" i="6"/>
  <c r="I44" i="6"/>
  <c r="I38" i="6"/>
  <c r="L33" i="6"/>
  <c r="I30" i="6"/>
  <c r="L25" i="6"/>
  <c r="I22" i="6"/>
  <c r="L17" i="6"/>
  <c r="I14" i="6"/>
  <c r="L150" i="6"/>
  <c r="I108" i="6"/>
  <c r="J606" i="6"/>
  <c r="J598" i="6"/>
  <c r="J590" i="6"/>
  <c r="J582" i="6"/>
  <c r="J574" i="6"/>
  <c r="J566" i="6"/>
  <c r="J558" i="6"/>
  <c r="J550" i="6"/>
  <c r="J542" i="6"/>
  <c r="J534" i="6"/>
  <c r="J526" i="6"/>
  <c r="J518" i="6"/>
  <c r="J510" i="6"/>
  <c r="J502" i="6"/>
  <c r="J494" i="6"/>
  <c r="J486" i="6"/>
  <c r="J478" i="6"/>
  <c r="J607" i="6"/>
  <c r="J599" i="6"/>
  <c r="J591" i="6"/>
  <c r="J583" i="6"/>
  <c r="J575" i="6"/>
  <c r="J567" i="6"/>
  <c r="J559" i="6"/>
  <c r="J608" i="6"/>
  <c r="J600" i="6"/>
  <c r="J592" i="6"/>
  <c r="J584" i="6"/>
  <c r="J576" i="6"/>
  <c r="J568" i="6"/>
  <c r="J560" i="6"/>
  <c r="J552" i="6"/>
  <c r="J544" i="6"/>
  <c r="J536" i="6"/>
  <c r="J528" i="6"/>
  <c r="J520" i="6"/>
  <c r="J512" i="6"/>
  <c r="J504" i="6"/>
  <c r="J496" i="6"/>
  <c r="J488" i="6"/>
  <c r="J480" i="6"/>
  <c r="J609" i="6"/>
  <c r="J601" i="6"/>
  <c r="J593" i="6"/>
  <c r="J585" i="6"/>
  <c r="J577" i="6"/>
  <c r="J569" i="6"/>
  <c r="J561" i="6"/>
  <c r="J553" i="6"/>
  <c r="J545" i="6"/>
  <c r="J537" i="6"/>
  <c r="J529" i="6"/>
  <c r="J521" i="6"/>
  <c r="J513" i="6"/>
  <c r="J505" i="6"/>
  <c r="J497" i="6"/>
  <c r="J489" i="6"/>
  <c r="J481" i="6"/>
  <c r="J602" i="6"/>
  <c r="J594" i="6"/>
  <c r="J586" i="6"/>
  <c r="J578" i="6"/>
  <c r="J570" i="6"/>
  <c r="J562" i="6"/>
  <c r="J554" i="6"/>
  <c r="J546" i="6"/>
  <c r="J538" i="6"/>
  <c r="J530" i="6"/>
  <c r="J522" i="6"/>
  <c r="J514" i="6"/>
  <c r="J506" i="6"/>
  <c r="J498" i="6"/>
  <c r="J490" i="6"/>
  <c r="J482" i="6"/>
  <c r="J603" i="6"/>
  <c r="J595" i="6"/>
  <c r="J587" i="6"/>
  <c r="J579" i="6"/>
  <c r="J571" i="6"/>
  <c r="J563" i="6"/>
  <c r="J555" i="6"/>
  <c r="J547" i="6"/>
  <c r="J539" i="6"/>
  <c r="J531" i="6"/>
  <c r="J523" i="6"/>
  <c r="J515" i="6"/>
  <c r="J507" i="6"/>
  <c r="J499" i="6"/>
  <c r="J491" i="6"/>
  <c r="J483" i="6"/>
  <c r="J475" i="6"/>
  <c r="J604" i="6"/>
  <c r="J596" i="6"/>
  <c r="J588" i="6"/>
  <c r="J580" i="6"/>
  <c r="J572" i="6"/>
  <c r="J564" i="6"/>
  <c r="J556" i="6"/>
  <c r="J548" i="6"/>
  <c r="J540" i="6"/>
  <c r="J532" i="6"/>
  <c r="J524" i="6"/>
  <c r="J516" i="6"/>
  <c r="J508" i="6"/>
  <c r="J500" i="6"/>
  <c r="J492" i="6"/>
  <c r="J484" i="6"/>
  <c r="J476" i="6"/>
  <c r="J597" i="6"/>
  <c r="J527" i="6"/>
  <c r="J495" i="6"/>
  <c r="J467" i="6"/>
  <c r="J459" i="6"/>
  <c r="J557" i="6"/>
  <c r="J549" i="6"/>
  <c r="J517" i="6"/>
  <c r="J485" i="6"/>
  <c r="J468" i="6"/>
  <c r="J460" i="6"/>
  <c r="J452" i="6"/>
  <c r="J444" i="6"/>
  <c r="J436" i="6"/>
  <c r="J428" i="6"/>
  <c r="J420" i="6"/>
  <c r="J412" i="6"/>
  <c r="J404" i="6"/>
  <c r="J396" i="6"/>
  <c r="J388" i="6"/>
  <c r="J380" i="6"/>
  <c r="J372" i="6"/>
  <c r="J581" i="6"/>
  <c r="J551" i="6"/>
  <c r="J519" i="6"/>
  <c r="J487" i="6"/>
  <c r="J469" i="6"/>
  <c r="J461" i="6"/>
  <c r="J453" i="6"/>
  <c r="J445" i="6"/>
  <c r="J437" i="6"/>
  <c r="J429" i="6"/>
  <c r="J421" i="6"/>
  <c r="J413" i="6"/>
  <c r="J405" i="6"/>
  <c r="J397" i="6"/>
  <c r="J389" i="6"/>
  <c r="J381" i="6"/>
  <c r="J373" i="6"/>
  <c r="J605" i="6"/>
  <c r="J541" i="6"/>
  <c r="J509" i="6"/>
  <c r="J477" i="6"/>
  <c r="J470" i="6"/>
  <c r="J462" i="6"/>
  <c r="J454" i="6"/>
  <c r="J446" i="6"/>
  <c r="J438" i="6"/>
  <c r="J430" i="6"/>
  <c r="J422" i="6"/>
  <c r="J414" i="6"/>
  <c r="J406" i="6"/>
  <c r="J398" i="6"/>
  <c r="J390" i="6"/>
  <c r="J382" i="6"/>
  <c r="J374" i="6"/>
  <c r="J366" i="6"/>
  <c r="J565" i="6"/>
  <c r="J543" i="6"/>
  <c r="J511" i="6"/>
  <c r="J479" i="6"/>
  <c r="J471" i="6"/>
  <c r="J463" i="6"/>
  <c r="J455" i="6"/>
  <c r="J589" i="6"/>
  <c r="J533" i="6"/>
  <c r="J501" i="6"/>
  <c r="J472" i="6"/>
  <c r="J464" i="6"/>
  <c r="J456" i="6"/>
  <c r="J448" i="6"/>
  <c r="J440" i="6"/>
  <c r="J432" i="6"/>
  <c r="J424" i="6"/>
  <c r="J416" i="6"/>
  <c r="J408" i="6"/>
  <c r="J400" i="6"/>
  <c r="J392" i="6"/>
  <c r="J384" i="6"/>
  <c r="J376" i="6"/>
  <c r="J535" i="6"/>
  <c r="J503" i="6"/>
  <c r="J473" i="6"/>
  <c r="J465" i="6"/>
  <c r="J457" i="6"/>
  <c r="J449" i="6"/>
  <c r="J441" i="6"/>
  <c r="J433" i="6"/>
  <c r="J425" i="6"/>
  <c r="J417" i="6"/>
  <c r="J409" i="6"/>
  <c r="J401" i="6"/>
  <c r="J393" i="6"/>
  <c r="J385" i="6"/>
  <c r="J377" i="6"/>
  <c r="J369" i="6"/>
  <c r="J474" i="6"/>
  <c r="J434" i="6"/>
  <c r="J395" i="6"/>
  <c r="J391" i="6"/>
  <c r="J370" i="6"/>
  <c r="J362" i="6"/>
  <c r="J354" i="6"/>
  <c r="J346" i="6"/>
  <c r="J338" i="6"/>
  <c r="J330" i="6"/>
  <c r="J442" i="6"/>
  <c r="J403" i="6"/>
  <c r="J399" i="6"/>
  <c r="J378" i="6"/>
  <c r="J363" i="6"/>
  <c r="J355" i="6"/>
  <c r="J347" i="6"/>
  <c r="J339" i="6"/>
  <c r="J331" i="6"/>
  <c r="J323" i="6"/>
  <c r="J315" i="6"/>
  <c r="J307" i="6"/>
  <c r="J299" i="6"/>
  <c r="J291" i="6"/>
  <c r="J283" i="6"/>
  <c r="J275" i="6"/>
  <c r="J525" i="6"/>
  <c r="J458" i="6"/>
  <c r="J450" i="6"/>
  <c r="J411" i="6"/>
  <c r="J407" i="6"/>
  <c r="J386" i="6"/>
  <c r="J368" i="6"/>
  <c r="J364" i="6"/>
  <c r="J356" i="6"/>
  <c r="J348" i="6"/>
  <c r="J340" i="6"/>
  <c r="J332" i="6"/>
  <c r="J324" i="6"/>
  <c r="J316" i="6"/>
  <c r="J308" i="6"/>
  <c r="J300" i="6"/>
  <c r="J292" i="6"/>
  <c r="J284" i="6"/>
  <c r="J276" i="6"/>
  <c r="J573" i="6"/>
  <c r="J419" i="6"/>
  <c r="J415" i="6"/>
  <c r="J394" i="6"/>
  <c r="J365" i="6"/>
  <c r="J357" i="6"/>
  <c r="J349" i="6"/>
  <c r="J341" i="6"/>
  <c r="J333" i="6"/>
  <c r="J325" i="6"/>
  <c r="J317" i="6"/>
  <c r="J309" i="6"/>
  <c r="J301" i="6"/>
  <c r="J293" i="6"/>
  <c r="J285" i="6"/>
  <c r="J277" i="6"/>
  <c r="J427" i="6"/>
  <c r="J423" i="6"/>
  <c r="J402" i="6"/>
  <c r="J358" i="6"/>
  <c r="J350" i="6"/>
  <c r="J342" i="6"/>
  <c r="J334" i="6"/>
  <c r="J466" i="6"/>
  <c r="J435" i="6"/>
  <c r="J431" i="6"/>
  <c r="J410" i="6"/>
  <c r="J371" i="6"/>
  <c r="J359" i="6"/>
  <c r="J351" i="6"/>
  <c r="J343" i="6"/>
  <c r="J335" i="6"/>
  <c r="J327" i="6"/>
  <c r="J319" i="6"/>
  <c r="J311" i="6"/>
  <c r="J303" i="6"/>
  <c r="J295" i="6"/>
  <c r="J287" i="6"/>
  <c r="J279" i="6"/>
  <c r="J493" i="6"/>
  <c r="J451" i="6"/>
  <c r="J447" i="6"/>
  <c r="J426" i="6"/>
  <c r="J387" i="6"/>
  <c r="J383" i="6"/>
  <c r="J367" i="6"/>
  <c r="J361" i="6"/>
  <c r="J353" i="6"/>
  <c r="J345" i="6"/>
  <c r="J337" i="6"/>
  <c r="J329" i="6"/>
  <c r="J321" i="6"/>
  <c r="J313" i="6"/>
  <c r="J305" i="6"/>
  <c r="J297" i="6"/>
  <c r="J289" i="6"/>
  <c r="J281" i="6"/>
  <c r="J336" i="6"/>
  <c r="J290" i="6"/>
  <c r="J288" i="6"/>
  <c r="J286" i="6"/>
  <c r="J270" i="6"/>
  <c r="J262" i="6"/>
  <c r="J254" i="6"/>
  <c r="J246" i="6"/>
  <c r="J238" i="6"/>
  <c r="J230" i="6"/>
  <c r="J222" i="6"/>
  <c r="J214" i="6"/>
  <c r="J206" i="6"/>
  <c r="J198" i="6"/>
  <c r="J190" i="6"/>
  <c r="J182" i="6"/>
  <c r="J174" i="6"/>
  <c r="J360" i="6"/>
  <c r="J298" i="6"/>
  <c r="J296" i="6"/>
  <c r="J294" i="6"/>
  <c r="J271" i="6"/>
  <c r="J263" i="6"/>
  <c r="J255" i="6"/>
  <c r="J247" i="6"/>
  <c r="J239" i="6"/>
  <c r="J231" i="6"/>
  <c r="J223" i="6"/>
  <c r="J215" i="6"/>
  <c r="J207" i="6"/>
  <c r="J199" i="6"/>
  <c r="J191" i="6"/>
  <c r="J183" i="6"/>
  <c r="J306" i="6"/>
  <c r="J304" i="6"/>
  <c r="J302" i="6"/>
  <c r="J272" i="6"/>
  <c r="J264" i="6"/>
  <c r="J256" i="6"/>
  <c r="J248" i="6"/>
  <c r="J240" i="6"/>
  <c r="J232" i="6"/>
  <c r="J224" i="6"/>
  <c r="J216" i="6"/>
  <c r="J208" i="6"/>
  <c r="J200" i="6"/>
  <c r="J192" i="6"/>
  <c r="J184" i="6"/>
  <c r="J176" i="6"/>
  <c r="J418" i="6"/>
  <c r="J379" i="6"/>
  <c r="J344" i="6"/>
  <c r="J314" i="6"/>
  <c r="J312" i="6"/>
  <c r="J310" i="6"/>
  <c r="J265" i="6"/>
  <c r="J257" i="6"/>
  <c r="J249" i="6"/>
  <c r="J241" i="6"/>
  <c r="J233" i="6"/>
  <c r="J225" i="6"/>
  <c r="J217" i="6"/>
  <c r="J209" i="6"/>
  <c r="J201" i="6"/>
  <c r="J193" i="6"/>
  <c r="J185" i="6"/>
  <c r="J177" i="6"/>
  <c r="J443" i="6"/>
  <c r="J322" i="6"/>
  <c r="J320" i="6"/>
  <c r="J318" i="6"/>
  <c r="J273" i="6"/>
  <c r="J266" i="6"/>
  <c r="J258" i="6"/>
  <c r="J250" i="6"/>
  <c r="J242" i="6"/>
  <c r="J234" i="6"/>
  <c r="J226" i="6"/>
  <c r="J218" i="6"/>
  <c r="J210" i="6"/>
  <c r="J202" i="6"/>
  <c r="J194" i="6"/>
  <c r="J186" i="6"/>
  <c r="J178" i="6"/>
  <c r="J375" i="6"/>
  <c r="J326" i="6"/>
  <c r="J267" i="6"/>
  <c r="J259" i="6"/>
  <c r="J251" i="6"/>
  <c r="J243" i="6"/>
  <c r="J235" i="6"/>
  <c r="J227" i="6"/>
  <c r="J219" i="6"/>
  <c r="J211" i="6"/>
  <c r="J203" i="6"/>
  <c r="J195" i="6"/>
  <c r="J187" i="6"/>
  <c r="J179" i="6"/>
  <c r="J282" i="6"/>
  <c r="J280" i="6"/>
  <c r="J278" i="6"/>
  <c r="J274" i="6"/>
  <c r="J269" i="6"/>
  <c r="J261" i="6"/>
  <c r="J253" i="6"/>
  <c r="J245" i="6"/>
  <c r="J237" i="6"/>
  <c r="J229" i="6"/>
  <c r="J221" i="6"/>
  <c r="J213" i="6"/>
  <c r="J205" i="6"/>
  <c r="J197" i="6"/>
  <c r="J189" i="6"/>
  <c r="J181" i="6"/>
  <c r="J260" i="6"/>
  <c r="J196" i="6"/>
  <c r="J166" i="6"/>
  <c r="J158" i="6"/>
  <c r="J150" i="6"/>
  <c r="J142" i="6"/>
  <c r="J134" i="6"/>
  <c r="J126" i="6"/>
  <c r="J118" i="6"/>
  <c r="J110" i="6"/>
  <c r="J102" i="6"/>
  <c r="J94" i="6"/>
  <c r="J86" i="6"/>
  <c r="J78" i="6"/>
  <c r="J70" i="6"/>
  <c r="J62" i="6"/>
  <c r="J54" i="6"/>
  <c r="J220" i="6"/>
  <c r="J167" i="6"/>
  <c r="J159" i="6"/>
  <c r="J151" i="6"/>
  <c r="J143" i="6"/>
  <c r="J135" i="6"/>
  <c r="J127" i="6"/>
  <c r="J119" i="6"/>
  <c r="J352" i="6"/>
  <c r="J244" i="6"/>
  <c r="J180" i="6"/>
  <c r="J175" i="6"/>
  <c r="J168" i="6"/>
  <c r="J160" i="6"/>
  <c r="J152" i="6"/>
  <c r="J144" i="6"/>
  <c r="J136" i="6"/>
  <c r="J128" i="6"/>
  <c r="J120" i="6"/>
  <c r="J112" i="6"/>
  <c r="J104" i="6"/>
  <c r="J96" i="6"/>
  <c r="J88" i="6"/>
  <c r="J80" i="6"/>
  <c r="J72" i="6"/>
  <c r="J64" i="6"/>
  <c r="J56" i="6"/>
  <c r="J48" i="6"/>
  <c r="J40" i="6"/>
  <c r="J268" i="6"/>
  <c r="J204" i="6"/>
  <c r="J169" i="6"/>
  <c r="J161" i="6"/>
  <c r="J153" i="6"/>
  <c r="J145" i="6"/>
  <c r="J137" i="6"/>
  <c r="J129" i="6"/>
  <c r="J121" i="6"/>
  <c r="J113" i="6"/>
  <c r="J105" i="6"/>
  <c r="J97" i="6"/>
  <c r="J89" i="6"/>
  <c r="J81" i="6"/>
  <c r="J73" i="6"/>
  <c r="J65" i="6"/>
  <c r="J57" i="6"/>
  <c r="J49" i="6"/>
  <c r="J41" i="6"/>
  <c r="J228" i="6"/>
  <c r="J170" i="6"/>
  <c r="J162" i="6"/>
  <c r="J154" i="6"/>
  <c r="J146" i="6"/>
  <c r="J138" i="6"/>
  <c r="J130" i="6"/>
  <c r="J122" i="6"/>
  <c r="J114" i="6"/>
  <c r="J106" i="6"/>
  <c r="J98" i="6"/>
  <c r="J90" i="6"/>
  <c r="J82" i="6"/>
  <c r="J74" i="6"/>
  <c r="J66" i="6"/>
  <c r="J58" i="6"/>
  <c r="J328" i="6"/>
  <c r="J252" i="6"/>
  <c r="J188" i="6"/>
  <c r="J171" i="6"/>
  <c r="J163" i="6"/>
  <c r="J155" i="6"/>
  <c r="J147" i="6"/>
  <c r="J139" i="6"/>
  <c r="J131" i="6"/>
  <c r="J123" i="6"/>
  <c r="J115" i="6"/>
  <c r="J107" i="6"/>
  <c r="J99" i="6"/>
  <c r="J91" i="6"/>
  <c r="J83" i="6"/>
  <c r="J75" i="6"/>
  <c r="J67" i="6"/>
  <c r="J59" i="6"/>
  <c r="J51" i="6"/>
  <c r="J43" i="6"/>
  <c r="J439" i="6"/>
  <c r="J172" i="6"/>
  <c r="J140" i="6"/>
  <c r="J111" i="6"/>
  <c r="J101" i="6"/>
  <c r="J68" i="6"/>
  <c r="J45" i="6"/>
  <c r="J42" i="6"/>
  <c r="J32" i="6"/>
  <c r="J24" i="6"/>
  <c r="J16" i="6"/>
  <c r="J14" i="6"/>
  <c r="J157" i="6"/>
  <c r="J125" i="6"/>
  <c r="J109" i="6"/>
  <c r="J76" i="6"/>
  <c r="J55" i="6"/>
  <c r="J33" i="6"/>
  <c r="J25" i="6"/>
  <c r="J17" i="6"/>
  <c r="J85" i="6"/>
  <c r="J52" i="6"/>
  <c r="J44" i="6"/>
  <c r="J236" i="6"/>
  <c r="J164" i="6"/>
  <c r="J132" i="6"/>
  <c r="J84" i="6"/>
  <c r="J63" i="6"/>
  <c r="J53" i="6"/>
  <c r="J34" i="6"/>
  <c r="J26" i="6"/>
  <c r="J18" i="6"/>
  <c r="J10" i="6"/>
  <c r="J149" i="6"/>
  <c r="J117" i="6"/>
  <c r="J92" i="6"/>
  <c r="J71" i="6"/>
  <c r="J61" i="6"/>
  <c r="J46" i="6"/>
  <c r="J35" i="6"/>
  <c r="J27" i="6"/>
  <c r="J19" i="6"/>
  <c r="J11" i="6"/>
  <c r="J156" i="6"/>
  <c r="J124" i="6"/>
  <c r="J100" i="6"/>
  <c r="J79" i="6"/>
  <c r="J69" i="6"/>
  <c r="J36" i="6"/>
  <c r="J28" i="6"/>
  <c r="J20" i="6"/>
  <c r="J12" i="6"/>
  <c r="J173" i="6"/>
  <c r="J141" i="6"/>
  <c r="J108" i="6"/>
  <c r="J87" i="6"/>
  <c r="J77" i="6"/>
  <c r="J37" i="6"/>
  <c r="J29" i="6"/>
  <c r="J21" i="6"/>
  <c r="J13" i="6"/>
  <c r="J148" i="6"/>
  <c r="J116" i="6"/>
  <c r="J212" i="6"/>
  <c r="J165" i="6"/>
  <c r="J133" i="6"/>
  <c r="J103" i="6"/>
  <c r="J93" i="6"/>
  <c r="J60" i="6"/>
  <c r="J50" i="6"/>
  <c r="J39" i="6"/>
  <c r="J31" i="6"/>
  <c r="J23" i="6"/>
  <c r="J15" i="6"/>
  <c r="J95" i="6"/>
  <c r="J47" i="6"/>
  <c r="J38" i="6"/>
  <c r="J30" i="6"/>
  <c r="J22" i="6"/>
  <c r="I18" i="5"/>
  <c r="I10" i="6" l="1"/>
  <c r="I605" i="6"/>
  <c r="I573" i="6"/>
  <c r="I541" i="6"/>
  <c r="I509" i="6"/>
  <c r="I477" i="6"/>
  <c r="I582" i="6"/>
  <c r="I607" i="6"/>
  <c r="I575" i="6"/>
  <c r="I543" i="6"/>
  <c r="I511" i="6"/>
  <c r="I479" i="6"/>
  <c r="L579" i="6"/>
  <c r="L547" i="6"/>
  <c r="L515" i="6"/>
  <c r="L483" i="6"/>
  <c r="L588" i="6"/>
  <c r="L556" i="6"/>
  <c r="L524" i="6"/>
  <c r="L492" i="6"/>
  <c r="I594" i="6"/>
  <c r="I562" i="6"/>
  <c r="I530" i="6"/>
  <c r="I498" i="6"/>
  <c r="L598" i="6"/>
  <c r="L566" i="6"/>
  <c r="L534" i="6"/>
  <c r="L502" i="6"/>
  <c r="I588" i="6"/>
  <c r="I458" i="6"/>
  <c r="L487" i="6"/>
  <c r="I443" i="6"/>
  <c r="I411" i="6"/>
  <c r="I379" i="6"/>
  <c r="I468" i="6"/>
  <c r="I436" i="6"/>
  <c r="I404" i="6"/>
  <c r="I372" i="6"/>
  <c r="L489" i="6"/>
  <c r="L448" i="6"/>
  <c r="L416" i="6"/>
  <c r="L384" i="6"/>
  <c r="I494" i="6"/>
  <c r="I580" i="6"/>
  <c r="L481" i="6"/>
  <c r="I447" i="6"/>
  <c r="I415" i="6"/>
  <c r="I383" i="6"/>
  <c r="I486" i="6"/>
  <c r="L443" i="6"/>
  <c r="L411" i="6"/>
  <c r="L379" i="6"/>
  <c r="I426" i="6"/>
  <c r="L356" i="6"/>
  <c r="I540" i="6"/>
  <c r="I374" i="6"/>
  <c r="L341" i="6"/>
  <c r="L309" i="6"/>
  <c r="L277" i="6"/>
  <c r="I409" i="6"/>
  <c r="I347" i="6"/>
  <c r="I315" i="6"/>
  <c r="I283" i="6"/>
  <c r="I417" i="6"/>
  <c r="L351" i="6"/>
  <c r="L319" i="6"/>
  <c r="L287" i="6"/>
  <c r="L404" i="6"/>
  <c r="L352" i="6"/>
  <c r="L505" i="6"/>
  <c r="L381" i="6"/>
  <c r="L345" i="6"/>
  <c r="L313" i="6"/>
  <c r="L281" i="6"/>
  <c r="L397" i="6"/>
  <c r="I344" i="6"/>
  <c r="I312" i="6"/>
  <c r="I280" i="6"/>
  <c r="L296" i="6"/>
  <c r="L248" i="6"/>
  <c r="L216" i="6"/>
  <c r="L600" i="6"/>
  <c r="L568" i="6"/>
  <c r="L536" i="6"/>
  <c r="L504" i="6"/>
  <c r="L609" i="6"/>
  <c r="L577" i="6"/>
  <c r="L602" i="6"/>
  <c r="L570" i="6"/>
  <c r="L538" i="6"/>
  <c r="L506" i="6"/>
  <c r="I608" i="6"/>
  <c r="I576" i="6"/>
  <c r="I544" i="6"/>
  <c r="I512" i="6"/>
  <c r="I480" i="6"/>
  <c r="I585" i="6"/>
  <c r="I553" i="6"/>
  <c r="I521" i="6"/>
  <c r="I489" i="6"/>
  <c r="L589" i="6"/>
  <c r="L557" i="6"/>
  <c r="L525" i="6"/>
  <c r="L493" i="6"/>
  <c r="I595" i="6"/>
  <c r="I563" i="6"/>
  <c r="I531" i="6"/>
  <c r="I499" i="6"/>
  <c r="I542" i="6"/>
  <c r="L575" i="6"/>
  <c r="L470" i="6"/>
  <c r="L438" i="6"/>
  <c r="L406" i="6"/>
  <c r="L374" i="6"/>
  <c r="L463" i="6"/>
  <c r="L431" i="6"/>
  <c r="L399" i="6"/>
  <c r="I596" i="6"/>
  <c r="L479" i="6"/>
  <c r="I445" i="6"/>
  <c r="I413" i="6"/>
  <c r="I381" i="6"/>
  <c r="L473" i="6"/>
  <c r="I548" i="6"/>
  <c r="L474" i="6"/>
  <c r="L442" i="6"/>
  <c r="L410" i="6"/>
  <c r="L378" i="6"/>
  <c r="I472" i="6"/>
  <c r="I440" i="6"/>
  <c r="I408" i="6"/>
  <c r="I376" i="6"/>
  <c r="L405" i="6"/>
  <c r="I353" i="6"/>
  <c r="L444" i="6"/>
  <c r="I370" i="6"/>
  <c r="I338" i="6"/>
  <c r="I306" i="6"/>
  <c r="I274" i="6"/>
  <c r="L388" i="6"/>
  <c r="L342" i="6"/>
  <c r="L310" i="6"/>
  <c r="L278" i="6"/>
  <c r="L396" i="6"/>
  <c r="I348" i="6"/>
  <c r="I316" i="6"/>
  <c r="I284" i="6"/>
  <c r="I398" i="6"/>
  <c r="I349" i="6"/>
  <c r="I457" i="6"/>
  <c r="L377" i="6"/>
  <c r="I342" i="6"/>
  <c r="I310" i="6"/>
  <c r="I278" i="6"/>
  <c r="L393" i="6"/>
  <c r="L339" i="6"/>
  <c r="L307" i="6"/>
  <c r="L275" i="6"/>
  <c r="L292" i="6"/>
  <c r="I245" i="6"/>
  <c r="I213" i="6"/>
  <c r="I597" i="6"/>
  <c r="I565" i="6"/>
  <c r="I533" i="6"/>
  <c r="I501" i="6"/>
  <c r="I606" i="6"/>
  <c r="I574" i="6"/>
  <c r="I599" i="6"/>
  <c r="I567" i="6"/>
  <c r="I535" i="6"/>
  <c r="I503" i="6"/>
  <c r="L603" i="6"/>
  <c r="L571" i="6"/>
  <c r="L539" i="6"/>
  <c r="L507" i="6"/>
  <c r="L475" i="6"/>
  <c r="L580" i="6"/>
  <c r="L548" i="6"/>
  <c r="L516" i="6"/>
  <c r="L484" i="6"/>
  <c r="I586" i="6"/>
  <c r="I554" i="6"/>
  <c r="I522" i="6"/>
  <c r="I490" i="6"/>
  <c r="L590" i="6"/>
  <c r="L558" i="6"/>
  <c r="L526" i="6"/>
  <c r="L494" i="6"/>
  <c r="I510" i="6"/>
  <c r="L551" i="6"/>
  <c r="I467" i="6"/>
  <c r="I435" i="6"/>
  <c r="I403" i="6"/>
  <c r="I371" i="6"/>
  <c r="I460" i="6"/>
  <c r="I428" i="6"/>
  <c r="I396" i="6"/>
  <c r="L559" i="6"/>
  <c r="L472" i="6"/>
  <c r="L440" i="6"/>
  <c r="L408" i="6"/>
  <c r="L376" i="6"/>
  <c r="I470" i="6"/>
  <c r="L545" i="6"/>
  <c r="I471" i="6"/>
  <c r="I439" i="6"/>
  <c r="I407" i="6"/>
  <c r="I375" i="6"/>
  <c r="L467" i="6"/>
  <c r="L435" i="6"/>
  <c r="L403" i="6"/>
  <c r="L371" i="6"/>
  <c r="L401" i="6"/>
  <c r="L348" i="6"/>
  <c r="I438" i="6"/>
  <c r="L365" i="6"/>
  <c r="L333" i="6"/>
  <c r="L301" i="6"/>
  <c r="L495" i="6"/>
  <c r="I382" i="6"/>
  <c r="I339" i="6"/>
  <c r="I307" i="6"/>
  <c r="I275" i="6"/>
  <c r="I390" i="6"/>
  <c r="L343" i="6"/>
  <c r="L311" i="6"/>
  <c r="L279" i="6"/>
  <c r="I394" i="6"/>
  <c r="L344" i="6"/>
  <c r="L445" i="6"/>
  <c r="I369" i="6"/>
  <c r="L337" i="6"/>
  <c r="L305" i="6"/>
  <c r="L468" i="6"/>
  <c r="I385" i="6"/>
  <c r="I336" i="6"/>
  <c r="I304" i="6"/>
  <c r="I377" i="6"/>
  <c r="L272" i="6"/>
  <c r="L240" i="6"/>
  <c r="L208" i="6"/>
  <c r="L176" i="6"/>
  <c r="I589" i="6"/>
  <c r="I557" i="6"/>
  <c r="I525" i="6"/>
  <c r="I493" i="6"/>
  <c r="I598" i="6"/>
  <c r="I566" i="6"/>
  <c r="I591" i="6"/>
  <c r="I559" i="6"/>
  <c r="I527" i="6"/>
  <c r="I495" i="6"/>
  <c r="L595" i="6"/>
  <c r="L563" i="6"/>
  <c r="L531" i="6"/>
  <c r="L499" i="6"/>
  <c r="L604" i="6"/>
  <c r="L572" i="6"/>
  <c r="L540" i="6"/>
  <c r="L508" i="6"/>
  <c r="L476" i="6"/>
  <c r="I578" i="6"/>
  <c r="I546" i="6"/>
  <c r="I514" i="6"/>
  <c r="I482" i="6"/>
  <c r="L582" i="6"/>
  <c r="L550" i="6"/>
  <c r="L518" i="6"/>
  <c r="L486" i="6"/>
  <c r="I474" i="6"/>
  <c r="L529" i="6"/>
  <c r="I459" i="6"/>
  <c r="I427" i="6"/>
  <c r="I395" i="6"/>
  <c r="I572" i="6"/>
  <c r="I452" i="6"/>
  <c r="I420" i="6"/>
  <c r="I388" i="6"/>
  <c r="I524" i="6"/>
  <c r="L464" i="6"/>
  <c r="L432" i="6"/>
  <c r="L400" i="6"/>
  <c r="L368" i="6"/>
  <c r="I462" i="6"/>
  <c r="I516" i="6"/>
  <c r="I463" i="6"/>
  <c r="I431" i="6"/>
  <c r="I399" i="6"/>
  <c r="I604" i="6"/>
  <c r="L459" i="6"/>
  <c r="L427" i="6"/>
  <c r="L395" i="6"/>
  <c r="L537" i="6"/>
  <c r="L372" i="6"/>
  <c r="L340" i="6"/>
  <c r="L413" i="6"/>
  <c r="L357" i="6"/>
  <c r="L325" i="6"/>
  <c r="L293" i="6"/>
  <c r="I446" i="6"/>
  <c r="I363" i="6"/>
  <c r="I331" i="6"/>
  <c r="I299" i="6"/>
  <c r="I473" i="6"/>
  <c r="L366" i="6"/>
  <c r="L335" i="6"/>
  <c r="L303" i="6"/>
  <c r="L460" i="6"/>
  <c r="L369" i="6"/>
  <c r="L336" i="6"/>
  <c r="I433" i="6"/>
  <c r="L361" i="6"/>
  <c r="L329" i="6"/>
  <c r="L297" i="6"/>
  <c r="I449" i="6"/>
  <c r="I360" i="6"/>
  <c r="I328" i="6"/>
  <c r="I296" i="6"/>
  <c r="I321" i="6"/>
  <c r="L264" i="6"/>
  <c r="L232" i="6"/>
  <c r="L200" i="6"/>
  <c r="I351" i="6"/>
  <c r="I262" i="6"/>
  <c r="I230" i="6"/>
  <c r="I198" i="6"/>
  <c r="L314" i="6"/>
  <c r="L584" i="6"/>
  <c r="L552" i="6"/>
  <c r="L520" i="6"/>
  <c r="L488" i="6"/>
  <c r="L593" i="6"/>
  <c r="L561" i="6"/>
  <c r="L586" i="6"/>
  <c r="L554" i="6"/>
  <c r="L522" i="6"/>
  <c r="L490" i="6"/>
  <c r="I592" i="6"/>
  <c r="I560" i="6"/>
  <c r="I528" i="6"/>
  <c r="I496" i="6"/>
  <c r="I601" i="6"/>
  <c r="I569" i="6"/>
  <c r="I537" i="6"/>
  <c r="I505" i="6"/>
  <c r="L605" i="6"/>
  <c r="L573" i="6"/>
  <c r="L541" i="6"/>
  <c r="L509" i="6"/>
  <c r="L477" i="6"/>
  <c r="I579" i="6"/>
  <c r="I547" i="6"/>
  <c r="I515" i="6"/>
  <c r="I483" i="6"/>
  <c r="L469" i="6"/>
  <c r="L519" i="6"/>
  <c r="L454" i="6"/>
  <c r="L422" i="6"/>
  <c r="L390" i="6"/>
  <c r="I534" i="6"/>
  <c r="L447" i="6"/>
  <c r="L415" i="6"/>
  <c r="L383" i="6"/>
  <c r="L521" i="6"/>
  <c r="I461" i="6"/>
  <c r="I429" i="6"/>
  <c r="I397" i="6"/>
  <c r="L583" i="6"/>
  <c r="L457" i="6"/>
  <c r="L513" i="6"/>
  <c r="L458" i="6"/>
  <c r="L426" i="6"/>
  <c r="L394" i="6"/>
  <c r="L567" i="6"/>
  <c r="I456" i="6"/>
  <c r="I424" i="6"/>
  <c r="I392" i="6"/>
  <c r="I465" i="6"/>
  <c r="I367" i="6"/>
  <c r="I337" i="6"/>
  <c r="L409" i="6"/>
  <c r="I354" i="6"/>
  <c r="I322" i="6"/>
  <c r="I290" i="6"/>
  <c r="I442" i="6"/>
  <c r="L358" i="6"/>
  <c r="L326" i="6"/>
  <c r="L294" i="6"/>
  <c r="I450" i="6"/>
  <c r="I364" i="6"/>
  <c r="I332" i="6"/>
  <c r="I300" i="6"/>
  <c r="L437" i="6"/>
  <c r="I365" i="6"/>
  <c r="I333" i="6"/>
  <c r="L412" i="6"/>
  <c r="I358" i="6"/>
  <c r="I326" i="6"/>
  <c r="I294" i="6"/>
  <c r="L428" i="6"/>
  <c r="L355" i="6"/>
  <c r="L323" i="6"/>
  <c r="L291" i="6"/>
  <c r="I317" i="6"/>
  <c r="I261" i="6"/>
  <c r="I229" i="6"/>
  <c r="I197" i="6"/>
  <c r="I325" i="6"/>
  <c r="L257" i="6"/>
  <c r="L225" i="6"/>
  <c r="L193" i="6"/>
  <c r="L312" i="6"/>
  <c r="J229" i="8"/>
  <c r="J211" i="8"/>
  <c r="J426" i="8"/>
  <c r="J531" i="8"/>
  <c r="J120" i="8"/>
  <c r="J290" i="8"/>
  <c r="J520" i="8"/>
  <c r="J137" i="8"/>
  <c r="J311" i="8"/>
  <c r="J510" i="8"/>
  <c r="J126" i="8"/>
  <c r="J309" i="8"/>
  <c r="J516" i="8"/>
  <c r="J124" i="8"/>
  <c r="J339" i="8"/>
  <c r="J114" i="8"/>
  <c r="J446" i="8"/>
  <c r="J231" i="8"/>
  <c r="J436" i="8"/>
  <c r="J192" i="8"/>
  <c r="J122" i="8"/>
  <c r="J298" i="8"/>
  <c r="J444" i="8"/>
  <c r="J518" i="8"/>
  <c r="J40" i="8"/>
  <c r="J81" i="8"/>
  <c r="J70" i="8"/>
  <c r="J68" i="8"/>
  <c r="J58" i="8"/>
  <c r="J175" i="8"/>
  <c r="J173" i="8"/>
  <c r="J155" i="8"/>
  <c r="J259" i="8"/>
  <c r="J352" i="8"/>
  <c r="J253" i="8"/>
  <c r="J375" i="8"/>
  <c r="J390" i="8"/>
  <c r="J380" i="8"/>
  <c r="J370" i="8"/>
  <c r="J475" i="8"/>
  <c r="J593" i="8"/>
  <c r="J591" i="8"/>
  <c r="J573" i="8"/>
  <c r="J152" i="8"/>
  <c r="J237" i="8"/>
  <c r="J317" i="8"/>
  <c r="J539" i="8"/>
  <c r="J136" i="8"/>
  <c r="J71" i="8"/>
  <c r="J61" i="8"/>
  <c r="J59" i="8"/>
  <c r="J169" i="8"/>
  <c r="J182" i="8"/>
  <c r="J164" i="8"/>
  <c r="J367" i="8"/>
  <c r="J354" i="8"/>
  <c r="J246" i="8"/>
  <c r="J463" i="8"/>
  <c r="J392" i="8"/>
  <c r="J381" i="8"/>
  <c r="J371" i="8"/>
  <c r="J570" i="8"/>
  <c r="J595" i="8"/>
  <c r="J584" i="8"/>
  <c r="J574" i="8"/>
  <c r="J580" i="8"/>
  <c r="J132" i="8"/>
  <c r="J219" i="8"/>
  <c r="J347" i="8"/>
  <c r="J434" i="8"/>
  <c r="J18" i="8"/>
  <c r="J79" i="8"/>
  <c r="J69" i="8"/>
  <c r="J67" i="8"/>
  <c r="J177" i="8"/>
  <c r="J190" i="8"/>
  <c r="J172" i="8"/>
  <c r="J138" i="8"/>
  <c r="J391" i="8"/>
  <c r="J254" i="8"/>
  <c r="J498" i="8"/>
  <c r="J400" i="8"/>
  <c r="J389" i="8"/>
  <c r="J379" i="8"/>
  <c r="J361" i="8"/>
  <c r="J603" i="8"/>
  <c r="J592" i="8"/>
  <c r="J582" i="8"/>
  <c r="J588" i="8"/>
  <c r="J64" i="8"/>
  <c r="J135" i="8"/>
  <c r="J125" i="8"/>
  <c r="J123" i="8"/>
  <c r="J233" i="8"/>
  <c r="J287" i="8"/>
  <c r="J228" i="8"/>
  <c r="J194" i="8"/>
  <c r="J280" i="8"/>
  <c r="J310" i="8"/>
  <c r="J292" i="8"/>
  <c r="J456" i="8"/>
  <c r="J445" i="8"/>
  <c r="J435" i="8"/>
  <c r="J417" i="8"/>
  <c r="J521" i="8"/>
  <c r="J519" i="8"/>
  <c r="J501" i="8"/>
  <c r="J524" i="8"/>
  <c r="J128" i="8"/>
  <c r="J168" i="8"/>
  <c r="J133" i="8"/>
  <c r="J131" i="8"/>
  <c r="J247" i="8"/>
  <c r="J289" i="8"/>
  <c r="J236" i="8"/>
  <c r="J202" i="8"/>
  <c r="J288" i="8"/>
  <c r="J318" i="8"/>
  <c r="J300" i="8"/>
  <c r="J464" i="8"/>
  <c r="J453" i="8"/>
  <c r="J443" i="8"/>
  <c r="J425" i="8"/>
  <c r="J529" i="8"/>
  <c r="J527" i="8"/>
  <c r="J509" i="8"/>
  <c r="J134" i="8"/>
  <c r="J239" i="8"/>
  <c r="J319" i="8"/>
  <c r="J454" i="8"/>
  <c r="J528" i="8"/>
  <c r="J21" i="8"/>
  <c r="J73" i="8"/>
  <c r="J62" i="8"/>
  <c r="J60" i="8"/>
  <c r="J50" i="8"/>
  <c r="J167" i="8"/>
  <c r="J165" i="8"/>
  <c r="J147" i="8"/>
  <c r="J257" i="8"/>
  <c r="J344" i="8"/>
  <c r="J245" i="8"/>
  <c r="J356" i="8"/>
  <c r="J382" i="8"/>
  <c r="J372" i="8"/>
  <c r="J362" i="8"/>
  <c r="J546" i="8"/>
  <c r="J585" i="8"/>
  <c r="J583" i="8"/>
  <c r="J572" i="8"/>
  <c r="J508" i="8"/>
  <c r="J557" i="8"/>
  <c r="J493" i="8"/>
  <c r="J566" i="8"/>
  <c r="J502" i="8"/>
  <c r="J575" i="8"/>
  <c r="J511" i="8"/>
  <c r="J576" i="8"/>
  <c r="J512" i="8"/>
  <c r="J577" i="8"/>
  <c r="J513" i="8"/>
  <c r="J587" i="8"/>
  <c r="J523" i="8"/>
  <c r="J492" i="8"/>
  <c r="J409" i="8"/>
  <c r="J506" i="8"/>
  <c r="J418" i="8"/>
  <c r="J594" i="8"/>
  <c r="J427" i="8"/>
  <c r="J363" i="8"/>
  <c r="J428" i="8"/>
  <c r="J364" i="8"/>
  <c r="J437" i="8"/>
  <c r="J373" i="8"/>
  <c r="J438" i="8"/>
  <c r="J374" i="8"/>
  <c r="J448" i="8"/>
  <c r="J384" i="8"/>
  <c r="J331" i="8"/>
  <c r="J348" i="8"/>
  <c r="J284" i="8"/>
  <c r="J399" i="8"/>
  <c r="J301" i="8"/>
  <c r="J423" i="8"/>
  <c r="J302" i="8"/>
  <c r="J447" i="8"/>
  <c r="J303" i="8"/>
  <c r="J336" i="8"/>
  <c r="J272" i="8"/>
  <c r="J346" i="8"/>
  <c r="J282" i="8"/>
  <c r="J255" i="8"/>
  <c r="J186" i="8"/>
  <c r="J353" i="8"/>
  <c r="J203" i="8"/>
  <c r="J139" i="8"/>
  <c r="J220" i="8"/>
  <c r="J156" i="8"/>
  <c r="J221" i="8"/>
  <c r="J157" i="8"/>
  <c r="J238" i="8"/>
  <c r="J174" i="8"/>
  <c r="J223" i="8"/>
  <c r="J159" i="8"/>
  <c r="J225" i="8"/>
  <c r="J161" i="8"/>
  <c r="J106" i="8"/>
  <c r="J42" i="8"/>
  <c r="J115" i="8"/>
  <c r="J51" i="8"/>
  <c r="J116" i="8"/>
  <c r="J52" i="8"/>
  <c r="J117" i="8"/>
  <c r="J53" i="8"/>
  <c r="J118" i="8"/>
  <c r="J54" i="8"/>
  <c r="J127" i="8"/>
  <c r="J63" i="8"/>
  <c r="J129" i="8"/>
  <c r="J65" i="8"/>
  <c r="J16" i="8"/>
  <c r="J72" i="8"/>
  <c r="J56" i="8"/>
  <c r="J15" i="8"/>
  <c r="J564" i="8"/>
  <c r="J500" i="8"/>
  <c r="J549" i="8"/>
  <c r="J485" i="8"/>
  <c r="J558" i="8"/>
  <c r="J494" i="8"/>
  <c r="J567" i="8"/>
  <c r="J503" i="8"/>
  <c r="J568" i="8"/>
  <c r="J504" i="8"/>
  <c r="J569" i="8"/>
  <c r="J505" i="8"/>
  <c r="J579" i="8"/>
  <c r="J515" i="8"/>
  <c r="J465" i="8"/>
  <c r="J401" i="8"/>
  <c r="J482" i="8"/>
  <c r="J410" i="8"/>
  <c r="J530" i="8"/>
  <c r="J419" i="8"/>
  <c r="J554" i="8"/>
  <c r="J420" i="8"/>
  <c r="J578" i="8"/>
  <c r="J429" i="8"/>
  <c r="J365" i="8"/>
  <c r="J430" i="8"/>
  <c r="J366" i="8"/>
  <c r="J440" i="8"/>
  <c r="J376" i="8"/>
  <c r="J323" i="8"/>
  <c r="J340" i="8"/>
  <c r="J276" i="8"/>
  <c r="J357" i="8"/>
  <c r="J293" i="8"/>
  <c r="J358" i="8"/>
  <c r="J294" i="8"/>
  <c r="J383" i="8"/>
  <c r="J295" i="8"/>
  <c r="J328" i="8"/>
  <c r="J264" i="8"/>
  <c r="J338" i="8"/>
  <c r="J274" i="8"/>
  <c r="J241" i="8"/>
  <c r="J178" i="8"/>
  <c r="J267" i="8"/>
  <c r="J195" i="8"/>
  <c r="J313" i="8"/>
  <c r="J212" i="8"/>
  <c r="J148" i="8"/>
  <c r="J213" i="8"/>
  <c r="J149" i="8"/>
  <c r="J230" i="8"/>
  <c r="J166" i="8"/>
  <c r="J215" i="8"/>
  <c r="J151" i="8"/>
  <c r="J217" i="8"/>
  <c r="J153" i="8"/>
  <c r="J98" i="8"/>
  <c r="J34" i="8"/>
  <c r="J107" i="8"/>
  <c r="J43" i="8"/>
  <c r="J108" i="8"/>
  <c r="J44" i="8"/>
  <c r="J109" i="8"/>
  <c r="J45" i="8"/>
  <c r="J110" i="8"/>
  <c r="J46" i="8"/>
  <c r="J119" i="8"/>
  <c r="J55" i="8"/>
  <c r="J121" i="8"/>
  <c r="J57" i="8"/>
  <c r="J88" i="8"/>
  <c r="J19" i="8"/>
  <c r="J23" i="8"/>
  <c r="J556" i="8"/>
  <c r="J605" i="8"/>
  <c r="J541" i="8"/>
  <c r="J477" i="8"/>
  <c r="J550" i="8"/>
  <c r="J486" i="8"/>
  <c r="J559" i="8"/>
  <c r="J495" i="8"/>
  <c r="J560" i="8"/>
  <c r="J496" i="8"/>
  <c r="J561" i="8"/>
  <c r="J497" i="8"/>
  <c r="J571" i="8"/>
  <c r="J507" i="8"/>
  <c r="J457" i="8"/>
  <c r="J393" i="8"/>
  <c r="J466" i="8"/>
  <c r="J402" i="8"/>
  <c r="J484" i="8"/>
  <c r="J411" i="8"/>
  <c r="J474" i="8"/>
  <c r="J412" i="8"/>
  <c r="J514" i="8"/>
  <c r="J421" i="8"/>
  <c r="J602" i="8"/>
  <c r="J422" i="8"/>
  <c r="J586" i="8"/>
  <c r="J432" i="8"/>
  <c r="J368" i="8"/>
  <c r="J315" i="8"/>
  <c r="J332" i="8"/>
  <c r="J268" i="8"/>
  <c r="J349" i="8"/>
  <c r="J285" i="8"/>
  <c r="J350" i="8"/>
  <c r="J286" i="8"/>
  <c r="J351" i="8"/>
  <c r="J562" i="8"/>
  <c r="J320" i="8"/>
  <c r="J256" i="8"/>
  <c r="J330" i="8"/>
  <c r="J266" i="8"/>
  <c r="J234" i="8"/>
  <c r="J170" i="8"/>
  <c r="J265" i="8"/>
  <c r="J187" i="8"/>
  <c r="J275" i="8"/>
  <c r="J204" i="8"/>
  <c r="J337" i="8"/>
  <c r="J205" i="8"/>
  <c r="J141" i="8"/>
  <c r="J222" i="8"/>
  <c r="J158" i="8"/>
  <c r="J207" i="8"/>
  <c r="J143" i="8"/>
  <c r="J209" i="8"/>
  <c r="J145" i="8"/>
  <c r="J90" i="8"/>
  <c r="J26" i="8"/>
  <c r="J99" i="8"/>
  <c r="J35" i="8"/>
  <c r="J100" i="8"/>
  <c r="J36" i="8"/>
  <c r="J101" i="8"/>
  <c r="J37" i="8"/>
  <c r="J102" i="8"/>
  <c r="J38" i="8"/>
  <c r="J111" i="8"/>
  <c r="J47" i="8"/>
  <c r="J113" i="8"/>
  <c r="J49" i="8"/>
  <c r="J17" i="8"/>
  <c r="J11" i="8"/>
  <c r="J13" i="8"/>
  <c r="J548" i="8"/>
  <c r="J597" i="8"/>
  <c r="J533" i="8"/>
  <c r="J606" i="8"/>
  <c r="J542" i="8"/>
  <c r="J478" i="8"/>
  <c r="J551" i="8"/>
  <c r="J487" i="8"/>
  <c r="J552" i="8"/>
  <c r="J488" i="8"/>
  <c r="J553" i="8"/>
  <c r="J489" i="8"/>
  <c r="J563" i="8"/>
  <c r="J499" i="8"/>
  <c r="J449" i="8"/>
  <c r="J385" i="8"/>
  <c r="J458" i="8"/>
  <c r="J394" i="8"/>
  <c r="J467" i="8"/>
  <c r="J403" i="8"/>
  <c r="J468" i="8"/>
  <c r="J404" i="8"/>
  <c r="J476" i="8"/>
  <c r="J413" i="8"/>
  <c r="J538" i="8"/>
  <c r="J414" i="8"/>
  <c r="J522" i="8"/>
  <c r="J424" i="8"/>
  <c r="J360" i="8"/>
  <c r="J307" i="8"/>
  <c r="J324" i="8"/>
  <c r="J260" i="8"/>
  <c r="J341" i="8"/>
  <c r="J277" i="8"/>
  <c r="J342" i="8"/>
  <c r="J278" i="8"/>
  <c r="J343" i="8"/>
  <c r="J471" i="8"/>
  <c r="J312" i="8"/>
  <c r="J248" i="8"/>
  <c r="J322" i="8"/>
  <c r="J258" i="8"/>
  <c r="J226" i="8"/>
  <c r="J162" i="8"/>
  <c r="J263" i="8"/>
  <c r="J179" i="8"/>
  <c r="J273" i="8"/>
  <c r="J196" i="8"/>
  <c r="J283" i="8"/>
  <c r="J197" i="8"/>
  <c r="J431" i="8"/>
  <c r="J214" i="8"/>
  <c r="J150" i="8"/>
  <c r="J199" i="8"/>
  <c r="J305" i="8"/>
  <c r="J201" i="8"/>
  <c r="J345" i="8"/>
  <c r="J82" i="8"/>
  <c r="J243" i="8"/>
  <c r="J91" i="8"/>
  <c r="J27" i="8"/>
  <c r="J92" i="8"/>
  <c r="J28" i="8"/>
  <c r="J93" i="8"/>
  <c r="J29" i="8"/>
  <c r="J94" i="8"/>
  <c r="J30" i="8"/>
  <c r="J103" i="8"/>
  <c r="J39" i="8"/>
  <c r="J105" i="8"/>
  <c r="J41" i="8"/>
  <c r="J112" i="8"/>
  <c r="J96" i="8"/>
  <c r="J80" i="8"/>
  <c r="J604" i="8"/>
  <c r="J540" i="8"/>
  <c r="J589" i="8"/>
  <c r="J525" i="8"/>
  <c r="J598" i="8"/>
  <c r="J534" i="8"/>
  <c r="J607" i="8"/>
  <c r="J543" i="8"/>
  <c r="J479" i="8"/>
  <c r="J544" i="8"/>
  <c r="J480" i="8"/>
  <c r="J545" i="8"/>
  <c r="J481" i="8"/>
  <c r="J555" i="8"/>
  <c r="J491" i="8"/>
  <c r="J441" i="8"/>
  <c r="J377" i="8"/>
  <c r="J450" i="8"/>
  <c r="J386" i="8"/>
  <c r="J459" i="8"/>
  <c r="J395" i="8"/>
  <c r="J460" i="8"/>
  <c r="J396" i="8"/>
  <c r="J469" i="8"/>
  <c r="J405" i="8"/>
  <c r="J470" i="8"/>
  <c r="J406" i="8"/>
  <c r="J490" i="8"/>
  <c r="J416" i="8"/>
  <c r="J415" i="8"/>
  <c r="J299" i="8"/>
  <c r="J316" i="8"/>
  <c r="J252" i="8"/>
  <c r="J333" i="8"/>
  <c r="J269" i="8"/>
  <c r="J334" i="8"/>
  <c r="J270" i="8"/>
  <c r="J335" i="8"/>
  <c r="J407" i="8"/>
  <c r="J304" i="8"/>
  <c r="J240" i="8"/>
  <c r="J314" i="8"/>
  <c r="J250" i="8"/>
  <c r="J218" i="8"/>
  <c r="J154" i="8"/>
  <c r="J235" i="8"/>
  <c r="J171" i="8"/>
  <c r="J271" i="8"/>
  <c r="J188" i="8"/>
  <c r="J281" i="8"/>
  <c r="J189" i="8"/>
  <c r="J297" i="8"/>
  <c r="J206" i="8"/>
  <c r="J142" i="8"/>
  <c r="J191" i="8"/>
  <c r="J251" i="8"/>
  <c r="J193" i="8"/>
  <c r="J176" i="8"/>
  <c r="J74" i="8"/>
  <c r="J200" i="8"/>
  <c r="J83" i="8"/>
  <c r="J224" i="8"/>
  <c r="J84" i="8"/>
  <c r="J20" i="8"/>
  <c r="J85" i="8"/>
  <c r="J208" i="8"/>
  <c r="J86" i="8"/>
  <c r="J22" i="8"/>
  <c r="J95" i="8"/>
  <c r="J31" i="8"/>
  <c r="J97" i="8"/>
  <c r="J33" i="8"/>
  <c r="J48" i="8"/>
  <c r="J32" i="8"/>
  <c r="J14" i="8"/>
  <c r="J596" i="8"/>
  <c r="J532" i="8"/>
  <c r="J581" i="8"/>
  <c r="J517" i="8"/>
  <c r="J590" i="8"/>
  <c r="J526" i="8"/>
  <c r="J599" i="8"/>
  <c r="J535" i="8"/>
  <c r="J600" i="8"/>
  <c r="J536" i="8"/>
  <c r="J601" i="8"/>
  <c r="J537" i="8"/>
  <c r="J473" i="8"/>
  <c r="J547" i="8"/>
  <c r="J483" i="8"/>
  <c r="J433" i="8"/>
  <c r="J369" i="8"/>
  <c r="J442" i="8"/>
  <c r="J378" i="8"/>
  <c r="J451" i="8"/>
  <c r="J387" i="8"/>
  <c r="J452" i="8"/>
  <c r="J388" i="8"/>
  <c r="J461" i="8"/>
  <c r="J397" i="8"/>
  <c r="J462" i="8"/>
  <c r="J398" i="8"/>
  <c r="J472" i="8"/>
  <c r="J408" i="8"/>
  <c r="J355" i="8"/>
  <c r="J439" i="8"/>
  <c r="J308" i="8"/>
  <c r="J244" i="8"/>
  <c r="J325" i="8"/>
  <c r="J261" i="8"/>
  <c r="J326" i="8"/>
  <c r="J262" i="8"/>
  <c r="J327" i="8"/>
  <c r="J359" i="8"/>
  <c r="J296" i="8"/>
  <c r="J455" i="8"/>
  <c r="J306" i="8"/>
  <c r="J329" i="8"/>
  <c r="J210" i="8"/>
  <c r="J146" i="8"/>
  <c r="J227" i="8"/>
  <c r="J163" i="8"/>
  <c r="J242" i="8"/>
  <c r="J180" i="8"/>
  <c r="J279" i="8"/>
  <c r="J181" i="8"/>
  <c r="J291" i="8"/>
  <c r="J198" i="8"/>
  <c r="J321" i="8"/>
  <c r="J183" i="8"/>
  <c r="J249" i="8"/>
  <c r="J185" i="8"/>
  <c r="J130" i="8"/>
  <c r="J66" i="8"/>
  <c r="J140" i="8"/>
  <c r="J75" i="8"/>
  <c r="J160" i="8"/>
  <c r="J76" i="8"/>
  <c r="J184" i="8"/>
  <c r="J77" i="8"/>
  <c r="J144" i="8"/>
  <c r="J78" i="8"/>
  <c r="J232" i="8"/>
  <c r="J87" i="8"/>
  <c r="J216" i="8"/>
  <c r="J89" i="8"/>
  <c r="J25" i="8"/>
  <c r="J24" i="8"/>
  <c r="J12" i="8"/>
  <c r="J104" i="8"/>
  <c r="F9" i="8"/>
  <c r="F7" i="8"/>
  <c r="I425" i="8" s="1"/>
  <c r="I566" i="8"/>
  <c r="I603" i="8"/>
  <c r="L564" i="8"/>
  <c r="L501" i="8"/>
  <c r="L565" i="8"/>
  <c r="I496" i="8"/>
  <c r="L490" i="8"/>
  <c r="L554" i="8"/>
  <c r="L586" i="8"/>
  <c r="I550" i="8"/>
  <c r="I582" i="8"/>
  <c r="L576" i="8"/>
  <c r="I476" i="8"/>
  <c r="I540" i="8"/>
  <c r="I572" i="8"/>
  <c r="I604" i="8"/>
  <c r="J13" i="7"/>
  <c r="J101" i="7"/>
  <c r="J44" i="7"/>
  <c r="J31" i="7"/>
  <c r="J140" i="7"/>
  <c r="J66" i="7"/>
  <c r="J18" i="7"/>
  <c r="J156" i="7"/>
  <c r="J33" i="7"/>
  <c r="J244" i="7"/>
  <c r="J40" i="7"/>
  <c r="J251" i="7"/>
  <c r="J123" i="7"/>
  <c r="J259" i="7"/>
  <c r="J122" i="7"/>
  <c r="J220" i="7"/>
  <c r="J121" i="7"/>
  <c r="J235" i="7"/>
  <c r="J112" i="7"/>
  <c r="J196" i="7"/>
  <c r="J103" i="7"/>
  <c r="J167" i="7"/>
  <c r="J78" i="7"/>
  <c r="J142" i="7"/>
  <c r="J178" i="7"/>
  <c r="J242" i="7"/>
  <c r="J177" i="7"/>
  <c r="J241" i="7"/>
  <c r="J408" i="7"/>
  <c r="J232" i="7"/>
  <c r="J371" i="7"/>
  <c r="J223" i="7"/>
  <c r="J364" i="7"/>
  <c r="J222" i="7"/>
  <c r="J315" i="7"/>
  <c r="J213" i="7"/>
  <c r="J308" i="7"/>
  <c r="J306" i="7"/>
  <c r="J370" i="7"/>
  <c r="J297" i="7"/>
  <c r="J361" i="7"/>
  <c r="J296" i="7"/>
  <c r="J360" i="7"/>
  <c r="J287" i="7"/>
  <c r="J351" i="7"/>
  <c r="J278" i="7"/>
  <c r="J342" i="7"/>
  <c r="J464" i="7"/>
  <c r="J309" i="7"/>
  <c r="J383" i="7"/>
  <c r="J406" i="7"/>
  <c r="J470" i="7"/>
  <c r="J405" i="7"/>
  <c r="J469" i="7"/>
  <c r="J404" i="7"/>
  <c r="J468" i="7"/>
  <c r="J403" i="7"/>
  <c r="J467" i="7"/>
  <c r="J394" i="7"/>
  <c r="J458" i="7"/>
  <c r="J393" i="7"/>
  <c r="J457" i="7"/>
  <c r="J496" i="7"/>
  <c r="J560" i="7"/>
  <c r="J495" i="7"/>
  <c r="J559" i="7"/>
  <c r="J494" i="7"/>
  <c r="J558" i="7"/>
  <c r="J485" i="7"/>
  <c r="J549" i="7"/>
  <c r="J476" i="7"/>
  <c r="J540" i="7"/>
  <c r="J604" i="7"/>
  <c r="J531" i="7"/>
  <c r="J595" i="7"/>
  <c r="J29" i="7"/>
  <c r="J165" i="7"/>
  <c r="J60" i="7"/>
  <c r="J47" i="7"/>
  <c r="J19" i="7"/>
  <c r="J109" i="7"/>
  <c r="J34" i="7"/>
  <c r="J219" i="7"/>
  <c r="J49" i="7"/>
  <c r="J55" i="7"/>
  <c r="J56" i="7"/>
  <c r="J75" i="7"/>
  <c r="J139" i="7"/>
  <c r="J74" i="7"/>
  <c r="J138" i="7"/>
  <c r="J73" i="7"/>
  <c r="J137" i="7"/>
  <c r="J273" i="7"/>
  <c r="J128" i="7"/>
  <c r="J260" i="7"/>
  <c r="J119" i="7"/>
  <c r="J179" i="7"/>
  <c r="J94" i="7"/>
  <c r="J158" i="7"/>
  <c r="J194" i="7"/>
  <c r="J258" i="7"/>
  <c r="J193" i="7"/>
  <c r="J257" i="7"/>
  <c r="J184" i="7"/>
  <c r="J248" i="7"/>
  <c r="J175" i="7"/>
  <c r="J239" i="7"/>
  <c r="J174" i="7"/>
  <c r="J238" i="7"/>
  <c r="J423" i="7"/>
  <c r="J229" i="7"/>
  <c r="J372" i="7"/>
  <c r="J322" i="7"/>
  <c r="J384" i="7"/>
  <c r="J313" i="7"/>
  <c r="J399" i="7"/>
  <c r="J312" i="7"/>
  <c r="J392" i="7"/>
  <c r="J303" i="7"/>
  <c r="J367" i="7"/>
  <c r="J294" i="7"/>
  <c r="J358" i="7"/>
  <c r="J498" i="7"/>
  <c r="J325" i="7"/>
  <c r="J447" i="7"/>
  <c r="J422" i="7"/>
  <c r="J538" i="7"/>
  <c r="J421" i="7"/>
  <c r="J521" i="7"/>
  <c r="J420" i="7"/>
  <c r="J514" i="7"/>
  <c r="J419" i="7"/>
  <c r="J497" i="7"/>
  <c r="J410" i="7"/>
  <c r="J490" i="7"/>
  <c r="J409" i="7"/>
  <c r="J505" i="7"/>
  <c r="J512" i="7"/>
  <c r="J576" i="7"/>
  <c r="J511" i="7"/>
  <c r="J575" i="7"/>
  <c r="J510" i="7"/>
  <c r="J574" i="7"/>
  <c r="J501" i="7"/>
  <c r="J565" i="7"/>
  <c r="J492" i="7"/>
  <c r="J556" i="7"/>
  <c r="J483" i="7"/>
  <c r="J547" i="7"/>
  <c r="J37" i="7"/>
  <c r="J180" i="7"/>
  <c r="J84" i="7"/>
  <c r="J93" i="7"/>
  <c r="J27" i="7"/>
  <c r="J141" i="7"/>
  <c r="J42" i="7"/>
  <c r="J38" i="7"/>
  <c r="J57" i="7"/>
  <c r="J63" i="7"/>
  <c r="J64" i="7"/>
  <c r="J83" i="7"/>
  <c r="J147" i="7"/>
  <c r="J82" i="7"/>
  <c r="J146" i="7"/>
  <c r="J81" i="7"/>
  <c r="J145" i="7"/>
  <c r="J72" i="7"/>
  <c r="J136" i="7"/>
  <c r="J284" i="7"/>
  <c r="J127" i="7"/>
  <c r="J211" i="7"/>
  <c r="J102" i="7"/>
  <c r="J166" i="7"/>
  <c r="J202" i="7"/>
  <c r="J266" i="7"/>
  <c r="J201" i="7"/>
  <c r="J265" i="7"/>
  <c r="J192" i="7"/>
  <c r="J256" i="7"/>
  <c r="J183" i="7"/>
  <c r="J247" i="7"/>
  <c r="J182" i="7"/>
  <c r="J246" i="7"/>
  <c r="J173" i="7"/>
  <c r="J237" i="7"/>
  <c r="J472" i="7"/>
  <c r="J330" i="7"/>
  <c r="J416" i="7"/>
  <c r="J321" i="7"/>
  <c r="J431" i="7"/>
  <c r="J320" i="7"/>
  <c r="J424" i="7"/>
  <c r="J311" i="7"/>
  <c r="J407" i="7"/>
  <c r="J302" i="7"/>
  <c r="J366" i="7"/>
  <c r="J269" i="7"/>
  <c r="J333" i="7"/>
  <c r="J481" i="7"/>
  <c r="J430" i="7"/>
  <c r="J570" i="7"/>
  <c r="J429" i="7"/>
  <c r="J553" i="7"/>
  <c r="J428" i="7"/>
  <c r="J546" i="7"/>
  <c r="J427" i="7"/>
  <c r="J529" i="7"/>
  <c r="J418" i="7"/>
  <c r="J522" i="7"/>
  <c r="J417" i="7"/>
  <c r="J537" i="7"/>
  <c r="J520" i="7"/>
  <c r="J584" i="7"/>
  <c r="J519" i="7"/>
  <c r="J583" i="7"/>
  <c r="J518" i="7"/>
  <c r="J582" i="7"/>
  <c r="J509" i="7"/>
  <c r="J573" i="7"/>
  <c r="J500" i="7"/>
  <c r="J564" i="7"/>
  <c r="J491" i="7"/>
  <c r="J555" i="7"/>
  <c r="J45" i="7"/>
  <c r="J12" i="7"/>
  <c r="J116" i="7"/>
  <c r="J125" i="7"/>
  <c r="J35" i="7"/>
  <c r="J212" i="7"/>
  <c r="J50" i="7"/>
  <c r="J62" i="7"/>
  <c r="J65" i="7"/>
  <c r="J14" i="7"/>
  <c r="J68" i="7"/>
  <c r="J91" i="7"/>
  <c r="J155" i="7"/>
  <c r="J90" i="7"/>
  <c r="J154" i="7"/>
  <c r="J89" i="7"/>
  <c r="J153" i="7"/>
  <c r="J80" i="7"/>
  <c r="J144" i="7"/>
  <c r="J71" i="7"/>
  <c r="J135" i="7"/>
  <c r="J243" i="7"/>
  <c r="J110" i="7"/>
  <c r="J204" i="7"/>
  <c r="J210" i="7"/>
  <c r="J299" i="7"/>
  <c r="J209" i="7"/>
  <c r="J275" i="7"/>
  <c r="J200" i="7"/>
  <c r="J264" i="7"/>
  <c r="J191" i="7"/>
  <c r="J255" i="7"/>
  <c r="J190" i="7"/>
  <c r="J254" i="7"/>
  <c r="J181" i="7"/>
  <c r="J245" i="7"/>
  <c r="J513" i="7"/>
  <c r="J338" i="7"/>
  <c r="J448" i="7"/>
  <c r="J329" i="7"/>
  <c r="J463" i="7"/>
  <c r="J328" i="7"/>
  <c r="J456" i="7"/>
  <c r="J319" i="7"/>
  <c r="J439" i="7"/>
  <c r="J310" i="7"/>
  <c r="J373" i="7"/>
  <c r="J277" i="7"/>
  <c r="J341" i="7"/>
  <c r="J374" i="7"/>
  <c r="J438" i="7"/>
  <c r="J602" i="7"/>
  <c r="J437" i="7"/>
  <c r="J585" i="7"/>
  <c r="J436" i="7"/>
  <c r="J578" i="7"/>
  <c r="J435" i="7"/>
  <c r="J561" i="7"/>
  <c r="J426" i="7"/>
  <c r="J554" i="7"/>
  <c r="J425" i="7"/>
  <c r="J569" i="7"/>
  <c r="J528" i="7"/>
  <c r="J592" i="7"/>
  <c r="J527" i="7"/>
  <c r="J591" i="7"/>
  <c r="J526" i="7"/>
  <c r="J590" i="7"/>
  <c r="J517" i="7"/>
  <c r="J581" i="7"/>
  <c r="J508" i="7"/>
  <c r="J572" i="7"/>
  <c r="J499" i="7"/>
  <c r="J563" i="7"/>
  <c r="J30" i="7"/>
  <c r="J53" i="7"/>
  <c r="J20" i="7"/>
  <c r="J148" i="7"/>
  <c r="J157" i="7"/>
  <c r="J43" i="7"/>
  <c r="J348" i="7"/>
  <c r="J58" i="7"/>
  <c r="J323" i="7"/>
  <c r="J85" i="7"/>
  <c r="J16" i="7"/>
  <c r="J100" i="7"/>
  <c r="J99" i="7"/>
  <c r="J163" i="7"/>
  <c r="J98" i="7"/>
  <c r="J162" i="7"/>
  <c r="J97" i="7"/>
  <c r="J161" i="7"/>
  <c r="J88" i="7"/>
  <c r="J152" i="7"/>
  <c r="J79" i="7"/>
  <c r="J143" i="7"/>
  <c r="J291" i="7"/>
  <c r="J118" i="7"/>
  <c r="J236" i="7"/>
  <c r="J218" i="7"/>
  <c r="J331" i="7"/>
  <c r="J217" i="7"/>
  <c r="J292" i="7"/>
  <c r="J208" i="7"/>
  <c r="J272" i="7"/>
  <c r="J199" i="7"/>
  <c r="J263" i="7"/>
  <c r="J198" i="7"/>
  <c r="J262" i="7"/>
  <c r="J189" i="7"/>
  <c r="J253" i="7"/>
  <c r="J282" i="7"/>
  <c r="J346" i="7"/>
  <c r="J562" i="7"/>
  <c r="J337" i="7"/>
  <c r="J545" i="7"/>
  <c r="J336" i="7"/>
  <c r="J594" i="7"/>
  <c r="J327" i="7"/>
  <c r="J471" i="7"/>
  <c r="J318" i="7"/>
  <c r="J376" i="7"/>
  <c r="J285" i="7"/>
  <c r="J349" i="7"/>
  <c r="J382" i="7"/>
  <c r="J446" i="7"/>
  <c r="J381" i="7"/>
  <c r="J445" i="7"/>
  <c r="J380" i="7"/>
  <c r="J444" i="7"/>
  <c r="J379" i="7"/>
  <c r="J443" i="7"/>
  <c r="J593" i="7"/>
  <c r="J434" i="7"/>
  <c r="J586" i="7"/>
  <c r="J433" i="7"/>
  <c r="J601" i="7"/>
  <c r="J536" i="7"/>
  <c r="J600" i="7"/>
  <c r="J535" i="7"/>
  <c r="J599" i="7"/>
  <c r="J534" i="7"/>
  <c r="J598" i="7"/>
  <c r="J525" i="7"/>
  <c r="J589" i="7"/>
  <c r="J516" i="7"/>
  <c r="J580" i="7"/>
  <c r="J507" i="7"/>
  <c r="J571" i="7"/>
  <c r="J46" i="7"/>
  <c r="J61" i="7"/>
  <c r="J28" i="7"/>
  <c r="J187" i="7"/>
  <c r="J22" i="7"/>
  <c r="J51" i="7"/>
  <c r="J54" i="7"/>
  <c r="J92" i="7"/>
  <c r="J17" i="7"/>
  <c r="J117" i="7"/>
  <c r="J24" i="7"/>
  <c r="J132" i="7"/>
  <c r="J107" i="7"/>
  <c r="J195" i="7"/>
  <c r="J106" i="7"/>
  <c r="J170" i="7"/>
  <c r="J105" i="7"/>
  <c r="J169" i="7"/>
  <c r="J96" i="7"/>
  <c r="J160" i="7"/>
  <c r="J87" i="7"/>
  <c r="J151" i="7"/>
  <c r="J455" i="7"/>
  <c r="J126" i="7"/>
  <c r="J268" i="7"/>
  <c r="J226" i="7"/>
  <c r="J363" i="7"/>
  <c r="J225" i="7"/>
  <c r="J324" i="7"/>
  <c r="J216" i="7"/>
  <c r="J307" i="7"/>
  <c r="J207" i="7"/>
  <c r="J300" i="7"/>
  <c r="J206" i="7"/>
  <c r="J274" i="7"/>
  <c r="J197" i="7"/>
  <c r="J261" i="7"/>
  <c r="J290" i="7"/>
  <c r="J354" i="7"/>
  <c r="J281" i="7"/>
  <c r="J345" i="7"/>
  <c r="J280" i="7"/>
  <c r="J344" i="7"/>
  <c r="J271" i="7"/>
  <c r="J335" i="7"/>
  <c r="J577" i="7"/>
  <c r="J326" i="7"/>
  <c r="J400" i="7"/>
  <c r="J293" i="7"/>
  <c r="J357" i="7"/>
  <c r="J390" i="7"/>
  <c r="J454" i="7"/>
  <c r="J389" i="7"/>
  <c r="J453" i="7"/>
  <c r="J388" i="7"/>
  <c r="J452" i="7"/>
  <c r="J387" i="7"/>
  <c r="J451" i="7"/>
  <c r="J378" i="7"/>
  <c r="J442" i="7"/>
  <c r="J377" i="7"/>
  <c r="J441" i="7"/>
  <c r="J480" i="7"/>
  <c r="J544" i="7"/>
  <c r="J479" i="7"/>
  <c r="J543" i="7"/>
  <c r="J478" i="7"/>
  <c r="J542" i="7"/>
  <c r="J606" i="7"/>
  <c r="J533" i="7"/>
  <c r="J597" i="7"/>
  <c r="J524" i="7"/>
  <c r="J588" i="7"/>
  <c r="J515" i="7"/>
  <c r="J579" i="7"/>
  <c r="J108" i="7"/>
  <c r="J69" i="7"/>
  <c r="J36" i="7"/>
  <c r="J15" i="7"/>
  <c r="J76" i="7"/>
  <c r="J59" i="7"/>
  <c r="J10" i="7"/>
  <c r="J124" i="7"/>
  <c r="J25" i="7"/>
  <c r="J149" i="7"/>
  <c r="J32" i="7"/>
  <c r="J164" i="7"/>
  <c r="J115" i="7"/>
  <c r="J227" i="7"/>
  <c r="J114" i="7"/>
  <c r="J188" i="7"/>
  <c r="J113" i="7"/>
  <c r="J203" i="7"/>
  <c r="J104" i="7"/>
  <c r="J168" i="7"/>
  <c r="J95" i="7"/>
  <c r="J159" i="7"/>
  <c r="J70" i="7"/>
  <c r="J134" i="7"/>
  <c r="J316" i="7"/>
  <c r="J234" i="7"/>
  <c r="J530" i="7"/>
  <c r="J233" i="7"/>
  <c r="J356" i="7"/>
  <c r="J224" i="7"/>
  <c r="J339" i="7"/>
  <c r="J215" i="7"/>
  <c r="J332" i="7"/>
  <c r="J214" i="7"/>
  <c r="J283" i="7"/>
  <c r="J205" i="7"/>
  <c r="J276" i="7"/>
  <c r="J298" i="7"/>
  <c r="J362" i="7"/>
  <c r="J289" i="7"/>
  <c r="J353" i="7"/>
  <c r="J288" i="7"/>
  <c r="J352" i="7"/>
  <c r="J279" i="7"/>
  <c r="J343" i="7"/>
  <c r="J270" i="7"/>
  <c r="J334" i="7"/>
  <c r="J432" i="7"/>
  <c r="J301" i="7"/>
  <c r="J365" i="7"/>
  <c r="J398" i="7"/>
  <c r="J462" i="7"/>
  <c r="J397" i="7"/>
  <c r="J461" i="7"/>
  <c r="J396" i="7"/>
  <c r="J460" i="7"/>
  <c r="J395" i="7"/>
  <c r="J459" i="7"/>
  <c r="J386" i="7"/>
  <c r="J450" i="7"/>
  <c r="J385" i="7"/>
  <c r="J449" i="7"/>
  <c r="J488" i="7"/>
  <c r="J552" i="7"/>
  <c r="J487" i="7"/>
  <c r="J551" i="7"/>
  <c r="J486" i="7"/>
  <c r="J550" i="7"/>
  <c r="J477" i="7"/>
  <c r="J541" i="7"/>
  <c r="J605" i="7"/>
  <c r="J532" i="7"/>
  <c r="J596" i="7"/>
  <c r="J523" i="7"/>
  <c r="F7" i="7"/>
  <c r="H3" i="7"/>
  <c r="H5" i="7" s="1"/>
  <c r="I544" i="8" l="1"/>
  <c r="I555" i="8"/>
  <c r="I486" i="8"/>
  <c r="I473" i="8"/>
  <c r="I571" i="8"/>
  <c r="I588" i="8"/>
  <c r="I556" i="8"/>
  <c r="L597" i="8"/>
  <c r="I539" i="8"/>
  <c r="L560" i="8"/>
  <c r="L459" i="8"/>
  <c r="I598" i="8"/>
  <c r="L528" i="8"/>
  <c r="I534" i="8"/>
  <c r="L602" i="8"/>
  <c r="I576" i="8"/>
  <c r="L549" i="8"/>
  <c r="I480" i="8"/>
  <c r="L474" i="8"/>
  <c r="L544" i="8"/>
  <c r="I592" i="8"/>
  <c r="L395" i="8"/>
  <c r="I524" i="8"/>
  <c r="L570" i="8"/>
  <c r="L480" i="8"/>
  <c r="I560" i="8"/>
  <c r="L363" i="8"/>
  <c r="L592" i="8"/>
  <c r="L538" i="8"/>
  <c r="L581" i="8"/>
  <c r="L485" i="8"/>
  <c r="L443" i="8"/>
  <c r="L379" i="8"/>
  <c r="L473" i="8"/>
  <c r="I523" i="8"/>
  <c r="L512" i="8"/>
  <c r="L522" i="8"/>
  <c r="L533" i="8"/>
  <c r="I441" i="8"/>
  <c r="I492" i="8"/>
  <c r="I502" i="8"/>
  <c r="I512" i="8"/>
  <c r="L411" i="8"/>
  <c r="L524" i="8"/>
  <c r="I457" i="8"/>
  <c r="I508" i="8"/>
  <c r="I518" i="8"/>
  <c r="I528" i="8"/>
  <c r="L427" i="8"/>
  <c r="I507" i="8"/>
  <c r="L496" i="8"/>
  <c r="L506" i="8"/>
  <c r="L517" i="8"/>
  <c r="I587" i="8"/>
  <c r="L566" i="8"/>
  <c r="L526" i="8"/>
  <c r="I596" i="8"/>
  <c r="L551" i="8"/>
  <c r="L511" i="8"/>
  <c r="L600" i="8"/>
  <c r="I557" i="8"/>
  <c r="I517" i="8"/>
  <c r="I606" i="8"/>
  <c r="L561" i="8"/>
  <c r="L606" i="8"/>
  <c r="I563" i="8"/>
  <c r="L518" i="8"/>
  <c r="L591" i="8"/>
  <c r="I548" i="8"/>
  <c r="L503" i="8"/>
  <c r="L598" i="8"/>
  <c r="L558" i="8"/>
  <c r="I515" i="8"/>
  <c r="L583" i="8"/>
  <c r="L543" i="8"/>
  <c r="I500" i="8"/>
  <c r="I589" i="8"/>
  <c r="I549" i="8"/>
  <c r="L504" i="8"/>
  <c r="L593" i="8"/>
  <c r="I595" i="8"/>
  <c r="L550" i="8"/>
  <c r="L510" i="8"/>
  <c r="I580" i="8"/>
  <c r="L535" i="8"/>
  <c r="L495" i="8"/>
  <c r="L584" i="8"/>
  <c r="I541" i="8"/>
  <c r="L590" i="8"/>
  <c r="I547" i="8"/>
  <c r="L502" i="8"/>
  <c r="L575" i="8"/>
  <c r="I532" i="8"/>
  <c r="L487" i="8"/>
  <c r="I581" i="8"/>
  <c r="L536" i="8"/>
  <c r="I493" i="8"/>
  <c r="L585" i="8"/>
  <c r="L582" i="8"/>
  <c r="L542" i="8"/>
  <c r="I499" i="8"/>
  <c r="L567" i="8"/>
  <c r="L527" i="8"/>
  <c r="I484" i="8"/>
  <c r="I573" i="8"/>
  <c r="I533" i="8"/>
  <c r="L488" i="8"/>
  <c r="L559" i="8"/>
  <c r="L552" i="8"/>
  <c r="I590" i="8"/>
  <c r="L537" i="8"/>
  <c r="I494" i="8"/>
  <c r="I583" i="8"/>
  <c r="I543" i="8"/>
  <c r="L498" i="8"/>
  <c r="L587" i="8"/>
  <c r="L547" i="8"/>
  <c r="I504" i="8"/>
  <c r="I594" i="8"/>
  <c r="I554" i="8"/>
  <c r="L509" i="8"/>
  <c r="I537" i="8"/>
  <c r="I448" i="8"/>
  <c r="L403" i="8"/>
  <c r="I360" i="8"/>
  <c r="L460" i="8"/>
  <c r="I417" i="8"/>
  <c r="I385" i="8"/>
  <c r="L548" i="8"/>
  <c r="L445" i="8"/>
  <c r="L413" i="8"/>
  <c r="L381" i="8"/>
  <c r="L508" i="8"/>
  <c r="L454" i="8"/>
  <c r="L422" i="8"/>
  <c r="L390" i="8"/>
  <c r="L596" i="8"/>
  <c r="L463" i="8"/>
  <c r="L431" i="8"/>
  <c r="L399" i="8"/>
  <c r="L367" i="8"/>
  <c r="L472" i="8"/>
  <c r="L440" i="8"/>
  <c r="L408" i="8"/>
  <c r="L376" i="8"/>
  <c r="L492" i="8"/>
  <c r="L442" i="8"/>
  <c r="L410" i="8"/>
  <c r="L378" i="8"/>
  <c r="L433" i="8"/>
  <c r="L341" i="8"/>
  <c r="L309" i="8"/>
  <c r="I366" i="8"/>
  <c r="I331" i="8"/>
  <c r="I299" i="8"/>
  <c r="I267" i="8"/>
  <c r="L417" i="8"/>
  <c r="I332" i="8"/>
  <c r="I300" i="8"/>
  <c r="I268" i="8"/>
  <c r="L441" i="8"/>
  <c r="L336" i="8"/>
  <c r="L304" i="8"/>
  <c r="L272" i="8"/>
  <c r="L516" i="8"/>
  <c r="L345" i="8"/>
  <c r="L313" i="8"/>
  <c r="I398" i="8"/>
  <c r="I579" i="8"/>
  <c r="L519" i="8"/>
  <c r="I525" i="8"/>
  <c r="L577" i="8"/>
  <c r="L529" i="8"/>
  <c r="L489" i="8"/>
  <c r="L578" i="8"/>
  <c r="I535" i="8"/>
  <c r="I495" i="8"/>
  <c r="I584" i="8"/>
  <c r="L539" i="8"/>
  <c r="L499" i="8"/>
  <c r="L589" i="8"/>
  <c r="I546" i="8"/>
  <c r="I506" i="8"/>
  <c r="L500" i="8"/>
  <c r="I440" i="8"/>
  <c r="I400" i="8"/>
  <c r="L588" i="8"/>
  <c r="L452" i="8"/>
  <c r="L412" i="8"/>
  <c r="L380" i="8"/>
  <c r="I521" i="8"/>
  <c r="I442" i="8"/>
  <c r="I410" i="8"/>
  <c r="I378" i="8"/>
  <c r="I489" i="8"/>
  <c r="I451" i="8"/>
  <c r="I419" i="8"/>
  <c r="I387" i="8"/>
  <c r="I569" i="8"/>
  <c r="I460" i="8"/>
  <c r="I428" i="8"/>
  <c r="I396" i="8"/>
  <c r="I364" i="8"/>
  <c r="I469" i="8"/>
  <c r="I437" i="8"/>
  <c r="I405" i="8"/>
  <c r="I373" i="8"/>
  <c r="I471" i="8"/>
  <c r="I439" i="8"/>
  <c r="I407" i="8"/>
  <c r="I375" i="8"/>
  <c r="I406" i="8"/>
  <c r="I338" i="8"/>
  <c r="I306" i="8"/>
  <c r="L358" i="8"/>
  <c r="L326" i="8"/>
  <c r="L294" i="8"/>
  <c r="L262" i="8"/>
  <c r="I390" i="8"/>
  <c r="L327" i="8"/>
  <c r="L295" i="8"/>
  <c r="L263" i="8"/>
  <c r="I414" i="8"/>
  <c r="I333" i="8"/>
  <c r="I301" i="8"/>
  <c r="I269" i="8"/>
  <c r="L465" i="8"/>
  <c r="I342" i="8"/>
  <c r="I310" i="8"/>
  <c r="L361" i="8"/>
  <c r="I327" i="8"/>
  <c r="I295" i="8"/>
  <c r="L574" i="8"/>
  <c r="I516" i="8"/>
  <c r="L520" i="8"/>
  <c r="I574" i="8"/>
  <c r="I526" i="8"/>
  <c r="L481" i="8"/>
  <c r="I575" i="8"/>
  <c r="L530" i="8"/>
  <c r="I487" i="8"/>
  <c r="L579" i="8"/>
  <c r="I536" i="8"/>
  <c r="L491" i="8"/>
  <c r="I586" i="8"/>
  <c r="L541" i="8"/>
  <c r="I498" i="8"/>
  <c r="I475" i="8"/>
  <c r="L435" i="8"/>
  <c r="I392" i="8"/>
  <c r="I561" i="8"/>
  <c r="I449" i="8"/>
  <c r="I409" i="8"/>
  <c r="I377" i="8"/>
  <c r="L469" i="8"/>
  <c r="L437" i="8"/>
  <c r="L405" i="8"/>
  <c r="L373" i="8"/>
  <c r="L486" i="8"/>
  <c r="L446" i="8"/>
  <c r="L414" i="8"/>
  <c r="L382" i="8"/>
  <c r="L532" i="8"/>
  <c r="L455" i="8"/>
  <c r="L423" i="8"/>
  <c r="L391" i="8"/>
  <c r="L359" i="8"/>
  <c r="L464" i="8"/>
  <c r="L432" i="8"/>
  <c r="L400" i="8"/>
  <c r="L368" i="8"/>
  <c r="L466" i="8"/>
  <c r="L434" i="8"/>
  <c r="L402" i="8"/>
  <c r="L370" i="8"/>
  <c r="L369" i="8"/>
  <c r="L333" i="8"/>
  <c r="L301" i="8"/>
  <c r="I355" i="8"/>
  <c r="I323" i="8"/>
  <c r="I291" i="8"/>
  <c r="I259" i="8"/>
  <c r="I356" i="8"/>
  <c r="I324" i="8"/>
  <c r="I292" i="8"/>
  <c r="I260" i="8"/>
  <c r="L377" i="8"/>
  <c r="L328" i="8"/>
  <c r="L296" i="8"/>
  <c r="L264" i="8"/>
  <c r="I438" i="8"/>
  <c r="L337" i="8"/>
  <c r="L305" i="8"/>
  <c r="L354" i="8"/>
  <c r="L322" i="8"/>
  <c r="L290" i="8"/>
  <c r="L258" i="8"/>
  <c r="I382" i="8"/>
  <c r="I329" i="8"/>
  <c r="I297" i="8"/>
  <c r="I265" i="8"/>
  <c r="I290" i="8"/>
  <c r="L228" i="8"/>
  <c r="L196" i="8"/>
  <c r="L164" i="8"/>
  <c r="L307" i="8"/>
  <c r="L229" i="8"/>
  <c r="L197" i="8"/>
  <c r="L165" i="8"/>
  <c r="L331" i="8"/>
  <c r="I227" i="8"/>
  <c r="I195" i="8"/>
  <c r="I163" i="8"/>
  <c r="L291" i="8"/>
  <c r="L231" i="8"/>
  <c r="L199" i="8"/>
  <c r="L167" i="8"/>
  <c r="L534" i="8"/>
  <c r="L479" i="8"/>
  <c r="I509" i="8"/>
  <c r="L569" i="8"/>
  <c r="L521" i="8"/>
  <c r="I478" i="8"/>
  <c r="I567" i="8"/>
  <c r="I527" i="8"/>
  <c r="L482" i="8"/>
  <c r="L571" i="8"/>
  <c r="L531" i="8"/>
  <c r="I488" i="8"/>
  <c r="I578" i="8"/>
  <c r="I538" i="8"/>
  <c r="L493" i="8"/>
  <c r="I472" i="8"/>
  <c r="I432" i="8"/>
  <c r="L387" i="8"/>
  <c r="I497" i="8"/>
  <c r="L444" i="8"/>
  <c r="L404" i="8"/>
  <c r="L372" i="8"/>
  <c r="I466" i="8"/>
  <c r="I434" i="8"/>
  <c r="I402" i="8"/>
  <c r="I370" i="8"/>
  <c r="L476" i="8"/>
  <c r="I443" i="8"/>
  <c r="I411" i="8"/>
  <c r="I379" i="8"/>
  <c r="I505" i="8"/>
  <c r="I452" i="8"/>
  <c r="I420" i="8"/>
  <c r="I388" i="8"/>
  <c r="I593" i="8"/>
  <c r="I461" i="8"/>
  <c r="I429" i="8"/>
  <c r="I397" i="8"/>
  <c r="I365" i="8"/>
  <c r="I463" i="8"/>
  <c r="I431" i="8"/>
  <c r="I399" i="8"/>
  <c r="I367" i="8"/>
  <c r="L360" i="8"/>
  <c r="I330" i="8"/>
  <c r="I298" i="8"/>
  <c r="L350" i="8"/>
  <c r="L318" i="8"/>
  <c r="L286" i="8"/>
  <c r="L254" i="8"/>
  <c r="L351" i="8"/>
  <c r="L319" i="8"/>
  <c r="L287" i="8"/>
  <c r="L255" i="8"/>
  <c r="I357" i="8"/>
  <c r="I325" i="8"/>
  <c r="I293" i="8"/>
  <c r="I261" i="8"/>
  <c r="L401" i="8"/>
  <c r="I334" i="8"/>
  <c r="I302" i="8"/>
  <c r="I351" i="8"/>
  <c r="I319" i="8"/>
  <c r="I287" i="8"/>
  <c r="L607" i="8"/>
  <c r="I597" i="8"/>
  <c r="I485" i="8"/>
  <c r="L553" i="8"/>
  <c r="I510" i="8"/>
  <c r="I599" i="8"/>
  <c r="I559" i="8"/>
  <c r="L514" i="8"/>
  <c r="L603" i="8"/>
  <c r="L563" i="8"/>
  <c r="I520" i="8"/>
  <c r="L475" i="8"/>
  <c r="I570" i="8"/>
  <c r="L525" i="8"/>
  <c r="I482" i="8"/>
  <c r="I464" i="8"/>
  <c r="L419" i="8"/>
  <c r="I376" i="8"/>
  <c r="L484" i="8"/>
  <c r="I433" i="8"/>
  <c r="L396" i="8"/>
  <c r="L364" i="8"/>
  <c r="I458" i="8"/>
  <c r="I426" i="8"/>
  <c r="I394" i="8"/>
  <c r="I362" i="8"/>
  <c r="I467" i="8"/>
  <c r="I435" i="8"/>
  <c r="I403" i="8"/>
  <c r="I371" i="8"/>
  <c r="I474" i="8"/>
  <c r="I444" i="8"/>
  <c r="I412" i="8"/>
  <c r="I380" i="8"/>
  <c r="I529" i="8"/>
  <c r="I453" i="8"/>
  <c r="I421" i="8"/>
  <c r="I389" i="8"/>
  <c r="I577" i="8"/>
  <c r="I455" i="8"/>
  <c r="I423" i="8"/>
  <c r="I391" i="8"/>
  <c r="I359" i="8"/>
  <c r="I354" i="8"/>
  <c r="I322" i="8"/>
  <c r="L457" i="8"/>
  <c r="L342" i="8"/>
  <c r="L310" i="8"/>
  <c r="L278" i="8"/>
  <c r="L246" i="8"/>
  <c r="L343" i="8"/>
  <c r="L311" i="8"/>
  <c r="L279" i="8"/>
  <c r="L247" i="8"/>
  <c r="I349" i="8"/>
  <c r="I317" i="8"/>
  <c r="I285" i="8"/>
  <c r="I253" i="8"/>
  <c r="I358" i="8"/>
  <c r="I326" i="8"/>
  <c r="I294" i="8"/>
  <c r="I343" i="8"/>
  <c r="I311" i="8"/>
  <c r="L599" i="8"/>
  <c r="L568" i="8"/>
  <c r="I477" i="8"/>
  <c r="L545" i="8"/>
  <c r="L505" i="8"/>
  <c r="L594" i="8"/>
  <c r="I551" i="8"/>
  <c r="I511" i="8"/>
  <c r="I600" i="8"/>
  <c r="L555" i="8"/>
  <c r="L515" i="8"/>
  <c r="L605" i="8"/>
  <c r="I562" i="8"/>
  <c r="I522" i="8"/>
  <c r="L477" i="8"/>
  <c r="I456" i="8"/>
  <c r="I416" i="8"/>
  <c r="L371" i="8"/>
  <c r="L468" i="8"/>
  <c r="L428" i="8"/>
  <c r="I393" i="8"/>
  <c r="I361" i="8"/>
  <c r="L453" i="8"/>
  <c r="L421" i="8"/>
  <c r="L389" i="8"/>
  <c r="L572" i="8"/>
  <c r="L462" i="8"/>
  <c r="L430" i="8"/>
  <c r="L398" i="8"/>
  <c r="L366" i="8"/>
  <c r="L471" i="8"/>
  <c r="L439" i="8"/>
  <c r="L407" i="8"/>
  <c r="L375" i="8"/>
  <c r="I481" i="8"/>
  <c r="L448" i="8"/>
  <c r="L416" i="8"/>
  <c r="L384" i="8"/>
  <c r="L540" i="8"/>
  <c r="L450" i="8"/>
  <c r="L418" i="8"/>
  <c r="L386" i="8"/>
  <c r="I553" i="8"/>
  <c r="L349" i="8"/>
  <c r="L317" i="8"/>
  <c r="I430" i="8"/>
  <c r="I339" i="8"/>
  <c r="I307" i="8"/>
  <c r="I275" i="8"/>
  <c r="I243" i="8"/>
  <c r="I340" i="8"/>
  <c r="I308" i="8"/>
  <c r="I276" i="8"/>
  <c r="I244" i="8"/>
  <c r="L344" i="8"/>
  <c r="L312" i="8"/>
  <c r="L280" i="8"/>
  <c r="L248" i="8"/>
  <c r="L353" i="8"/>
  <c r="L321" i="8"/>
  <c r="I462" i="8"/>
  <c r="L338" i="8"/>
  <c r="L306" i="8"/>
  <c r="L274" i="8"/>
  <c r="L242" i="8"/>
  <c r="I345" i="8"/>
  <c r="I313" i="8"/>
  <c r="I281" i="8"/>
  <c r="I249" i="8"/>
  <c r="L265" i="8"/>
  <c r="L212" i="8"/>
  <c r="L180" i="8"/>
  <c r="L148" i="8"/>
  <c r="L269" i="8"/>
  <c r="L213" i="8"/>
  <c r="L181" i="8"/>
  <c r="L149" i="8"/>
  <c r="L277" i="8"/>
  <c r="I211" i="8"/>
  <c r="I179" i="8"/>
  <c r="I147" i="8"/>
  <c r="I246" i="8"/>
  <c r="L215" i="8"/>
  <c r="L183" i="8"/>
  <c r="I542" i="8"/>
  <c r="I503" i="8"/>
  <c r="I602" i="8"/>
  <c r="L451" i="8"/>
  <c r="L420" i="8"/>
  <c r="I418" i="8"/>
  <c r="I427" i="8"/>
  <c r="I436" i="8"/>
  <c r="I445" i="8"/>
  <c r="I447" i="8"/>
  <c r="I346" i="8"/>
  <c r="L302" i="8"/>
  <c r="L303" i="8"/>
  <c r="I309" i="8"/>
  <c r="I318" i="8"/>
  <c r="L298" i="8"/>
  <c r="I247" i="8"/>
  <c r="I337" i="8"/>
  <c r="L292" i="8"/>
  <c r="L252" i="8"/>
  <c r="L236" i="8"/>
  <c r="I193" i="8"/>
  <c r="I153" i="8"/>
  <c r="L237" i="8"/>
  <c r="I194" i="8"/>
  <c r="I154" i="8"/>
  <c r="I235" i="8"/>
  <c r="L190" i="8"/>
  <c r="L150" i="8"/>
  <c r="L239" i="8"/>
  <c r="I196" i="8"/>
  <c r="I156" i="8"/>
  <c r="I254" i="8"/>
  <c r="I213" i="8"/>
  <c r="I181" i="8"/>
  <c r="I149" i="8"/>
  <c r="L243" i="8"/>
  <c r="I214" i="8"/>
  <c r="I182" i="8"/>
  <c r="I150" i="8"/>
  <c r="I272" i="8"/>
  <c r="L227" i="8"/>
  <c r="L195" i="8"/>
  <c r="L163" i="8"/>
  <c r="L194" i="8"/>
  <c r="L116" i="8"/>
  <c r="L84" i="8"/>
  <c r="L52" i="8"/>
  <c r="L218" i="8"/>
  <c r="I114" i="8"/>
  <c r="I82" i="8"/>
  <c r="I50" i="8"/>
  <c r="L178" i="8"/>
  <c r="I115" i="8"/>
  <c r="I83" i="8"/>
  <c r="I51" i="8"/>
  <c r="I336" i="8"/>
  <c r="L127" i="8"/>
  <c r="L95" i="8"/>
  <c r="L63" i="8"/>
  <c r="L31" i="8"/>
  <c r="I139" i="8"/>
  <c r="I109" i="8"/>
  <c r="I77" i="8"/>
  <c r="I45" i="8"/>
  <c r="I223" i="8"/>
  <c r="I118" i="8"/>
  <c r="I86" i="8"/>
  <c r="I54" i="8"/>
  <c r="L299" i="8"/>
  <c r="L123" i="8"/>
  <c r="L91" i="8"/>
  <c r="L59" i="8"/>
  <c r="L27" i="8"/>
  <c r="L106" i="8"/>
  <c r="L66" i="8"/>
  <c r="I63" i="8"/>
  <c r="I87" i="8"/>
  <c r="I20" i="8"/>
  <c r="L21" i="8"/>
  <c r="L17" i="8"/>
  <c r="I558" i="8"/>
  <c r="L447" i="8"/>
  <c r="L320" i="8"/>
  <c r="I531" i="8"/>
  <c r="L513" i="8"/>
  <c r="I479" i="8"/>
  <c r="L573" i="8"/>
  <c r="I424" i="8"/>
  <c r="I401" i="8"/>
  <c r="L397" i="8"/>
  <c r="L406" i="8"/>
  <c r="L415" i="8"/>
  <c r="L424" i="8"/>
  <c r="L426" i="8"/>
  <c r="L325" i="8"/>
  <c r="I283" i="8"/>
  <c r="I284" i="8"/>
  <c r="L288" i="8"/>
  <c r="L297" i="8"/>
  <c r="L282" i="8"/>
  <c r="L580" i="8"/>
  <c r="L332" i="8"/>
  <c r="I289" i="8"/>
  <c r="L244" i="8"/>
  <c r="I233" i="8"/>
  <c r="L188" i="8"/>
  <c r="I145" i="8"/>
  <c r="I234" i="8"/>
  <c r="L189" i="8"/>
  <c r="I146" i="8"/>
  <c r="L230" i="8"/>
  <c r="I187" i="8"/>
  <c r="L385" i="8"/>
  <c r="I236" i="8"/>
  <c r="L191" i="8"/>
  <c r="L151" i="8"/>
  <c r="I248" i="8"/>
  <c r="L208" i="8"/>
  <c r="L176" i="8"/>
  <c r="L144" i="8"/>
  <c r="L240" i="8"/>
  <c r="L209" i="8"/>
  <c r="L177" i="8"/>
  <c r="L145" i="8"/>
  <c r="L259" i="8"/>
  <c r="I224" i="8"/>
  <c r="I192" i="8"/>
  <c r="I160" i="8"/>
  <c r="I167" i="8"/>
  <c r="I113" i="8"/>
  <c r="I81" i="8"/>
  <c r="I49" i="8"/>
  <c r="I191" i="8"/>
  <c r="L109" i="8"/>
  <c r="L77" i="8"/>
  <c r="L45" i="8"/>
  <c r="I151" i="8"/>
  <c r="L110" i="8"/>
  <c r="L78" i="8"/>
  <c r="L46" i="8"/>
  <c r="I264" i="8"/>
  <c r="I124" i="8"/>
  <c r="I92" i="8"/>
  <c r="I60" i="8"/>
  <c r="I28" i="8"/>
  <c r="L136" i="8"/>
  <c r="L104" i="8"/>
  <c r="L72" i="8"/>
  <c r="L40" i="8"/>
  <c r="L186" i="8"/>
  <c r="L113" i="8"/>
  <c r="L81" i="8"/>
  <c r="L49" i="8"/>
  <c r="L234" i="8"/>
  <c r="I120" i="8"/>
  <c r="I88" i="8"/>
  <c r="I56" i="8"/>
  <c r="I24" i="8"/>
  <c r="I79" i="8"/>
  <c r="I39" i="8"/>
  <c r="L26" i="8"/>
  <c r="L50" i="8"/>
  <c r="L15" i="8"/>
  <c r="L16" i="8"/>
  <c r="I14" i="8"/>
  <c r="L436" i="8"/>
  <c r="L458" i="8"/>
  <c r="I303" i="8"/>
  <c r="I564" i="8"/>
  <c r="L497" i="8"/>
  <c r="L595" i="8"/>
  <c r="L557" i="8"/>
  <c r="I408" i="8"/>
  <c r="L388" i="8"/>
  <c r="I386" i="8"/>
  <c r="I395" i="8"/>
  <c r="I404" i="8"/>
  <c r="I413" i="8"/>
  <c r="I415" i="8"/>
  <c r="I314" i="8"/>
  <c r="L270" i="8"/>
  <c r="L271" i="8"/>
  <c r="I277" i="8"/>
  <c r="L425" i="8"/>
  <c r="I279" i="8"/>
  <c r="I446" i="8"/>
  <c r="L324" i="8"/>
  <c r="L284" i="8"/>
  <c r="L347" i="8"/>
  <c r="I225" i="8"/>
  <c r="I185" i="8"/>
  <c r="L140" i="8"/>
  <c r="I226" i="8"/>
  <c r="I186" i="8"/>
  <c r="L141" i="8"/>
  <c r="L222" i="8"/>
  <c r="L182" i="8"/>
  <c r="L355" i="8"/>
  <c r="I228" i="8"/>
  <c r="I188" i="8"/>
  <c r="I148" i="8"/>
  <c r="I237" i="8"/>
  <c r="I205" i="8"/>
  <c r="I173" i="8"/>
  <c r="I141" i="8"/>
  <c r="I238" i="8"/>
  <c r="I206" i="8"/>
  <c r="I174" i="8"/>
  <c r="I142" i="8"/>
  <c r="L257" i="8"/>
  <c r="L219" i="8"/>
  <c r="L187" i="8"/>
  <c r="L155" i="8"/>
  <c r="L138" i="8"/>
  <c r="L108" i="8"/>
  <c r="L76" i="8"/>
  <c r="L44" i="8"/>
  <c r="L154" i="8"/>
  <c r="I106" i="8"/>
  <c r="I74" i="8"/>
  <c r="I42" i="8"/>
  <c r="L142" i="8"/>
  <c r="I107" i="8"/>
  <c r="I75" i="8"/>
  <c r="I43" i="8"/>
  <c r="L249" i="8"/>
  <c r="L119" i="8"/>
  <c r="L87" i="8"/>
  <c r="L55" i="8"/>
  <c r="L23" i="8"/>
  <c r="I133" i="8"/>
  <c r="I101" i="8"/>
  <c r="I69" i="8"/>
  <c r="I37" i="8"/>
  <c r="I159" i="8"/>
  <c r="I110" i="8"/>
  <c r="I78" i="8"/>
  <c r="I46" i="8"/>
  <c r="I207" i="8"/>
  <c r="L115" i="8"/>
  <c r="L83" i="8"/>
  <c r="L51" i="8"/>
  <c r="I183" i="8"/>
  <c r="L42" i="8"/>
  <c r="I22" i="8"/>
  <c r="L20" i="8"/>
  <c r="I19" i="8"/>
  <c r="I12" i="8"/>
  <c r="I13" i="8"/>
  <c r="I605" i="8"/>
  <c r="I607" i="8"/>
  <c r="I568" i="8"/>
  <c r="I530" i="8"/>
  <c r="I384" i="8"/>
  <c r="I369" i="8"/>
  <c r="L365" i="8"/>
  <c r="L374" i="8"/>
  <c r="L383" i="8"/>
  <c r="L392" i="8"/>
  <c r="L394" i="8"/>
  <c r="L293" i="8"/>
  <c r="I251" i="8"/>
  <c r="I252" i="8"/>
  <c r="L256" i="8"/>
  <c r="L346" i="8"/>
  <c r="I271" i="8"/>
  <c r="L409" i="8"/>
  <c r="I321" i="8"/>
  <c r="L276" i="8"/>
  <c r="I320" i="8"/>
  <c r="L220" i="8"/>
  <c r="I177" i="8"/>
  <c r="I344" i="8"/>
  <c r="L221" i="8"/>
  <c r="I178" i="8"/>
  <c r="I138" i="8"/>
  <c r="I219" i="8"/>
  <c r="L174" i="8"/>
  <c r="I328" i="8"/>
  <c r="L223" i="8"/>
  <c r="I180" i="8"/>
  <c r="L143" i="8"/>
  <c r="L232" i="8"/>
  <c r="L200" i="8"/>
  <c r="L168" i="8"/>
  <c r="L339" i="8"/>
  <c r="L233" i="8"/>
  <c r="L201" i="8"/>
  <c r="L169" i="8"/>
  <c r="I422" i="8"/>
  <c r="L253" i="8"/>
  <c r="I216" i="8"/>
  <c r="I184" i="8"/>
  <c r="I152" i="8"/>
  <c r="I137" i="8"/>
  <c r="I105" i="8"/>
  <c r="I73" i="8"/>
  <c r="I41" i="8"/>
  <c r="L133" i="8"/>
  <c r="L101" i="8"/>
  <c r="L69" i="8"/>
  <c r="L37" i="8"/>
  <c r="L134" i="8"/>
  <c r="L102" i="8"/>
  <c r="L70" i="8"/>
  <c r="L38" i="8"/>
  <c r="I239" i="8"/>
  <c r="I116" i="8"/>
  <c r="I84" i="8"/>
  <c r="I52" i="8"/>
  <c r="I274" i="8"/>
  <c r="L128" i="8"/>
  <c r="L96" i="8"/>
  <c r="L64" i="8"/>
  <c r="L32" i="8"/>
  <c r="L137" i="8"/>
  <c r="L105" i="8"/>
  <c r="L73" i="8"/>
  <c r="L41" i="8"/>
  <c r="L170" i="8"/>
  <c r="I112" i="8"/>
  <c r="I80" i="8"/>
  <c r="I48" i="8"/>
  <c r="I119" i="8"/>
  <c r="L19" i="8"/>
  <c r="I17" i="8"/>
  <c r="I18" i="8"/>
  <c r="L14" i="8"/>
  <c r="I135" i="8"/>
  <c r="L210" i="8"/>
  <c r="L483" i="8"/>
  <c r="L456" i="8"/>
  <c r="L329" i="8"/>
  <c r="I565" i="8"/>
  <c r="I591" i="8"/>
  <c r="I552" i="8"/>
  <c r="I514" i="8"/>
  <c r="I368" i="8"/>
  <c r="I585" i="8"/>
  <c r="I545" i="8"/>
  <c r="I363" i="8"/>
  <c r="I372" i="8"/>
  <c r="I381" i="8"/>
  <c r="I383" i="8"/>
  <c r="L393" i="8"/>
  <c r="I454" i="8"/>
  <c r="I483" i="8"/>
  <c r="I245" i="8"/>
  <c r="I335" i="8"/>
  <c r="L266" i="8"/>
  <c r="L356" i="8"/>
  <c r="L316" i="8"/>
  <c r="I273" i="8"/>
  <c r="I286" i="8"/>
  <c r="I217" i="8"/>
  <c r="L172" i="8"/>
  <c r="I288" i="8"/>
  <c r="I218" i="8"/>
  <c r="L173" i="8"/>
  <c r="I304" i="8"/>
  <c r="L214" i="8"/>
  <c r="I171" i="8"/>
  <c r="L289" i="8"/>
  <c r="I220" i="8"/>
  <c r="L175" i="8"/>
  <c r="I140" i="8"/>
  <c r="I229" i="8"/>
  <c r="I197" i="8"/>
  <c r="I165" i="8"/>
  <c r="I312" i="8"/>
  <c r="I230" i="8"/>
  <c r="I198" i="8"/>
  <c r="I166" i="8"/>
  <c r="L323" i="8"/>
  <c r="L241" i="8"/>
  <c r="L211" i="8"/>
  <c r="L179" i="8"/>
  <c r="L147" i="8"/>
  <c r="L132" i="8"/>
  <c r="L100" i="8"/>
  <c r="L68" i="8"/>
  <c r="L36" i="8"/>
  <c r="I130" i="8"/>
  <c r="I98" i="8"/>
  <c r="I66" i="8"/>
  <c r="I34" i="8"/>
  <c r="I131" i="8"/>
  <c r="I99" i="8"/>
  <c r="I67" i="8"/>
  <c r="I35" i="8"/>
  <c r="L202" i="8"/>
  <c r="L111" i="8"/>
  <c r="L79" i="8"/>
  <c r="L47" i="8"/>
  <c r="L245" i="8"/>
  <c r="I125" i="8"/>
  <c r="I93" i="8"/>
  <c r="I61" i="8"/>
  <c r="I29" i="8"/>
  <c r="I134" i="8"/>
  <c r="I102" i="8"/>
  <c r="I70" i="8"/>
  <c r="I38" i="8"/>
  <c r="I143" i="8"/>
  <c r="L107" i="8"/>
  <c r="L75" i="8"/>
  <c r="L43" i="8"/>
  <c r="L82" i="8"/>
  <c r="I16" i="8"/>
  <c r="L12" i="8"/>
  <c r="L13" i="8"/>
  <c r="I11" i="8"/>
  <c r="L98" i="8"/>
  <c r="L122" i="8"/>
  <c r="I519" i="8"/>
  <c r="L438" i="8"/>
  <c r="L357" i="8"/>
  <c r="L250" i="8"/>
  <c r="I501" i="8"/>
  <c r="L562" i="8"/>
  <c r="L523" i="8"/>
  <c r="I490" i="8"/>
  <c r="L494" i="8"/>
  <c r="L461" i="8"/>
  <c r="L470" i="8"/>
  <c r="I491" i="8"/>
  <c r="L556" i="8"/>
  <c r="L604" i="8"/>
  <c r="L362" i="8"/>
  <c r="I347" i="8"/>
  <c r="I348" i="8"/>
  <c r="L352" i="8"/>
  <c r="I374" i="8"/>
  <c r="L330" i="8"/>
  <c r="I263" i="8"/>
  <c r="I353" i="8"/>
  <c r="L308" i="8"/>
  <c r="L268" i="8"/>
  <c r="I280" i="8"/>
  <c r="I209" i="8"/>
  <c r="I169" i="8"/>
  <c r="L275" i="8"/>
  <c r="I210" i="8"/>
  <c r="I170" i="8"/>
  <c r="L283" i="8"/>
  <c r="L206" i="8"/>
  <c r="L166" i="8"/>
  <c r="L285" i="8"/>
  <c r="I212" i="8"/>
  <c r="I172" i="8"/>
  <c r="I352" i="8"/>
  <c r="L224" i="8"/>
  <c r="L192" i="8"/>
  <c r="L160" i="8"/>
  <c r="I266" i="8"/>
  <c r="L225" i="8"/>
  <c r="L193" i="8"/>
  <c r="L161" i="8"/>
  <c r="I296" i="8"/>
  <c r="I240" i="8"/>
  <c r="I208" i="8"/>
  <c r="I176" i="8"/>
  <c r="I144" i="8"/>
  <c r="I129" i="8"/>
  <c r="I97" i="8"/>
  <c r="I65" i="8"/>
  <c r="I33" i="8"/>
  <c r="L125" i="8"/>
  <c r="L93" i="8"/>
  <c r="L61" i="8"/>
  <c r="L29" i="8"/>
  <c r="L126" i="8"/>
  <c r="L94" i="8"/>
  <c r="L62" i="8"/>
  <c r="L30" i="8"/>
  <c r="I175" i="8"/>
  <c r="I108" i="8"/>
  <c r="I76" i="8"/>
  <c r="I44" i="8"/>
  <c r="L226" i="8"/>
  <c r="L120" i="8"/>
  <c r="L88" i="8"/>
  <c r="L56" i="8"/>
  <c r="L24" i="8"/>
  <c r="L129" i="8"/>
  <c r="L97" i="8"/>
  <c r="L65" i="8"/>
  <c r="L33" i="8"/>
  <c r="I136" i="8"/>
  <c r="I104" i="8"/>
  <c r="I72" i="8"/>
  <c r="I40" i="8"/>
  <c r="I55" i="8"/>
  <c r="L11" i="8"/>
  <c r="L251" i="8"/>
  <c r="I270" i="8"/>
  <c r="I111" i="8"/>
  <c r="I71" i="8"/>
  <c r="I95" i="8"/>
  <c r="L467" i="8"/>
  <c r="I315" i="8"/>
  <c r="L340" i="8"/>
  <c r="L601" i="8"/>
  <c r="L546" i="8"/>
  <c r="L507" i="8"/>
  <c r="I601" i="8"/>
  <c r="I465" i="8"/>
  <c r="I450" i="8"/>
  <c r="I459" i="8"/>
  <c r="I468" i="8"/>
  <c r="L478" i="8"/>
  <c r="I513" i="8"/>
  <c r="I470" i="8"/>
  <c r="L334" i="8"/>
  <c r="L335" i="8"/>
  <c r="I341" i="8"/>
  <c r="I350" i="8"/>
  <c r="L314" i="8"/>
  <c r="I255" i="8"/>
  <c r="L348" i="8"/>
  <c r="I305" i="8"/>
  <c r="L260" i="8"/>
  <c r="L267" i="8"/>
  <c r="L204" i="8"/>
  <c r="I161" i="8"/>
  <c r="L273" i="8"/>
  <c r="L205" i="8"/>
  <c r="I162" i="8"/>
  <c r="L281" i="8"/>
  <c r="I203" i="8"/>
  <c r="L158" i="8"/>
  <c r="I250" i="8"/>
  <c r="L207" i="8"/>
  <c r="I164" i="8"/>
  <c r="L315" i="8"/>
  <c r="I221" i="8"/>
  <c r="I189" i="8"/>
  <c r="I157" i="8"/>
  <c r="I262" i="8"/>
  <c r="I222" i="8"/>
  <c r="I190" i="8"/>
  <c r="I158" i="8"/>
  <c r="I282" i="8"/>
  <c r="L235" i="8"/>
  <c r="L203" i="8"/>
  <c r="L171" i="8"/>
  <c r="L139" i="8"/>
  <c r="L124" i="8"/>
  <c r="L92" i="8"/>
  <c r="L60" i="8"/>
  <c r="L28" i="8"/>
  <c r="I122" i="8"/>
  <c r="I90" i="8"/>
  <c r="I58" i="8"/>
  <c r="I26" i="8"/>
  <c r="I123" i="8"/>
  <c r="I91" i="8"/>
  <c r="I59" i="8"/>
  <c r="I27" i="8"/>
  <c r="L135" i="8"/>
  <c r="L103" i="8"/>
  <c r="L71" i="8"/>
  <c r="L39" i="8"/>
  <c r="I199" i="8"/>
  <c r="I117" i="8"/>
  <c r="I85" i="8"/>
  <c r="I53" i="8"/>
  <c r="I21" i="8"/>
  <c r="I126" i="8"/>
  <c r="I94" i="8"/>
  <c r="I62" i="8"/>
  <c r="I30" i="8"/>
  <c r="L131" i="8"/>
  <c r="L99" i="8"/>
  <c r="L67" i="8"/>
  <c r="L35" i="8"/>
  <c r="L18" i="8"/>
  <c r="L130" i="8"/>
  <c r="I127" i="8"/>
  <c r="L146" i="8"/>
  <c r="L74" i="8"/>
  <c r="L34" i="8"/>
  <c r="L58" i="8"/>
  <c r="L429" i="8"/>
  <c r="I316" i="8"/>
  <c r="L300" i="8"/>
  <c r="L238" i="8"/>
  <c r="L184" i="8"/>
  <c r="I200" i="8"/>
  <c r="L85" i="8"/>
  <c r="I100" i="8"/>
  <c r="L121" i="8"/>
  <c r="I15" i="8"/>
  <c r="I278" i="8"/>
  <c r="I64" i="8"/>
  <c r="I31" i="8"/>
  <c r="I257" i="8"/>
  <c r="L198" i="8"/>
  <c r="L152" i="8"/>
  <c r="I168" i="8"/>
  <c r="L53" i="8"/>
  <c r="I68" i="8"/>
  <c r="L89" i="8"/>
  <c r="I103" i="8"/>
  <c r="L261" i="8"/>
  <c r="I155" i="8"/>
  <c r="I256" i="8"/>
  <c r="I231" i="8"/>
  <c r="I215" i="8"/>
  <c r="I36" i="8"/>
  <c r="L57" i="8"/>
  <c r="L90" i="8"/>
  <c r="I201" i="8"/>
  <c r="I242" i="8"/>
  <c r="L217" i="8"/>
  <c r="I121" i="8"/>
  <c r="L118" i="8"/>
  <c r="L162" i="8"/>
  <c r="L25" i="8"/>
  <c r="L114" i="8"/>
  <c r="I25" i="8"/>
  <c r="L156" i="8"/>
  <c r="I204" i="8"/>
  <c r="L185" i="8"/>
  <c r="I89" i="8"/>
  <c r="L86" i="8"/>
  <c r="L112" i="8"/>
  <c r="I128" i="8"/>
  <c r="I47" i="8"/>
  <c r="L22" i="8"/>
  <c r="I241" i="8"/>
  <c r="L159" i="8"/>
  <c r="L153" i="8"/>
  <c r="I57" i="8"/>
  <c r="L54" i="8"/>
  <c r="L80" i="8"/>
  <c r="I96" i="8"/>
  <c r="I23" i="8"/>
  <c r="I202" i="8"/>
  <c r="L48" i="8"/>
  <c r="L157" i="8"/>
  <c r="L216" i="8"/>
  <c r="I232" i="8"/>
  <c r="L117" i="8"/>
  <c r="I132" i="8"/>
  <c r="L449" i="8"/>
  <c r="I32" i="8"/>
  <c r="I258" i="8"/>
  <c r="L581" i="7"/>
  <c r="L549" i="7"/>
  <c r="L517" i="7"/>
  <c r="L485" i="7"/>
  <c r="L590" i="7"/>
  <c r="L558" i="7"/>
  <c r="L526" i="7"/>
  <c r="L494" i="7"/>
  <c r="I596" i="7"/>
  <c r="I564" i="7"/>
  <c r="I532" i="7"/>
  <c r="I500" i="7"/>
  <c r="L600" i="7"/>
  <c r="L568" i="7"/>
  <c r="L536" i="7"/>
  <c r="L504" i="7"/>
  <c r="I606" i="7"/>
  <c r="I574" i="7"/>
  <c r="I542" i="7"/>
  <c r="I510" i="7"/>
  <c r="I478" i="7"/>
  <c r="L578" i="7"/>
  <c r="L546" i="7"/>
  <c r="L514" i="7"/>
  <c r="L482" i="7"/>
  <c r="L507" i="7"/>
  <c r="L451" i="7"/>
  <c r="L419" i="7"/>
  <c r="L387" i="7"/>
  <c r="I537" i="7"/>
  <c r="L452" i="7"/>
  <c r="L420" i="7"/>
  <c r="L388" i="7"/>
  <c r="L531" i="7"/>
  <c r="L453" i="7"/>
  <c r="L421" i="7"/>
  <c r="L389" i="7"/>
  <c r="I529" i="7"/>
  <c r="I459" i="7"/>
  <c r="I427" i="7"/>
  <c r="I395" i="7"/>
  <c r="L555" i="7"/>
  <c r="L463" i="7"/>
  <c r="L431" i="7"/>
  <c r="L399" i="7"/>
  <c r="I553" i="7"/>
  <c r="I461" i="7"/>
  <c r="I429" i="7"/>
  <c r="I397" i="7"/>
  <c r="L515" i="7"/>
  <c r="L367" i="7"/>
  <c r="L335" i="7"/>
  <c r="L303" i="7"/>
  <c r="L271" i="7"/>
  <c r="I383" i="7"/>
  <c r="I349" i="7"/>
  <c r="I317" i="7"/>
  <c r="I285" i="7"/>
  <c r="L441" i="7"/>
  <c r="L353" i="7"/>
  <c r="L321" i="7"/>
  <c r="L289" i="7"/>
  <c r="I471" i="7"/>
  <c r="L370" i="7"/>
  <c r="L338" i="7"/>
  <c r="L306" i="7"/>
  <c r="L274" i="7"/>
  <c r="I382" i="7"/>
  <c r="I352" i="7"/>
  <c r="I320" i="7"/>
  <c r="I288" i="7"/>
  <c r="L418" i="7"/>
  <c r="I353" i="7"/>
  <c r="I321" i="7"/>
  <c r="I289" i="7"/>
  <c r="I323" i="7"/>
  <c r="I260" i="7"/>
  <c r="I228" i="7"/>
  <c r="I196" i="7"/>
  <c r="L457" i="7"/>
  <c r="L264" i="7"/>
  <c r="L232" i="7"/>
  <c r="L200" i="7"/>
  <c r="I423" i="7"/>
  <c r="L265" i="7"/>
  <c r="L605" i="7"/>
  <c r="L573" i="7"/>
  <c r="L541" i="7"/>
  <c r="L509" i="7"/>
  <c r="L477" i="7"/>
  <c r="L582" i="7"/>
  <c r="L550" i="7"/>
  <c r="L518" i="7"/>
  <c r="L486" i="7"/>
  <c r="I588" i="7"/>
  <c r="I556" i="7"/>
  <c r="I524" i="7"/>
  <c r="I492" i="7"/>
  <c r="L592" i="7"/>
  <c r="L560" i="7"/>
  <c r="L528" i="7"/>
  <c r="L496" i="7"/>
  <c r="I598" i="7"/>
  <c r="I566" i="7"/>
  <c r="I534" i="7"/>
  <c r="I502" i="7"/>
  <c r="L602" i="7"/>
  <c r="L570" i="7"/>
  <c r="L538" i="7"/>
  <c r="L506" i="7"/>
  <c r="L603" i="7"/>
  <c r="L475" i="7"/>
  <c r="L443" i="7"/>
  <c r="L411" i="7"/>
  <c r="L379" i="7"/>
  <c r="I505" i="7"/>
  <c r="L444" i="7"/>
  <c r="L412" i="7"/>
  <c r="L380" i="7"/>
  <c r="L499" i="7"/>
  <c r="L445" i="7"/>
  <c r="L413" i="7"/>
  <c r="L381" i="7"/>
  <c r="I497" i="7"/>
  <c r="I451" i="7"/>
  <c r="I419" i="7"/>
  <c r="I387" i="7"/>
  <c r="L523" i="7"/>
  <c r="L455" i="7"/>
  <c r="L423" i="7"/>
  <c r="L391" i="7"/>
  <c r="I521" i="7"/>
  <c r="I453" i="7"/>
  <c r="I421" i="7"/>
  <c r="I389" i="7"/>
  <c r="L449" i="7"/>
  <c r="L359" i="7"/>
  <c r="L327" i="7"/>
  <c r="L295" i="7"/>
  <c r="I481" i="7"/>
  <c r="L374" i="7"/>
  <c r="I341" i="7"/>
  <c r="I309" i="7"/>
  <c r="I277" i="7"/>
  <c r="L409" i="7"/>
  <c r="L345" i="7"/>
  <c r="L313" i="7"/>
  <c r="L281" i="7"/>
  <c r="I439" i="7"/>
  <c r="L362" i="7"/>
  <c r="L330" i="7"/>
  <c r="L298" i="7"/>
  <c r="I528" i="7"/>
  <c r="L375" i="7"/>
  <c r="I344" i="7"/>
  <c r="I312" i="7"/>
  <c r="I280" i="7"/>
  <c r="L386" i="7"/>
  <c r="I345" i="7"/>
  <c r="I313" i="7"/>
  <c r="I281" i="7"/>
  <c r="I291" i="7"/>
  <c r="I252" i="7"/>
  <c r="I220" i="7"/>
  <c r="I188" i="7"/>
  <c r="I362" i="7"/>
  <c r="L256" i="7"/>
  <c r="L224" i="7"/>
  <c r="I602" i="7"/>
  <c r="I570" i="7"/>
  <c r="I538" i="7"/>
  <c r="I506" i="7"/>
  <c r="I474" i="7"/>
  <c r="I579" i="7"/>
  <c r="I547" i="7"/>
  <c r="I515" i="7"/>
  <c r="I483" i="7"/>
  <c r="L583" i="7"/>
  <c r="L551" i="7"/>
  <c r="L519" i="7"/>
  <c r="L487" i="7"/>
  <c r="I589" i="7"/>
  <c r="I557" i="7"/>
  <c r="I525" i="7"/>
  <c r="I493" i="7"/>
  <c r="L593" i="7"/>
  <c r="L561" i="7"/>
  <c r="L529" i="7"/>
  <c r="L497" i="7"/>
  <c r="I599" i="7"/>
  <c r="I567" i="7"/>
  <c r="I535" i="7"/>
  <c r="I503" i="7"/>
  <c r="I584" i="7"/>
  <c r="I472" i="7"/>
  <c r="I440" i="7"/>
  <c r="I408" i="7"/>
  <c r="I376" i="7"/>
  <c r="L492" i="7"/>
  <c r="I441" i="7"/>
  <c r="I409" i="7"/>
  <c r="I377" i="7"/>
  <c r="I480" i="7"/>
  <c r="I442" i="7"/>
  <c r="I410" i="7"/>
  <c r="I378" i="7"/>
  <c r="L484" i="7"/>
  <c r="L446" i="7"/>
  <c r="L414" i="7"/>
  <c r="L382" i="7"/>
  <c r="I504" i="7"/>
  <c r="I452" i="7"/>
  <c r="I420" i="7"/>
  <c r="I388" i="7"/>
  <c r="L508" i="7"/>
  <c r="L448" i="7"/>
  <c r="L416" i="7"/>
  <c r="L384" i="7"/>
  <c r="I430" i="7"/>
  <c r="I356" i="7"/>
  <c r="I324" i="7"/>
  <c r="I292" i="7"/>
  <c r="L466" i="7"/>
  <c r="L368" i="7"/>
  <c r="L336" i="7"/>
  <c r="L304" i="7"/>
  <c r="L272" i="7"/>
  <c r="I390" i="7"/>
  <c r="I342" i="7"/>
  <c r="I310" i="7"/>
  <c r="I278" i="7"/>
  <c r="L426" i="7"/>
  <c r="I359" i="7"/>
  <c r="I327" i="7"/>
  <c r="I295" i="7"/>
  <c r="L465" i="7"/>
  <c r="L371" i="7"/>
  <c r="L339" i="7"/>
  <c r="L307" i="7"/>
  <c r="L596" i="7"/>
  <c r="L372" i="7"/>
  <c r="L340" i="7"/>
  <c r="L308" i="7"/>
  <c r="L276" i="7"/>
  <c r="L278" i="7"/>
  <c r="L247" i="7"/>
  <c r="L215" i="7"/>
  <c r="L183" i="7"/>
  <c r="L349" i="7"/>
  <c r="I253" i="7"/>
  <c r="I221" i="7"/>
  <c r="I189" i="7"/>
  <c r="L334" i="7"/>
  <c r="L597" i="7"/>
  <c r="L565" i="7"/>
  <c r="L533" i="7"/>
  <c r="L501" i="7"/>
  <c r="L606" i="7"/>
  <c r="L574" i="7"/>
  <c r="L542" i="7"/>
  <c r="L510" i="7"/>
  <c r="L478" i="7"/>
  <c r="I580" i="7"/>
  <c r="I548" i="7"/>
  <c r="I516" i="7"/>
  <c r="I484" i="7"/>
  <c r="L584" i="7"/>
  <c r="L552" i="7"/>
  <c r="L520" i="7"/>
  <c r="L488" i="7"/>
  <c r="I590" i="7"/>
  <c r="I558" i="7"/>
  <c r="I526" i="7"/>
  <c r="I494" i="7"/>
  <c r="L594" i="7"/>
  <c r="L562" i="7"/>
  <c r="L530" i="7"/>
  <c r="L498" i="7"/>
  <c r="L571" i="7"/>
  <c r="L467" i="7"/>
  <c r="L435" i="7"/>
  <c r="L403" i="7"/>
  <c r="I601" i="7"/>
  <c r="L468" i="7"/>
  <c r="L436" i="7"/>
  <c r="L404" i="7"/>
  <c r="L595" i="7"/>
  <c r="L469" i="7"/>
  <c r="L437" i="7"/>
  <c r="L405" i="7"/>
  <c r="I593" i="7"/>
  <c r="I473" i="7"/>
  <c r="I443" i="7"/>
  <c r="I411" i="7"/>
  <c r="I379" i="7"/>
  <c r="L491" i="7"/>
  <c r="L447" i="7"/>
  <c r="L415" i="7"/>
  <c r="L383" i="7"/>
  <c r="I489" i="7"/>
  <c r="L589" i="7"/>
  <c r="L557" i="7"/>
  <c r="L525" i="7"/>
  <c r="L493" i="7"/>
  <c r="L598" i="7"/>
  <c r="L566" i="7"/>
  <c r="L534" i="7"/>
  <c r="L502" i="7"/>
  <c r="I604" i="7"/>
  <c r="I572" i="7"/>
  <c r="I540" i="7"/>
  <c r="I508" i="7"/>
  <c r="I476" i="7"/>
  <c r="L576" i="7"/>
  <c r="L544" i="7"/>
  <c r="L512" i="7"/>
  <c r="L480" i="7"/>
  <c r="I582" i="7"/>
  <c r="I550" i="7"/>
  <c r="I518" i="7"/>
  <c r="I486" i="7"/>
  <c r="L586" i="7"/>
  <c r="L554" i="7"/>
  <c r="L522" i="7"/>
  <c r="L490" i="7"/>
  <c r="L539" i="7"/>
  <c r="L459" i="7"/>
  <c r="L427" i="7"/>
  <c r="L395" i="7"/>
  <c r="I569" i="7"/>
  <c r="L460" i="7"/>
  <c r="L428" i="7"/>
  <c r="L396" i="7"/>
  <c r="L563" i="7"/>
  <c r="L461" i="7"/>
  <c r="L429" i="7"/>
  <c r="L397" i="7"/>
  <c r="I561" i="7"/>
  <c r="I467" i="7"/>
  <c r="I435" i="7"/>
  <c r="I403" i="7"/>
  <c r="L587" i="7"/>
  <c r="L471" i="7"/>
  <c r="L439" i="7"/>
  <c r="L407" i="7"/>
  <c r="I585" i="7"/>
  <c r="I469" i="7"/>
  <c r="I437" i="7"/>
  <c r="I405" i="7"/>
  <c r="I373" i="7"/>
  <c r="L385" i="7"/>
  <c r="L343" i="7"/>
  <c r="L311" i="7"/>
  <c r="L279" i="7"/>
  <c r="I415" i="7"/>
  <c r="I357" i="7"/>
  <c r="I325" i="7"/>
  <c r="I293" i="7"/>
  <c r="L483" i="7"/>
  <c r="L361" i="7"/>
  <c r="L329" i="7"/>
  <c r="L297" i="7"/>
  <c r="I577" i="7"/>
  <c r="I380" i="7"/>
  <c r="L346" i="7"/>
  <c r="L314" i="7"/>
  <c r="L282" i="7"/>
  <c r="I414" i="7"/>
  <c r="I360" i="7"/>
  <c r="I328" i="7"/>
  <c r="I296" i="7"/>
  <c r="L450" i="7"/>
  <c r="I361" i="7"/>
  <c r="I329" i="7"/>
  <c r="I297" i="7"/>
  <c r="I355" i="7"/>
  <c r="I268" i="7"/>
  <c r="I236" i="7"/>
  <c r="I204" i="7"/>
  <c r="I172" i="7"/>
  <c r="I298" i="7"/>
  <c r="L240" i="7"/>
  <c r="L208" i="7"/>
  <c r="I530" i="7"/>
  <c r="I587" i="7"/>
  <c r="I499" i="7"/>
  <c r="L543" i="7"/>
  <c r="I597" i="7"/>
  <c r="I509" i="7"/>
  <c r="L553" i="7"/>
  <c r="L473" i="7"/>
  <c r="I519" i="7"/>
  <c r="I464" i="7"/>
  <c r="I384" i="7"/>
  <c r="I425" i="7"/>
  <c r="I466" i="7"/>
  <c r="I386" i="7"/>
  <c r="L430" i="7"/>
  <c r="L474" i="7"/>
  <c r="I396" i="7"/>
  <c r="L440" i="7"/>
  <c r="L376" i="7"/>
  <c r="I348" i="7"/>
  <c r="I284" i="7"/>
  <c r="L360" i="7"/>
  <c r="L296" i="7"/>
  <c r="I366" i="7"/>
  <c r="I302" i="7"/>
  <c r="L394" i="7"/>
  <c r="I319" i="7"/>
  <c r="L433" i="7"/>
  <c r="L331" i="7"/>
  <c r="I463" i="7"/>
  <c r="L332" i="7"/>
  <c r="I455" i="7"/>
  <c r="L239" i="7"/>
  <c r="L175" i="7"/>
  <c r="I245" i="7"/>
  <c r="L184" i="7"/>
  <c r="I283" i="7"/>
  <c r="I238" i="7"/>
  <c r="I206" i="7"/>
  <c r="I174" i="7"/>
  <c r="L275" i="7"/>
  <c r="I239" i="7"/>
  <c r="I207" i="7"/>
  <c r="I175" i="7"/>
  <c r="L326" i="7"/>
  <c r="I256" i="7"/>
  <c r="I224" i="7"/>
  <c r="I192" i="7"/>
  <c r="L365" i="7"/>
  <c r="I265" i="7"/>
  <c r="I233" i="7"/>
  <c r="I201" i="7"/>
  <c r="I251" i="7"/>
  <c r="L160" i="7"/>
  <c r="L128" i="7"/>
  <c r="L96" i="7"/>
  <c r="L350" i="7"/>
  <c r="I166" i="7"/>
  <c r="I134" i="7"/>
  <c r="I102" i="7"/>
  <c r="I70" i="7"/>
  <c r="I179" i="7"/>
  <c r="I143" i="7"/>
  <c r="I111" i="7"/>
  <c r="I79" i="7"/>
  <c r="I218" i="7"/>
  <c r="I152" i="7"/>
  <c r="I120" i="7"/>
  <c r="I88" i="7"/>
  <c r="I273" i="7"/>
  <c r="I169" i="7"/>
  <c r="I137" i="7"/>
  <c r="I105" i="7"/>
  <c r="I73" i="7"/>
  <c r="L229" i="7"/>
  <c r="I154" i="7"/>
  <c r="I122" i="7"/>
  <c r="I90" i="7"/>
  <c r="I227" i="7"/>
  <c r="L70" i="7"/>
  <c r="L34" i="7"/>
  <c r="L142" i="7"/>
  <c r="I140" i="7"/>
  <c r="I306" i="7"/>
  <c r="L66" i="7"/>
  <c r="I522" i="7"/>
  <c r="I571" i="7"/>
  <c r="I491" i="7"/>
  <c r="L535" i="7"/>
  <c r="I581" i="7"/>
  <c r="I501" i="7"/>
  <c r="L545" i="7"/>
  <c r="I591" i="7"/>
  <c r="I511" i="7"/>
  <c r="I456" i="7"/>
  <c r="L588" i="7"/>
  <c r="I417" i="7"/>
  <c r="I458" i="7"/>
  <c r="L580" i="7"/>
  <c r="L422" i="7"/>
  <c r="I468" i="7"/>
  <c r="L604" i="7"/>
  <c r="L432" i="7"/>
  <c r="I592" i="7"/>
  <c r="I340" i="7"/>
  <c r="I276" i="7"/>
  <c r="L352" i="7"/>
  <c r="L288" i="7"/>
  <c r="I358" i="7"/>
  <c r="I294" i="7"/>
  <c r="I374" i="7"/>
  <c r="I311" i="7"/>
  <c r="L401" i="7"/>
  <c r="L323" i="7"/>
  <c r="I431" i="7"/>
  <c r="L324" i="7"/>
  <c r="L342" i="7"/>
  <c r="L231" i="7"/>
  <c r="I513" i="7"/>
  <c r="I237" i="7"/>
  <c r="I181" i="7"/>
  <c r="I274" i="7"/>
  <c r="L233" i="7"/>
  <c r="L201" i="7"/>
  <c r="L425" i="7"/>
  <c r="L266" i="7"/>
  <c r="L234" i="7"/>
  <c r="L202" i="7"/>
  <c r="I496" i="7"/>
  <c r="I307" i="7"/>
  <c r="L251" i="7"/>
  <c r="L219" i="7"/>
  <c r="L187" i="7"/>
  <c r="I346" i="7"/>
  <c r="L260" i="7"/>
  <c r="L228" i="7"/>
  <c r="L196" i="7"/>
  <c r="L238" i="7"/>
  <c r="I157" i="7"/>
  <c r="I125" i="7"/>
  <c r="I93" i="7"/>
  <c r="I258" i="7"/>
  <c r="L161" i="7"/>
  <c r="L129" i="7"/>
  <c r="L97" i="7"/>
  <c r="L65" i="7"/>
  <c r="L170" i="7"/>
  <c r="L138" i="7"/>
  <c r="L106" i="7"/>
  <c r="L74" i="7"/>
  <c r="L205" i="7"/>
  <c r="L147" i="7"/>
  <c r="L115" i="7"/>
  <c r="L83" i="7"/>
  <c r="I267" i="7"/>
  <c r="L164" i="7"/>
  <c r="L132" i="7"/>
  <c r="I594" i="7"/>
  <c r="I514" i="7"/>
  <c r="I563" i="7"/>
  <c r="I475" i="7"/>
  <c r="L527" i="7"/>
  <c r="I573" i="7"/>
  <c r="I485" i="7"/>
  <c r="L537" i="7"/>
  <c r="I583" i="7"/>
  <c r="I495" i="7"/>
  <c r="I448" i="7"/>
  <c r="L556" i="7"/>
  <c r="I401" i="7"/>
  <c r="I450" i="7"/>
  <c r="L548" i="7"/>
  <c r="L406" i="7"/>
  <c r="I460" i="7"/>
  <c r="L572" i="7"/>
  <c r="L424" i="7"/>
  <c r="I462" i="7"/>
  <c r="I332" i="7"/>
  <c r="L532" i="7"/>
  <c r="L344" i="7"/>
  <c r="L280" i="7"/>
  <c r="I350" i="7"/>
  <c r="I286" i="7"/>
  <c r="I367" i="7"/>
  <c r="I303" i="7"/>
  <c r="L377" i="7"/>
  <c r="L315" i="7"/>
  <c r="I399" i="7"/>
  <c r="L316" i="7"/>
  <c r="L310" i="7"/>
  <c r="L223" i="7"/>
  <c r="I406" i="7"/>
  <c r="I229" i="7"/>
  <c r="L176" i="7"/>
  <c r="I262" i="7"/>
  <c r="I230" i="7"/>
  <c r="I198" i="7"/>
  <c r="I354" i="7"/>
  <c r="I263" i="7"/>
  <c r="I231" i="7"/>
  <c r="I199" i="7"/>
  <c r="L442" i="7"/>
  <c r="L294" i="7"/>
  <c r="I248" i="7"/>
  <c r="I216" i="7"/>
  <c r="I184" i="7"/>
  <c r="L333" i="7"/>
  <c r="I257" i="7"/>
  <c r="I225" i="7"/>
  <c r="I193" i="7"/>
  <c r="I219" i="7"/>
  <c r="L152" i="7"/>
  <c r="L120" i="7"/>
  <c r="L88" i="7"/>
  <c r="L245" i="7"/>
  <c r="I158" i="7"/>
  <c r="I126" i="7"/>
  <c r="I94" i="7"/>
  <c r="L325" i="7"/>
  <c r="I167" i="7"/>
  <c r="I135" i="7"/>
  <c r="I103" i="7"/>
  <c r="I71" i="7"/>
  <c r="I186" i="7"/>
  <c r="I144" i="7"/>
  <c r="I112" i="7"/>
  <c r="I586" i="7"/>
  <c r="I498" i="7"/>
  <c r="I555" i="7"/>
  <c r="L599" i="7"/>
  <c r="L511" i="7"/>
  <c r="I565" i="7"/>
  <c r="I477" i="7"/>
  <c r="L521" i="7"/>
  <c r="I575" i="7"/>
  <c r="I487" i="7"/>
  <c r="I432" i="7"/>
  <c r="L524" i="7"/>
  <c r="I393" i="7"/>
  <c r="I434" i="7"/>
  <c r="L516" i="7"/>
  <c r="L398" i="7"/>
  <c r="I444" i="7"/>
  <c r="L540" i="7"/>
  <c r="I413" i="7"/>
  <c r="L417" i="7"/>
  <c r="L319" i="7"/>
  <c r="I447" i="7"/>
  <c r="I333" i="7"/>
  <c r="I269" i="7"/>
  <c r="L337" i="7"/>
  <c r="L273" i="7"/>
  <c r="L354" i="7"/>
  <c r="L290" i="7"/>
  <c r="I368" i="7"/>
  <c r="I304" i="7"/>
  <c r="I369" i="7"/>
  <c r="I305" i="7"/>
  <c r="I271" i="7"/>
  <c r="I212" i="7"/>
  <c r="I330" i="7"/>
  <c r="L216" i="7"/>
  <c r="I173" i="7"/>
  <c r="L257" i="7"/>
  <c r="L225" i="7"/>
  <c r="L193" i="7"/>
  <c r="L341" i="7"/>
  <c r="L258" i="7"/>
  <c r="L226" i="7"/>
  <c r="L194" i="7"/>
  <c r="I391" i="7"/>
  <c r="I272" i="7"/>
  <c r="L243" i="7"/>
  <c r="L211" i="7"/>
  <c r="L179" i="7"/>
  <c r="I314" i="7"/>
  <c r="L252" i="7"/>
  <c r="L220" i="7"/>
  <c r="L188" i="7"/>
  <c r="L206" i="7"/>
  <c r="I149" i="7"/>
  <c r="I117" i="7"/>
  <c r="I85" i="7"/>
  <c r="I226" i="7"/>
  <c r="L153" i="7"/>
  <c r="L121" i="7"/>
  <c r="L89" i="7"/>
  <c r="L262" i="7"/>
  <c r="L162" i="7"/>
  <c r="L130" i="7"/>
  <c r="L98" i="7"/>
  <c r="I370" i="7"/>
  <c r="L173" i="7"/>
  <c r="L139" i="7"/>
  <c r="L107" i="7"/>
  <c r="L75" i="7"/>
  <c r="I235" i="7"/>
  <c r="L156" i="7"/>
  <c r="L124" i="7"/>
  <c r="L92" i="7"/>
  <c r="I338" i="7"/>
  <c r="I178" i="7"/>
  <c r="L141" i="7"/>
  <c r="L109" i="7"/>
  <c r="L77" i="7"/>
  <c r="I147" i="7"/>
  <c r="I55" i="7"/>
  <c r="I23" i="7"/>
  <c r="L48" i="7"/>
  <c r="L57" i="7"/>
  <c r="I132" i="7"/>
  <c r="I56" i="7"/>
  <c r="I578" i="7"/>
  <c r="I490" i="7"/>
  <c r="I539" i="7"/>
  <c r="L591" i="7"/>
  <c r="L503" i="7"/>
  <c r="I549" i="7"/>
  <c r="L601" i="7"/>
  <c r="L513" i="7"/>
  <c r="I559" i="7"/>
  <c r="I479" i="7"/>
  <c r="I424" i="7"/>
  <c r="I465" i="7"/>
  <c r="I385" i="7"/>
  <c r="I426" i="7"/>
  <c r="L470" i="7"/>
  <c r="L390" i="7"/>
  <c r="I436" i="7"/>
  <c r="L476" i="7"/>
  <c r="L408" i="7"/>
  <c r="I398" i="7"/>
  <c r="I316" i="7"/>
  <c r="L434" i="7"/>
  <c r="L328" i="7"/>
  <c r="I560" i="7"/>
  <c r="I334" i="7"/>
  <c r="I270" i="7"/>
  <c r="I351" i="7"/>
  <c r="I287" i="7"/>
  <c r="L363" i="7"/>
  <c r="L299" i="7"/>
  <c r="L364" i="7"/>
  <c r="L300" i="7"/>
  <c r="L269" i="7"/>
  <c r="L207" i="7"/>
  <c r="L317" i="7"/>
  <c r="I213" i="7"/>
  <c r="L366" i="7"/>
  <c r="I254" i="7"/>
  <c r="I562" i="7"/>
  <c r="I482" i="7"/>
  <c r="I531" i="7"/>
  <c r="L575" i="7"/>
  <c r="L495" i="7"/>
  <c r="I541" i="7"/>
  <c r="L585" i="7"/>
  <c r="L505" i="7"/>
  <c r="I551" i="7"/>
  <c r="I552" i="7"/>
  <c r="I416" i="7"/>
  <c r="I457" i="7"/>
  <c r="I576" i="7"/>
  <c r="I418" i="7"/>
  <c r="L462" i="7"/>
  <c r="I600" i="7"/>
  <c r="I428" i="7"/>
  <c r="L464" i="7"/>
  <c r="L400" i="7"/>
  <c r="I372" i="7"/>
  <c r="I308" i="7"/>
  <c r="L402" i="7"/>
  <c r="L320" i="7"/>
  <c r="I454" i="7"/>
  <c r="I326" i="7"/>
  <c r="L500" i="7"/>
  <c r="I343" i="7"/>
  <c r="I279" i="7"/>
  <c r="L355" i="7"/>
  <c r="L291" i="7"/>
  <c r="L356" i="7"/>
  <c r="L292" i="7"/>
  <c r="L263" i="7"/>
  <c r="L199" i="7"/>
  <c r="L285" i="7"/>
  <c r="I205" i="7"/>
  <c r="I347" i="7"/>
  <c r="L249" i="7"/>
  <c r="L217" i="7"/>
  <c r="L185" i="7"/>
  <c r="L309" i="7"/>
  <c r="L250" i="7"/>
  <c r="L218" i="7"/>
  <c r="L186" i="7"/>
  <c r="I371" i="7"/>
  <c r="L267" i="7"/>
  <c r="L235" i="7"/>
  <c r="L203" i="7"/>
  <c r="L564" i="7"/>
  <c r="I282" i="7"/>
  <c r="L244" i="7"/>
  <c r="L212" i="7"/>
  <c r="L180" i="7"/>
  <c r="L174" i="7"/>
  <c r="I141" i="7"/>
  <c r="I109" i="7"/>
  <c r="I77" i="7"/>
  <c r="I194" i="7"/>
  <c r="L145" i="7"/>
  <c r="L113" i="7"/>
  <c r="L81" i="7"/>
  <c r="L230" i="7"/>
  <c r="L154" i="7"/>
  <c r="L122" i="7"/>
  <c r="L90" i="7"/>
  <c r="L318" i="7"/>
  <c r="L163" i="7"/>
  <c r="L131" i="7"/>
  <c r="L99" i="7"/>
  <c r="L67" i="7"/>
  <c r="I203" i="7"/>
  <c r="L148" i="7"/>
  <c r="L116" i="7"/>
  <c r="I546" i="7"/>
  <c r="I595" i="7"/>
  <c r="I507" i="7"/>
  <c r="L559" i="7"/>
  <c r="I605" i="7"/>
  <c r="I517" i="7"/>
  <c r="L569" i="7"/>
  <c r="L481" i="7"/>
  <c r="I527" i="7"/>
  <c r="I488" i="7"/>
  <c r="I392" i="7"/>
  <c r="I433" i="7"/>
  <c r="I512" i="7"/>
  <c r="I394" i="7"/>
  <c r="L438" i="7"/>
  <c r="I536" i="7"/>
  <c r="I404" i="7"/>
  <c r="I445" i="7"/>
  <c r="I381" i="7"/>
  <c r="L351" i="7"/>
  <c r="L287" i="7"/>
  <c r="I365" i="7"/>
  <c r="I301" i="7"/>
  <c r="L369" i="7"/>
  <c r="L305" i="7"/>
  <c r="I407" i="7"/>
  <c r="L322" i="7"/>
  <c r="I446" i="7"/>
  <c r="I336" i="7"/>
  <c r="I545" i="7"/>
  <c r="I337" i="7"/>
  <c r="L547" i="7"/>
  <c r="I244" i="7"/>
  <c r="I180" i="7"/>
  <c r="L248" i="7"/>
  <c r="L192" i="7"/>
  <c r="L302" i="7"/>
  <c r="L241" i="7"/>
  <c r="L209" i="7"/>
  <c r="L177" i="7"/>
  <c r="L277" i="7"/>
  <c r="L242" i="7"/>
  <c r="L210" i="7"/>
  <c r="L178" i="7"/>
  <c r="I339" i="7"/>
  <c r="L259" i="7"/>
  <c r="L227" i="7"/>
  <c r="L195" i="7"/>
  <c r="L393" i="7"/>
  <c r="L268" i="7"/>
  <c r="L236" i="7"/>
  <c r="L204" i="7"/>
  <c r="L357" i="7"/>
  <c r="I165" i="7"/>
  <c r="I133" i="7"/>
  <c r="I101" i="7"/>
  <c r="I69" i="7"/>
  <c r="L169" i="7"/>
  <c r="L137" i="7"/>
  <c r="L105" i="7"/>
  <c r="L73" i="7"/>
  <c r="L198" i="7"/>
  <c r="L146" i="7"/>
  <c r="L114" i="7"/>
  <c r="L82" i="7"/>
  <c r="L237" i="7"/>
  <c r="L155" i="7"/>
  <c r="L123" i="7"/>
  <c r="L91" i="7"/>
  <c r="L577" i="7"/>
  <c r="L454" i="7"/>
  <c r="L312" i="7"/>
  <c r="L348" i="7"/>
  <c r="I222" i="7"/>
  <c r="I223" i="7"/>
  <c r="I240" i="7"/>
  <c r="I249" i="7"/>
  <c r="L144" i="7"/>
  <c r="I150" i="7"/>
  <c r="I159" i="7"/>
  <c r="I168" i="7"/>
  <c r="I438" i="7"/>
  <c r="I145" i="7"/>
  <c r="I89" i="7"/>
  <c r="L261" i="7"/>
  <c r="L149" i="7"/>
  <c r="I106" i="7"/>
  <c r="I299" i="7"/>
  <c r="I63" i="7"/>
  <c r="L18" i="7"/>
  <c r="L172" i="7"/>
  <c r="I164" i="7"/>
  <c r="L51" i="7"/>
  <c r="L19" i="7"/>
  <c r="I375" i="7"/>
  <c r="I75" i="7"/>
  <c r="L36" i="7"/>
  <c r="I108" i="7"/>
  <c r="I92" i="7"/>
  <c r="L37" i="7"/>
  <c r="I259" i="7"/>
  <c r="I62" i="7"/>
  <c r="L150" i="7"/>
  <c r="L54" i="7"/>
  <c r="L22" i="7"/>
  <c r="I116" i="7"/>
  <c r="I52" i="7"/>
  <c r="I20" i="7"/>
  <c r="I37" i="7"/>
  <c r="L140" i="7"/>
  <c r="L489" i="7"/>
  <c r="I568" i="7"/>
  <c r="I422" i="7"/>
  <c r="L284" i="7"/>
  <c r="I214" i="7"/>
  <c r="I215" i="7"/>
  <c r="I232" i="7"/>
  <c r="I241" i="7"/>
  <c r="L136" i="7"/>
  <c r="I142" i="7"/>
  <c r="I151" i="7"/>
  <c r="I160" i="7"/>
  <c r="L293" i="7"/>
  <c r="L84" i="7"/>
  <c r="I242" i="7"/>
  <c r="I146" i="7"/>
  <c r="L101" i="7"/>
  <c r="I234" i="7"/>
  <c r="L58" i="7"/>
  <c r="I15" i="7"/>
  <c r="L159" i="7"/>
  <c r="L151" i="7"/>
  <c r="I48" i="7"/>
  <c r="I16" i="7"/>
  <c r="I202" i="7"/>
  <c r="I65" i="7"/>
  <c r="I33" i="7"/>
  <c r="L25" i="7"/>
  <c r="L79" i="7"/>
  <c r="I34" i="7"/>
  <c r="I91" i="7"/>
  <c r="L49" i="7"/>
  <c r="I131" i="7"/>
  <c r="I19" i="7"/>
  <c r="L47" i="7"/>
  <c r="L15" i="7"/>
  <c r="I554" i="7"/>
  <c r="I543" i="7"/>
  <c r="I412" i="7"/>
  <c r="I318" i="7"/>
  <c r="L255" i="7"/>
  <c r="I190" i="7"/>
  <c r="I191" i="7"/>
  <c r="I208" i="7"/>
  <c r="I217" i="7"/>
  <c r="L112" i="7"/>
  <c r="I118" i="7"/>
  <c r="I127" i="7"/>
  <c r="I136" i="7"/>
  <c r="L254" i="7"/>
  <c r="I129" i="7"/>
  <c r="I81" i="7"/>
  <c r="I210" i="7"/>
  <c r="I138" i="7"/>
  <c r="I98" i="7"/>
  <c r="L182" i="7"/>
  <c r="L50" i="7"/>
  <c r="L10" i="7"/>
  <c r="L127" i="7"/>
  <c r="L119" i="7"/>
  <c r="L43" i="7"/>
  <c r="L11" i="7"/>
  <c r="I195" i="7"/>
  <c r="L60" i="7"/>
  <c r="L28" i="7"/>
  <c r="L253" i="7"/>
  <c r="L61" i="7"/>
  <c r="L29" i="7"/>
  <c r="L56" i="7"/>
  <c r="I46" i="7"/>
  <c r="L118" i="7"/>
  <c r="L46" i="7"/>
  <c r="L14" i="7"/>
  <c r="I84" i="7"/>
  <c r="I44" i="7"/>
  <c r="I12" i="7"/>
  <c r="I66" i="7"/>
  <c r="I603" i="7"/>
  <c r="I520" i="7"/>
  <c r="L456" i="7"/>
  <c r="L458" i="7"/>
  <c r="L191" i="7"/>
  <c r="I182" i="7"/>
  <c r="I183" i="7"/>
  <c r="I200" i="7"/>
  <c r="I209" i="7"/>
  <c r="L104" i="7"/>
  <c r="I110" i="7"/>
  <c r="I119" i="7"/>
  <c r="I128" i="7"/>
  <c r="L222" i="7"/>
  <c r="I121" i="7"/>
  <c r="L76" i="7"/>
  <c r="L197" i="7"/>
  <c r="L133" i="7"/>
  <c r="L93" i="7"/>
  <c r="L166" i="7"/>
  <c r="I47" i="7"/>
  <c r="I266" i="7"/>
  <c r="L95" i="7"/>
  <c r="I100" i="7"/>
  <c r="I40" i="7"/>
  <c r="I155" i="7"/>
  <c r="L158" i="7"/>
  <c r="I57" i="7"/>
  <c r="I25" i="7"/>
  <c r="I171" i="7"/>
  <c r="I58" i="7"/>
  <c r="I26" i="7"/>
  <c r="I53" i="7"/>
  <c r="I38" i="7"/>
  <c r="I99" i="7"/>
  <c r="I43" i="7"/>
  <c r="I11" i="7"/>
  <c r="L71" i="7"/>
  <c r="L39" i="7"/>
  <c r="L214" i="7"/>
  <c r="L64" i="7"/>
  <c r="I523" i="7"/>
  <c r="I400" i="7"/>
  <c r="L392" i="7"/>
  <c r="I335" i="7"/>
  <c r="I261" i="7"/>
  <c r="I322" i="7"/>
  <c r="L373" i="7"/>
  <c r="I176" i="7"/>
  <c r="I185" i="7"/>
  <c r="L80" i="7"/>
  <c r="I86" i="7"/>
  <c r="I95" i="7"/>
  <c r="I104" i="7"/>
  <c r="L190" i="7"/>
  <c r="I113" i="7"/>
  <c r="L68" i="7"/>
  <c r="I170" i="7"/>
  <c r="I130" i="7"/>
  <c r="L85" i="7"/>
  <c r="L134" i="7"/>
  <c r="L42" i="7"/>
  <c r="I123" i="7"/>
  <c r="I54" i="7"/>
  <c r="L87" i="7"/>
  <c r="L35" i="7"/>
  <c r="L32" i="7"/>
  <c r="I139" i="7"/>
  <c r="L52" i="7"/>
  <c r="L20" i="7"/>
  <c r="I156" i="7"/>
  <c r="L53" i="7"/>
  <c r="L21" i="7"/>
  <c r="L24" i="7"/>
  <c r="L33" i="7"/>
  <c r="L86" i="7"/>
  <c r="L38" i="7"/>
  <c r="L221" i="7"/>
  <c r="I67" i="7"/>
  <c r="I36" i="7"/>
  <c r="L78" i="7"/>
  <c r="L167" i="7"/>
  <c r="L567" i="7"/>
  <c r="I449" i="7"/>
  <c r="I364" i="7"/>
  <c r="L579" i="7"/>
  <c r="I197" i="7"/>
  <c r="I290" i="7"/>
  <c r="L358" i="7"/>
  <c r="I470" i="7"/>
  <c r="I177" i="7"/>
  <c r="L72" i="7"/>
  <c r="I78" i="7"/>
  <c r="I87" i="7"/>
  <c r="I96" i="7"/>
  <c r="L171" i="7"/>
  <c r="L108" i="7"/>
  <c r="L472" i="7"/>
  <c r="L165" i="7"/>
  <c r="L125" i="7"/>
  <c r="I82" i="7"/>
  <c r="I115" i="7"/>
  <c r="I39" i="7"/>
  <c r="L110" i="7"/>
  <c r="I30" i="7"/>
  <c r="I68" i="7"/>
  <c r="I32" i="7"/>
  <c r="I29" i="7"/>
  <c r="L126" i="7"/>
  <c r="I49" i="7"/>
  <c r="I17" i="7"/>
  <c r="L143" i="7"/>
  <c r="I50" i="7"/>
  <c r="I18" i="7"/>
  <c r="I13" i="7"/>
  <c r="L17" i="7"/>
  <c r="I35" i="7"/>
  <c r="L63" i="7"/>
  <c r="L31" i="7"/>
  <c r="L479" i="7"/>
  <c r="I544" i="7"/>
  <c r="I300" i="7"/>
  <c r="L347" i="7"/>
  <c r="I315" i="7"/>
  <c r="I255" i="7"/>
  <c r="L270" i="7"/>
  <c r="L301" i="7"/>
  <c r="I187" i="7"/>
  <c r="L213" i="7"/>
  <c r="I243" i="7"/>
  <c r="I363" i="7"/>
  <c r="I80" i="7"/>
  <c r="I161" i="7"/>
  <c r="L100" i="7"/>
  <c r="I331" i="7"/>
  <c r="I162" i="7"/>
  <c r="L117" i="7"/>
  <c r="I74" i="7"/>
  <c r="L102" i="7"/>
  <c r="I31" i="7"/>
  <c r="I45" i="7"/>
  <c r="I22" i="7"/>
  <c r="I64" i="7"/>
  <c r="L27" i="7"/>
  <c r="L41" i="7"/>
  <c r="I107" i="7"/>
  <c r="L44" i="7"/>
  <c r="L12" i="7"/>
  <c r="I124" i="7"/>
  <c r="L45" i="7"/>
  <c r="L13" i="7"/>
  <c r="L189" i="7"/>
  <c r="L246" i="7"/>
  <c r="L62" i="7"/>
  <c r="L30" i="7"/>
  <c r="I148" i="7"/>
  <c r="I60" i="7"/>
  <c r="I28" i="7"/>
  <c r="I61" i="7"/>
  <c r="I51" i="7"/>
  <c r="I533" i="7"/>
  <c r="I402" i="7"/>
  <c r="L378" i="7"/>
  <c r="L283" i="7"/>
  <c r="I246" i="7"/>
  <c r="I247" i="7"/>
  <c r="I264" i="7"/>
  <c r="I275" i="7"/>
  <c r="L168" i="7"/>
  <c r="L181" i="7"/>
  <c r="I211" i="7"/>
  <c r="I250" i="7"/>
  <c r="I72" i="7"/>
  <c r="I153" i="7"/>
  <c r="I97" i="7"/>
  <c r="L286" i="7"/>
  <c r="L157" i="7"/>
  <c r="I114" i="7"/>
  <c r="L69" i="7"/>
  <c r="I83" i="7"/>
  <c r="L26" i="7"/>
  <c r="I21" i="7"/>
  <c r="I14" i="7"/>
  <c r="L59" i="7"/>
  <c r="I24" i="7"/>
  <c r="L410" i="7"/>
  <c r="L94" i="7"/>
  <c r="I41" i="7"/>
  <c r="L16" i="7"/>
  <c r="L111" i="7"/>
  <c r="I42" i="7"/>
  <c r="I10" i="7"/>
  <c r="I76" i="7"/>
  <c r="I163" i="7"/>
  <c r="I59" i="7"/>
  <c r="I27" i="7"/>
  <c r="L135" i="7"/>
  <c r="L55" i="7"/>
  <c r="L23" i="7"/>
  <c r="L40" i="7"/>
  <c r="L103" i="7"/>
</calcChain>
</file>

<file path=xl/sharedStrings.xml><?xml version="1.0" encoding="utf-8"?>
<sst xmlns="http://schemas.openxmlformats.org/spreadsheetml/2006/main" count="5687" uniqueCount="699">
  <si>
    <t>製程管制（SPC）日常紀錄暨稽核表單</t>
  </si>
  <si>
    <t>表單編號：MR12-03(001)A</t>
  </si>
  <si>
    <t>版本：A</t>
  </si>
  <si>
    <t>頁次：1 / 1</t>
  </si>
  <si>
    <t>一、基本資訊</t>
  </si>
  <si>
    <t>製程站點/步驟：洗淨後品檢</t>
    <phoneticPr fontId="4" type="noConversion"/>
  </si>
  <si>
    <t>機台編號：JE-01、JE-02</t>
    <phoneticPr fontId="4" type="noConversion"/>
  </si>
  <si>
    <t>CTQ項目/量測特性：詳總結報告</t>
    <phoneticPr fontId="4" type="noConversion"/>
  </si>
  <si>
    <t>量測單位：品管課</t>
    <phoneticPr fontId="4" type="noConversion"/>
  </si>
  <si>
    <t>量測頻率：全檢</t>
    <phoneticPr fontId="4" type="noConversion"/>
  </si>
  <si>
    <t>規格 LSL：詳總結報告</t>
    <phoneticPr fontId="4" type="noConversion"/>
  </si>
  <si>
    <t>規格 USL：詳總結報告</t>
    <phoneticPr fontId="4" type="noConversion"/>
  </si>
  <si>
    <t>目標值(可選)：詳總結報告</t>
    <phoneticPr fontId="4" type="noConversion"/>
  </si>
  <si>
    <t>抽樣計畫(每次n)：全檢</t>
    <phoneticPr fontId="4" type="noConversion"/>
  </si>
  <si>
    <t>管制圖類型：詳總結報告</t>
    <phoneticPr fontId="4" type="noConversion"/>
  </si>
  <si>
    <r>
      <t>異常判定規則：</t>
    </r>
    <r>
      <rPr>
        <sz val="11"/>
        <color theme="1"/>
        <rFont val="細明體"/>
        <family val="3"/>
      </rPr>
      <t>■</t>
    </r>
    <r>
      <rPr>
        <sz val="11"/>
        <color theme="1"/>
        <rFont val="新細明體"/>
        <family val="2"/>
        <scheme val="minor"/>
      </rPr>
      <t xml:space="preserve"> 超出UCL/LCL  ■ 連續趨勢  ■連續同側  □ 其他：______________</t>
    </r>
    <phoneticPr fontId="4" type="noConversion"/>
  </si>
  <si>
    <r>
      <t xml:space="preserve">B. </t>
    </r>
    <r>
      <rPr>
        <b/>
        <sz val="11"/>
        <rFont val="Microsoft JhengHei"/>
        <family val="2"/>
        <charset val="136"/>
      </rPr>
      <t>本次執行之</t>
    </r>
    <r>
      <rPr>
        <b/>
        <sz val="11"/>
        <rFont val="Calibri"/>
        <family val="2"/>
      </rPr>
      <t xml:space="preserve"> SPC </t>
    </r>
    <r>
      <rPr>
        <b/>
        <sz val="11"/>
        <rFont val="Microsoft JhengHei"/>
        <family val="2"/>
        <charset val="136"/>
      </rPr>
      <t>項目（勾選</t>
    </r>
    <r>
      <rPr>
        <b/>
        <sz val="11"/>
        <rFont val="Calibri"/>
        <family val="2"/>
      </rPr>
      <t>/</t>
    </r>
    <r>
      <rPr>
        <b/>
        <sz val="11"/>
        <rFont val="Microsoft JhengHei"/>
        <family val="2"/>
        <charset val="136"/>
      </rPr>
      <t>填寫）</t>
    </r>
    <phoneticPr fontId="4" type="noConversion"/>
  </si>
  <si>
    <r>
      <rPr>
        <sz val="11"/>
        <color rgb="FF000000"/>
        <rFont val="Segoe UI Symbol"/>
        <family val="2"/>
      </rPr>
      <t>☑</t>
    </r>
    <r>
      <rPr>
        <sz val="11"/>
        <color rgb="FF000000"/>
        <rFont val="PMingLiU"/>
        <family val="1"/>
        <charset val="136"/>
      </rPr>
      <t xml:space="preserve"> AOI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TTV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Thickness</t>
    </r>
    <phoneticPr fontId="4" type="noConversion"/>
  </si>
  <si>
    <t>三、佐證附件</t>
    <phoneticPr fontId="4" type="noConversion"/>
  </si>
  <si>
    <t>備註：本表單用於日常SPC紀錄與稽核佐證。建議每一CTQ項目建立一本表單（或一個檔案），並與最新版管制圖報告一併保存。</t>
  </si>
  <si>
    <t>量測設備</t>
    <phoneticPr fontId="4" type="noConversion"/>
  </si>
  <si>
    <t>Chart Type</t>
  </si>
  <si>
    <t>n</t>
  </si>
  <si>
    <t>USL</t>
  </si>
  <si>
    <t>Mean</t>
  </si>
  <si>
    <t>Cp</t>
    <phoneticPr fontId="4" type="noConversion"/>
  </si>
  <si>
    <t>Cpk</t>
  </si>
  <si>
    <t>判定(OOC)</t>
  </si>
  <si>
    <t>AOI</t>
  </si>
  <si>
    <t>□Y ■N</t>
    <phoneticPr fontId="4" type="noConversion"/>
  </si>
  <si>
    <t>TTV</t>
    <phoneticPr fontId="4" type="noConversion"/>
  </si>
  <si>
    <t>I–MR</t>
  </si>
  <si>
    <t>Thickness</t>
    <phoneticPr fontId="4" type="noConversion"/>
  </si>
  <si>
    <r>
      <t>Cp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4" type="noConversion"/>
  </si>
  <si>
    <r>
      <t xml:space="preserve">Cpk 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4" type="noConversion"/>
  </si>
  <si>
    <t>產品/料號：C001玻璃/ 300- 500055</t>
    <phoneticPr fontId="4" type="noConversion"/>
  </si>
  <si>
    <t>σ</t>
    <phoneticPr fontId="4" type="noConversion"/>
  </si>
  <si>
    <t>Recipe/條件：AOI產品參數001/ TTVWafer12”-2L4P</t>
    <phoneticPr fontId="4" type="noConversion"/>
  </si>
  <si>
    <t>填表人(品管課)：                  日期：</t>
    <phoneticPr fontId="4" type="noConversion"/>
  </si>
  <si>
    <t>審核人(工程部)：                              日期：</t>
    <phoneticPr fontId="4" type="noConversion"/>
  </si>
  <si>
    <t>核准(協理)：                        日期：</t>
    <phoneticPr fontId="4" type="noConversion"/>
  </si>
  <si>
    <t>UCL</t>
    <phoneticPr fontId="4" type="noConversion"/>
  </si>
  <si>
    <t>LCL</t>
    <phoneticPr fontId="4" type="noConversion"/>
  </si>
  <si>
    <t>二、SPC設定與能力目標</t>
    <phoneticPr fontId="4" type="noConversion"/>
  </si>
  <si>
    <t>備註：</t>
    <phoneticPr fontId="4" type="noConversion"/>
  </si>
  <si>
    <t>Particle_SPC SPC (I-MR) - Upper Limit Only</t>
  </si>
  <si>
    <t>Inputs (Editable)</t>
  </si>
  <si>
    <t>Summary / Capability (Isolated)</t>
  </si>
  <si>
    <t>N</t>
  </si>
  <si>
    <t>d2 (n=2)</t>
  </si>
  <si>
    <t>Audit Note</t>
  </si>
  <si>
    <t>One-sided SPC: evaluate UCL (statistical) and USL (spec). Summary is isolated for readability.</t>
  </si>
  <si>
    <t>MR UCL factor</t>
  </si>
  <si>
    <t>MRbar</t>
  </si>
  <si>
    <t>Sigma (within)</t>
  </si>
  <si>
    <t>UCL (I)</t>
  </si>
  <si>
    <t>UCL (MR)</t>
  </si>
  <si>
    <t>Seq</t>
  </si>
  <si>
    <t>HYBOX</t>
  </si>
  <si>
    <t>FOSB</t>
  </si>
  <si>
    <t>Slot</t>
  </si>
  <si>
    <t>Wafer ID</t>
  </si>
  <si>
    <t>Value</t>
  </si>
  <si>
    <t>MR</t>
  </si>
  <si>
    <t>CL</t>
  </si>
  <si>
    <t>UCL</t>
  </si>
  <si>
    <t>UCL_MR</t>
  </si>
  <si>
    <t>CL_MR</t>
  </si>
  <si>
    <t>OOC(UCL)</t>
  </si>
  <si>
    <t>OOS(USL)</t>
  </si>
  <si>
    <t>CPU (within)</t>
  </si>
  <si>
    <t>HYBOX1</t>
  </si>
  <si>
    <t>NKAAEDB7D2F0</t>
  </si>
  <si>
    <t>NKAAEE06DCE1</t>
  </si>
  <si>
    <t>NKAAEEF5FAB5</t>
  </si>
  <si>
    <t>NKAAEEA142C4</t>
  </si>
  <si>
    <t>NKAAEDB6A9E0</t>
  </si>
  <si>
    <t>NKAAEEA138D6</t>
  </si>
  <si>
    <t>NKAAEE6E8FF4</t>
  </si>
  <si>
    <t>NKAAEE6EA1D1</t>
  </si>
  <si>
    <t>NKAAEE304EE4</t>
  </si>
  <si>
    <t>NKAAEE304CF6</t>
  </si>
  <si>
    <t>NKAAEDBD6DB0</t>
  </si>
  <si>
    <t>NKAAEDBD71A4</t>
  </si>
  <si>
    <t>NKAAEE6EA3B7</t>
  </si>
  <si>
    <t>NKAAEDBBDAF4</t>
  </si>
  <si>
    <t>NKAAEEE1D9C4</t>
  </si>
  <si>
    <t>NKAAEE6E9FA4</t>
  </si>
  <si>
    <t>NKAAEDB819E0</t>
  </si>
  <si>
    <t>NKAAEEF61DF6</t>
  </si>
  <si>
    <t>NKAAEE6E5DH0</t>
  </si>
  <si>
    <t>NKAAEE1C1AF2</t>
  </si>
  <si>
    <t>NKAAEDD579H1</t>
  </si>
  <si>
    <t>NKAAEE16BAF1</t>
  </si>
  <si>
    <t>NKAAEDB72CD2</t>
  </si>
  <si>
    <t>NKAAEDB6AED7</t>
  </si>
  <si>
    <t>NKAAEEA132A1</t>
  </si>
  <si>
    <t>NKAAE3F183F3</t>
  </si>
  <si>
    <t>NKAAE50FE6A6</t>
  </si>
  <si>
    <t>NKAAE50FE3C5</t>
  </si>
  <si>
    <t>NKAAE50FAEE0</t>
  </si>
  <si>
    <t>NKAAE50FEBA5</t>
  </si>
  <si>
    <t>NKAAE50FEDG6</t>
  </si>
  <si>
    <t>NKAAE50FE8G7</t>
  </si>
  <si>
    <t>NKAAE41936E0</t>
  </si>
  <si>
    <t>NKAAE50FEFF4</t>
  </si>
  <si>
    <t>NKAAE50E81F5</t>
  </si>
  <si>
    <t>NKAAE50E80G2</t>
  </si>
  <si>
    <t>NKAAE3DE2BG1</t>
  </si>
  <si>
    <t>NKAAE3D5A6D3</t>
  </si>
  <si>
    <t>NKAAE50AF6E0</t>
  </si>
  <si>
    <t>NKAAE3D5A8C1</t>
  </si>
  <si>
    <t>NKAAE40E29C0</t>
  </si>
  <si>
    <t>NKAAE410F9B5</t>
  </si>
  <si>
    <t>NKAAE410F2G0</t>
  </si>
  <si>
    <t>NKAAE50642F4</t>
  </si>
  <si>
    <t>NKAAE5063AB1</t>
  </si>
  <si>
    <t>NKAAE50686F1</t>
  </si>
  <si>
    <t>NKAAE5068ED1</t>
  </si>
  <si>
    <t>NKAAE5068DD6</t>
  </si>
  <si>
    <t>NKAAE50685F6</t>
  </si>
  <si>
    <t>NKAAE50639G1</t>
  </si>
  <si>
    <t>NKAAEE0676D4</t>
  </si>
  <si>
    <t>NKAAEDB6BDG7</t>
  </si>
  <si>
    <t>NKAAEEA13CE2</t>
  </si>
  <si>
    <t>NKAAEE10FAD7</t>
  </si>
  <si>
    <t>NKAAEE10F5E0</t>
  </si>
  <si>
    <t>NKAAEE10F9B4</t>
  </si>
  <si>
    <t>NKAAEE06DFC2</t>
  </si>
  <si>
    <t>NKAAEDB829G3</t>
  </si>
  <si>
    <t>NKAAEE10E5B5</t>
  </si>
  <si>
    <t>NKAAEDB827A2</t>
  </si>
  <si>
    <t>NKAAEE070AG3</t>
  </si>
  <si>
    <t>NKAAEE0708E5</t>
  </si>
  <si>
    <t>NKAAEE06DBE6</t>
  </si>
  <si>
    <t>NKAAEDB813A3</t>
  </si>
  <si>
    <t>NKAAEE10F6D3</t>
  </si>
  <si>
    <t>NKAAEE16CFE3</t>
  </si>
  <si>
    <t>NKAAEDD572E1</t>
  </si>
  <si>
    <t>NKAAEF89BAE2</t>
  </si>
  <si>
    <t>NKAAEF89B8C4</t>
  </si>
  <si>
    <t>NKAAEEAFEAE6</t>
  </si>
  <si>
    <t>NKAAEEEE09D1</t>
  </si>
  <si>
    <t>NKAAEDB6ACF1</t>
  </si>
  <si>
    <t>NKAAEDB6BCA1</t>
  </si>
  <si>
    <t>NKAAEDB7D0G2</t>
  </si>
  <si>
    <t>NKAAEE10E4C2</t>
  </si>
  <si>
    <t>NKAAE41999B5</t>
  </si>
  <si>
    <t>NKAAE50DA5F4</t>
  </si>
  <si>
    <t>NKAAE50D9FF3</t>
  </si>
  <si>
    <t>NKAAE50D9CH2</t>
  </si>
  <si>
    <t>NKAAE41638E6</t>
  </si>
  <si>
    <t>NKAAE41637F3</t>
  </si>
  <si>
    <t>NKAAE50DA4G1</t>
  </si>
  <si>
    <t>NKAAE50DA8D5</t>
  </si>
  <si>
    <t>NKAAE512FCD0</t>
  </si>
  <si>
    <t>NKAAE50DA6E7</t>
  </si>
  <si>
    <t>NKAAE41636G0</t>
  </si>
  <si>
    <t>NKAAE50D9AB1</t>
  </si>
  <si>
    <t>NKAAE50DA9D0</t>
  </si>
  <si>
    <t>NKAAE41D39E5</t>
  </si>
  <si>
    <t>NKAAE41DC1D3</t>
  </si>
  <si>
    <t>NKAAE41DC2C6</t>
  </si>
  <si>
    <t>NKAAE41DBFC5</t>
  </si>
  <si>
    <t>NKAAE41DC3C1</t>
  </si>
  <si>
    <t>NKAAE41DB3H1</t>
  </si>
  <si>
    <t>NKAAE41D9BF7</t>
  </si>
  <si>
    <t>NKAAE41DB9D3</t>
  </si>
  <si>
    <t>NKAAE40CA8A2</t>
  </si>
  <si>
    <t>NKAAE503D9E2</t>
  </si>
  <si>
    <t>NKAAE4199CC6</t>
  </si>
  <si>
    <t>NKAAE50669F7</t>
  </si>
  <si>
    <t>NKAAEEF5FBB0</t>
  </si>
  <si>
    <t>NKAAEE1639E0</t>
  </si>
  <si>
    <t>NKAAEEA13FC3</t>
  </si>
  <si>
    <t>NKAAEEEE0BE7</t>
  </si>
  <si>
    <t>NKAAEE5907G6</t>
  </si>
  <si>
    <t>NKAAEEA0CFG5</t>
  </si>
  <si>
    <t>NKAAEE9E07C0</t>
  </si>
  <si>
    <t>NKAAEE0678C2</t>
  </si>
  <si>
    <t>NKAAEDBEA5D7</t>
  </si>
  <si>
    <t>NKAAEE590CG5</t>
  </si>
  <si>
    <t>NKAAEE5904B2</t>
  </si>
  <si>
    <t>NKAAEE6E8DG6</t>
  </si>
  <si>
    <t>NKAAEEF09BA4</t>
  </si>
  <si>
    <t>NKAAEE06DEC7</t>
  </si>
  <si>
    <t>NKAAEE09AEB1</t>
  </si>
  <si>
    <t>NKAAEEB120D4</t>
  </si>
  <si>
    <t>NKAAEE0709E0</t>
  </si>
  <si>
    <t>NKAAEE0703A3</t>
  </si>
  <si>
    <t>NKAAEDB826A7</t>
  </si>
  <si>
    <t>NKAAEE06D9D0</t>
  </si>
  <si>
    <t>NKAAEE0704H1</t>
  </si>
  <si>
    <t>NKAAEE08AAG6</t>
  </si>
  <si>
    <t>NKAAEDB7EEC7</t>
  </si>
  <si>
    <t>NKAAEE0677C7</t>
  </si>
  <si>
    <t>NKAAEEF5F9G5</t>
  </si>
  <si>
    <t>NKAAE50A1FD1</t>
  </si>
  <si>
    <t>NKAAE4199EB4</t>
  </si>
  <si>
    <t>NKAAEFAE49B1</t>
  </si>
  <si>
    <t>NKAAEFAE53H2</t>
  </si>
  <si>
    <t>NKAAEFAE4BC7</t>
  </si>
  <si>
    <t>NKAAE414EEB3</t>
  </si>
  <si>
    <t>NKAAE414ECC5</t>
  </si>
  <si>
    <t>NKAAE414E3F2</t>
  </si>
  <si>
    <t>NKAAE4121AG7</t>
  </si>
  <si>
    <t>NKAAE414E5E0</t>
  </si>
  <si>
    <t>NKAAE41813E2</t>
  </si>
  <si>
    <t>NKAAE41814D5</t>
  </si>
  <si>
    <t>NKAAE414E8C1</t>
  </si>
  <si>
    <t>NKAAE414F0C1</t>
  </si>
  <si>
    <t>NKAAE414E7C6</t>
  </si>
  <si>
    <t>NKAAE414E4E5</t>
  </si>
  <si>
    <t>NKAAE4180DG0</t>
  </si>
  <si>
    <t>NKAAE41815D0</t>
  </si>
  <si>
    <t>NKAAE4121EE3</t>
  </si>
  <si>
    <t>NKAAE414EDC0</t>
  </si>
  <si>
    <t>NKAAE2EC7CG7</t>
  </si>
  <si>
    <t>NKAAE2EC7BA1</t>
  </si>
  <si>
    <t>NKAAE50264G6</t>
  </si>
  <si>
    <t>NKAAE3F182G0</t>
  </si>
  <si>
    <t>NKAAE41787G6</t>
  </si>
  <si>
    <t>NKAAEFC19BF1</t>
  </si>
  <si>
    <t>NKAAEE16D1F1</t>
  </si>
  <si>
    <t>NKAAEE16D2E4</t>
  </si>
  <si>
    <t>NKAAEDBE25F1</t>
  </si>
  <si>
    <t>NKAAEE304DF1</t>
  </si>
  <si>
    <t>NKAAEE16D0F6</t>
  </si>
  <si>
    <t>NKAAEDD576B5</t>
  </si>
  <si>
    <t>NKAAEEF619F2</t>
  </si>
  <si>
    <t>NKAAEEF5FFF7</t>
  </si>
  <si>
    <t>NKAAEE1C19C7</t>
  </si>
  <si>
    <t>NKAAEE16B7E0</t>
  </si>
  <si>
    <t>NKAAEDD56FE0</t>
  </si>
  <si>
    <t>NKAAEDD57CA7</t>
  </si>
  <si>
    <t>NKAAEE06F0G0</t>
  </si>
  <si>
    <t>NKAAEE0675E1</t>
  </si>
  <si>
    <t>NKAAE502A7B4</t>
  </si>
  <si>
    <t>NKAAE288D6H0</t>
  </si>
  <si>
    <t>NKAAEFC198E0</t>
  </si>
  <si>
    <t>NKAAEFB2B4F4</t>
  </si>
  <si>
    <t>NKAAEFC1B1A2</t>
  </si>
  <si>
    <t>NKAAEFB09CD1</t>
  </si>
  <si>
    <t>NKAAEFC8DFG7</t>
  </si>
  <si>
    <t>NKAAEFC1B3G3</t>
  </si>
  <si>
    <t>NKAAEFB7ECC3</t>
  </si>
  <si>
    <t>NKAAEFC199D3</t>
  </si>
  <si>
    <t>NKAAE501B0E0</t>
  </si>
  <si>
    <t>NKAAE5068BF0</t>
  </si>
  <si>
    <t>NKAAE503AFD6</t>
  </si>
  <si>
    <t>NKAAE4121FD6</t>
  </si>
  <si>
    <t>NKAAE414EAD7</t>
  </si>
  <si>
    <t>NKAAE414EFA6</t>
  </si>
  <si>
    <t>NKAAE41395A6</t>
  </si>
  <si>
    <t>NKAAE41998C2</t>
  </si>
  <si>
    <t>NKAAE40CAFG2</t>
  </si>
  <si>
    <t>NKAAE40A90H2</t>
  </si>
  <si>
    <t>NKAAE41DBDD7</t>
  </si>
  <si>
    <t>NKAAE3FFF6A5</t>
  </si>
  <si>
    <t>NKAAE3FFF7A0</t>
  </si>
  <si>
    <t>NKAAE415FBC4</t>
  </si>
  <si>
    <t>NKAAE40D70A4</t>
  </si>
  <si>
    <t>NKAAE3DE25G7</t>
  </si>
  <si>
    <t>NKAAE3DE27F5</t>
  </si>
  <si>
    <t>NKAAE3DE29E3</t>
  </si>
  <si>
    <t>NKAAE41794D5</t>
  </si>
  <si>
    <t>NKAAE418D1G3</t>
  </si>
  <si>
    <t>NKAAE4179DB0</t>
  </si>
  <si>
    <t>NKAAEFAE50B6</t>
  </si>
  <si>
    <t>NKAAEFA996A6</t>
  </si>
  <si>
    <t>NKAAEFA995B3</t>
  </si>
  <si>
    <t>NKAAEFA98CF0</t>
  </si>
  <si>
    <t>NKAAE4104FC3</t>
  </si>
  <si>
    <t>NKAAE40D75E6</t>
  </si>
  <si>
    <t>NKAAE40CCCF4</t>
  </si>
  <si>
    <t>NKAAE410ABG2</t>
  </si>
  <si>
    <t>NKAAE50A79D3</t>
  </si>
  <si>
    <t>NKAAE40E20A2</t>
  </si>
  <si>
    <t>NKAAE40E27D2</t>
  </si>
  <si>
    <t>NKAAE410F5E1</t>
  </si>
  <si>
    <t>NKAAE40E1DA1</t>
  </si>
  <si>
    <t>NKAAE41331D6</t>
  </si>
  <si>
    <t>NKAAE50AF4F2</t>
  </si>
  <si>
    <t>NKAAE412DCG4</t>
  </si>
  <si>
    <t>NKAAE40E1EG7</t>
  </si>
  <si>
    <t>NKAAE3F181G5</t>
  </si>
  <si>
    <t>NKAAE40CD5B7</t>
  </si>
  <si>
    <t>NKAAE2EC7AA6</t>
  </si>
  <si>
    <t>NKAAE2EC80G3</t>
  </si>
  <si>
    <t>NKAAE3F185E1</t>
  </si>
  <si>
    <t>NKAAE2EC81F6</t>
  </si>
  <si>
    <t>NKAAE50EBEC1</t>
  </si>
  <si>
    <t>NKAAE4104DD5</t>
  </si>
  <si>
    <t>NKAAE40E73C7</t>
  </si>
  <si>
    <t>NKAAE4104ED0</t>
  </si>
  <si>
    <t>NKAAE40E72D4</t>
  </si>
  <si>
    <t>NKAAE41050D6</t>
  </si>
  <si>
    <t>NKAAE41CE8G7</t>
  </si>
  <si>
    <t>NKAAE2E83EB0</t>
  </si>
  <si>
    <t>NKAAE3E9C1D2</t>
  </si>
  <si>
    <t>NKAAE2E83DB5</t>
  </si>
  <si>
    <t>NKAAE2DA3FE5</t>
  </si>
  <si>
    <t>NKAAE3E9C3C0</t>
  </si>
  <si>
    <t>NKAAE3E9BDD6</t>
  </si>
  <si>
    <t>NKAAE2F283D1</t>
  </si>
  <si>
    <t>NKAAE3F86EE3</t>
  </si>
  <si>
    <t>NKAAE2F284C4</t>
  </si>
  <si>
    <t>NKAAE3F866G3</t>
  </si>
  <si>
    <t>NKAAE41597A5</t>
  </si>
  <si>
    <t>NKAAE50D37A4</t>
  </si>
  <si>
    <t>NKAAE51230G5</t>
  </si>
  <si>
    <t>NKAAE5122EF7</t>
  </si>
  <si>
    <t>NKAAE41B76A1</t>
  </si>
  <si>
    <t>NKAAE5122DG4</t>
  </si>
  <si>
    <t>NKAAE5122FF2</t>
  </si>
  <si>
    <t>NKAAE41E18E6</t>
  </si>
  <si>
    <t>NKAAE2FDA7C5</t>
  </si>
  <si>
    <t>NKAAE2FDA8C0</t>
  </si>
  <si>
    <t>NKAAE2FDA6D2</t>
  </si>
  <si>
    <t>NKAAE50818D1</t>
  </si>
  <si>
    <t>NKAAE41CEAB2</t>
  </si>
  <si>
    <t>NKAAE41CE6A6</t>
  </si>
  <si>
    <t>NKAAEFD3A9F7</t>
  </si>
  <si>
    <t>NKAAE41051D1</t>
  </si>
  <si>
    <t>NKAAE3F8E3H0</t>
  </si>
  <si>
    <t>NKAAE3F6CEE5</t>
  </si>
  <si>
    <t>NKAAE3F8E4G3</t>
  </si>
  <si>
    <t>NKAAE410C8C4</t>
  </si>
  <si>
    <t>NKAAE410CEB6</t>
  </si>
  <si>
    <t>NKAAE3DE2FD5</t>
  </si>
  <si>
    <t>NKAAE3D5A7C6</t>
  </si>
  <si>
    <t>NKAAE3DE2EE2</t>
  </si>
  <si>
    <t>NKAAE3DE24A1</t>
  </si>
  <si>
    <t>NKAAE3DE31E3</t>
  </si>
  <si>
    <t>NKAAE3DE30F0</t>
  </si>
  <si>
    <t>NKAAE3D5E1B2</t>
  </si>
  <si>
    <t>NKAAE3D5A9B4</t>
  </si>
  <si>
    <t>NKAAE3D5DDB6</t>
  </si>
  <si>
    <t>NKAAE3D5DFA4</t>
  </si>
  <si>
    <t>NKAAEECA7DB5</t>
  </si>
  <si>
    <t>NKAAE50A29G2</t>
  </si>
  <si>
    <t>NKAAEECA7EB0</t>
  </si>
  <si>
    <t>NKAAE50A23C5</t>
  </si>
  <si>
    <t>NKAAE50A20E4</t>
  </si>
  <si>
    <t>NKAAE40BB7G3</t>
  </si>
  <si>
    <t>NKAAE40BB5A2</t>
  </si>
  <si>
    <t>NKAAE40BB3B4</t>
  </si>
  <si>
    <t>NKAAE501BCG7</t>
  </si>
  <si>
    <t>NKAAE41CECA0</t>
  </si>
  <si>
    <t>NKAAE41634H2</t>
  </si>
  <si>
    <t>NKAAE41635G5</t>
  </si>
  <si>
    <t>NKAAE2F91BG7</t>
  </si>
  <si>
    <t>NKAAE2F91CG2</t>
  </si>
  <si>
    <t>NKAAE410EFF7</t>
  </si>
  <si>
    <t>NKAAE40E21H0</t>
  </si>
  <si>
    <t>NKAAE40E28C5</t>
  </si>
  <si>
    <t>NKAAE412DDF7</t>
  </si>
  <si>
    <t>NKAAE40E25E4</t>
  </si>
  <si>
    <t>NKAAE40E24F1</t>
  </si>
  <si>
    <t>NKAAE410F6D4</t>
  </si>
  <si>
    <t>NKAAE410F7C7</t>
  </si>
  <si>
    <t>NKAAE410FAE0</t>
  </si>
  <si>
    <t>NKAAE410F8C2</t>
  </si>
  <si>
    <t>NKAAE50962A7</t>
  </si>
  <si>
    <t>NKAAE5095EB3</t>
  </si>
  <si>
    <t>NKAAE5098CC3</t>
  </si>
  <si>
    <t>NKAAE40AD9F5</t>
  </si>
  <si>
    <t>NKAAE501B4B4</t>
  </si>
  <si>
    <t>NKAAE501B1D3</t>
  </si>
  <si>
    <t>NKAAE501B9F6</t>
  </si>
  <si>
    <t>NKAAE501BBA1</t>
  </si>
  <si>
    <t>NKAAE501C0G3</t>
  </si>
  <si>
    <t>HYBOX2</t>
  </si>
  <si>
    <t>NKAAE419A7H1</t>
  </si>
  <si>
    <t>NKAAE501B8G3</t>
  </si>
  <si>
    <t>NKAAE501BAA6</t>
  </si>
  <si>
    <t>NKAAE501B3C1</t>
  </si>
  <si>
    <t>NKAAE501B2C6</t>
  </si>
  <si>
    <t>NKAAE51231G0</t>
  </si>
  <si>
    <t>NKAAE41799A4</t>
  </si>
  <si>
    <t>NKAAE418D2F6</t>
  </si>
  <si>
    <t>NKAAE418D3F1</t>
  </si>
  <si>
    <t>NKAAE4179CB5</t>
  </si>
  <si>
    <t>NKAAE41793E2</t>
  </si>
  <si>
    <t>NKAAEFAE4DB5</t>
  </si>
  <si>
    <t>NKAAEFA98ED6</t>
  </si>
  <si>
    <t>NKAAE2EC79F6</t>
  </si>
  <si>
    <t>NKAAE3D5A5E0</t>
  </si>
  <si>
    <t>NKAAE3DE26G2</t>
  </si>
  <si>
    <t>NKAAE410C2G2</t>
  </si>
  <si>
    <t>NKAAE41097B4</t>
  </si>
  <si>
    <t>NKAAE410C6D6</t>
  </si>
  <si>
    <t>NKAAE5092BD4</t>
  </si>
  <si>
    <t>NKAAE410CAE2</t>
  </si>
  <si>
    <t>NKAAE50929B6</t>
  </si>
  <si>
    <t>NKAAE41094D3</t>
  </si>
  <si>
    <t>NKAAE50928C3</t>
  </si>
  <si>
    <t>NKAAE419ABA2</t>
  </si>
  <si>
    <t>NKAAE25D3EC1</t>
  </si>
  <si>
    <t>NKAAE506DBE0</t>
  </si>
  <si>
    <t>NKAAE40EB9D1</t>
  </si>
  <si>
    <t>NKAAE2DDDCA5</t>
  </si>
  <si>
    <t>NKAAE3DE49B6</t>
  </si>
  <si>
    <t>NKAAE2DE1AF2</t>
  </si>
  <si>
    <t>NKAAE5080AC4</t>
  </si>
  <si>
    <t>NKAAE50822B7</t>
  </si>
  <si>
    <t>NKAAE50823B2</t>
  </si>
  <si>
    <t>NKAAE507ADH2</t>
  </si>
  <si>
    <t>NKAAE3F867F6</t>
  </si>
  <si>
    <t>NKAAE3F870F1</t>
  </si>
  <si>
    <t>NKAAE3F858C6</t>
  </si>
  <si>
    <t>NKAAE3F86FD6</t>
  </si>
  <si>
    <t>NKAAE41396A1</t>
  </si>
  <si>
    <t>NKAAE41771A6</t>
  </si>
  <si>
    <t>NKAAE25D58A2</t>
  </si>
  <si>
    <t>NKAAE25D41C2</t>
  </si>
  <si>
    <t>NKAAE25D3DC6</t>
  </si>
  <si>
    <t>NKAAE25D55C1</t>
  </si>
  <si>
    <t>NKAAE25D53D3</t>
  </si>
  <si>
    <t>NKAAE25D86B2</t>
  </si>
  <si>
    <t>NKAAE25D43B0</t>
  </si>
  <si>
    <t>NKAAE25D5BB3</t>
  </si>
  <si>
    <t>NKAAE25B0AD6</t>
  </si>
  <si>
    <t>NKAAE50D83A1</t>
  </si>
  <si>
    <t>NKAAE50FC7C6</t>
  </si>
  <si>
    <t>NKAAE419AAA7</t>
  </si>
  <si>
    <t>NKAAE419A8G4</t>
  </si>
  <si>
    <t>NKAAE50B1EA5</t>
  </si>
  <si>
    <t>NKAAE50A77E5</t>
  </si>
  <si>
    <t>NKAAE411D0G6</t>
  </si>
  <si>
    <t>NKAAE50724D6</t>
  </si>
  <si>
    <t>NKAAE41797B6</t>
  </si>
  <si>
    <t>NKAAE418D5D7</t>
  </si>
  <si>
    <t>NKAAE51036B6</t>
  </si>
  <si>
    <t>NKAAE41796C3</t>
  </si>
  <si>
    <t>NKAAE418D4E4</t>
  </si>
  <si>
    <t>NKAAE41798B1</t>
  </si>
  <si>
    <t>NKAAE51038A4</t>
  </si>
  <si>
    <t>NKAAE41935E5</t>
  </si>
  <si>
    <t>NKAAE41931H1</t>
  </si>
  <si>
    <t>NKAAE50FEAB2</t>
  </si>
  <si>
    <t>NKAAE4179AC7</t>
  </si>
  <si>
    <t>NKAAE50FECA0</t>
  </si>
  <si>
    <t>NKAAE41DAAD3</t>
  </si>
  <si>
    <t>NKAAE415F3E4</t>
  </si>
  <si>
    <t>NKAAE415F9A6</t>
  </si>
  <si>
    <t>NKAAE415F4D7</t>
  </si>
  <si>
    <t>NKAAE415F7C0</t>
  </si>
  <si>
    <t>NKAAE4176CB7</t>
  </si>
  <si>
    <t>NKAAE2EAA9G2</t>
  </si>
  <si>
    <t>NKAAE2F24AH0</t>
  </si>
  <si>
    <t>NKAAE2F24BG3</t>
  </si>
  <si>
    <t>NKAAE2EA9EB7</t>
  </si>
  <si>
    <t>NKAAE3EFB1E4</t>
  </si>
  <si>
    <t>NKAAE2EAA6A6</t>
  </si>
  <si>
    <t>NKAAE3EFA6G3</t>
  </si>
  <si>
    <t>NKAAE2F24DF1</t>
  </si>
  <si>
    <t>NKAAE2EA9BD6</t>
  </si>
  <si>
    <t>NKAAE2EA9DC4</t>
  </si>
  <si>
    <t>NKAAE51411C3</t>
  </si>
  <si>
    <t>NKAAE41369F7</t>
  </si>
  <si>
    <t>NKAAE41219E4</t>
  </si>
  <si>
    <t>NKAAE41218F1</t>
  </si>
  <si>
    <t>NKAAE4166AG2</t>
  </si>
  <si>
    <t>NKAAE3ED25H1</t>
  </si>
  <si>
    <t>NKAAE3F3BCF4</t>
  </si>
  <si>
    <t>NKAAE3F3BFD5</t>
  </si>
  <si>
    <t>NKAAE3F3BEE2</t>
  </si>
  <si>
    <t>NKAAE3ED27F7</t>
  </si>
  <si>
    <t>NKAAE2E57FE4</t>
  </si>
  <si>
    <t>NKAAE50A21D7</t>
  </si>
  <si>
    <t>NKAAE40618C7</t>
  </si>
  <si>
    <t>NKAAE41777E3</t>
  </si>
  <si>
    <t>NKAAE410A9E4</t>
  </si>
  <si>
    <t>NKAAE41DB0B5</t>
  </si>
  <si>
    <t>NKAAE50FEEG1</t>
  </si>
  <si>
    <t>NKAAE50FE5B3</t>
  </si>
  <si>
    <t>NKAAE41930A3</t>
  </si>
  <si>
    <t>NKAAE2FFCEH1</t>
  </si>
  <si>
    <t>NKAAE40E70E6</t>
  </si>
  <si>
    <t>NKAAE40F2EG1</t>
  </si>
  <si>
    <t>NKAAE40E71E1</t>
  </si>
  <si>
    <t>NKAAE25B0DB7</t>
  </si>
  <si>
    <t>NKAAE2F753C4</t>
  </si>
  <si>
    <t>NKAAEF277FF7</t>
  </si>
  <si>
    <t>NKAAE50F86G6</t>
  </si>
  <si>
    <t>NKAAE50F8AH2</t>
  </si>
  <si>
    <t>NKAAEFA251B4</t>
  </si>
  <si>
    <t>NKAAEFA24BD2</t>
  </si>
  <si>
    <t>NKAAE418CEG2</t>
  </si>
  <si>
    <t>NKAAE418CCA1</t>
  </si>
  <si>
    <t>NKAAE418CDG7</t>
  </si>
  <si>
    <t>NKAAE41878A5</t>
  </si>
  <si>
    <t>NKAAE410ACF5</t>
  </si>
  <si>
    <t>NKAAE410AAG7</t>
  </si>
  <si>
    <t>NKAAE4108FE4</t>
  </si>
  <si>
    <t>NKAAE41090F7</t>
  </si>
  <si>
    <t>NKAAE40CD3D1</t>
  </si>
  <si>
    <t>NKAAE50E78G2</t>
  </si>
  <si>
    <t>NKAAE5069CG6</t>
  </si>
  <si>
    <t>NKAAE5069BA0</t>
  </si>
  <si>
    <t>NKAAE5069DG1</t>
  </si>
  <si>
    <t>NKAAE41061F4</t>
  </si>
  <si>
    <t>NKAAE508C3E6</t>
  </si>
  <si>
    <t>NKAAE41064D5</t>
  </si>
  <si>
    <t>NKAAE508C2F3</t>
  </si>
  <si>
    <t>NKAAE41063E2</t>
  </si>
  <si>
    <t>NKAAE503BBB2</t>
  </si>
  <si>
    <t>NKAAE503BDA0</t>
  </si>
  <si>
    <t>NKAAE503BCA5</t>
  </si>
  <si>
    <t>NKAAE503BAB7</t>
  </si>
  <si>
    <t>NKAAE40AE4D6</t>
  </si>
  <si>
    <t>NKAAE40CA9H0</t>
  </si>
  <si>
    <t>NKAAE4199FA7</t>
  </si>
  <si>
    <t>NKAAE40B23A3</t>
  </si>
  <si>
    <t>NKAAE419A0E1</t>
  </si>
  <si>
    <t>NKAAE41792E7</t>
  </si>
  <si>
    <t>NKAAE5103AC2</t>
  </si>
  <si>
    <t>NKAAE418D7C5</t>
  </si>
  <si>
    <t>NKAAE50E7FE7</t>
  </si>
  <si>
    <t>NKAAE41795D0</t>
  </si>
  <si>
    <t>NKAAE50E77G7</t>
  </si>
  <si>
    <t>NKAAE41772A1</t>
  </si>
  <si>
    <t>NKAAE5141BG4</t>
  </si>
  <si>
    <t>NKAAE410ADF0</t>
  </si>
  <si>
    <t>NKAAE50736E7</t>
  </si>
  <si>
    <t>NKAAE5076DD2</t>
  </si>
  <si>
    <t>NKAAE50770D3</t>
  </si>
  <si>
    <t>NKAAE50767E0</t>
  </si>
  <si>
    <t>NKAAE509CBH0</t>
  </si>
  <si>
    <t>NKAAE508BCH1</t>
  </si>
  <si>
    <t>NKAAE41347C3</t>
  </si>
  <si>
    <t>NKAAE41344E2</t>
  </si>
  <si>
    <t>NKAAE41348B6</t>
  </si>
  <si>
    <t>NKAAE41305B4</t>
  </si>
  <si>
    <t>NKAAE506DDC6</t>
  </si>
  <si>
    <t>NKAAE41342F4</t>
  </si>
  <si>
    <t>NKAAEFA103G2</t>
  </si>
  <si>
    <t>NKAAEFA0CDH0</t>
  </si>
  <si>
    <t>NKAAEFA0CBA7</t>
  </si>
  <si>
    <t>NKAAE41343E7</t>
  </si>
  <si>
    <t>NKAAEFA105F0</t>
  </si>
  <si>
    <t>NKAAE50A2BA5</t>
  </si>
  <si>
    <t>NKAAE50A28G7</t>
  </si>
  <si>
    <t>NKAAEECA80B6</t>
  </si>
  <si>
    <t>NKAAE4122CA5</t>
  </si>
  <si>
    <t>NKAAE50A1DE3</t>
  </si>
  <si>
    <t>NKAAE5141EE5</t>
  </si>
  <si>
    <t>NKAAE41203F7</t>
  </si>
  <si>
    <t>NKAAE411F9F7</t>
  </si>
  <si>
    <t>NKAAE411F8G4</t>
  </si>
  <si>
    <t>NKAAE41820B1</t>
  </si>
  <si>
    <t>NKAAE411FBA2</t>
  </si>
  <si>
    <t>NKAAE40EB8D6</t>
  </si>
  <si>
    <t>NKAAEFA102G7</t>
  </si>
  <si>
    <t>NKAAE41345D5</t>
  </si>
  <si>
    <t>NKAAEFA0CCA2</t>
  </si>
  <si>
    <t>NKAAE41303C6</t>
  </si>
  <si>
    <t>NKAAE41304C1</t>
  </si>
  <si>
    <t>NKAAE506DFB4</t>
  </si>
  <si>
    <t>NKAAEFAC94A2</t>
  </si>
  <si>
    <t>NKAAE40CE4E7</t>
  </si>
  <si>
    <t>NKAAE4139FE7</t>
  </si>
  <si>
    <t>NKAAE41CE1D7</t>
  </si>
  <si>
    <t>NKAAE41CE0E4</t>
  </si>
  <si>
    <t>NKAAE41CDDE3</t>
  </si>
  <si>
    <t>NKAAE41CDED6</t>
  </si>
  <si>
    <t>NKAAE41CDCF0</t>
  </si>
  <si>
    <t>NKAAE51307G6</t>
  </si>
  <si>
    <t>NKAAE4139BA0</t>
  </si>
  <si>
    <t>NKAAE41C9DA3</t>
  </si>
  <si>
    <t>NKAAE4139AA5</t>
  </si>
  <si>
    <t>NKAAE4139EF4</t>
  </si>
  <si>
    <t>NKAAE417B8A3</t>
  </si>
  <si>
    <t>NKAAE2FFCCB0</t>
  </si>
  <si>
    <t>NKAAE513D2F6</t>
  </si>
  <si>
    <t>NKAAE51426B5</t>
  </si>
  <si>
    <t>NKAAE5141DF2</t>
  </si>
  <si>
    <t>NKAAE3F654E1</t>
  </si>
  <si>
    <t>NKAAE41932G4</t>
  </si>
  <si>
    <t>NKAAE50FDFD1</t>
  </si>
  <si>
    <t>NKAAE50988B7</t>
  </si>
  <si>
    <t>NKAAEF2DC0A1</t>
  </si>
  <si>
    <t>NKAAE2EC7EF5</t>
  </si>
  <si>
    <t>NKAAE506FBB3</t>
  </si>
  <si>
    <t>NKAAE509B1A4</t>
  </si>
  <si>
    <t>NKAAEFA882E0</t>
  </si>
  <si>
    <t>NKAAE50983F0</t>
  </si>
  <si>
    <t>NKAAE509B2H2</t>
  </si>
  <si>
    <t>NKAAEF2DBFG1</t>
  </si>
  <si>
    <t>NKAAE41134A6</t>
  </si>
  <si>
    <t>NKAAE50986D1</t>
  </si>
  <si>
    <t>NKAAEF2DBDA0</t>
  </si>
  <si>
    <t>NKAAE509AFH1</t>
  </si>
  <si>
    <t>NKAAE3DE2CF4</t>
  </si>
  <si>
    <t>NKAAE3D5E0B7</t>
  </si>
  <si>
    <t>NKAAE50DA0B2</t>
  </si>
  <si>
    <t>NKAAE414D0E6</t>
  </si>
  <si>
    <t>NKAAE3DE2DE7</t>
  </si>
  <si>
    <t>NKAAE41202G4</t>
  </si>
  <si>
    <t>NKAAE50A56A4</t>
  </si>
  <si>
    <t>NKAAE41205E5</t>
  </si>
  <si>
    <t>NKAAE41206E0</t>
  </si>
  <si>
    <t>NKAAE50A24C0</t>
  </si>
  <si>
    <t>NKAAE50A1ED6</t>
  </si>
  <si>
    <t>NKAAEEC94CF3</t>
  </si>
  <si>
    <t>NKAAEECB58B2</t>
  </si>
  <si>
    <t>NKAAE40E6EE0</t>
  </si>
  <si>
    <t>NKAAE40E6FD3</t>
  </si>
  <si>
    <t>NKAAE2F012A6</t>
  </si>
  <si>
    <t>NKAAE2F010C0</t>
  </si>
  <si>
    <t>NKAAE50A25B3</t>
  </si>
  <si>
    <t>NKAAEEC953D0</t>
  </si>
  <si>
    <t>NKAAE50A26A6</t>
  </si>
  <si>
    <t>NKAAE50A22D2</t>
  </si>
  <si>
    <t>NKAAE50A27A1</t>
  </si>
  <si>
    <t>NKAAEECA81B1</t>
  </si>
  <si>
    <t>NKAAE418D6D2</t>
  </si>
  <si>
    <t>NKAAE40CD4C4</t>
  </si>
  <si>
    <t>NKAAE40D76E1</t>
  </si>
  <si>
    <t>NKAAE415F6C5</t>
  </si>
  <si>
    <t>NKAAE410CDC3</t>
  </si>
  <si>
    <t>NKAAE410C4F0</t>
  </si>
  <si>
    <t>NKAAE506DCD3</t>
  </si>
  <si>
    <t>NKAAE41788G1</t>
  </si>
  <si>
    <t>NKAAE417B6B5</t>
  </si>
  <si>
    <t>NKAAE50EBFB4</t>
  </si>
  <si>
    <t>NKAAE41784B2</t>
  </si>
  <si>
    <t>NKAAE41781D1</t>
  </si>
  <si>
    <t>NKAAE41782C4</t>
  </si>
  <si>
    <t>NKAAE5088EE2</t>
  </si>
  <si>
    <t>NKAAE40FB1F0</t>
  </si>
  <si>
    <t>NKAAE50A19D7</t>
  </si>
  <si>
    <t>NKAAE41CCAD7</t>
  </si>
  <si>
    <t>NKAAE3E60FG0</t>
  </si>
  <si>
    <t>NKAAE3E60EG5</t>
  </si>
  <si>
    <t>NKAAE3E5CDD7</t>
  </si>
  <si>
    <t>NKAAE3E612G1</t>
  </si>
  <si>
    <t>NKAAE3E60DH2</t>
  </si>
  <si>
    <t>NKAAE3E610A0</t>
  </si>
  <si>
    <t>NKAAE3E615E2</t>
  </si>
  <si>
    <t>NKAAE50EC0C7</t>
  </si>
  <si>
    <t>NKAAE4177FC3</t>
  </si>
  <si>
    <t>NKAAE41783B7</t>
  </si>
  <si>
    <t>NKAAE41B73C0</t>
  </si>
  <si>
    <t>NKAAE3ED6CA4</t>
  </si>
  <si>
    <t>NKAAE2E762B0</t>
  </si>
  <si>
    <t>NKAAE2E52FA0</t>
  </si>
  <si>
    <t>NKAAE4184FG7</t>
  </si>
  <si>
    <t>NKAAE40F7BF1</t>
  </si>
  <si>
    <t>NKAAE40F78E0</t>
  </si>
  <si>
    <t>NKAAE40F7AF6</t>
  </si>
  <si>
    <t>NKAAE40F7CE4</t>
  </si>
  <si>
    <t>NKAAE40F77E5</t>
  </si>
  <si>
    <t>NKAAEFA33DD7</t>
  </si>
  <si>
    <t>NKAAEFA33ED2</t>
  </si>
  <si>
    <t>NKAAEFA33FC5</t>
  </si>
  <si>
    <t>NKAAEFA340E0</t>
  </si>
  <si>
    <t>NKAAEFA33BF1</t>
  </si>
  <si>
    <t>NKAAEFA33AF6</t>
  </si>
  <si>
    <t>NKAAEFA33CE4</t>
  </si>
  <si>
    <t>NKAAEFA339D3</t>
  </si>
  <si>
    <t>NKAAE40F8FF0</t>
  </si>
  <si>
    <t>NKAAE5043BG6</t>
  </si>
  <si>
    <t>NKAAEF20C0D5</t>
  </si>
  <si>
    <t>NKAAE411F6A3</t>
  </si>
  <si>
    <t>NKAAEF2073C6</t>
  </si>
  <si>
    <t>NKAAE4176EA5</t>
  </si>
  <si>
    <t>NKAAE41775F5</t>
  </si>
  <si>
    <t>NKAAE50E95F4</t>
  </si>
  <si>
    <t>NKAAE4176AD1</t>
  </si>
  <si>
    <t>NKAAE501BDG2</t>
  </si>
  <si>
    <t>NKAAE3E9C8G2</t>
  </si>
  <si>
    <t>Thickness_SPC SPC (I-MR) - Upper Limit Only</t>
  </si>
  <si>
    <t>TTV_SPC SPC (I-MR) - Upper Limit Only</t>
  </si>
  <si>
    <t>製作日期：2026-01-09</t>
    <phoneticPr fontId="4" type="noConversion"/>
  </si>
  <si>
    <t>量測設備：AOI、TTV</t>
    <phoneticPr fontId="4" type="noConversion"/>
  </si>
  <si>
    <t>訂單編號：4516243668</t>
    <phoneticPr fontId="4" type="noConversion"/>
  </si>
  <si>
    <t>HYBOX1_Thickness_SPC - Thickness SPC (I-MR) [Upper Limit Only]</t>
  </si>
  <si>
    <t>Sigma(within)</t>
  </si>
  <si>
    <t>UCL(I)</t>
  </si>
  <si>
    <t>UCL(MR)</t>
  </si>
  <si>
    <t>CPU(within)</t>
  </si>
  <si>
    <t>PPU(overall)</t>
  </si>
  <si>
    <t>HYBOX2_Thickness_SPC - Thickness SPC (I-MR) [Upper Limit Only]</t>
  </si>
  <si>
    <t>HYBOX1_TTV_SPC - TTV SPC (I-MR) [Upper Limit Only]</t>
  </si>
  <si>
    <t>HYBOX2_TTV_SPC - TTV SPC (I-MR) [Upper Limit Only]</t>
  </si>
  <si>
    <t>HYBOX1_Particle_SPC - Particle SPC (I-MR) [Upper Limit Only]</t>
  </si>
  <si>
    <t>Summary / Capability (Isolated)</t>
    <phoneticPr fontId="4" type="noConversion"/>
  </si>
  <si>
    <t>HYBOX2_Particle_SPC - Particle SPC (I-MR) [Upper Limit Only]</t>
  </si>
  <si>
    <t>CPL (within)</t>
  </si>
  <si>
    <t>LSL</t>
  </si>
  <si>
    <t>Cpk (within)</t>
  </si>
  <si>
    <t xml:space="preserve">SPC Summary </t>
    <phoneticPr fontId="4" type="noConversion"/>
  </si>
  <si>
    <t>■ 管制圖（I-MR）  ■ 原始量測資料  □ 異常處置/8D或CAPA   □ 其他：__________</t>
    <phoneticPr fontId="4" type="noConversion"/>
  </si>
  <si>
    <t>備註</t>
    <phoneticPr fontId="4" type="noConversion"/>
  </si>
  <si>
    <t>OOS 超規</t>
    <phoneticPr fontId="4" type="noConversion"/>
  </si>
  <si>
    <t>CpU</t>
    <phoneticPr fontId="4" type="noConversion"/>
  </si>
  <si>
    <t>NA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</si>
</sst>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"/>
    <numFmt numFmtId="178" formatCode="0.00_);[Red]\(0.00\)"/>
  </numFmts>
  <fonts count="16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1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PMingLiU"/>
      <family val="1"/>
      <charset val="136"/>
    </font>
    <font>
      <sz val="11"/>
      <color theme="1"/>
      <name val="細明體"/>
      <family val="3"/>
    </font>
    <font>
      <b/>
      <sz val="11"/>
      <name val="Calibri"/>
      <family val="2"/>
    </font>
    <font>
      <b/>
      <sz val="11"/>
      <name val="Microsoft JhengHei"/>
      <family val="2"/>
      <charset val="136"/>
    </font>
    <font>
      <sz val="11"/>
      <color rgb="FF000000"/>
      <name val="Segoe UI Symbol"/>
      <family val="2"/>
    </font>
    <font>
      <sz val="11"/>
      <color rgb="FF000000"/>
      <name val="PMingLiU"/>
      <family val="1"/>
      <charset val="136"/>
    </font>
    <font>
      <sz val="11"/>
      <color rgb="FF000000"/>
      <name val="新細明體"/>
      <family val="2"/>
    </font>
    <font>
      <sz val="11"/>
      <color rgb="FF000000"/>
      <name val="Calibri"/>
      <family val="2"/>
    </font>
    <font>
      <b/>
      <sz val="11"/>
      <color theme="1"/>
      <name val="Adobe Myungjo Std M"/>
      <family val="1"/>
      <charset val="128"/>
    </font>
    <font>
      <b/>
      <sz val="14"/>
      <name val="新細明體"/>
      <family val="1"/>
      <charset val="136"/>
    </font>
    <font>
      <b/>
      <sz val="11"/>
      <color rgb="FFFFFFFF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80808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808080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0" xfId="0" applyAlignment="1"/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177" fontId="0" fillId="0" borderId="2" xfId="0" applyNumberFormat="1" applyBorder="1" applyAlignment="1">
      <alignment horizontal="righ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7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177" fontId="0" fillId="0" borderId="10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2" borderId="1" xfId="0" applyFont="1" applyFill="1" applyBorder="1"/>
    <xf numFmtId="176" fontId="0" fillId="0" borderId="1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/>
    <xf numFmtId="0" fontId="3" fillId="2" borderId="1" xfId="0" applyFont="1" applyFill="1" applyBorder="1" applyAlignment="1"/>
    <xf numFmtId="0" fontId="7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/>
    <xf numFmtId="0" fontId="0" fillId="0" borderId="1" xfId="0" applyBorder="1"/>
    <xf numFmtId="0" fontId="2" fillId="2" borderId="5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4" fillId="0" borderId="0" xfId="0" applyFont="1"/>
    <xf numFmtId="0" fontId="0" fillId="0" borderId="0" xfId="0"/>
    <xf numFmtId="0" fontId="2" fillId="2" borderId="1" xfId="0" applyFont="1" applyFill="1" applyBorder="1"/>
    <xf numFmtId="177" fontId="0" fillId="6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77" fontId="0" fillId="0" borderId="2" xfId="0" applyNumberFormat="1" applyBorder="1" applyAlignment="1">
      <alignment horizontal="center" vertical="center" wrapText="1"/>
    </xf>
    <xf numFmtId="177" fontId="0" fillId="6" borderId="6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Particle_SPC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'AOI(Particle)_SPC'!$G$9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'AOI(Particle)_SPC'!$G$10:$G$609</c:f>
              <c:numCache>
                <c:formatCode>0</c:formatCode>
                <c:ptCount val="600"/>
                <c:pt idx="1">
                  <c:v>13</c:v>
                </c:pt>
                <c:pt idx="2">
                  <c:v>68</c:v>
                </c:pt>
                <c:pt idx="3">
                  <c:v>27</c:v>
                </c:pt>
                <c:pt idx="4">
                  <c:v>22</c:v>
                </c:pt>
                <c:pt idx="5">
                  <c:v>51</c:v>
                </c:pt>
                <c:pt idx="6">
                  <c:v>28</c:v>
                </c:pt>
                <c:pt idx="7">
                  <c:v>20</c:v>
                </c:pt>
                <c:pt idx="8">
                  <c:v>32</c:v>
                </c:pt>
                <c:pt idx="9">
                  <c:v>9</c:v>
                </c:pt>
                <c:pt idx="10">
                  <c:v>63</c:v>
                </c:pt>
                <c:pt idx="11">
                  <c:v>4</c:v>
                </c:pt>
                <c:pt idx="12">
                  <c:v>9</c:v>
                </c:pt>
                <c:pt idx="13">
                  <c:v>9</c:v>
                </c:pt>
                <c:pt idx="14">
                  <c:v>52</c:v>
                </c:pt>
                <c:pt idx="15">
                  <c:v>50</c:v>
                </c:pt>
                <c:pt idx="16">
                  <c:v>48</c:v>
                </c:pt>
                <c:pt idx="17">
                  <c:v>62</c:v>
                </c:pt>
                <c:pt idx="18">
                  <c:v>40</c:v>
                </c:pt>
                <c:pt idx="19">
                  <c:v>38</c:v>
                </c:pt>
                <c:pt idx="20">
                  <c:v>30</c:v>
                </c:pt>
                <c:pt idx="21">
                  <c:v>14</c:v>
                </c:pt>
                <c:pt idx="22">
                  <c:v>46</c:v>
                </c:pt>
                <c:pt idx="23">
                  <c:v>6</c:v>
                </c:pt>
                <c:pt idx="24">
                  <c:v>2</c:v>
                </c:pt>
                <c:pt idx="25">
                  <c:v>15</c:v>
                </c:pt>
                <c:pt idx="26">
                  <c:v>8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3</c:v>
                </c:pt>
                <c:pt idx="32">
                  <c:v>7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22</c:v>
                </c:pt>
                <c:pt idx="37">
                  <c:v>1</c:v>
                </c:pt>
                <c:pt idx="38">
                  <c:v>24</c:v>
                </c:pt>
                <c:pt idx="39">
                  <c:v>23</c:v>
                </c:pt>
                <c:pt idx="40">
                  <c:v>4</c:v>
                </c:pt>
                <c:pt idx="41">
                  <c:v>15</c:v>
                </c:pt>
                <c:pt idx="42">
                  <c:v>6</c:v>
                </c:pt>
                <c:pt idx="43">
                  <c:v>2</c:v>
                </c:pt>
                <c:pt idx="44">
                  <c:v>13</c:v>
                </c:pt>
                <c:pt idx="45">
                  <c:v>11</c:v>
                </c:pt>
                <c:pt idx="46">
                  <c:v>10</c:v>
                </c:pt>
                <c:pt idx="47">
                  <c:v>7</c:v>
                </c:pt>
                <c:pt idx="48">
                  <c:v>0</c:v>
                </c:pt>
                <c:pt idx="49">
                  <c:v>4</c:v>
                </c:pt>
                <c:pt idx="50">
                  <c:v>32</c:v>
                </c:pt>
                <c:pt idx="51">
                  <c:v>16</c:v>
                </c:pt>
                <c:pt idx="52">
                  <c:v>27</c:v>
                </c:pt>
                <c:pt idx="53">
                  <c:v>6</c:v>
                </c:pt>
                <c:pt idx="54">
                  <c:v>15</c:v>
                </c:pt>
                <c:pt idx="55">
                  <c:v>16</c:v>
                </c:pt>
                <c:pt idx="56">
                  <c:v>15</c:v>
                </c:pt>
                <c:pt idx="57">
                  <c:v>14</c:v>
                </c:pt>
                <c:pt idx="58">
                  <c:v>15</c:v>
                </c:pt>
                <c:pt idx="59">
                  <c:v>16</c:v>
                </c:pt>
                <c:pt idx="60">
                  <c:v>3</c:v>
                </c:pt>
                <c:pt idx="61">
                  <c:v>23</c:v>
                </c:pt>
                <c:pt idx="62">
                  <c:v>25</c:v>
                </c:pt>
                <c:pt idx="63">
                  <c:v>17</c:v>
                </c:pt>
                <c:pt idx="64">
                  <c:v>38</c:v>
                </c:pt>
                <c:pt idx="65">
                  <c:v>27</c:v>
                </c:pt>
                <c:pt idx="66">
                  <c:v>25</c:v>
                </c:pt>
                <c:pt idx="67">
                  <c:v>23</c:v>
                </c:pt>
                <c:pt idx="68">
                  <c:v>3</c:v>
                </c:pt>
                <c:pt idx="69">
                  <c:v>38</c:v>
                </c:pt>
                <c:pt idx="70">
                  <c:v>11</c:v>
                </c:pt>
                <c:pt idx="71">
                  <c:v>5</c:v>
                </c:pt>
                <c:pt idx="72">
                  <c:v>5</c:v>
                </c:pt>
                <c:pt idx="73">
                  <c:v>12</c:v>
                </c:pt>
                <c:pt idx="74">
                  <c:v>3</c:v>
                </c:pt>
                <c:pt idx="75">
                  <c:v>0</c:v>
                </c:pt>
                <c:pt idx="76">
                  <c:v>10</c:v>
                </c:pt>
                <c:pt idx="77">
                  <c:v>4</c:v>
                </c:pt>
                <c:pt idx="78">
                  <c:v>11</c:v>
                </c:pt>
                <c:pt idx="79">
                  <c:v>14</c:v>
                </c:pt>
                <c:pt idx="80">
                  <c:v>9</c:v>
                </c:pt>
                <c:pt idx="81">
                  <c:v>23</c:v>
                </c:pt>
                <c:pt idx="82">
                  <c:v>22</c:v>
                </c:pt>
                <c:pt idx="83">
                  <c:v>4</c:v>
                </c:pt>
                <c:pt idx="84">
                  <c:v>37</c:v>
                </c:pt>
                <c:pt idx="85">
                  <c:v>11</c:v>
                </c:pt>
                <c:pt idx="86">
                  <c:v>12</c:v>
                </c:pt>
                <c:pt idx="87">
                  <c:v>4</c:v>
                </c:pt>
                <c:pt idx="88">
                  <c:v>14</c:v>
                </c:pt>
                <c:pt idx="89">
                  <c:v>10</c:v>
                </c:pt>
                <c:pt idx="90">
                  <c:v>7</c:v>
                </c:pt>
                <c:pt idx="91">
                  <c:v>5</c:v>
                </c:pt>
                <c:pt idx="92">
                  <c:v>2</c:v>
                </c:pt>
                <c:pt idx="93">
                  <c:v>7</c:v>
                </c:pt>
                <c:pt idx="94">
                  <c:v>6</c:v>
                </c:pt>
                <c:pt idx="95">
                  <c:v>3</c:v>
                </c:pt>
                <c:pt idx="96">
                  <c:v>6</c:v>
                </c:pt>
                <c:pt idx="97">
                  <c:v>5</c:v>
                </c:pt>
                <c:pt idx="98">
                  <c:v>11</c:v>
                </c:pt>
                <c:pt idx="99">
                  <c:v>12</c:v>
                </c:pt>
                <c:pt idx="100">
                  <c:v>32</c:v>
                </c:pt>
                <c:pt idx="101">
                  <c:v>28</c:v>
                </c:pt>
                <c:pt idx="102">
                  <c:v>10</c:v>
                </c:pt>
                <c:pt idx="103">
                  <c:v>12</c:v>
                </c:pt>
                <c:pt idx="104">
                  <c:v>31</c:v>
                </c:pt>
                <c:pt idx="105">
                  <c:v>18</c:v>
                </c:pt>
                <c:pt idx="106">
                  <c:v>44</c:v>
                </c:pt>
                <c:pt idx="107">
                  <c:v>62</c:v>
                </c:pt>
                <c:pt idx="108">
                  <c:v>9</c:v>
                </c:pt>
                <c:pt idx="109">
                  <c:v>9</c:v>
                </c:pt>
                <c:pt idx="110">
                  <c:v>15</c:v>
                </c:pt>
                <c:pt idx="111">
                  <c:v>14</c:v>
                </c:pt>
                <c:pt idx="112">
                  <c:v>3</c:v>
                </c:pt>
                <c:pt idx="113">
                  <c:v>9</c:v>
                </c:pt>
                <c:pt idx="114">
                  <c:v>6</c:v>
                </c:pt>
                <c:pt idx="115">
                  <c:v>3</c:v>
                </c:pt>
                <c:pt idx="116">
                  <c:v>7</c:v>
                </c:pt>
                <c:pt idx="117">
                  <c:v>4</c:v>
                </c:pt>
                <c:pt idx="118">
                  <c:v>1</c:v>
                </c:pt>
                <c:pt idx="119">
                  <c:v>12</c:v>
                </c:pt>
                <c:pt idx="120">
                  <c:v>46</c:v>
                </c:pt>
                <c:pt idx="121">
                  <c:v>57</c:v>
                </c:pt>
                <c:pt idx="122">
                  <c:v>1</c:v>
                </c:pt>
                <c:pt idx="123">
                  <c:v>12</c:v>
                </c:pt>
                <c:pt idx="124">
                  <c:v>46</c:v>
                </c:pt>
                <c:pt idx="125">
                  <c:v>63</c:v>
                </c:pt>
                <c:pt idx="126">
                  <c:v>5</c:v>
                </c:pt>
                <c:pt idx="127">
                  <c:v>17</c:v>
                </c:pt>
                <c:pt idx="128">
                  <c:v>7</c:v>
                </c:pt>
                <c:pt idx="129">
                  <c:v>1</c:v>
                </c:pt>
                <c:pt idx="130">
                  <c:v>4</c:v>
                </c:pt>
                <c:pt idx="131">
                  <c:v>7</c:v>
                </c:pt>
                <c:pt idx="132">
                  <c:v>8</c:v>
                </c:pt>
                <c:pt idx="133">
                  <c:v>6</c:v>
                </c:pt>
                <c:pt idx="134">
                  <c:v>47</c:v>
                </c:pt>
                <c:pt idx="135">
                  <c:v>54</c:v>
                </c:pt>
                <c:pt idx="136">
                  <c:v>1</c:v>
                </c:pt>
                <c:pt idx="137">
                  <c:v>24</c:v>
                </c:pt>
                <c:pt idx="138">
                  <c:v>10</c:v>
                </c:pt>
                <c:pt idx="139">
                  <c:v>0</c:v>
                </c:pt>
                <c:pt idx="140">
                  <c:v>10</c:v>
                </c:pt>
                <c:pt idx="141">
                  <c:v>7</c:v>
                </c:pt>
                <c:pt idx="142">
                  <c:v>3</c:v>
                </c:pt>
                <c:pt idx="143">
                  <c:v>5</c:v>
                </c:pt>
                <c:pt idx="144">
                  <c:v>0</c:v>
                </c:pt>
                <c:pt idx="145">
                  <c:v>14</c:v>
                </c:pt>
                <c:pt idx="146">
                  <c:v>9</c:v>
                </c:pt>
                <c:pt idx="147">
                  <c:v>3</c:v>
                </c:pt>
                <c:pt idx="148">
                  <c:v>9</c:v>
                </c:pt>
                <c:pt idx="149">
                  <c:v>2</c:v>
                </c:pt>
                <c:pt idx="150">
                  <c:v>8</c:v>
                </c:pt>
                <c:pt idx="151">
                  <c:v>33</c:v>
                </c:pt>
                <c:pt idx="152">
                  <c:v>18</c:v>
                </c:pt>
                <c:pt idx="153">
                  <c:v>8</c:v>
                </c:pt>
                <c:pt idx="154">
                  <c:v>1</c:v>
                </c:pt>
                <c:pt idx="155">
                  <c:v>6</c:v>
                </c:pt>
                <c:pt idx="156">
                  <c:v>4</c:v>
                </c:pt>
                <c:pt idx="157">
                  <c:v>11</c:v>
                </c:pt>
                <c:pt idx="158">
                  <c:v>3</c:v>
                </c:pt>
                <c:pt idx="159">
                  <c:v>16</c:v>
                </c:pt>
                <c:pt idx="160">
                  <c:v>115</c:v>
                </c:pt>
                <c:pt idx="161">
                  <c:v>148</c:v>
                </c:pt>
                <c:pt idx="162">
                  <c:v>6</c:v>
                </c:pt>
                <c:pt idx="163">
                  <c:v>47</c:v>
                </c:pt>
                <c:pt idx="164">
                  <c:v>21</c:v>
                </c:pt>
                <c:pt idx="165">
                  <c:v>36</c:v>
                </c:pt>
                <c:pt idx="166">
                  <c:v>4</c:v>
                </c:pt>
                <c:pt idx="167">
                  <c:v>6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19</c:v>
                </c:pt>
                <c:pt idx="172">
                  <c:v>24</c:v>
                </c:pt>
                <c:pt idx="173">
                  <c:v>10</c:v>
                </c:pt>
                <c:pt idx="174">
                  <c:v>0</c:v>
                </c:pt>
                <c:pt idx="175">
                  <c:v>21</c:v>
                </c:pt>
                <c:pt idx="176">
                  <c:v>0</c:v>
                </c:pt>
                <c:pt idx="177">
                  <c:v>38</c:v>
                </c:pt>
                <c:pt idx="178">
                  <c:v>13</c:v>
                </c:pt>
                <c:pt idx="179">
                  <c:v>1</c:v>
                </c:pt>
                <c:pt idx="180">
                  <c:v>4</c:v>
                </c:pt>
                <c:pt idx="181">
                  <c:v>0</c:v>
                </c:pt>
                <c:pt idx="182">
                  <c:v>10</c:v>
                </c:pt>
                <c:pt idx="183">
                  <c:v>22</c:v>
                </c:pt>
                <c:pt idx="184">
                  <c:v>9</c:v>
                </c:pt>
                <c:pt idx="185">
                  <c:v>0</c:v>
                </c:pt>
                <c:pt idx="186">
                  <c:v>2</c:v>
                </c:pt>
                <c:pt idx="187">
                  <c:v>4</c:v>
                </c:pt>
                <c:pt idx="188">
                  <c:v>2</c:v>
                </c:pt>
                <c:pt idx="189">
                  <c:v>6</c:v>
                </c:pt>
                <c:pt idx="190">
                  <c:v>2</c:v>
                </c:pt>
                <c:pt idx="191">
                  <c:v>7</c:v>
                </c:pt>
                <c:pt idx="192">
                  <c:v>2</c:v>
                </c:pt>
                <c:pt idx="193">
                  <c:v>29</c:v>
                </c:pt>
                <c:pt idx="194">
                  <c:v>5</c:v>
                </c:pt>
                <c:pt idx="195">
                  <c:v>3</c:v>
                </c:pt>
                <c:pt idx="196">
                  <c:v>57</c:v>
                </c:pt>
                <c:pt idx="197">
                  <c:v>4</c:v>
                </c:pt>
                <c:pt idx="198">
                  <c:v>8</c:v>
                </c:pt>
                <c:pt idx="199">
                  <c:v>1</c:v>
                </c:pt>
                <c:pt idx="200">
                  <c:v>1</c:v>
                </c:pt>
                <c:pt idx="201">
                  <c:v>53</c:v>
                </c:pt>
                <c:pt idx="202">
                  <c:v>25</c:v>
                </c:pt>
                <c:pt idx="203">
                  <c:v>14</c:v>
                </c:pt>
                <c:pt idx="204">
                  <c:v>27</c:v>
                </c:pt>
                <c:pt idx="205">
                  <c:v>2</c:v>
                </c:pt>
                <c:pt idx="206">
                  <c:v>10</c:v>
                </c:pt>
                <c:pt idx="207">
                  <c:v>33</c:v>
                </c:pt>
                <c:pt idx="208">
                  <c:v>43</c:v>
                </c:pt>
                <c:pt idx="209">
                  <c:v>9</c:v>
                </c:pt>
                <c:pt idx="210">
                  <c:v>23</c:v>
                </c:pt>
                <c:pt idx="211">
                  <c:v>16</c:v>
                </c:pt>
                <c:pt idx="212">
                  <c:v>10</c:v>
                </c:pt>
                <c:pt idx="213">
                  <c:v>7</c:v>
                </c:pt>
                <c:pt idx="214">
                  <c:v>113</c:v>
                </c:pt>
                <c:pt idx="215">
                  <c:v>136</c:v>
                </c:pt>
                <c:pt idx="216">
                  <c:v>11</c:v>
                </c:pt>
                <c:pt idx="217">
                  <c:v>21</c:v>
                </c:pt>
                <c:pt idx="218">
                  <c:v>27</c:v>
                </c:pt>
                <c:pt idx="219">
                  <c:v>17</c:v>
                </c:pt>
                <c:pt idx="220">
                  <c:v>8</c:v>
                </c:pt>
                <c:pt idx="221">
                  <c:v>3</c:v>
                </c:pt>
                <c:pt idx="222">
                  <c:v>14</c:v>
                </c:pt>
                <c:pt idx="223">
                  <c:v>12</c:v>
                </c:pt>
                <c:pt idx="224">
                  <c:v>8</c:v>
                </c:pt>
                <c:pt idx="225">
                  <c:v>24</c:v>
                </c:pt>
                <c:pt idx="226">
                  <c:v>31</c:v>
                </c:pt>
                <c:pt idx="227">
                  <c:v>2</c:v>
                </c:pt>
                <c:pt idx="228">
                  <c:v>3</c:v>
                </c:pt>
                <c:pt idx="229">
                  <c:v>4</c:v>
                </c:pt>
                <c:pt idx="230">
                  <c:v>6</c:v>
                </c:pt>
                <c:pt idx="231">
                  <c:v>3</c:v>
                </c:pt>
                <c:pt idx="232">
                  <c:v>1</c:v>
                </c:pt>
                <c:pt idx="233">
                  <c:v>9</c:v>
                </c:pt>
                <c:pt idx="234">
                  <c:v>12</c:v>
                </c:pt>
                <c:pt idx="235">
                  <c:v>13</c:v>
                </c:pt>
                <c:pt idx="236">
                  <c:v>16</c:v>
                </c:pt>
                <c:pt idx="237">
                  <c:v>14</c:v>
                </c:pt>
                <c:pt idx="238">
                  <c:v>27</c:v>
                </c:pt>
                <c:pt idx="239">
                  <c:v>20</c:v>
                </c:pt>
                <c:pt idx="240">
                  <c:v>5</c:v>
                </c:pt>
                <c:pt idx="241">
                  <c:v>9</c:v>
                </c:pt>
                <c:pt idx="242">
                  <c:v>8</c:v>
                </c:pt>
                <c:pt idx="243">
                  <c:v>36</c:v>
                </c:pt>
                <c:pt idx="244">
                  <c:v>3</c:v>
                </c:pt>
                <c:pt idx="245">
                  <c:v>2</c:v>
                </c:pt>
                <c:pt idx="246">
                  <c:v>8</c:v>
                </c:pt>
                <c:pt idx="247">
                  <c:v>34</c:v>
                </c:pt>
                <c:pt idx="248">
                  <c:v>25</c:v>
                </c:pt>
                <c:pt idx="249">
                  <c:v>3</c:v>
                </c:pt>
                <c:pt idx="250">
                  <c:v>19</c:v>
                </c:pt>
                <c:pt idx="251">
                  <c:v>15</c:v>
                </c:pt>
                <c:pt idx="252">
                  <c:v>8</c:v>
                </c:pt>
                <c:pt idx="253">
                  <c:v>9</c:v>
                </c:pt>
                <c:pt idx="254">
                  <c:v>15</c:v>
                </c:pt>
                <c:pt idx="255">
                  <c:v>7</c:v>
                </c:pt>
                <c:pt idx="256">
                  <c:v>13</c:v>
                </c:pt>
                <c:pt idx="257">
                  <c:v>19</c:v>
                </c:pt>
                <c:pt idx="258">
                  <c:v>1</c:v>
                </c:pt>
                <c:pt idx="259">
                  <c:v>14</c:v>
                </c:pt>
                <c:pt idx="260">
                  <c:v>10</c:v>
                </c:pt>
                <c:pt idx="261">
                  <c:v>7</c:v>
                </c:pt>
                <c:pt idx="262">
                  <c:v>2</c:v>
                </c:pt>
                <c:pt idx="263">
                  <c:v>1</c:v>
                </c:pt>
                <c:pt idx="264">
                  <c:v>7</c:v>
                </c:pt>
                <c:pt idx="265">
                  <c:v>1</c:v>
                </c:pt>
                <c:pt idx="266">
                  <c:v>29</c:v>
                </c:pt>
                <c:pt idx="267">
                  <c:v>18</c:v>
                </c:pt>
                <c:pt idx="268">
                  <c:v>5</c:v>
                </c:pt>
                <c:pt idx="269">
                  <c:v>7</c:v>
                </c:pt>
                <c:pt idx="270">
                  <c:v>8</c:v>
                </c:pt>
                <c:pt idx="271">
                  <c:v>15</c:v>
                </c:pt>
                <c:pt idx="272">
                  <c:v>9</c:v>
                </c:pt>
                <c:pt idx="273">
                  <c:v>1</c:v>
                </c:pt>
                <c:pt idx="274">
                  <c:v>28</c:v>
                </c:pt>
                <c:pt idx="275">
                  <c:v>8</c:v>
                </c:pt>
                <c:pt idx="276">
                  <c:v>13</c:v>
                </c:pt>
                <c:pt idx="277">
                  <c:v>5</c:v>
                </c:pt>
                <c:pt idx="278">
                  <c:v>15</c:v>
                </c:pt>
                <c:pt idx="279">
                  <c:v>2</c:v>
                </c:pt>
                <c:pt idx="280">
                  <c:v>4</c:v>
                </c:pt>
                <c:pt idx="281">
                  <c:v>27</c:v>
                </c:pt>
                <c:pt idx="282">
                  <c:v>31</c:v>
                </c:pt>
                <c:pt idx="283">
                  <c:v>21</c:v>
                </c:pt>
                <c:pt idx="284">
                  <c:v>0</c:v>
                </c:pt>
                <c:pt idx="285">
                  <c:v>22</c:v>
                </c:pt>
                <c:pt idx="286">
                  <c:v>26</c:v>
                </c:pt>
                <c:pt idx="287">
                  <c:v>1</c:v>
                </c:pt>
                <c:pt idx="288">
                  <c:v>10</c:v>
                </c:pt>
                <c:pt idx="289">
                  <c:v>47</c:v>
                </c:pt>
                <c:pt idx="290">
                  <c:v>6</c:v>
                </c:pt>
                <c:pt idx="291">
                  <c:v>88</c:v>
                </c:pt>
                <c:pt idx="292">
                  <c:v>3</c:v>
                </c:pt>
                <c:pt idx="293">
                  <c:v>6</c:v>
                </c:pt>
                <c:pt idx="294">
                  <c:v>3</c:v>
                </c:pt>
                <c:pt idx="295">
                  <c:v>5</c:v>
                </c:pt>
                <c:pt idx="296">
                  <c:v>29</c:v>
                </c:pt>
                <c:pt idx="297">
                  <c:v>13</c:v>
                </c:pt>
                <c:pt idx="298">
                  <c:v>18</c:v>
                </c:pt>
                <c:pt idx="299">
                  <c:v>9</c:v>
                </c:pt>
                <c:pt idx="300">
                  <c:v>14</c:v>
                </c:pt>
                <c:pt idx="301">
                  <c:v>16</c:v>
                </c:pt>
                <c:pt idx="302">
                  <c:v>23</c:v>
                </c:pt>
                <c:pt idx="303">
                  <c:v>19</c:v>
                </c:pt>
                <c:pt idx="304">
                  <c:v>5</c:v>
                </c:pt>
                <c:pt idx="305">
                  <c:v>28</c:v>
                </c:pt>
                <c:pt idx="306">
                  <c:v>12</c:v>
                </c:pt>
                <c:pt idx="307">
                  <c:v>37</c:v>
                </c:pt>
                <c:pt idx="308">
                  <c:v>22</c:v>
                </c:pt>
                <c:pt idx="309">
                  <c:v>14</c:v>
                </c:pt>
                <c:pt idx="310">
                  <c:v>19</c:v>
                </c:pt>
                <c:pt idx="311">
                  <c:v>10</c:v>
                </c:pt>
                <c:pt idx="312">
                  <c:v>10</c:v>
                </c:pt>
                <c:pt idx="313">
                  <c:v>55</c:v>
                </c:pt>
                <c:pt idx="314">
                  <c:v>5</c:v>
                </c:pt>
                <c:pt idx="315">
                  <c:v>19</c:v>
                </c:pt>
                <c:pt idx="316">
                  <c:v>29</c:v>
                </c:pt>
                <c:pt idx="317">
                  <c:v>16</c:v>
                </c:pt>
                <c:pt idx="318">
                  <c:v>22</c:v>
                </c:pt>
                <c:pt idx="319">
                  <c:v>20</c:v>
                </c:pt>
                <c:pt idx="320">
                  <c:v>3</c:v>
                </c:pt>
                <c:pt idx="321">
                  <c:v>10</c:v>
                </c:pt>
                <c:pt idx="322">
                  <c:v>4</c:v>
                </c:pt>
                <c:pt idx="323">
                  <c:v>6</c:v>
                </c:pt>
                <c:pt idx="324">
                  <c:v>7</c:v>
                </c:pt>
                <c:pt idx="325">
                  <c:v>21</c:v>
                </c:pt>
                <c:pt idx="326">
                  <c:v>25</c:v>
                </c:pt>
                <c:pt idx="327">
                  <c:v>2</c:v>
                </c:pt>
                <c:pt idx="328">
                  <c:v>7</c:v>
                </c:pt>
                <c:pt idx="329">
                  <c:v>8</c:v>
                </c:pt>
                <c:pt idx="330">
                  <c:v>1</c:v>
                </c:pt>
                <c:pt idx="331">
                  <c:v>13</c:v>
                </c:pt>
                <c:pt idx="332">
                  <c:v>9</c:v>
                </c:pt>
                <c:pt idx="333">
                  <c:v>14</c:v>
                </c:pt>
                <c:pt idx="334">
                  <c:v>8</c:v>
                </c:pt>
                <c:pt idx="335">
                  <c:v>2</c:v>
                </c:pt>
                <c:pt idx="336">
                  <c:v>21</c:v>
                </c:pt>
                <c:pt idx="337">
                  <c:v>9</c:v>
                </c:pt>
                <c:pt idx="338">
                  <c:v>20</c:v>
                </c:pt>
                <c:pt idx="339">
                  <c:v>59</c:v>
                </c:pt>
                <c:pt idx="340">
                  <c:v>29</c:v>
                </c:pt>
                <c:pt idx="341">
                  <c:v>10</c:v>
                </c:pt>
                <c:pt idx="342">
                  <c:v>8</c:v>
                </c:pt>
                <c:pt idx="343">
                  <c:v>0</c:v>
                </c:pt>
                <c:pt idx="344">
                  <c:v>1</c:v>
                </c:pt>
                <c:pt idx="345">
                  <c:v>4</c:v>
                </c:pt>
                <c:pt idx="346">
                  <c:v>6</c:v>
                </c:pt>
                <c:pt idx="347">
                  <c:v>9</c:v>
                </c:pt>
                <c:pt idx="348">
                  <c:v>8</c:v>
                </c:pt>
                <c:pt idx="349">
                  <c:v>5</c:v>
                </c:pt>
                <c:pt idx="350">
                  <c:v>40</c:v>
                </c:pt>
                <c:pt idx="351">
                  <c:v>42</c:v>
                </c:pt>
                <c:pt idx="352">
                  <c:v>35</c:v>
                </c:pt>
                <c:pt idx="353">
                  <c:v>39</c:v>
                </c:pt>
                <c:pt idx="354">
                  <c:v>20</c:v>
                </c:pt>
                <c:pt idx="355">
                  <c:v>5</c:v>
                </c:pt>
                <c:pt idx="356">
                  <c:v>12</c:v>
                </c:pt>
                <c:pt idx="357">
                  <c:v>21</c:v>
                </c:pt>
                <c:pt idx="358">
                  <c:v>56</c:v>
                </c:pt>
                <c:pt idx="359">
                  <c:v>10</c:v>
                </c:pt>
                <c:pt idx="360">
                  <c:v>4</c:v>
                </c:pt>
                <c:pt idx="361">
                  <c:v>3</c:v>
                </c:pt>
                <c:pt idx="362">
                  <c:v>5</c:v>
                </c:pt>
                <c:pt idx="363">
                  <c:v>7</c:v>
                </c:pt>
                <c:pt idx="364">
                  <c:v>2</c:v>
                </c:pt>
                <c:pt idx="365">
                  <c:v>15</c:v>
                </c:pt>
                <c:pt idx="366">
                  <c:v>1</c:v>
                </c:pt>
                <c:pt idx="367">
                  <c:v>23</c:v>
                </c:pt>
                <c:pt idx="368">
                  <c:v>30</c:v>
                </c:pt>
                <c:pt idx="369">
                  <c:v>17</c:v>
                </c:pt>
                <c:pt idx="370">
                  <c:v>5</c:v>
                </c:pt>
                <c:pt idx="371">
                  <c:v>30</c:v>
                </c:pt>
                <c:pt idx="372">
                  <c:v>18</c:v>
                </c:pt>
                <c:pt idx="373">
                  <c:v>11</c:v>
                </c:pt>
                <c:pt idx="374">
                  <c:v>5</c:v>
                </c:pt>
                <c:pt idx="375">
                  <c:v>1</c:v>
                </c:pt>
                <c:pt idx="376">
                  <c:v>2</c:v>
                </c:pt>
                <c:pt idx="377">
                  <c:v>7</c:v>
                </c:pt>
                <c:pt idx="378">
                  <c:v>2</c:v>
                </c:pt>
                <c:pt idx="379">
                  <c:v>5</c:v>
                </c:pt>
                <c:pt idx="380">
                  <c:v>8</c:v>
                </c:pt>
                <c:pt idx="381">
                  <c:v>5</c:v>
                </c:pt>
                <c:pt idx="382">
                  <c:v>0</c:v>
                </c:pt>
                <c:pt idx="383">
                  <c:v>19</c:v>
                </c:pt>
                <c:pt idx="384">
                  <c:v>16</c:v>
                </c:pt>
                <c:pt idx="385">
                  <c:v>22</c:v>
                </c:pt>
                <c:pt idx="386">
                  <c:v>12</c:v>
                </c:pt>
                <c:pt idx="387">
                  <c:v>20</c:v>
                </c:pt>
                <c:pt idx="388">
                  <c:v>78</c:v>
                </c:pt>
                <c:pt idx="389">
                  <c:v>4</c:v>
                </c:pt>
                <c:pt idx="390">
                  <c:v>24</c:v>
                </c:pt>
                <c:pt idx="391">
                  <c:v>19</c:v>
                </c:pt>
                <c:pt idx="392">
                  <c:v>10</c:v>
                </c:pt>
                <c:pt idx="393">
                  <c:v>15</c:v>
                </c:pt>
                <c:pt idx="394">
                  <c:v>10</c:v>
                </c:pt>
                <c:pt idx="395">
                  <c:v>7</c:v>
                </c:pt>
                <c:pt idx="396">
                  <c:v>10</c:v>
                </c:pt>
                <c:pt idx="397">
                  <c:v>7</c:v>
                </c:pt>
                <c:pt idx="398">
                  <c:v>13</c:v>
                </c:pt>
                <c:pt idx="399">
                  <c:v>7</c:v>
                </c:pt>
                <c:pt idx="400">
                  <c:v>11</c:v>
                </c:pt>
                <c:pt idx="401">
                  <c:v>10</c:v>
                </c:pt>
                <c:pt idx="402">
                  <c:v>6</c:v>
                </c:pt>
                <c:pt idx="403">
                  <c:v>20</c:v>
                </c:pt>
                <c:pt idx="404">
                  <c:v>28</c:v>
                </c:pt>
                <c:pt idx="405">
                  <c:v>11</c:v>
                </c:pt>
                <c:pt idx="406">
                  <c:v>72</c:v>
                </c:pt>
                <c:pt idx="407">
                  <c:v>5</c:v>
                </c:pt>
                <c:pt idx="408">
                  <c:v>9</c:v>
                </c:pt>
                <c:pt idx="409">
                  <c:v>5</c:v>
                </c:pt>
                <c:pt idx="410">
                  <c:v>8</c:v>
                </c:pt>
                <c:pt idx="411">
                  <c:v>7</c:v>
                </c:pt>
                <c:pt idx="412">
                  <c:v>4</c:v>
                </c:pt>
                <c:pt idx="413">
                  <c:v>20</c:v>
                </c:pt>
                <c:pt idx="414">
                  <c:v>14</c:v>
                </c:pt>
                <c:pt idx="415">
                  <c:v>21</c:v>
                </c:pt>
                <c:pt idx="416">
                  <c:v>8</c:v>
                </c:pt>
                <c:pt idx="417">
                  <c:v>9</c:v>
                </c:pt>
                <c:pt idx="418">
                  <c:v>27</c:v>
                </c:pt>
                <c:pt idx="419">
                  <c:v>3</c:v>
                </c:pt>
                <c:pt idx="420">
                  <c:v>4</c:v>
                </c:pt>
                <c:pt idx="421">
                  <c:v>7</c:v>
                </c:pt>
                <c:pt idx="422">
                  <c:v>8</c:v>
                </c:pt>
                <c:pt idx="423">
                  <c:v>2</c:v>
                </c:pt>
                <c:pt idx="424">
                  <c:v>6</c:v>
                </c:pt>
                <c:pt idx="425">
                  <c:v>8</c:v>
                </c:pt>
                <c:pt idx="426">
                  <c:v>3</c:v>
                </c:pt>
                <c:pt idx="427">
                  <c:v>46</c:v>
                </c:pt>
                <c:pt idx="428">
                  <c:v>17</c:v>
                </c:pt>
                <c:pt idx="429">
                  <c:v>2</c:v>
                </c:pt>
                <c:pt idx="430">
                  <c:v>8</c:v>
                </c:pt>
                <c:pt idx="431">
                  <c:v>1</c:v>
                </c:pt>
                <c:pt idx="432">
                  <c:v>0</c:v>
                </c:pt>
                <c:pt idx="433">
                  <c:v>36</c:v>
                </c:pt>
                <c:pt idx="434">
                  <c:v>12</c:v>
                </c:pt>
                <c:pt idx="435">
                  <c:v>93</c:v>
                </c:pt>
                <c:pt idx="436">
                  <c:v>3</c:v>
                </c:pt>
                <c:pt idx="437">
                  <c:v>17</c:v>
                </c:pt>
                <c:pt idx="438">
                  <c:v>13</c:v>
                </c:pt>
                <c:pt idx="439">
                  <c:v>17</c:v>
                </c:pt>
                <c:pt idx="440">
                  <c:v>7</c:v>
                </c:pt>
                <c:pt idx="441">
                  <c:v>0</c:v>
                </c:pt>
                <c:pt idx="442">
                  <c:v>13</c:v>
                </c:pt>
                <c:pt idx="443">
                  <c:v>26</c:v>
                </c:pt>
                <c:pt idx="444">
                  <c:v>13</c:v>
                </c:pt>
                <c:pt idx="445">
                  <c:v>19</c:v>
                </c:pt>
                <c:pt idx="446">
                  <c:v>8</c:v>
                </c:pt>
                <c:pt idx="447">
                  <c:v>8</c:v>
                </c:pt>
                <c:pt idx="448">
                  <c:v>26</c:v>
                </c:pt>
                <c:pt idx="449">
                  <c:v>20</c:v>
                </c:pt>
                <c:pt idx="450">
                  <c:v>43</c:v>
                </c:pt>
                <c:pt idx="451">
                  <c:v>78</c:v>
                </c:pt>
                <c:pt idx="452">
                  <c:v>73</c:v>
                </c:pt>
                <c:pt idx="453">
                  <c:v>2</c:v>
                </c:pt>
                <c:pt idx="454">
                  <c:v>32</c:v>
                </c:pt>
                <c:pt idx="455">
                  <c:v>35</c:v>
                </c:pt>
                <c:pt idx="456">
                  <c:v>12</c:v>
                </c:pt>
                <c:pt idx="457">
                  <c:v>4</c:v>
                </c:pt>
                <c:pt idx="458">
                  <c:v>16</c:v>
                </c:pt>
                <c:pt idx="459">
                  <c:v>9</c:v>
                </c:pt>
                <c:pt idx="460">
                  <c:v>2</c:v>
                </c:pt>
                <c:pt idx="461">
                  <c:v>14</c:v>
                </c:pt>
                <c:pt idx="462">
                  <c:v>6</c:v>
                </c:pt>
                <c:pt idx="463">
                  <c:v>11</c:v>
                </c:pt>
                <c:pt idx="464">
                  <c:v>5</c:v>
                </c:pt>
                <c:pt idx="465">
                  <c:v>3</c:v>
                </c:pt>
                <c:pt idx="466">
                  <c:v>9</c:v>
                </c:pt>
                <c:pt idx="467">
                  <c:v>0</c:v>
                </c:pt>
                <c:pt idx="468">
                  <c:v>20</c:v>
                </c:pt>
                <c:pt idx="469">
                  <c:v>32</c:v>
                </c:pt>
                <c:pt idx="470">
                  <c:v>7</c:v>
                </c:pt>
                <c:pt idx="471">
                  <c:v>15</c:v>
                </c:pt>
                <c:pt idx="472">
                  <c:v>3</c:v>
                </c:pt>
                <c:pt idx="473">
                  <c:v>18</c:v>
                </c:pt>
                <c:pt idx="474">
                  <c:v>2</c:v>
                </c:pt>
                <c:pt idx="475">
                  <c:v>49</c:v>
                </c:pt>
                <c:pt idx="476">
                  <c:v>7</c:v>
                </c:pt>
                <c:pt idx="477">
                  <c:v>2</c:v>
                </c:pt>
                <c:pt idx="478">
                  <c:v>16</c:v>
                </c:pt>
                <c:pt idx="479">
                  <c:v>15</c:v>
                </c:pt>
                <c:pt idx="480">
                  <c:v>81</c:v>
                </c:pt>
                <c:pt idx="481">
                  <c:v>1</c:v>
                </c:pt>
                <c:pt idx="482">
                  <c:v>16</c:v>
                </c:pt>
                <c:pt idx="483">
                  <c:v>3</c:v>
                </c:pt>
                <c:pt idx="484">
                  <c:v>23</c:v>
                </c:pt>
                <c:pt idx="485">
                  <c:v>17</c:v>
                </c:pt>
                <c:pt idx="486">
                  <c:v>15</c:v>
                </c:pt>
                <c:pt idx="487">
                  <c:v>13</c:v>
                </c:pt>
                <c:pt idx="488">
                  <c:v>9</c:v>
                </c:pt>
                <c:pt idx="489">
                  <c:v>2</c:v>
                </c:pt>
                <c:pt idx="490">
                  <c:v>10</c:v>
                </c:pt>
                <c:pt idx="491">
                  <c:v>6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6</c:v>
                </c:pt>
                <c:pt idx="496">
                  <c:v>3</c:v>
                </c:pt>
                <c:pt idx="497">
                  <c:v>3</c:v>
                </c:pt>
                <c:pt idx="498">
                  <c:v>7</c:v>
                </c:pt>
                <c:pt idx="499">
                  <c:v>1</c:v>
                </c:pt>
                <c:pt idx="500">
                  <c:v>3</c:v>
                </c:pt>
                <c:pt idx="501">
                  <c:v>38</c:v>
                </c:pt>
                <c:pt idx="502">
                  <c:v>5</c:v>
                </c:pt>
                <c:pt idx="503">
                  <c:v>12</c:v>
                </c:pt>
                <c:pt idx="504">
                  <c:v>1</c:v>
                </c:pt>
                <c:pt idx="505">
                  <c:v>4</c:v>
                </c:pt>
                <c:pt idx="506">
                  <c:v>8</c:v>
                </c:pt>
                <c:pt idx="507">
                  <c:v>31</c:v>
                </c:pt>
                <c:pt idx="508">
                  <c:v>26</c:v>
                </c:pt>
                <c:pt idx="509">
                  <c:v>6</c:v>
                </c:pt>
                <c:pt idx="510">
                  <c:v>14</c:v>
                </c:pt>
                <c:pt idx="511">
                  <c:v>4</c:v>
                </c:pt>
                <c:pt idx="512">
                  <c:v>0</c:v>
                </c:pt>
                <c:pt idx="513">
                  <c:v>15</c:v>
                </c:pt>
                <c:pt idx="514">
                  <c:v>10</c:v>
                </c:pt>
                <c:pt idx="515">
                  <c:v>8</c:v>
                </c:pt>
                <c:pt idx="516">
                  <c:v>7</c:v>
                </c:pt>
                <c:pt idx="517">
                  <c:v>4</c:v>
                </c:pt>
                <c:pt idx="518">
                  <c:v>11</c:v>
                </c:pt>
                <c:pt idx="519">
                  <c:v>22</c:v>
                </c:pt>
                <c:pt idx="520">
                  <c:v>12</c:v>
                </c:pt>
                <c:pt idx="521">
                  <c:v>0</c:v>
                </c:pt>
                <c:pt idx="522">
                  <c:v>10</c:v>
                </c:pt>
                <c:pt idx="523">
                  <c:v>6</c:v>
                </c:pt>
                <c:pt idx="524">
                  <c:v>0</c:v>
                </c:pt>
                <c:pt idx="525">
                  <c:v>47</c:v>
                </c:pt>
                <c:pt idx="526">
                  <c:v>11</c:v>
                </c:pt>
                <c:pt idx="527">
                  <c:v>14</c:v>
                </c:pt>
                <c:pt idx="528">
                  <c:v>40</c:v>
                </c:pt>
                <c:pt idx="529">
                  <c:v>3</c:v>
                </c:pt>
                <c:pt idx="530">
                  <c:v>13</c:v>
                </c:pt>
                <c:pt idx="531">
                  <c:v>13</c:v>
                </c:pt>
                <c:pt idx="532">
                  <c:v>8</c:v>
                </c:pt>
                <c:pt idx="533">
                  <c:v>10</c:v>
                </c:pt>
                <c:pt idx="534">
                  <c:v>8</c:v>
                </c:pt>
                <c:pt idx="535">
                  <c:v>13</c:v>
                </c:pt>
                <c:pt idx="536">
                  <c:v>26</c:v>
                </c:pt>
                <c:pt idx="537">
                  <c:v>12</c:v>
                </c:pt>
                <c:pt idx="538">
                  <c:v>28</c:v>
                </c:pt>
                <c:pt idx="539">
                  <c:v>14</c:v>
                </c:pt>
                <c:pt idx="540">
                  <c:v>16</c:v>
                </c:pt>
                <c:pt idx="541">
                  <c:v>26</c:v>
                </c:pt>
                <c:pt idx="542">
                  <c:v>19</c:v>
                </c:pt>
                <c:pt idx="543">
                  <c:v>35</c:v>
                </c:pt>
                <c:pt idx="544">
                  <c:v>14</c:v>
                </c:pt>
                <c:pt idx="545">
                  <c:v>15</c:v>
                </c:pt>
                <c:pt idx="546">
                  <c:v>29</c:v>
                </c:pt>
                <c:pt idx="547">
                  <c:v>49</c:v>
                </c:pt>
                <c:pt idx="548">
                  <c:v>26</c:v>
                </c:pt>
                <c:pt idx="549">
                  <c:v>10</c:v>
                </c:pt>
                <c:pt idx="550">
                  <c:v>76</c:v>
                </c:pt>
                <c:pt idx="551">
                  <c:v>14</c:v>
                </c:pt>
                <c:pt idx="552">
                  <c:v>19</c:v>
                </c:pt>
                <c:pt idx="553">
                  <c:v>5</c:v>
                </c:pt>
                <c:pt idx="554">
                  <c:v>1</c:v>
                </c:pt>
                <c:pt idx="555">
                  <c:v>2</c:v>
                </c:pt>
                <c:pt idx="556">
                  <c:v>40</c:v>
                </c:pt>
                <c:pt idx="557">
                  <c:v>26</c:v>
                </c:pt>
                <c:pt idx="558">
                  <c:v>27</c:v>
                </c:pt>
                <c:pt idx="559">
                  <c:v>2</c:v>
                </c:pt>
                <c:pt idx="560">
                  <c:v>8</c:v>
                </c:pt>
                <c:pt idx="561">
                  <c:v>2</c:v>
                </c:pt>
                <c:pt idx="562">
                  <c:v>5</c:v>
                </c:pt>
                <c:pt idx="563">
                  <c:v>14</c:v>
                </c:pt>
                <c:pt idx="564">
                  <c:v>26</c:v>
                </c:pt>
                <c:pt idx="565">
                  <c:v>19</c:v>
                </c:pt>
                <c:pt idx="566">
                  <c:v>23</c:v>
                </c:pt>
                <c:pt idx="567">
                  <c:v>14</c:v>
                </c:pt>
                <c:pt idx="568">
                  <c:v>9</c:v>
                </c:pt>
                <c:pt idx="569">
                  <c:v>15</c:v>
                </c:pt>
                <c:pt idx="570">
                  <c:v>24</c:v>
                </c:pt>
                <c:pt idx="571">
                  <c:v>58</c:v>
                </c:pt>
                <c:pt idx="572">
                  <c:v>5</c:v>
                </c:pt>
                <c:pt idx="573">
                  <c:v>9</c:v>
                </c:pt>
                <c:pt idx="574">
                  <c:v>7</c:v>
                </c:pt>
                <c:pt idx="575">
                  <c:v>60</c:v>
                </c:pt>
                <c:pt idx="576">
                  <c:v>31</c:v>
                </c:pt>
                <c:pt idx="577">
                  <c:v>3</c:v>
                </c:pt>
                <c:pt idx="578">
                  <c:v>45</c:v>
                </c:pt>
                <c:pt idx="579">
                  <c:v>25</c:v>
                </c:pt>
                <c:pt idx="580">
                  <c:v>3</c:v>
                </c:pt>
                <c:pt idx="581">
                  <c:v>11</c:v>
                </c:pt>
                <c:pt idx="582">
                  <c:v>7</c:v>
                </c:pt>
                <c:pt idx="583">
                  <c:v>2</c:v>
                </c:pt>
                <c:pt idx="584">
                  <c:v>0</c:v>
                </c:pt>
                <c:pt idx="585">
                  <c:v>8</c:v>
                </c:pt>
                <c:pt idx="586">
                  <c:v>5</c:v>
                </c:pt>
                <c:pt idx="587">
                  <c:v>18</c:v>
                </c:pt>
                <c:pt idx="588">
                  <c:v>24</c:v>
                </c:pt>
                <c:pt idx="589">
                  <c:v>1</c:v>
                </c:pt>
                <c:pt idx="590">
                  <c:v>21</c:v>
                </c:pt>
                <c:pt idx="591">
                  <c:v>28</c:v>
                </c:pt>
                <c:pt idx="592">
                  <c:v>59</c:v>
                </c:pt>
                <c:pt idx="593">
                  <c:v>22</c:v>
                </c:pt>
                <c:pt idx="594">
                  <c:v>3</c:v>
                </c:pt>
                <c:pt idx="595">
                  <c:v>9</c:v>
                </c:pt>
                <c:pt idx="596">
                  <c:v>30</c:v>
                </c:pt>
                <c:pt idx="597">
                  <c:v>32</c:v>
                </c:pt>
                <c:pt idx="598">
                  <c:v>91</c:v>
                </c:pt>
                <c:pt idx="599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47-4AA3-96AB-EA6EC5DCEFC8}"/>
            </c:ext>
          </c:extLst>
        </c:ser>
        <c:ser>
          <c:idx val="1"/>
          <c:order val="1"/>
          <c:tx>
            <c:strRef>
              <c:f>'AOI(Particle)_SPC'!$J$9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'AOI(Particle)_SPC'!$J$10:$J$609</c:f>
              <c:numCache>
                <c:formatCode>0</c:formatCode>
                <c:ptCount val="600"/>
                <c:pt idx="0">
                  <c:v>52.691964941569282</c:v>
                </c:pt>
                <c:pt idx="1">
                  <c:v>52.691964941569282</c:v>
                </c:pt>
                <c:pt idx="2">
                  <c:v>52.691964941569282</c:v>
                </c:pt>
                <c:pt idx="3">
                  <c:v>52.691964941569282</c:v>
                </c:pt>
                <c:pt idx="4">
                  <c:v>52.691964941569282</c:v>
                </c:pt>
                <c:pt idx="5">
                  <c:v>52.691964941569282</c:v>
                </c:pt>
                <c:pt idx="6">
                  <c:v>52.691964941569282</c:v>
                </c:pt>
                <c:pt idx="7">
                  <c:v>52.691964941569282</c:v>
                </c:pt>
                <c:pt idx="8">
                  <c:v>52.691964941569282</c:v>
                </c:pt>
                <c:pt idx="9">
                  <c:v>52.691964941569282</c:v>
                </c:pt>
                <c:pt idx="10">
                  <c:v>52.691964941569282</c:v>
                </c:pt>
                <c:pt idx="11">
                  <c:v>52.691964941569282</c:v>
                </c:pt>
                <c:pt idx="12">
                  <c:v>52.691964941569282</c:v>
                </c:pt>
                <c:pt idx="13">
                  <c:v>52.691964941569282</c:v>
                </c:pt>
                <c:pt idx="14">
                  <c:v>52.691964941569282</c:v>
                </c:pt>
                <c:pt idx="15">
                  <c:v>52.691964941569282</c:v>
                </c:pt>
                <c:pt idx="16">
                  <c:v>52.691964941569282</c:v>
                </c:pt>
                <c:pt idx="17">
                  <c:v>52.691964941569282</c:v>
                </c:pt>
                <c:pt idx="18">
                  <c:v>52.691964941569282</c:v>
                </c:pt>
                <c:pt idx="19">
                  <c:v>52.691964941569282</c:v>
                </c:pt>
                <c:pt idx="20">
                  <c:v>52.691964941569282</c:v>
                </c:pt>
                <c:pt idx="21">
                  <c:v>52.691964941569282</c:v>
                </c:pt>
                <c:pt idx="22">
                  <c:v>52.691964941569282</c:v>
                </c:pt>
                <c:pt idx="23">
                  <c:v>52.691964941569282</c:v>
                </c:pt>
                <c:pt idx="24">
                  <c:v>52.691964941569282</c:v>
                </c:pt>
                <c:pt idx="25">
                  <c:v>52.691964941569282</c:v>
                </c:pt>
                <c:pt idx="26">
                  <c:v>52.691964941569282</c:v>
                </c:pt>
                <c:pt idx="27">
                  <c:v>52.691964941569282</c:v>
                </c:pt>
                <c:pt idx="28">
                  <c:v>52.691964941569282</c:v>
                </c:pt>
                <c:pt idx="29">
                  <c:v>52.691964941569282</c:v>
                </c:pt>
                <c:pt idx="30">
                  <c:v>52.691964941569282</c:v>
                </c:pt>
                <c:pt idx="31">
                  <c:v>52.691964941569282</c:v>
                </c:pt>
                <c:pt idx="32">
                  <c:v>52.691964941569282</c:v>
                </c:pt>
                <c:pt idx="33">
                  <c:v>52.691964941569282</c:v>
                </c:pt>
                <c:pt idx="34">
                  <c:v>52.691964941569282</c:v>
                </c:pt>
                <c:pt idx="35">
                  <c:v>52.691964941569282</c:v>
                </c:pt>
                <c:pt idx="36">
                  <c:v>52.691964941569282</c:v>
                </c:pt>
                <c:pt idx="37">
                  <c:v>52.691964941569282</c:v>
                </c:pt>
                <c:pt idx="38">
                  <c:v>52.691964941569282</c:v>
                </c:pt>
                <c:pt idx="39">
                  <c:v>52.691964941569282</c:v>
                </c:pt>
                <c:pt idx="40">
                  <c:v>52.691964941569282</c:v>
                </c:pt>
                <c:pt idx="41">
                  <c:v>52.691964941569282</c:v>
                </c:pt>
                <c:pt idx="42">
                  <c:v>52.691964941569282</c:v>
                </c:pt>
                <c:pt idx="43">
                  <c:v>52.691964941569282</c:v>
                </c:pt>
                <c:pt idx="44">
                  <c:v>52.691964941569282</c:v>
                </c:pt>
                <c:pt idx="45">
                  <c:v>52.691964941569282</c:v>
                </c:pt>
                <c:pt idx="46">
                  <c:v>52.691964941569282</c:v>
                </c:pt>
                <c:pt idx="47">
                  <c:v>52.691964941569282</c:v>
                </c:pt>
                <c:pt idx="48">
                  <c:v>52.691964941569282</c:v>
                </c:pt>
                <c:pt idx="49">
                  <c:v>52.691964941569282</c:v>
                </c:pt>
                <c:pt idx="50">
                  <c:v>52.691964941569282</c:v>
                </c:pt>
                <c:pt idx="51">
                  <c:v>52.691964941569282</c:v>
                </c:pt>
                <c:pt idx="52">
                  <c:v>52.691964941569282</c:v>
                </c:pt>
                <c:pt idx="53">
                  <c:v>52.691964941569282</c:v>
                </c:pt>
                <c:pt idx="54">
                  <c:v>52.691964941569282</c:v>
                </c:pt>
                <c:pt idx="55">
                  <c:v>52.691964941569282</c:v>
                </c:pt>
                <c:pt idx="56">
                  <c:v>52.691964941569282</c:v>
                </c:pt>
                <c:pt idx="57">
                  <c:v>52.691964941569282</c:v>
                </c:pt>
                <c:pt idx="58">
                  <c:v>52.691964941569282</c:v>
                </c:pt>
                <c:pt idx="59">
                  <c:v>52.691964941569282</c:v>
                </c:pt>
                <c:pt idx="60">
                  <c:v>52.691964941569282</c:v>
                </c:pt>
                <c:pt idx="61">
                  <c:v>52.691964941569282</c:v>
                </c:pt>
                <c:pt idx="62">
                  <c:v>52.691964941569282</c:v>
                </c:pt>
                <c:pt idx="63">
                  <c:v>52.691964941569282</c:v>
                </c:pt>
                <c:pt idx="64">
                  <c:v>52.691964941569282</c:v>
                </c:pt>
                <c:pt idx="65">
                  <c:v>52.691964941569282</c:v>
                </c:pt>
                <c:pt idx="66">
                  <c:v>52.691964941569282</c:v>
                </c:pt>
                <c:pt idx="67">
                  <c:v>52.691964941569282</c:v>
                </c:pt>
                <c:pt idx="68">
                  <c:v>52.691964941569282</c:v>
                </c:pt>
                <c:pt idx="69">
                  <c:v>52.691964941569282</c:v>
                </c:pt>
                <c:pt idx="70">
                  <c:v>52.691964941569282</c:v>
                </c:pt>
                <c:pt idx="71">
                  <c:v>52.691964941569282</c:v>
                </c:pt>
                <c:pt idx="72">
                  <c:v>52.691964941569282</c:v>
                </c:pt>
                <c:pt idx="73">
                  <c:v>52.691964941569282</c:v>
                </c:pt>
                <c:pt idx="74">
                  <c:v>52.691964941569282</c:v>
                </c:pt>
                <c:pt idx="75">
                  <c:v>52.691964941569282</c:v>
                </c:pt>
                <c:pt idx="76">
                  <c:v>52.691964941569282</c:v>
                </c:pt>
                <c:pt idx="77">
                  <c:v>52.691964941569282</c:v>
                </c:pt>
                <c:pt idx="78">
                  <c:v>52.691964941569282</c:v>
                </c:pt>
                <c:pt idx="79">
                  <c:v>52.691964941569282</c:v>
                </c:pt>
                <c:pt idx="80">
                  <c:v>52.691964941569282</c:v>
                </c:pt>
                <c:pt idx="81">
                  <c:v>52.691964941569282</c:v>
                </c:pt>
                <c:pt idx="82">
                  <c:v>52.691964941569282</c:v>
                </c:pt>
                <c:pt idx="83">
                  <c:v>52.691964941569282</c:v>
                </c:pt>
                <c:pt idx="84">
                  <c:v>52.691964941569282</c:v>
                </c:pt>
                <c:pt idx="85">
                  <c:v>52.691964941569282</c:v>
                </c:pt>
                <c:pt idx="86">
                  <c:v>52.691964941569282</c:v>
                </c:pt>
                <c:pt idx="87">
                  <c:v>52.691964941569282</c:v>
                </c:pt>
                <c:pt idx="88">
                  <c:v>52.691964941569282</c:v>
                </c:pt>
                <c:pt idx="89">
                  <c:v>52.691964941569282</c:v>
                </c:pt>
                <c:pt idx="90">
                  <c:v>52.691964941569282</c:v>
                </c:pt>
                <c:pt idx="91">
                  <c:v>52.691964941569282</c:v>
                </c:pt>
                <c:pt idx="92">
                  <c:v>52.691964941569282</c:v>
                </c:pt>
                <c:pt idx="93">
                  <c:v>52.691964941569282</c:v>
                </c:pt>
                <c:pt idx="94">
                  <c:v>52.691964941569282</c:v>
                </c:pt>
                <c:pt idx="95">
                  <c:v>52.691964941569282</c:v>
                </c:pt>
                <c:pt idx="96">
                  <c:v>52.691964941569282</c:v>
                </c:pt>
                <c:pt idx="97">
                  <c:v>52.691964941569282</c:v>
                </c:pt>
                <c:pt idx="98">
                  <c:v>52.691964941569282</c:v>
                </c:pt>
                <c:pt idx="99">
                  <c:v>52.691964941569282</c:v>
                </c:pt>
                <c:pt idx="100">
                  <c:v>52.691964941569282</c:v>
                </c:pt>
                <c:pt idx="101">
                  <c:v>52.691964941569282</c:v>
                </c:pt>
                <c:pt idx="102">
                  <c:v>52.691964941569282</c:v>
                </c:pt>
                <c:pt idx="103">
                  <c:v>52.691964941569282</c:v>
                </c:pt>
                <c:pt idx="104">
                  <c:v>52.691964941569282</c:v>
                </c:pt>
                <c:pt idx="105">
                  <c:v>52.691964941569282</c:v>
                </c:pt>
                <c:pt idx="106">
                  <c:v>52.691964941569282</c:v>
                </c:pt>
                <c:pt idx="107">
                  <c:v>52.691964941569282</c:v>
                </c:pt>
                <c:pt idx="108">
                  <c:v>52.691964941569282</c:v>
                </c:pt>
                <c:pt idx="109">
                  <c:v>52.691964941569282</c:v>
                </c:pt>
                <c:pt idx="110">
                  <c:v>52.691964941569282</c:v>
                </c:pt>
                <c:pt idx="111">
                  <c:v>52.691964941569282</c:v>
                </c:pt>
                <c:pt idx="112">
                  <c:v>52.691964941569282</c:v>
                </c:pt>
                <c:pt idx="113">
                  <c:v>52.691964941569282</c:v>
                </c:pt>
                <c:pt idx="114">
                  <c:v>52.691964941569282</c:v>
                </c:pt>
                <c:pt idx="115">
                  <c:v>52.691964941569282</c:v>
                </c:pt>
                <c:pt idx="116">
                  <c:v>52.691964941569282</c:v>
                </c:pt>
                <c:pt idx="117">
                  <c:v>52.691964941569282</c:v>
                </c:pt>
                <c:pt idx="118">
                  <c:v>52.691964941569282</c:v>
                </c:pt>
                <c:pt idx="119">
                  <c:v>52.691964941569282</c:v>
                </c:pt>
                <c:pt idx="120">
                  <c:v>52.691964941569282</c:v>
                </c:pt>
                <c:pt idx="121">
                  <c:v>52.691964941569282</c:v>
                </c:pt>
                <c:pt idx="122">
                  <c:v>52.691964941569282</c:v>
                </c:pt>
                <c:pt idx="123">
                  <c:v>52.691964941569282</c:v>
                </c:pt>
                <c:pt idx="124">
                  <c:v>52.691964941569282</c:v>
                </c:pt>
                <c:pt idx="125">
                  <c:v>52.691964941569282</c:v>
                </c:pt>
                <c:pt idx="126">
                  <c:v>52.691964941569282</c:v>
                </c:pt>
                <c:pt idx="127">
                  <c:v>52.691964941569282</c:v>
                </c:pt>
                <c:pt idx="128">
                  <c:v>52.691964941569282</c:v>
                </c:pt>
                <c:pt idx="129">
                  <c:v>52.691964941569282</c:v>
                </c:pt>
                <c:pt idx="130">
                  <c:v>52.691964941569282</c:v>
                </c:pt>
                <c:pt idx="131">
                  <c:v>52.691964941569282</c:v>
                </c:pt>
                <c:pt idx="132">
                  <c:v>52.691964941569282</c:v>
                </c:pt>
                <c:pt idx="133">
                  <c:v>52.691964941569282</c:v>
                </c:pt>
                <c:pt idx="134">
                  <c:v>52.691964941569282</c:v>
                </c:pt>
                <c:pt idx="135">
                  <c:v>52.691964941569282</c:v>
                </c:pt>
                <c:pt idx="136">
                  <c:v>52.691964941569282</c:v>
                </c:pt>
                <c:pt idx="137">
                  <c:v>52.691964941569282</c:v>
                </c:pt>
                <c:pt idx="138">
                  <c:v>52.691964941569282</c:v>
                </c:pt>
                <c:pt idx="139">
                  <c:v>52.691964941569282</c:v>
                </c:pt>
                <c:pt idx="140">
                  <c:v>52.691964941569282</c:v>
                </c:pt>
                <c:pt idx="141">
                  <c:v>52.691964941569282</c:v>
                </c:pt>
                <c:pt idx="142">
                  <c:v>52.691964941569282</c:v>
                </c:pt>
                <c:pt idx="143">
                  <c:v>52.691964941569282</c:v>
                </c:pt>
                <c:pt idx="144">
                  <c:v>52.691964941569282</c:v>
                </c:pt>
                <c:pt idx="145">
                  <c:v>52.691964941569282</c:v>
                </c:pt>
                <c:pt idx="146">
                  <c:v>52.691964941569282</c:v>
                </c:pt>
                <c:pt idx="147">
                  <c:v>52.691964941569282</c:v>
                </c:pt>
                <c:pt idx="148">
                  <c:v>52.691964941569282</c:v>
                </c:pt>
                <c:pt idx="149">
                  <c:v>52.691964941569282</c:v>
                </c:pt>
                <c:pt idx="150">
                  <c:v>52.691964941569282</c:v>
                </c:pt>
                <c:pt idx="151">
                  <c:v>52.691964941569282</c:v>
                </c:pt>
                <c:pt idx="152">
                  <c:v>52.691964941569282</c:v>
                </c:pt>
                <c:pt idx="153">
                  <c:v>52.691964941569282</c:v>
                </c:pt>
                <c:pt idx="154">
                  <c:v>52.691964941569282</c:v>
                </c:pt>
                <c:pt idx="155">
                  <c:v>52.691964941569282</c:v>
                </c:pt>
                <c:pt idx="156">
                  <c:v>52.691964941569282</c:v>
                </c:pt>
                <c:pt idx="157">
                  <c:v>52.691964941569282</c:v>
                </c:pt>
                <c:pt idx="158">
                  <c:v>52.691964941569282</c:v>
                </c:pt>
                <c:pt idx="159">
                  <c:v>52.691964941569282</c:v>
                </c:pt>
                <c:pt idx="160">
                  <c:v>52.691964941569282</c:v>
                </c:pt>
                <c:pt idx="161">
                  <c:v>52.691964941569282</c:v>
                </c:pt>
                <c:pt idx="162">
                  <c:v>52.691964941569282</c:v>
                </c:pt>
                <c:pt idx="163">
                  <c:v>52.691964941569282</c:v>
                </c:pt>
                <c:pt idx="164">
                  <c:v>52.691964941569282</c:v>
                </c:pt>
                <c:pt idx="165">
                  <c:v>52.691964941569282</c:v>
                </c:pt>
                <c:pt idx="166">
                  <c:v>52.691964941569282</c:v>
                </c:pt>
                <c:pt idx="167">
                  <c:v>52.691964941569282</c:v>
                </c:pt>
                <c:pt idx="168">
                  <c:v>52.691964941569282</c:v>
                </c:pt>
                <c:pt idx="169">
                  <c:v>52.691964941569282</c:v>
                </c:pt>
                <c:pt idx="170">
                  <c:v>52.691964941569282</c:v>
                </c:pt>
                <c:pt idx="171">
                  <c:v>52.691964941569282</c:v>
                </c:pt>
                <c:pt idx="172">
                  <c:v>52.691964941569282</c:v>
                </c:pt>
                <c:pt idx="173">
                  <c:v>52.691964941569282</c:v>
                </c:pt>
                <c:pt idx="174">
                  <c:v>52.691964941569282</c:v>
                </c:pt>
                <c:pt idx="175">
                  <c:v>52.691964941569282</c:v>
                </c:pt>
                <c:pt idx="176">
                  <c:v>52.691964941569282</c:v>
                </c:pt>
                <c:pt idx="177">
                  <c:v>52.691964941569282</c:v>
                </c:pt>
                <c:pt idx="178">
                  <c:v>52.691964941569282</c:v>
                </c:pt>
                <c:pt idx="179">
                  <c:v>52.691964941569282</c:v>
                </c:pt>
                <c:pt idx="180">
                  <c:v>52.691964941569282</c:v>
                </c:pt>
                <c:pt idx="181">
                  <c:v>52.691964941569282</c:v>
                </c:pt>
                <c:pt idx="182">
                  <c:v>52.691964941569282</c:v>
                </c:pt>
                <c:pt idx="183">
                  <c:v>52.691964941569282</c:v>
                </c:pt>
                <c:pt idx="184">
                  <c:v>52.691964941569282</c:v>
                </c:pt>
                <c:pt idx="185">
                  <c:v>52.691964941569282</c:v>
                </c:pt>
                <c:pt idx="186">
                  <c:v>52.691964941569282</c:v>
                </c:pt>
                <c:pt idx="187">
                  <c:v>52.691964941569282</c:v>
                </c:pt>
                <c:pt idx="188">
                  <c:v>52.691964941569282</c:v>
                </c:pt>
                <c:pt idx="189">
                  <c:v>52.691964941569282</c:v>
                </c:pt>
                <c:pt idx="190">
                  <c:v>52.691964941569282</c:v>
                </c:pt>
                <c:pt idx="191">
                  <c:v>52.691964941569282</c:v>
                </c:pt>
                <c:pt idx="192">
                  <c:v>52.691964941569282</c:v>
                </c:pt>
                <c:pt idx="193">
                  <c:v>52.691964941569282</c:v>
                </c:pt>
                <c:pt idx="194">
                  <c:v>52.691964941569282</c:v>
                </c:pt>
                <c:pt idx="195">
                  <c:v>52.691964941569282</c:v>
                </c:pt>
                <c:pt idx="196">
                  <c:v>52.691964941569282</c:v>
                </c:pt>
                <c:pt idx="197">
                  <c:v>52.691964941569282</c:v>
                </c:pt>
                <c:pt idx="198">
                  <c:v>52.691964941569282</c:v>
                </c:pt>
                <c:pt idx="199">
                  <c:v>52.691964941569282</c:v>
                </c:pt>
                <c:pt idx="200">
                  <c:v>52.691964941569282</c:v>
                </c:pt>
                <c:pt idx="201">
                  <c:v>52.691964941569282</c:v>
                </c:pt>
                <c:pt idx="202">
                  <c:v>52.691964941569282</c:v>
                </c:pt>
                <c:pt idx="203">
                  <c:v>52.691964941569282</c:v>
                </c:pt>
                <c:pt idx="204">
                  <c:v>52.691964941569282</c:v>
                </c:pt>
                <c:pt idx="205">
                  <c:v>52.691964941569282</c:v>
                </c:pt>
                <c:pt idx="206">
                  <c:v>52.691964941569282</c:v>
                </c:pt>
                <c:pt idx="207">
                  <c:v>52.691964941569282</c:v>
                </c:pt>
                <c:pt idx="208">
                  <c:v>52.691964941569282</c:v>
                </c:pt>
                <c:pt idx="209">
                  <c:v>52.691964941569282</c:v>
                </c:pt>
                <c:pt idx="210">
                  <c:v>52.691964941569282</c:v>
                </c:pt>
                <c:pt idx="211">
                  <c:v>52.691964941569282</c:v>
                </c:pt>
                <c:pt idx="212">
                  <c:v>52.691964941569282</c:v>
                </c:pt>
                <c:pt idx="213">
                  <c:v>52.691964941569282</c:v>
                </c:pt>
                <c:pt idx="214">
                  <c:v>52.691964941569282</c:v>
                </c:pt>
                <c:pt idx="215">
                  <c:v>52.691964941569282</c:v>
                </c:pt>
                <c:pt idx="216">
                  <c:v>52.691964941569282</c:v>
                </c:pt>
                <c:pt idx="217">
                  <c:v>52.691964941569282</c:v>
                </c:pt>
                <c:pt idx="218">
                  <c:v>52.691964941569282</c:v>
                </c:pt>
                <c:pt idx="219">
                  <c:v>52.691964941569282</c:v>
                </c:pt>
                <c:pt idx="220">
                  <c:v>52.691964941569282</c:v>
                </c:pt>
                <c:pt idx="221">
                  <c:v>52.691964941569282</c:v>
                </c:pt>
                <c:pt idx="222">
                  <c:v>52.691964941569282</c:v>
                </c:pt>
                <c:pt idx="223">
                  <c:v>52.691964941569282</c:v>
                </c:pt>
                <c:pt idx="224">
                  <c:v>52.691964941569282</c:v>
                </c:pt>
                <c:pt idx="225">
                  <c:v>52.691964941569282</c:v>
                </c:pt>
                <c:pt idx="226">
                  <c:v>52.691964941569282</c:v>
                </c:pt>
                <c:pt idx="227">
                  <c:v>52.691964941569282</c:v>
                </c:pt>
                <c:pt idx="228">
                  <c:v>52.691964941569282</c:v>
                </c:pt>
                <c:pt idx="229">
                  <c:v>52.691964941569282</c:v>
                </c:pt>
                <c:pt idx="230">
                  <c:v>52.691964941569282</c:v>
                </c:pt>
                <c:pt idx="231">
                  <c:v>52.691964941569282</c:v>
                </c:pt>
                <c:pt idx="232">
                  <c:v>52.691964941569282</c:v>
                </c:pt>
                <c:pt idx="233">
                  <c:v>52.691964941569282</c:v>
                </c:pt>
                <c:pt idx="234">
                  <c:v>52.691964941569282</c:v>
                </c:pt>
                <c:pt idx="235">
                  <c:v>52.691964941569282</c:v>
                </c:pt>
                <c:pt idx="236">
                  <c:v>52.691964941569282</c:v>
                </c:pt>
                <c:pt idx="237">
                  <c:v>52.691964941569282</c:v>
                </c:pt>
                <c:pt idx="238">
                  <c:v>52.691964941569282</c:v>
                </c:pt>
                <c:pt idx="239">
                  <c:v>52.691964941569282</c:v>
                </c:pt>
                <c:pt idx="240">
                  <c:v>52.691964941569282</c:v>
                </c:pt>
                <c:pt idx="241">
                  <c:v>52.691964941569282</c:v>
                </c:pt>
                <c:pt idx="242">
                  <c:v>52.691964941569282</c:v>
                </c:pt>
                <c:pt idx="243">
                  <c:v>52.691964941569282</c:v>
                </c:pt>
                <c:pt idx="244">
                  <c:v>52.691964941569282</c:v>
                </c:pt>
                <c:pt idx="245">
                  <c:v>52.691964941569282</c:v>
                </c:pt>
                <c:pt idx="246">
                  <c:v>52.691964941569282</c:v>
                </c:pt>
                <c:pt idx="247">
                  <c:v>52.691964941569282</c:v>
                </c:pt>
                <c:pt idx="248">
                  <c:v>52.691964941569282</c:v>
                </c:pt>
                <c:pt idx="249">
                  <c:v>52.691964941569282</c:v>
                </c:pt>
                <c:pt idx="250">
                  <c:v>52.691964941569282</c:v>
                </c:pt>
                <c:pt idx="251">
                  <c:v>52.691964941569282</c:v>
                </c:pt>
                <c:pt idx="252">
                  <c:v>52.691964941569282</c:v>
                </c:pt>
                <c:pt idx="253">
                  <c:v>52.691964941569282</c:v>
                </c:pt>
                <c:pt idx="254">
                  <c:v>52.691964941569282</c:v>
                </c:pt>
                <c:pt idx="255">
                  <c:v>52.691964941569282</c:v>
                </c:pt>
                <c:pt idx="256">
                  <c:v>52.691964941569282</c:v>
                </c:pt>
                <c:pt idx="257">
                  <c:v>52.691964941569282</c:v>
                </c:pt>
                <c:pt idx="258">
                  <c:v>52.691964941569282</c:v>
                </c:pt>
                <c:pt idx="259">
                  <c:v>52.691964941569282</c:v>
                </c:pt>
                <c:pt idx="260">
                  <c:v>52.691964941569282</c:v>
                </c:pt>
                <c:pt idx="261">
                  <c:v>52.691964941569282</c:v>
                </c:pt>
                <c:pt idx="262">
                  <c:v>52.691964941569282</c:v>
                </c:pt>
                <c:pt idx="263">
                  <c:v>52.691964941569282</c:v>
                </c:pt>
                <c:pt idx="264">
                  <c:v>52.691964941569282</c:v>
                </c:pt>
                <c:pt idx="265">
                  <c:v>52.691964941569282</c:v>
                </c:pt>
                <c:pt idx="266">
                  <c:v>52.691964941569282</c:v>
                </c:pt>
                <c:pt idx="267">
                  <c:v>52.691964941569282</c:v>
                </c:pt>
                <c:pt idx="268">
                  <c:v>52.691964941569282</c:v>
                </c:pt>
                <c:pt idx="269">
                  <c:v>52.691964941569282</c:v>
                </c:pt>
                <c:pt idx="270">
                  <c:v>52.691964941569282</c:v>
                </c:pt>
                <c:pt idx="271">
                  <c:v>52.691964941569282</c:v>
                </c:pt>
                <c:pt idx="272">
                  <c:v>52.691964941569282</c:v>
                </c:pt>
                <c:pt idx="273">
                  <c:v>52.691964941569282</c:v>
                </c:pt>
                <c:pt idx="274">
                  <c:v>52.691964941569282</c:v>
                </c:pt>
                <c:pt idx="275">
                  <c:v>52.691964941569282</c:v>
                </c:pt>
                <c:pt idx="276">
                  <c:v>52.691964941569282</c:v>
                </c:pt>
                <c:pt idx="277">
                  <c:v>52.691964941569282</c:v>
                </c:pt>
                <c:pt idx="278">
                  <c:v>52.691964941569282</c:v>
                </c:pt>
                <c:pt idx="279">
                  <c:v>52.691964941569282</c:v>
                </c:pt>
                <c:pt idx="280">
                  <c:v>52.691964941569282</c:v>
                </c:pt>
                <c:pt idx="281">
                  <c:v>52.691964941569282</c:v>
                </c:pt>
                <c:pt idx="282">
                  <c:v>52.691964941569282</c:v>
                </c:pt>
                <c:pt idx="283">
                  <c:v>52.691964941569282</c:v>
                </c:pt>
                <c:pt idx="284">
                  <c:v>52.691964941569282</c:v>
                </c:pt>
                <c:pt idx="285">
                  <c:v>52.691964941569282</c:v>
                </c:pt>
                <c:pt idx="286">
                  <c:v>52.691964941569282</c:v>
                </c:pt>
                <c:pt idx="287">
                  <c:v>52.691964941569282</c:v>
                </c:pt>
                <c:pt idx="288">
                  <c:v>52.691964941569282</c:v>
                </c:pt>
                <c:pt idx="289">
                  <c:v>52.691964941569282</c:v>
                </c:pt>
                <c:pt idx="290">
                  <c:v>52.691964941569282</c:v>
                </c:pt>
                <c:pt idx="291">
                  <c:v>52.691964941569282</c:v>
                </c:pt>
                <c:pt idx="292">
                  <c:v>52.691964941569282</c:v>
                </c:pt>
                <c:pt idx="293">
                  <c:v>52.691964941569282</c:v>
                </c:pt>
                <c:pt idx="294">
                  <c:v>52.691964941569282</c:v>
                </c:pt>
                <c:pt idx="295">
                  <c:v>52.691964941569282</c:v>
                </c:pt>
                <c:pt idx="296">
                  <c:v>52.691964941569282</c:v>
                </c:pt>
                <c:pt idx="297">
                  <c:v>52.691964941569282</c:v>
                </c:pt>
                <c:pt idx="298">
                  <c:v>52.691964941569282</c:v>
                </c:pt>
                <c:pt idx="299">
                  <c:v>52.691964941569282</c:v>
                </c:pt>
                <c:pt idx="300">
                  <c:v>52.691964941569282</c:v>
                </c:pt>
                <c:pt idx="301">
                  <c:v>52.691964941569282</c:v>
                </c:pt>
                <c:pt idx="302">
                  <c:v>52.691964941569282</c:v>
                </c:pt>
                <c:pt idx="303">
                  <c:v>52.691964941569282</c:v>
                </c:pt>
                <c:pt idx="304">
                  <c:v>52.691964941569282</c:v>
                </c:pt>
                <c:pt idx="305">
                  <c:v>52.691964941569282</c:v>
                </c:pt>
                <c:pt idx="306">
                  <c:v>52.691964941569282</c:v>
                </c:pt>
                <c:pt idx="307">
                  <c:v>52.691964941569282</c:v>
                </c:pt>
                <c:pt idx="308">
                  <c:v>52.691964941569282</c:v>
                </c:pt>
                <c:pt idx="309">
                  <c:v>52.691964941569282</c:v>
                </c:pt>
                <c:pt idx="310">
                  <c:v>52.691964941569282</c:v>
                </c:pt>
                <c:pt idx="311">
                  <c:v>52.691964941569282</c:v>
                </c:pt>
                <c:pt idx="312">
                  <c:v>52.691964941569282</c:v>
                </c:pt>
                <c:pt idx="313">
                  <c:v>52.691964941569282</c:v>
                </c:pt>
                <c:pt idx="314">
                  <c:v>52.691964941569282</c:v>
                </c:pt>
                <c:pt idx="315">
                  <c:v>52.691964941569282</c:v>
                </c:pt>
                <c:pt idx="316">
                  <c:v>52.691964941569282</c:v>
                </c:pt>
                <c:pt idx="317">
                  <c:v>52.691964941569282</c:v>
                </c:pt>
                <c:pt idx="318">
                  <c:v>52.691964941569282</c:v>
                </c:pt>
                <c:pt idx="319">
                  <c:v>52.691964941569282</c:v>
                </c:pt>
                <c:pt idx="320">
                  <c:v>52.691964941569282</c:v>
                </c:pt>
                <c:pt idx="321">
                  <c:v>52.691964941569282</c:v>
                </c:pt>
                <c:pt idx="322">
                  <c:v>52.691964941569282</c:v>
                </c:pt>
                <c:pt idx="323">
                  <c:v>52.691964941569282</c:v>
                </c:pt>
                <c:pt idx="324">
                  <c:v>52.691964941569282</c:v>
                </c:pt>
                <c:pt idx="325">
                  <c:v>52.691964941569282</c:v>
                </c:pt>
                <c:pt idx="326">
                  <c:v>52.691964941569282</c:v>
                </c:pt>
                <c:pt idx="327">
                  <c:v>52.691964941569282</c:v>
                </c:pt>
                <c:pt idx="328">
                  <c:v>52.691964941569282</c:v>
                </c:pt>
                <c:pt idx="329">
                  <c:v>52.691964941569282</c:v>
                </c:pt>
                <c:pt idx="330">
                  <c:v>52.691964941569282</c:v>
                </c:pt>
                <c:pt idx="331">
                  <c:v>52.691964941569282</c:v>
                </c:pt>
                <c:pt idx="332">
                  <c:v>52.691964941569282</c:v>
                </c:pt>
                <c:pt idx="333">
                  <c:v>52.691964941569282</c:v>
                </c:pt>
                <c:pt idx="334">
                  <c:v>52.691964941569282</c:v>
                </c:pt>
                <c:pt idx="335">
                  <c:v>52.691964941569282</c:v>
                </c:pt>
                <c:pt idx="336">
                  <c:v>52.691964941569282</c:v>
                </c:pt>
                <c:pt idx="337">
                  <c:v>52.691964941569282</c:v>
                </c:pt>
                <c:pt idx="338">
                  <c:v>52.691964941569282</c:v>
                </c:pt>
                <c:pt idx="339">
                  <c:v>52.691964941569282</c:v>
                </c:pt>
                <c:pt idx="340">
                  <c:v>52.691964941569282</c:v>
                </c:pt>
                <c:pt idx="341">
                  <c:v>52.691964941569282</c:v>
                </c:pt>
                <c:pt idx="342">
                  <c:v>52.691964941569282</c:v>
                </c:pt>
                <c:pt idx="343">
                  <c:v>52.691964941569282</c:v>
                </c:pt>
                <c:pt idx="344">
                  <c:v>52.691964941569282</c:v>
                </c:pt>
                <c:pt idx="345">
                  <c:v>52.691964941569282</c:v>
                </c:pt>
                <c:pt idx="346">
                  <c:v>52.691964941569282</c:v>
                </c:pt>
                <c:pt idx="347">
                  <c:v>52.691964941569282</c:v>
                </c:pt>
                <c:pt idx="348">
                  <c:v>52.691964941569282</c:v>
                </c:pt>
                <c:pt idx="349">
                  <c:v>52.691964941569282</c:v>
                </c:pt>
                <c:pt idx="350">
                  <c:v>52.691964941569282</c:v>
                </c:pt>
                <c:pt idx="351">
                  <c:v>52.691964941569282</c:v>
                </c:pt>
                <c:pt idx="352">
                  <c:v>52.691964941569282</c:v>
                </c:pt>
                <c:pt idx="353">
                  <c:v>52.691964941569282</c:v>
                </c:pt>
                <c:pt idx="354">
                  <c:v>52.691964941569282</c:v>
                </c:pt>
                <c:pt idx="355">
                  <c:v>52.691964941569282</c:v>
                </c:pt>
                <c:pt idx="356">
                  <c:v>52.691964941569282</c:v>
                </c:pt>
                <c:pt idx="357">
                  <c:v>52.691964941569282</c:v>
                </c:pt>
                <c:pt idx="358">
                  <c:v>52.691964941569282</c:v>
                </c:pt>
                <c:pt idx="359">
                  <c:v>52.691964941569282</c:v>
                </c:pt>
                <c:pt idx="360">
                  <c:v>52.691964941569282</c:v>
                </c:pt>
                <c:pt idx="361">
                  <c:v>52.691964941569282</c:v>
                </c:pt>
                <c:pt idx="362">
                  <c:v>52.691964941569282</c:v>
                </c:pt>
                <c:pt idx="363">
                  <c:v>52.691964941569282</c:v>
                </c:pt>
                <c:pt idx="364">
                  <c:v>52.691964941569282</c:v>
                </c:pt>
                <c:pt idx="365">
                  <c:v>52.691964941569282</c:v>
                </c:pt>
                <c:pt idx="366">
                  <c:v>52.691964941569282</c:v>
                </c:pt>
                <c:pt idx="367">
                  <c:v>52.691964941569282</c:v>
                </c:pt>
                <c:pt idx="368">
                  <c:v>52.691964941569282</c:v>
                </c:pt>
                <c:pt idx="369">
                  <c:v>52.691964941569282</c:v>
                </c:pt>
                <c:pt idx="370">
                  <c:v>52.691964941569282</c:v>
                </c:pt>
                <c:pt idx="371">
                  <c:v>52.691964941569282</c:v>
                </c:pt>
                <c:pt idx="372">
                  <c:v>52.691964941569282</c:v>
                </c:pt>
                <c:pt idx="373">
                  <c:v>52.691964941569282</c:v>
                </c:pt>
                <c:pt idx="374">
                  <c:v>52.691964941569282</c:v>
                </c:pt>
                <c:pt idx="375">
                  <c:v>52.691964941569282</c:v>
                </c:pt>
                <c:pt idx="376">
                  <c:v>52.691964941569282</c:v>
                </c:pt>
                <c:pt idx="377">
                  <c:v>52.691964941569282</c:v>
                </c:pt>
                <c:pt idx="378">
                  <c:v>52.691964941569282</c:v>
                </c:pt>
                <c:pt idx="379">
                  <c:v>52.691964941569282</c:v>
                </c:pt>
                <c:pt idx="380">
                  <c:v>52.691964941569282</c:v>
                </c:pt>
                <c:pt idx="381">
                  <c:v>52.691964941569282</c:v>
                </c:pt>
                <c:pt idx="382">
                  <c:v>52.691964941569282</c:v>
                </c:pt>
                <c:pt idx="383">
                  <c:v>52.691964941569282</c:v>
                </c:pt>
                <c:pt idx="384">
                  <c:v>52.691964941569282</c:v>
                </c:pt>
                <c:pt idx="385">
                  <c:v>52.691964941569282</c:v>
                </c:pt>
                <c:pt idx="386">
                  <c:v>52.691964941569282</c:v>
                </c:pt>
                <c:pt idx="387">
                  <c:v>52.691964941569282</c:v>
                </c:pt>
                <c:pt idx="388">
                  <c:v>52.691964941569282</c:v>
                </c:pt>
                <c:pt idx="389">
                  <c:v>52.691964941569282</c:v>
                </c:pt>
                <c:pt idx="390">
                  <c:v>52.691964941569282</c:v>
                </c:pt>
                <c:pt idx="391">
                  <c:v>52.691964941569282</c:v>
                </c:pt>
                <c:pt idx="392">
                  <c:v>52.691964941569282</c:v>
                </c:pt>
                <c:pt idx="393">
                  <c:v>52.691964941569282</c:v>
                </c:pt>
                <c:pt idx="394">
                  <c:v>52.691964941569282</c:v>
                </c:pt>
                <c:pt idx="395">
                  <c:v>52.691964941569282</c:v>
                </c:pt>
                <c:pt idx="396">
                  <c:v>52.691964941569282</c:v>
                </c:pt>
                <c:pt idx="397">
                  <c:v>52.691964941569282</c:v>
                </c:pt>
                <c:pt idx="398">
                  <c:v>52.691964941569282</c:v>
                </c:pt>
                <c:pt idx="399">
                  <c:v>52.691964941569282</c:v>
                </c:pt>
                <c:pt idx="400">
                  <c:v>52.691964941569282</c:v>
                </c:pt>
                <c:pt idx="401">
                  <c:v>52.691964941569282</c:v>
                </c:pt>
                <c:pt idx="402">
                  <c:v>52.691964941569282</c:v>
                </c:pt>
                <c:pt idx="403">
                  <c:v>52.691964941569282</c:v>
                </c:pt>
                <c:pt idx="404">
                  <c:v>52.691964941569282</c:v>
                </c:pt>
                <c:pt idx="405">
                  <c:v>52.691964941569282</c:v>
                </c:pt>
                <c:pt idx="406">
                  <c:v>52.691964941569282</c:v>
                </c:pt>
                <c:pt idx="407">
                  <c:v>52.691964941569282</c:v>
                </c:pt>
                <c:pt idx="408">
                  <c:v>52.691964941569282</c:v>
                </c:pt>
                <c:pt idx="409">
                  <c:v>52.691964941569282</c:v>
                </c:pt>
                <c:pt idx="410">
                  <c:v>52.691964941569282</c:v>
                </c:pt>
                <c:pt idx="411">
                  <c:v>52.691964941569282</c:v>
                </c:pt>
                <c:pt idx="412">
                  <c:v>52.691964941569282</c:v>
                </c:pt>
                <c:pt idx="413">
                  <c:v>52.691964941569282</c:v>
                </c:pt>
                <c:pt idx="414">
                  <c:v>52.691964941569282</c:v>
                </c:pt>
                <c:pt idx="415">
                  <c:v>52.691964941569282</c:v>
                </c:pt>
                <c:pt idx="416">
                  <c:v>52.691964941569282</c:v>
                </c:pt>
                <c:pt idx="417">
                  <c:v>52.691964941569282</c:v>
                </c:pt>
                <c:pt idx="418">
                  <c:v>52.691964941569282</c:v>
                </c:pt>
                <c:pt idx="419">
                  <c:v>52.691964941569282</c:v>
                </c:pt>
                <c:pt idx="420">
                  <c:v>52.691964941569282</c:v>
                </c:pt>
                <c:pt idx="421">
                  <c:v>52.691964941569282</c:v>
                </c:pt>
                <c:pt idx="422">
                  <c:v>52.691964941569282</c:v>
                </c:pt>
                <c:pt idx="423">
                  <c:v>52.691964941569282</c:v>
                </c:pt>
                <c:pt idx="424">
                  <c:v>52.691964941569282</c:v>
                </c:pt>
                <c:pt idx="425">
                  <c:v>52.691964941569282</c:v>
                </c:pt>
                <c:pt idx="426">
                  <c:v>52.691964941569282</c:v>
                </c:pt>
                <c:pt idx="427">
                  <c:v>52.691964941569282</c:v>
                </c:pt>
                <c:pt idx="428">
                  <c:v>52.691964941569282</c:v>
                </c:pt>
                <c:pt idx="429">
                  <c:v>52.691964941569282</c:v>
                </c:pt>
                <c:pt idx="430">
                  <c:v>52.691964941569282</c:v>
                </c:pt>
                <c:pt idx="431">
                  <c:v>52.691964941569282</c:v>
                </c:pt>
                <c:pt idx="432">
                  <c:v>52.691964941569282</c:v>
                </c:pt>
                <c:pt idx="433">
                  <c:v>52.691964941569282</c:v>
                </c:pt>
                <c:pt idx="434">
                  <c:v>52.691964941569282</c:v>
                </c:pt>
                <c:pt idx="435">
                  <c:v>52.691964941569282</c:v>
                </c:pt>
                <c:pt idx="436">
                  <c:v>52.691964941569282</c:v>
                </c:pt>
                <c:pt idx="437">
                  <c:v>52.691964941569282</c:v>
                </c:pt>
                <c:pt idx="438">
                  <c:v>52.691964941569282</c:v>
                </c:pt>
                <c:pt idx="439">
                  <c:v>52.691964941569282</c:v>
                </c:pt>
                <c:pt idx="440">
                  <c:v>52.691964941569282</c:v>
                </c:pt>
                <c:pt idx="441">
                  <c:v>52.691964941569282</c:v>
                </c:pt>
                <c:pt idx="442">
                  <c:v>52.691964941569282</c:v>
                </c:pt>
                <c:pt idx="443">
                  <c:v>52.691964941569282</c:v>
                </c:pt>
                <c:pt idx="444">
                  <c:v>52.691964941569282</c:v>
                </c:pt>
                <c:pt idx="445">
                  <c:v>52.691964941569282</c:v>
                </c:pt>
                <c:pt idx="446">
                  <c:v>52.691964941569282</c:v>
                </c:pt>
                <c:pt idx="447">
                  <c:v>52.691964941569282</c:v>
                </c:pt>
                <c:pt idx="448">
                  <c:v>52.691964941569282</c:v>
                </c:pt>
                <c:pt idx="449">
                  <c:v>52.691964941569282</c:v>
                </c:pt>
                <c:pt idx="450">
                  <c:v>52.691964941569282</c:v>
                </c:pt>
                <c:pt idx="451">
                  <c:v>52.691964941569282</c:v>
                </c:pt>
                <c:pt idx="452">
                  <c:v>52.691964941569282</c:v>
                </c:pt>
                <c:pt idx="453">
                  <c:v>52.691964941569282</c:v>
                </c:pt>
                <c:pt idx="454">
                  <c:v>52.691964941569282</c:v>
                </c:pt>
                <c:pt idx="455">
                  <c:v>52.691964941569282</c:v>
                </c:pt>
                <c:pt idx="456">
                  <c:v>52.691964941569282</c:v>
                </c:pt>
                <c:pt idx="457">
                  <c:v>52.691964941569282</c:v>
                </c:pt>
                <c:pt idx="458">
                  <c:v>52.691964941569282</c:v>
                </c:pt>
                <c:pt idx="459">
                  <c:v>52.691964941569282</c:v>
                </c:pt>
                <c:pt idx="460">
                  <c:v>52.691964941569282</c:v>
                </c:pt>
                <c:pt idx="461">
                  <c:v>52.691964941569282</c:v>
                </c:pt>
                <c:pt idx="462">
                  <c:v>52.691964941569282</c:v>
                </c:pt>
                <c:pt idx="463">
                  <c:v>52.691964941569282</c:v>
                </c:pt>
                <c:pt idx="464">
                  <c:v>52.691964941569282</c:v>
                </c:pt>
                <c:pt idx="465">
                  <c:v>52.691964941569282</c:v>
                </c:pt>
                <c:pt idx="466">
                  <c:v>52.691964941569282</c:v>
                </c:pt>
                <c:pt idx="467">
                  <c:v>52.691964941569282</c:v>
                </c:pt>
                <c:pt idx="468">
                  <c:v>52.691964941569282</c:v>
                </c:pt>
                <c:pt idx="469">
                  <c:v>52.691964941569282</c:v>
                </c:pt>
                <c:pt idx="470">
                  <c:v>52.691964941569282</c:v>
                </c:pt>
                <c:pt idx="471">
                  <c:v>52.691964941569282</c:v>
                </c:pt>
                <c:pt idx="472">
                  <c:v>52.691964941569282</c:v>
                </c:pt>
                <c:pt idx="473">
                  <c:v>52.691964941569282</c:v>
                </c:pt>
                <c:pt idx="474">
                  <c:v>52.691964941569282</c:v>
                </c:pt>
                <c:pt idx="475">
                  <c:v>52.691964941569282</c:v>
                </c:pt>
                <c:pt idx="476">
                  <c:v>52.691964941569282</c:v>
                </c:pt>
                <c:pt idx="477">
                  <c:v>52.691964941569282</c:v>
                </c:pt>
                <c:pt idx="478">
                  <c:v>52.691964941569282</c:v>
                </c:pt>
                <c:pt idx="479">
                  <c:v>52.691964941569282</c:v>
                </c:pt>
                <c:pt idx="480">
                  <c:v>52.691964941569282</c:v>
                </c:pt>
                <c:pt idx="481">
                  <c:v>52.691964941569282</c:v>
                </c:pt>
                <c:pt idx="482">
                  <c:v>52.691964941569282</c:v>
                </c:pt>
                <c:pt idx="483">
                  <c:v>52.691964941569282</c:v>
                </c:pt>
                <c:pt idx="484">
                  <c:v>52.691964941569282</c:v>
                </c:pt>
                <c:pt idx="485">
                  <c:v>52.691964941569282</c:v>
                </c:pt>
                <c:pt idx="486">
                  <c:v>52.691964941569282</c:v>
                </c:pt>
                <c:pt idx="487">
                  <c:v>52.691964941569282</c:v>
                </c:pt>
                <c:pt idx="488">
                  <c:v>52.691964941569282</c:v>
                </c:pt>
                <c:pt idx="489">
                  <c:v>52.691964941569282</c:v>
                </c:pt>
                <c:pt idx="490">
                  <c:v>52.691964941569282</c:v>
                </c:pt>
                <c:pt idx="491">
                  <c:v>52.691964941569282</c:v>
                </c:pt>
                <c:pt idx="492">
                  <c:v>52.691964941569282</c:v>
                </c:pt>
                <c:pt idx="493">
                  <c:v>52.691964941569282</c:v>
                </c:pt>
                <c:pt idx="494">
                  <c:v>52.691964941569282</c:v>
                </c:pt>
                <c:pt idx="495">
                  <c:v>52.691964941569282</c:v>
                </c:pt>
                <c:pt idx="496">
                  <c:v>52.691964941569282</c:v>
                </c:pt>
                <c:pt idx="497">
                  <c:v>52.691964941569282</c:v>
                </c:pt>
                <c:pt idx="498">
                  <c:v>52.691964941569282</c:v>
                </c:pt>
                <c:pt idx="499">
                  <c:v>52.691964941569282</c:v>
                </c:pt>
                <c:pt idx="500">
                  <c:v>52.691964941569282</c:v>
                </c:pt>
                <c:pt idx="501">
                  <c:v>52.691964941569282</c:v>
                </c:pt>
                <c:pt idx="502">
                  <c:v>52.691964941569282</c:v>
                </c:pt>
                <c:pt idx="503">
                  <c:v>52.691964941569282</c:v>
                </c:pt>
                <c:pt idx="504">
                  <c:v>52.691964941569282</c:v>
                </c:pt>
                <c:pt idx="505">
                  <c:v>52.691964941569282</c:v>
                </c:pt>
                <c:pt idx="506">
                  <c:v>52.691964941569282</c:v>
                </c:pt>
                <c:pt idx="507">
                  <c:v>52.691964941569282</c:v>
                </c:pt>
                <c:pt idx="508">
                  <c:v>52.691964941569282</c:v>
                </c:pt>
                <c:pt idx="509">
                  <c:v>52.691964941569282</c:v>
                </c:pt>
                <c:pt idx="510">
                  <c:v>52.691964941569282</c:v>
                </c:pt>
                <c:pt idx="511">
                  <c:v>52.691964941569282</c:v>
                </c:pt>
                <c:pt idx="512">
                  <c:v>52.691964941569282</c:v>
                </c:pt>
                <c:pt idx="513">
                  <c:v>52.691964941569282</c:v>
                </c:pt>
                <c:pt idx="514">
                  <c:v>52.691964941569282</c:v>
                </c:pt>
                <c:pt idx="515">
                  <c:v>52.691964941569282</c:v>
                </c:pt>
                <c:pt idx="516">
                  <c:v>52.691964941569282</c:v>
                </c:pt>
                <c:pt idx="517">
                  <c:v>52.691964941569282</c:v>
                </c:pt>
                <c:pt idx="518">
                  <c:v>52.691964941569282</c:v>
                </c:pt>
                <c:pt idx="519">
                  <c:v>52.691964941569282</c:v>
                </c:pt>
                <c:pt idx="520">
                  <c:v>52.691964941569282</c:v>
                </c:pt>
                <c:pt idx="521">
                  <c:v>52.691964941569282</c:v>
                </c:pt>
                <c:pt idx="522">
                  <c:v>52.691964941569282</c:v>
                </c:pt>
                <c:pt idx="523">
                  <c:v>52.691964941569282</c:v>
                </c:pt>
                <c:pt idx="524">
                  <c:v>52.691964941569282</c:v>
                </c:pt>
                <c:pt idx="525">
                  <c:v>52.691964941569282</c:v>
                </c:pt>
                <c:pt idx="526">
                  <c:v>52.691964941569282</c:v>
                </c:pt>
                <c:pt idx="527">
                  <c:v>52.691964941569282</c:v>
                </c:pt>
                <c:pt idx="528">
                  <c:v>52.691964941569282</c:v>
                </c:pt>
                <c:pt idx="529">
                  <c:v>52.691964941569282</c:v>
                </c:pt>
                <c:pt idx="530">
                  <c:v>52.691964941569282</c:v>
                </c:pt>
                <c:pt idx="531">
                  <c:v>52.691964941569282</c:v>
                </c:pt>
                <c:pt idx="532">
                  <c:v>52.691964941569282</c:v>
                </c:pt>
                <c:pt idx="533">
                  <c:v>52.691964941569282</c:v>
                </c:pt>
                <c:pt idx="534">
                  <c:v>52.691964941569282</c:v>
                </c:pt>
                <c:pt idx="535">
                  <c:v>52.691964941569282</c:v>
                </c:pt>
                <c:pt idx="536">
                  <c:v>52.691964941569282</c:v>
                </c:pt>
                <c:pt idx="537">
                  <c:v>52.691964941569282</c:v>
                </c:pt>
                <c:pt idx="538">
                  <c:v>52.691964941569282</c:v>
                </c:pt>
                <c:pt idx="539">
                  <c:v>52.691964941569282</c:v>
                </c:pt>
                <c:pt idx="540">
                  <c:v>52.691964941569282</c:v>
                </c:pt>
                <c:pt idx="541">
                  <c:v>52.691964941569282</c:v>
                </c:pt>
                <c:pt idx="542">
                  <c:v>52.691964941569282</c:v>
                </c:pt>
                <c:pt idx="543">
                  <c:v>52.691964941569282</c:v>
                </c:pt>
                <c:pt idx="544">
                  <c:v>52.691964941569282</c:v>
                </c:pt>
                <c:pt idx="545">
                  <c:v>52.691964941569282</c:v>
                </c:pt>
                <c:pt idx="546">
                  <c:v>52.691964941569282</c:v>
                </c:pt>
                <c:pt idx="547">
                  <c:v>52.691964941569282</c:v>
                </c:pt>
                <c:pt idx="548">
                  <c:v>52.691964941569282</c:v>
                </c:pt>
                <c:pt idx="549">
                  <c:v>52.691964941569282</c:v>
                </c:pt>
                <c:pt idx="550">
                  <c:v>52.691964941569282</c:v>
                </c:pt>
                <c:pt idx="551">
                  <c:v>52.691964941569282</c:v>
                </c:pt>
                <c:pt idx="552">
                  <c:v>52.691964941569282</c:v>
                </c:pt>
                <c:pt idx="553">
                  <c:v>52.691964941569282</c:v>
                </c:pt>
                <c:pt idx="554">
                  <c:v>52.691964941569282</c:v>
                </c:pt>
                <c:pt idx="555">
                  <c:v>52.691964941569282</c:v>
                </c:pt>
                <c:pt idx="556">
                  <c:v>52.691964941569282</c:v>
                </c:pt>
                <c:pt idx="557">
                  <c:v>52.691964941569282</c:v>
                </c:pt>
                <c:pt idx="558">
                  <c:v>52.691964941569282</c:v>
                </c:pt>
                <c:pt idx="559">
                  <c:v>52.691964941569282</c:v>
                </c:pt>
                <c:pt idx="560">
                  <c:v>52.691964941569282</c:v>
                </c:pt>
                <c:pt idx="561">
                  <c:v>52.691964941569282</c:v>
                </c:pt>
                <c:pt idx="562">
                  <c:v>52.691964941569282</c:v>
                </c:pt>
                <c:pt idx="563">
                  <c:v>52.691964941569282</c:v>
                </c:pt>
                <c:pt idx="564">
                  <c:v>52.691964941569282</c:v>
                </c:pt>
                <c:pt idx="565">
                  <c:v>52.691964941569282</c:v>
                </c:pt>
                <c:pt idx="566">
                  <c:v>52.691964941569282</c:v>
                </c:pt>
                <c:pt idx="567">
                  <c:v>52.691964941569282</c:v>
                </c:pt>
                <c:pt idx="568">
                  <c:v>52.691964941569282</c:v>
                </c:pt>
                <c:pt idx="569">
                  <c:v>52.691964941569282</c:v>
                </c:pt>
                <c:pt idx="570">
                  <c:v>52.691964941569282</c:v>
                </c:pt>
                <c:pt idx="571">
                  <c:v>52.691964941569282</c:v>
                </c:pt>
                <c:pt idx="572">
                  <c:v>52.691964941569282</c:v>
                </c:pt>
                <c:pt idx="573">
                  <c:v>52.691964941569282</c:v>
                </c:pt>
                <c:pt idx="574">
                  <c:v>52.691964941569282</c:v>
                </c:pt>
                <c:pt idx="575">
                  <c:v>52.691964941569282</c:v>
                </c:pt>
                <c:pt idx="576">
                  <c:v>52.691964941569282</c:v>
                </c:pt>
                <c:pt idx="577">
                  <c:v>52.691964941569282</c:v>
                </c:pt>
                <c:pt idx="578">
                  <c:v>52.691964941569282</c:v>
                </c:pt>
                <c:pt idx="579">
                  <c:v>52.691964941569282</c:v>
                </c:pt>
                <c:pt idx="580">
                  <c:v>52.691964941569282</c:v>
                </c:pt>
                <c:pt idx="581">
                  <c:v>52.691964941569282</c:v>
                </c:pt>
                <c:pt idx="582">
                  <c:v>52.691964941569282</c:v>
                </c:pt>
                <c:pt idx="583">
                  <c:v>52.691964941569282</c:v>
                </c:pt>
                <c:pt idx="584">
                  <c:v>52.691964941569282</c:v>
                </c:pt>
                <c:pt idx="585">
                  <c:v>52.691964941569282</c:v>
                </c:pt>
                <c:pt idx="586">
                  <c:v>52.691964941569282</c:v>
                </c:pt>
                <c:pt idx="587">
                  <c:v>52.691964941569282</c:v>
                </c:pt>
                <c:pt idx="588">
                  <c:v>52.691964941569282</c:v>
                </c:pt>
                <c:pt idx="589">
                  <c:v>52.691964941569282</c:v>
                </c:pt>
                <c:pt idx="590">
                  <c:v>52.691964941569282</c:v>
                </c:pt>
                <c:pt idx="591">
                  <c:v>52.691964941569282</c:v>
                </c:pt>
                <c:pt idx="592">
                  <c:v>52.691964941569282</c:v>
                </c:pt>
                <c:pt idx="593">
                  <c:v>52.691964941569282</c:v>
                </c:pt>
                <c:pt idx="594">
                  <c:v>52.691964941569282</c:v>
                </c:pt>
                <c:pt idx="595">
                  <c:v>52.691964941569282</c:v>
                </c:pt>
                <c:pt idx="596">
                  <c:v>52.691964941569282</c:v>
                </c:pt>
                <c:pt idx="597">
                  <c:v>52.691964941569282</c:v>
                </c:pt>
                <c:pt idx="598">
                  <c:v>52.691964941569282</c:v>
                </c:pt>
                <c:pt idx="599">
                  <c:v>52.691964941569282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47-4AA3-96AB-EA6EC5DCEFC8}"/>
            </c:ext>
          </c:extLst>
        </c:ser>
        <c:ser>
          <c:idx val="2"/>
          <c:order val="2"/>
          <c:tx>
            <c:strRef>
              <c:f>'AOI(Particle)_SPC'!$K$9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'AOI(Particle)_SPC'!$K$10:$K$609</c:f>
              <c:numCache>
                <c:formatCode>0</c:formatCode>
                <c:ptCount val="600"/>
                <c:pt idx="0">
                  <c:v>16.128547579298832</c:v>
                </c:pt>
                <c:pt idx="1">
                  <c:v>16.128547579298832</c:v>
                </c:pt>
                <c:pt idx="2">
                  <c:v>16.128547579298832</c:v>
                </c:pt>
                <c:pt idx="3">
                  <c:v>16.128547579298832</c:v>
                </c:pt>
                <c:pt idx="4">
                  <c:v>16.128547579298832</c:v>
                </c:pt>
                <c:pt idx="5">
                  <c:v>16.128547579298832</c:v>
                </c:pt>
                <c:pt idx="6">
                  <c:v>16.128547579298832</c:v>
                </c:pt>
                <c:pt idx="7">
                  <c:v>16.128547579298832</c:v>
                </c:pt>
                <c:pt idx="8">
                  <c:v>16.128547579298832</c:v>
                </c:pt>
                <c:pt idx="9">
                  <c:v>16.128547579298832</c:v>
                </c:pt>
                <c:pt idx="10">
                  <c:v>16.128547579298832</c:v>
                </c:pt>
                <c:pt idx="11">
                  <c:v>16.128547579298832</c:v>
                </c:pt>
                <c:pt idx="12">
                  <c:v>16.128547579298832</c:v>
                </c:pt>
                <c:pt idx="13">
                  <c:v>16.128547579298832</c:v>
                </c:pt>
                <c:pt idx="14">
                  <c:v>16.128547579298832</c:v>
                </c:pt>
                <c:pt idx="15">
                  <c:v>16.128547579298832</c:v>
                </c:pt>
                <c:pt idx="16">
                  <c:v>16.128547579298832</c:v>
                </c:pt>
                <c:pt idx="17">
                  <c:v>16.128547579298832</c:v>
                </c:pt>
                <c:pt idx="18">
                  <c:v>16.128547579298832</c:v>
                </c:pt>
                <c:pt idx="19">
                  <c:v>16.128547579298832</c:v>
                </c:pt>
                <c:pt idx="20">
                  <c:v>16.128547579298832</c:v>
                </c:pt>
                <c:pt idx="21">
                  <c:v>16.128547579298832</c:v>
                </c:pt>
                <c:pt idx="22">
                  <c:v>16.128547579298832</c:v>
                </c:pt>
                <c:pt idx="23">
                  <c:v>16.128547579298832</c:v>
                </c:pt>
                <c:pt idx="24">
                  <c:v>16.128547579298832</c:v>
                </c:pt>
                <c:pt idx="25">
                  <c:v>16.128547579298832</c:v>
                </c:pt>
                <c:pt idx="26">
                  <c:v>16.128547579298832</c:v>
                </c:pt>
                <c:pt idx="27">
                  <c:v>16.128547579298832</c:v>
                </c:pt>
                <c:pt idx="28">
                  <c:v>16.128547579298832</c:v>
                </c:pt>
                <c:pt idx="29">
                  <c:v>16.128547579298832</c:v>
                </c:pt>
                <c:pt idx="30">
                  <c:v>16.128547579298832</c:v>
                </c:pt>
                <c:pt idx="31">
                  <c:v>16.128547579298832</c:v>
                </c:pt>
                <c:pt idx="32">
                  <c:v>16.128547579298832</c:v>
                </c:pt>
                <c:pt idx="33">
                  <c:v>16.128547579298832</c:v>
                </c:pt>
                <c:pt idx="34">
                  <c:v>16.128547579298832</c:v>
                </c:pt>
                <c:pt idx="35">
                  <c:v>16.128547579298832</c:v>
                </c:pt>
                <c:pt idx="36">
                  <c:v>16.128547579298832</c:v>
                </c:pt>
                <c:pt idx="37">
                  <c:v>16.128547579298832</c:v>
                </c:pt>
                <c:pt idx="38">
                  <c:v>16.128547579298832</c:v>
                </c:pt>
                <c:pt idx="39">
                  <c:v>16.128547579298832</c:v>
                </c:pt>
                <c:pt idx="40">
                  <c:v>16.128547579298832</c:v>
                </c:pt>
                <c:pt idx="41">
                  <c:v>16.128547579298832</c:v>
                </c:pt>
                <c:pt idx="42">
                  <c:v>16.128547579298832</c:v>
                </c:pt>
                <c:pt idx="43">
                  <c:v>16.128547579298832</c:v>
                </c:pt>
                <c:pt idx="44">
                  <c:v>16.128547579298832</c:v>
                </c:pt>
                <c:pt idx="45">
                  <c:v>16.128547579298832</c:v>
                </c:pt>
                <c:pt idx="46">
                  <c:v>16.128547579298832</c:v>
                </c:pt>
                <c:pt idx="47">
                  <c:v>16.128547579298832</c:v>
                </c:pt>
                <c:pt idx="48">
                  <c:v>16.128547579298832</c:v>
                </c:pt>
                <c:pt idx="49">
                  <c:v>16.128547579298832</c:v>
                </c:pt>
                <c:pt idx="50">
                  <c:v>16.128547579298832</c:v>
                </c:pt>
                <c:pt idx="51">
                  <c:v>16.128547579298832</c:v>
                </c:pt>
                <c:pt idx="52">
                  <c:v>16.128547579298832</c:v>
                </c:pt>
                <c:pt idx="53">
                  <c:v>16.128547579298832</c:v>
                </c:pt>
                <c:pt idx="54">
                  <c:v>16.128547579298832</c:v>
                </c:pt>
                <c:pt idx="55">
                  <c:v>16.128547579298832</c:v>
                </c:pt>
                <c:pt idx="56">
                  <c:v>16.128547579298832</c:v>
                </c:pt>
                <c:pt idx="57">
                  <c:v>16.128547579298832</c:v>
                </c:pt>
                <c:pt idx="58">
                  <c:v>16.128547579298832</c:v>
                </c:pt>
                <c:pt idx="59">
                  <c:v>16.128547579298832</c:v>
                </c:pt>
                <c:pt idx="60">
                  <c:v>16.128547579298832</c:v>
                </c:pt>
                <c:pt idx="61">
                  <c:v>16.128547579298832</c:v>
                </c:pt>
                <c:pt idx="62">
                  <c:v>16.128547579298832</c:v>
                </c:pt>
                <c:pt idx="63">
                  <c:v>16.128547579298832</c:v>
                </c:pt>
                <c:pt idx="64">
                  <c:v>16.128547579298832</c:v>
                </c:pt>
                <c:pt idx="65">
                  <c:v>16.128547579298832</c:v>
                </c:pt>
                <c:pt idx="66">
                  <c:v>16.128547579298832</c:v>
                </c:pt>
                <c:pt idx="67">
                  <c:v>16.128547579298832</c:v>
                </c:pt>
                <c:pt idx="68">
                  <c:v>16.128547579298832</c:v>
                </c:pt>
                <c:pt idx="69">
                  <c:v>16.128547579298832</c:v>
                </c:pt>
                <c:pt idx="70">
                  <c:v>16.128547579298832</c:v>
                </c:pt>
                <c:pt idx="71">
                  <c:v>16.128547579298832</c:v>
                </c:pt>
                <c:pt idx="72">
                  <c:v>16.128547579298832</c:v>
                </c:pt>
                <c:pt idx="73">
                  <c:v>16.128547579298832</c:v>
                </c:pt>
                <c:pt idx="74">
                  <c:v>16.128547579298832</c:v>
                </c:pt>
                <c:pt idx="75">
                  <c:v>16.128547579298832</c:v>
                </c:pt>
                <c:pt idx="76">
                  <c:v>16.128547579298832</c:v>
                </c:pt>
                <c:pt idx="77">
                  <c:v>16.128547579298832</c:v>
                </c:pt>
                <c:pt idx="78">
                  <c:v>16.128547579298832</c:v>
                </c:pt>
                <c:pt idx="79">
                  <c:v>16.128547579298832</c:v>
                </c:pt>
                <c:pt idx="80">
                  <c:v>16.128547579298832</c:v>
                </c:pt>
                <c:pt idx="81">
                  <c:v>16.128547579298832</c:v>
                </c:pt>
                <c:pt idx="82">
                  <c:v>16.128547579298832</c:v>
                </c:pt>
                <c:pt idx="83">
                  <c:v>16.128547579298832</c:v>
                </c:pt>
                <c:pt idx="84">
                  <c:v>16.128547579298832</c:v>
                </c:pt>
                <c:pt idx="85">
                  <c:v>16.128547579298832</c:v>
                </c:pt>
                <c:pt idx="86">
                  <c:v>16.128547579298832</c:v>
                </c:pt>
                <c:pt idx="87">
                  <c:v>16.128547579298832</c:v>
                </c:pt>
                <c:pt idx="88">
                  <c:v>16.128547579298832</c:v>
                </c:pt>
                <c:pt idx="89">
                  <c:v>16.128547579298832</c:v>
                </c:pt>
                <c:pt idx="90">
                  <c:v>16.128547579298832</c:v>
                </c:pt>
                <c:pt idx="91">
                  <c:v>16.128547579298832</c:v>
                </c:pt>
                <c:pt idx="92">
                  <c:v>16.128547579298832</c:v>
                </c:pt>
                <c:pt idx="93">
                  <c:v>16.128547579298832</c:v>
                </c:pt>
                <c:pt idx="94">
                  <c:v>16.128547579298832</c:v>
                </c:pt>
                <c:pt idx="95">
                  <c:v>16.128547579298832</c:v>
                </c:pt>
                <c:pt idx="96">
                  <c:v>16.128547579298832</c:v>
                </c:pt>
                <c:pt idx="97">
                  <c:v>16.128547579298832</c:v>
                </c:pt>
                <c:pt idx="98">
                  <c:v>16.128547579298832</c:v>
                </c:pt>
                <c:pt idx="99">
                  <c:v>16.128547579298832</c:v>
                </c:pt>
                <c:pt idx="100">
                  <c:v>16.128547579298832</c:v>
                </c:pt>
                <c:pt idx="101">
                  <c:v>16.128547579298832</c:v>
                </c:pt>
                <c:pt idx="102">
                  <c:v>16.128547579298832</c:v>
                </c:pt>
                <c:pt idx="103">
                  <c:v>16.128547579298832</c:v>
                </c:pt>
                <c:pt idx="104">
                  <c:v>16.128547579298832</c:v>
                </c:pt>
                <c:pt idx="105">
                  <c:v>16.128547579298832</c:v>
                </c:pt>
                <c:pt idx="106">
                  <c:v>16.128547579298832</c:v>
                </c:pt>
                <c:pt idx="107">
                  <c:v>16.128547579298832</c:v>
                </c:pt>
                <c:pt idx="108">
                  <c:v>16.128547579298832</c:v>
                </c:pt>
                <c:pt idx="109">
                  <c:v>16.128547579298832</c:v>
                </c:pt>
                <c:pt idx="110">
                  <c:v>16.128547579298832</c:v>
                </c:pt>
                <c:pt idx="111">
                  <c:v>16.128547579298832</c:v>
                </c:pt>
                <c:pt idx="112">
                  <c:v>16.128547579298832</c:v>
                </c:pt>
                <c:pt idx="113">
                  <c:v>16.128547579298832</c:v>
                </c:pt>
                <c:pt idx="114">
                  <c:v>16.128547579298832</c:v>
                </c:pt>
                <c:pt idx="115">
                  <c:v>16.128547579298832</c:v>
                </c:pt>
                <c:pt idx="116">
                  <c:v>16.128547579298832</c:v>
                </c:pt>
                <c:pt idx="117">
                  <c:v>16.128547579298832</c:v>
                </c:pt>
                <c:pt idx="118">
                  <c:v>16.128547579298832</c:v>
                </c:pt>
                <c:pt idx="119">
                  <c:v>16.128547579298832</c:v>
                </c:pt>
                <c:pt idx="120">
                  <c:v>16.128547579298832</c:v>
                </c:pt>
                <c:pt idx="121">
                  <c:v>16.128547579298832</c:v>
                </c:pt>
                <c:pt idx="122">
                  <c:v>16.128547579298832</c:v>
                </c:pt>
                <c:pt idx="123">
                  <c:v>16.128547579298832</c:v>
                </c:pt>
                <c:pt idx="124">
                  <c:v>16.128547579298832</c:v>
                </c:pt>
                <c:pt idx="125">
                  <c:v>16.128547579298832</c:v>
                </c:pt>
                <c:pt idx="126">
                  <c:v>16.128547579298832</c:v>
                </c:pt>
                <c:pt idx="127">
                  <c:v>16.128547579298832</c:v>
                </c:pt>
                <c:pt idx="128">
                  <c:v>16.128547579298832</c:v>
                </c:pt>
                <c:pt idx="129">
                  <c:v>16.128547579298832</c:v>
                </c:pt>
                <c:pt idx="130">
                  <c:v>16.128547579298832</c:v>
                </c:pt>
                <c:pt idx="131">
                  <c:v>16.128547579298832</c:v>
                </c:pt>
                <c:pt idx="132">
                  <c:v>16.128547579298832</c:v>
                </c:pt>
                <c:pt idx="133">
                  <c:v>16.128547579298832</c:v>
                </c:pt>
                <c:pt idx="134">
                  <c:v>16.128547579298832</c:v>
                </c:pt>
                <c:pt idx="135">
                  <c:v>16.128547579298832</c:v>
                </c:pt>
                <c:pt idx="136">
                  <c:v>16.128547579298832</c:v>
                </c:pt>
                <c:pt idx="137">
                  <c:v>16.128547579298832</c:v>
                </c:pt>
                <c:pt idx="138">
                  <c:v>16.128547579298832</c:v>
                </c:pt>
                <c:pt idx="139">
                  <c:v>16.128547579298832</c:v>
                </c:pt>
                <c:pt idx="140">
                  <c:v>16.128547579298832</c:v>
                </c:pt>
                <c:pt idx="141">
                  <c:v>16.128547579298832</c:v>
                </c:pt>
                <c:pt idx="142">
                  <c:v>16.128547579298832</c:v>
                </c:pt>
                <c:pt idx="143">
                  <c:v>16.128547579298832</c:v>
                </c:pt>
                <c:pt idx="144">
                  <c:v>16.128547579298832</c:v>
                </c:pt>
                <c:pt idx="145">
                  <c:v>16.128547579298832</c:v>
                </c:pt>
                <c:pt idx="146">
                  <c:v>16.128547579298832</c:v>
                </c:pt>
                <c:pt idx="147">
                  <c:v>16.128547579298832</c:v>
                </c:pt>
                <c:pt idx="148">
                  <c:v>16.128547579298832</c:v>
                </c:pt>
                <c:pt idx="149">
                  <c:v>16.128547579298832</c:v>
                </c:pt>
                <c:pt idx="150">
                  <c:v>16.128547579298832</c:v>
                </c:pt>
                <c:pt idx="151">
                  <c:v>16.128547579298832</c:v>
                </c:pt>
                <c:pt idx="152">
                  <c:v>16.128547579298832</c:v>
                </c:pt>
                <c:pt idx="153">
                  <c:v>16.128547579298832</c:v>
                </c:pt>
                <c:pt idx="154">
                  <c:v>16.128547579298832</c:v>
                </c:pt>
                <c:pt idx="155">
                  <c:v>16.128547579298832</c:v>
                </c:pt>
                <c:pt idx="156">
                  <c:v>16.128547579298832</c:v>
                </c:pt>
                <c:pt idx="157">
                  <c:v>16.128547579298832</c:v>
                </c:pt>
                <c:pt idx="158">
                  <c:v>16.128547579298832</c:v>
                </c:pt>
                <c:pt idx="159">
                  <c:v>16.128547579298832</c:v>
                </c:pt>
                <c:pt idx="160">
                  <c:v>16.128547579298832</c:v>
                </c:pt>
                <c:pt idx="161">
                  <c:v>16.128547579298832</c:v>
                </c:pt>
                <c:pt idx="162">
                  <c:v>16.128547579298832</c:v>
                </c:pt>
                <c:pt idx="163">
                  <c:v>16.128547579298832</c:v>
                </c:pt>
                <c:pt idx="164">
                  <c:v>16.128547579298832</c:v>
                </c:pt>
                <c:pt idx="165">
                  <c:v>16.128547579298832</c:v>
                </c:pt>
                <c:pt idx="166">
                  <c:v>16.128547579298832</c:v>
                </c:pt>
                <c:pt idx="167">
                  <c:v>16.128547579298832</c:v>
                </c:pt>
                <c:pt idx="168">
                  <c:v>16.128547579298832</c:v>
                </c:pt>
                <c:pt idx="169">
                  <c:v>16.128547579298832</c:v>
                </c:pt>
                <c:pt idx="170">
                  <c:v>16.128547579298832</c:v>
                </c:pt>
                <c:pt idx="171">
                  <c:v>16.128547579298832</c:v>
                </c:pt>
                <c:pt idx="172">
                  <c:v>16.128547579298832</c:v>
                </c:pt>
                <c:pt idx="173">
                  <c:v>16.128547579298832</c:v>
                </c:pt>
                <c:pt idx="174">
                  <c:v>16.128547579298832</c:v>
                </c:pt>
                <c:pt idx="175">
                  <c:v>16.128547579298832</c:v>
                </c:pt>
                <c:pt idx="176">
                  <c:v>16.128547579298832</c:v>
                </c:pt>
                <c:pt idx="177">
                  <c:v>16.128547579298832</c:v>
                </c:pt>
                <c:pt idx="178">
                  <c:v>16.128547579298832</c:v>
                </c:pt>
                <c:pt idx="179">
                  <c:v>16.128547579298832</c:v>
                </c:pt>
                <c:pt idx="180">
                  <c:v>16.128547579298832</c:v>
                </c:pt>
                <c:pt idx="181">
                  <c:v>16.128547579298832</c:v>
                </c:pt>
                <c:pt idx="182">
                  <c:v>16.128547579298832</c:v>
                </c:pt>
                <c:pt idx="183">
                  <c:v>16.128547579298832</c:v>
                </c:pt>
                <c:pt idx="184">
                  <c:v>16.128547579298832</c:v>
                </c:pt>
                <c:pt idx="185">
                  <c:v>16.128547579298832</c:v>
                </c:pt>
                <c:pt idx="186">
                  <c:v>16.128547579298832</c:v>
                </c:pt>
                <c:pt idx="187">
                  <c:v>16.128547579298832</c:v>
                </c:pt>
                <c:pt idx="188">
                  <c:v>16.128547579298832</c:v>
                </c:pt>
                <c:pt idx="189">
                  <c:v>16.128547579298832</c:v>
                </c:pt>
                <c:pt idx="190">
                  <c:v>16.128547579298832</c:v>
                </c:pt>
                <c:pt idx="191">
                  <c:v>16.128547579298832</c:v>
                </c:pt>
                <c:pt idx="192">
                  <c:v>16.128547579298832</c:v>
                </c:pt>
                <c:pt idx="193">
                  <c:v>16.128547579298832</c:v>
                </c:pt>
                <c:pt idx="194">
                  <c:v>16.128547579298832</c:v>
                </c:pt>
                <c:pt idx="195">
                  <c:v>16.128547579298832</c:v>
                </c:pt>
                <c:pt idx="196">
                  <c:v>16.128547579298832</c:v>
                </c:pt>
                <c:pt idx="197">
                  <c:v>16.128547579298832</c:v>
                </c:pt>
                <c:pt idx="198">
                  <c:v>16.128547579298832</c:v>
                </c:pt>
                <c:pt idx="199">
                  <c:v>16.128547579298832</c:v>
                </c:pt>
                <c:pt idx="200">
                  <c:v>16.128547579298832</c:v>
                </c:pt>
                <c:pt idx="201">
                  <c:v>16.128547579298832</c:v>
                </c:pt>
                <c:pt idx="202">
                  <c:v>16.128547579298832</c:v>
                </c:pt>
                <c:pt idx="203">
                  <c:v>16.128547579298832</c:v>
                </c:pt>
                <c:pt idx="204">
                  <c:v>16.128547579298832</c:v>
                </c:pt>
                <c:pt idx="205">
                  <c:v>16.128547579298832</c:v>
                </c:pt>
                <c:pt idx="206">
                  <c:v>16.128547579298832</c:v>
                </c:pt>
                <c:pt idx="207">
                  <c:v>16.128547579298832</c:v>
                </c:pt>
                <c:pt idx="208">
                  <c:v>16.128547579298832</c:v>
                </c:pt>
                <c:pt idx="209">
                  <c:v>16.128547579298832</c:v>
                </c:pt>
                <c:pt idx="210">
                  <c:v>16.128547579298832</c:v>
                </c:pt>
                <c:pt idx="211">
                  <c:v>16.128547579298832</c:v>
                </c:pt>
                <c:pt idx="212">
                  <c:v>16.128547579298832</c:v>
                </c:pt>
                <c:pt idx="213">
                  <c:v>16.128547579298832</c:v>
                </c:pt>
                <c:pt idx="214">
                  <c:v>16.128547579298832</c:v>
                </c:pt>
                <c:pt idx="215">
                  <c:v>16.128547579298832</c:v>
                </c:pt>
                <c:pt idx="216">
                  <c:v>16.128547579298832</c:v>
                </c:pt>
                <c:pt idx="217">
                  <c:v>16.128547579298832</c:v>
                </c:pt>
                <c:pt idx="218">
                  <c:v>16.128547579298832</c:v>
                </c:pt>
                <c:pt idx="219">
                  <c:v>16.128547579298832</c:v>
                </c:pt>
                <c:pt idx="220">
                  <c:v>16.128547579298832</c:v>
                </c:pt>
                <c:pt idx="221">
                  <c:v>16.128547579298832</c:v>
                </c:pt>
                <c:pt idx="222">
                  <c:v>16.128547579298832</c:v>
                </c:pt>
                <c:pt idx="223">
                  <c:v>16.128547579298832</c:v>
                </c:pt>
                <c:pt idx="224">
                  <c:v>16.128547579298832</c:v>
                </c:pt>
                <c:pt idx="225">
                  <c:v>16.128547579298832</c:v>
                </c:pt>
                <c:pt idx="226">
                  <c:v>16.128547579298832</c:v>
                </c:pt>
                <c:pt idx="227">
                  <c:v>16.128547579298832</c:v>
                </c:pt>
                <c:pt idx="228">
                  <c:v>16.128547579298832</c:v>
                </c:pt>
                <c:pt idx="229">
                  <c:v>16.128547579298832</c:v>
                </c:pt>
                <c:pt idx="230">
                  <c:v>16.128547579298832</c:v>
                </c:pt>
                <c:pt idx="231">
                  <c:v>16.128547579298832</c:v>
                </c:pt>
                <c:pt idx="232">
                  <c:v>16.128547579298832</c:v>
                </c:pt>
                <c:pt idx="233">
                  <c:v>16.128547579298832</c:v>
                </c:pt>
                <c:pt idx="234">
                  <c:v>16.128547579298832</c:v>
                </c:pt>
                <c:pt idx="235">
                  <c:v>16.128547579298832</c:v>
                </c:pt>
                <c:pt idx="236">
                  <c:v>16.128547579298832</c:v>
                </c:pt>
                <c:pt idx="237">
                  <c:v>16.128547579298832</c:v>
                </c:pt>
                <c:pt idx="238">
                  <c:v>16.128547579298832</c:v>
                </c:pt>
                <c:pt idx="239">
                  <c:v>16.128547579298832</c:v>
                </c:pt>
                <c:pt idx="240">
                  <c:v>16.128547579298832</c:v>
                </c:pt>
                <c:pt idx="241">
                  <c:v>16.128547579298832</c:v>
                </c:pt>
                <c:pt idx="242">
                  <c:v>16.128547579298832</c:v>
                </c:pt>
                <c:pt idx="243">
                  <c:v>16.128547579298832</c:v>
                </c:pt>
                <c:pt idx="244">
                  <c:v>16.128547579298832</c:v>
                </c:pt>
                <c:pt idx="245">
                  <c:v>16.128547579298832</c:v>
                </c:pt>
                <c:pt idx="246">
                  <c:v>16.128547579298832</c:v>
                </c:pt>
                <c:pt idx="247">
                  <c:v>16.128547579298832</c:v>
                </c:pt>
                <c:pt idx="248">
                  <c:v>16.128547579298832</c:v>
                </c:pt>
                <c:pt idx="249">
                  <c:v>16.128547579298832</c:v>
                </c:pt>
                <c:pt idx="250">
                  <c:v>16.128547579298832</c:v>
                </c:pt>
                <c:pt idx="251">
                  <c:v>16.128547579298832</c:v>
                </c:pt>
                <c:pt idx="252">
                  <c:v>16.128547579298832</c:v>
                </c:pt>
                <c:pt idx="253">
                  <c:v>16.128547579298832</c:v>
                </c:pt>
                <c:pt idx="254">
                  <c:v>16.128547579298832</c:v>
                </c:pt>
                <c:pt idx="255">
                  <c:v>16.128547579298832</c:v>
                </c:pt>
                <c:pt idx="256">
                  <c:v>16.128547579298832</c:v>
                </c:pt>
                <c:pt idx="257">
                  <c:v>16.128547579298832</c:v>
                </c:pt>
                <c:pt idx="258">
                  <c:v>16.128547579298832</c:v>
                </c:pt>
                <c:pt idx="259">
                  <c:v>16.128547579298832</c:v>
                </c:pt>
                <c:pt idx="260">
                  <c:v>16.128547579298832</c:v>
                </c:pt>
                <c:pt idx="261">
                  <c:v>16.128547579298832</c:v>
                </c:pt>
                <c:pt idx="262">
                  <c:v>16.128547579298832</c:v>
                </c:pt>
                <c:pt idx="263">
                  <c:v>16.128547579298832</c:v>
                </c:pt>
                <c:pt idx="264">
                  <c:v>16.128547579298832</c:v>
                </c:pt>
                <c:pt idx="265">
                  <c:v>16.128547579298832</c:v>
                </c:pt>
                <c:pt idx="266">
                  <c:v>16.128547579298832</c:v>
                </c:pt>
                <c:pt idx="267">
                  <c:v>16.128547579298832</c:v>
                </c:pt>
                <c:pt idx="268">
                  <c:v>16.128547579298832</c:v>
                </c:pt>
                <c:pt idx="269">
                  <c:v>16.128547579298832</c:v>
                </c:pt>
                <c:pt idx="270">
                  <c:v>16.128547579298832</c:v>
                </c:pt>
                <c:pt idx="271">
                  <c:v>16.128547579298832</c:v>
                </c:pt>
                <c:pt idx="272">
                  <c:v>16.128547579298832</c:v>
                </c:pt>
                <c:pt idx="273">
                  <c:v>16.128547579298832</c:v>
                </c:pt>
                <c:pt idx="274">
                  <c:v>16.128547579298832</c:v>
                </c:pt>
                <c:pt idx="275">
                  <c:v>16.128547579298832</c:v>
                </c:pt>
                <c:pt idx="276">
                  <c:v>16.128547579298832</c:v>
                </c:pt>
                <c:pt idx="277">
                  <c:v>16.128547579298832</c:v>
                </c:pt>
                <c:pt idx="278">
                  <c:v>16.128547579298832</c:v>
                </c:pt>
                <c:pt idx="279">
                  <c:v>16.128547579298832</c:v>
                </c:pt>
                <c:pt idx="280">
                  <c:v>16.128547579298832</c:v>
                </c:pt>
                <c:pt idx="281">
                  <c:v>16.128547579298832</c:v>
                </c:pt>
                <c:pt idx="282">
                  <c:v>16.128547579298832</c:v>
                </c:pt>
                <c:pt idx="283">
                  <c:v>16.128547579298832</c:v>
                </c:pt>
                <c:pt idx="284">
                  <c:v>16.128547579298832</c:v>
                </c:pt>
                <c:pt idx="285">
                  <c:v>16.128547579298832</c:v>
                </c:pt>
                <c:pt idx="286">
                  <c:v>16.128547579298832</c:v>
                </c:pt>
                <c:pt idx="287">
                  <c:v>16.128547579298832</c:v>
                </c:pt>
                <c:pt idx="288">
                  <c:v>16.128547579298832</c:v>
                </c:pt>
                <c:pt idx="289">
                  <c:v>16.128547579298832</c:v>
                </c:pt>
                <c:pt idx="290">
                  <c:v>16.128547579298832</c:v>
                </c:pt>
                <c:pt idx="291">
                  <c:v>16.128547579298832</c:v>
                </c:pt>
                <c:pt idx="292">
                  <c:v>16.128547579298832</c:v>
                </c:pt>
                <c:pt idx="293">
                  <c:v>16.128547579298832</c:v>
                </c:pt>
                <c:pt idx="294">
                  <c:v>16.128547579298832</c:v>
                </c:pt>
                <c:pt idx="295">
                  <c:v>16.128547579298832</c:v>
                </c:pt>
                <c:pt idx="296">
                  <c:v>16.128547579298832</c:v>
                </c:pt>
                <c:pt idx="297">
                  <c:v>16.128547579298832</c:v>
                </c:pt>
                <c:pt idx="298">
                  <c:v>16.128547579298832</c:v>
                </c:pt>
                <c:pt idx="299">
                  <c:v>16.128547579298832</c:v>
                </c:pt>
                <c:pt idx="300">
                  <c:v>16.128547579298832</c:v>
                </c:pt>
                <c:pt idx="301">
                  <c:v>16.128547579298832</c:v>
                </c:pt>
                <c:pt idx="302">
                  <c:v>16.128547579298832</c:v>
                </c:pt>
                <c:pt idx="303">
                  <c:v>16.128547579298832</c:v>
                </c:pt>
                <c:pt idx="304">
                  <c:v>16.128547579298832</c:v>
                </c:pt>
                <c:pt idx="305">
                  <c:v>16.128547579298832</c:v>
                </c:pt>
                <c:pt idx="306">
                  <c:v>16.128547579298832</c:v>
                </c:pt>
                <c:pt idx="307">
                  <c:v>16.128547579298832</c:v>
                </c:pt>
                <c:pt idx="308">
                  <c:v>16.128547579298832</c:v>
                </c:pt>
                <c:pt idx="309">
                  <c:v>16.128547579298832</c:v>
                </c:pt>
                <c:pt idx="310">
                  <c:v>16.128547579298832</c:v>
                </c:pt>
                <c:pt idx="311">
                  <c:v>16.128547579298832</c:v>
                </c:pt>
                <c:pt idx="312">
                  <c:v>16.128547579298832</c:v>
                </c:pt>
                <c:pt idx="313">
                  <c:v>16.128547579298832</c:v>
                </c:pt>
                <c:pt idx="314">
                  <c:v>16.128547579298832</c:v>
                </c:pt>
                <c:pt idx="315">
                  <c:v>16.128547579298832</c:v>
                </c:pt>
                <c:pt idx="316">
                  <c:v>16.128547579298832</c:v>
                </c:pt>
                <c:pt idx="317">
                  <c:v>16.128547579298832</c:v>
                </c:pt>
                <c:pt idx="318">
                  <c:v>16.128547579298832</c:v>
                </c:pt>
                <c:pt idx="319">
                  <c:v>16.128547579298832</c:v>
                </c:pt>
                <c:pt idx="320">
                  <c:v>16.128547579298832</c:v>
                </c:pt>
                <c:pt idx="321">
                  <c:v>16.128547579298832</c:v>
                </c:pt>
                <c:pt idx="322">
                  <c:v>16.128547579298832</c:v>
                </c:pt>
                <c:pt idx="323">
                  <c:v>16.128547579298832</c:v>
                </c:pt>
                <c:pt idx="324">
                  <c:v>16.128547579298832</c:v>
                </c:pt>
                <c:pt idx="325">
                  <c:v>16.128547579298832</c:v>
                </c:pt>
                <c:pt idx="326">
                  <c:v>16.128547579298832</c:v>
                </c:pt>
                <c:pt idx="327">
                  <c:v>16.128547579298832</c:v>
                </c:pt>
                <c:pt idx="328">
                  <c:v>16.128547579298832</c:v>
                </c:pt>
                <c:pt idx="329">
                  <c:v>16.128547579298832</c:v>
                </c:pt>
                <c:pt idx="330">
                  <c:v>16.128547579298832</c:v>
                </c:pt>
                <c:pt idx="331">
                  <c:v>16.128547579298832</c:v>
                </c:pt>
                <c:pt idx="332">
                  <c:v>16.128547579298832</c:v>
                </c:pt>
                <c:pt idx="333">
                  <c:v>16.128547579298832</c:v>
                </c:pt>
                <c:pt idx="334">
                  <c:v>16.128547579298832</c:v>
                </c:pt>
                <c:pt idx="335">
                  <c:v>16.128547579298832</c:v>
                </c:pt>
                <c:pt idx="336">
                  <c:v>16.128547579298832</c:v>
                </c:pt>
                <c:pt idx="337">
                  <c:v>16.128547579298832</c:v>
                </c:pt>
                <c:pt idx="338">
                  <c:v>16.128547579298832</c:v>
                </c:pt>
                <c:pt idx="339">
                  <c:v>16.128547579298832</c:v>
                </c:pt>
                <c:pt idx="340">
                  <c:v>16.128547579298832</c:v>
                </c:pt>
                <c:pt idx="341">
                  <c:v>16.128547579298832</c:v>
                </c:pt>
                <c:pt idx="342">
                  <c:v>16.128547579298832</c:v>
                </c:pt>
                <c:pt idx="343">
                  <c:v>16.128547579298832</c:v>
                </c:pt>
                <c:pt idx="344">
                  <c:v>16.128547579298832</c:v>
                </c:pt>
                <c:pt idx="345">
                  <c:v>16.128547579298832</c:v>
                </c:pt>
                <c:pt idx="346">
                  <c:v>16.128547579298832</c:v>
                </c:pt>
                <c:pt idx="347">
                  <c:v>16.128547579298832</c:v>
                </c:pt>
                <c:pt idx="348">
                  <c:v>16.128547579298832</c:v>
                </c:pt>
                <c:pt idx="349">
                  <c:v>16.128547579298832</c:v>
                </c:pt>
                <c:pt idx="350">
                  <c:v>16.128547579298832</c:v>
                </c:pt>
                <c:pt idx="351">
                  <c:v>16.128547579298832</c:v>
                </c:pt>
                <c:pt idx="352">
                  <c:v>16.128547579298832</c:v>
                </c:pt>
                <c:pt idx="353">
                  <c:v>16.128547579298832</c:v>
                </c:pt>
                <c:pt idx="354">
                  <c:v>16.128547579298832</c:v>
                </c:pt>
                <c:pt idx="355">
                  <c:v>16.128547579298832</c:v>
                </c:pt>
                <c:pt idx="356">
                  <c:v>16.128547579298832</c:v>
                </c:pt>
                <c:pt idx="357">
                  <c:v>16.128547579298832</c:v>
                </c:pt>
                <c:pt idx="358">
                  <c:v>16.128547579298832</c:v>
                </c:pt>
                <c:pt idx="359">
                  <c:v>16.128547579298832</c:v>
                </c:pt>
                <c:pt idx="360">
                  <c:v>16.128547579298832</c:v>
                </c:pt>
                <c:pt idx="361">
                  <c:v>16.128547579298832</c:v>
                </c:pt>
                <c:pt idx="362">
                  <c:v>16.128547579298832</c:v>
                </c:pt>
                <c:pt idx="363">
                  <c:v>16.128547579298832</c:v>
                </c:pt>
                <c:pt idx="364">
                  <c:v>16.128547579298832</c:v>
                </c:pt>
                <c:pt idx="365">
                  <c:v>16.128547579298832</c:v>
                </c:pt>
                <c:pt idx="366">
                  <c:v>16.128547579298832</c:v>
                </c:pt>
                <c:pt idx="367">
                  <c:v>16.128547579298832</c:v>
                </c:pt>
                <c:pt idx="368">
                  <c:v>16.128547579298832</c:v>
                </c:pt>
                <c:pt idx="369">
                  <c:v>16.128547579298832</c:v>
                </c:pt>
                <c:pt idx="370">
                  <c:v>16.128547579298832</c:v>
                </c:pt>
                <c:pt idx="371">
                  <c:v>16.128547579298832</c:v>
                </c:pt>
                <c:pt idx="372">
                  <c:v>16.128547579298832</c:v>
                </c:pt>
                <c:pt idx="373">
                  <c:v>16.128547579298832</c:v>
                </c:pt>
                <c:pt idx="374">
                  <c:v>16.128547579298832</c:v>
                </c:pt>
                <c:pt idx="375">
                  <c:v>16.128547579298832</c:v>
                </c:pt>
                <c:pt idx="376">
                  <c:v>16.128547579298832</c:v>
                </c:pt>
                <c:pt idx="377">
                  <c:v>16.128547579298832</c:v>
                </c:pt>
                <c:pt idx="378">
                  <c:v>16.128547579298832</c:v>
                </c:pt>
                <c:pt idx="379">
                  <c:v>16.128547579298832</c:v>
                </c:pt>
                <c:pt idx="380">
                  <c:v>16.128547579298832</c:v>
                </c:pt>
                <c:pt idx="381">
                  <c:v>16.128547579298832</c:v>
                </c:pt>
                <c:pt idx="382">
                  <c:v>16.128547579298832</c:v>
                </c:pt>
                <c:pt idx="383">
                  <c:v>16.128547579298832</c:v>
                </c:pt>
                <c:pt idx="384">
                  <c:v>16.128547579298832</c:v>
                </c:pt>
                <c:pt idx="385">
                  <c:v>16.128547579298832</c:v>
                </c:pt>
                <c:pt idx="386">
                  <c:v>16.128547579298832</c:v>
                </c:pt>
                <c:pt idx="387">
                  <c:v>16.128547579298832</c:v>
                </c:pt>
                <c:pt idx="388">
                  <c:v>16.128547579298832</c:v>
                </c:pt>
                <c:pt idx="389">
                  <c:v>16.128547579298832</c:v>
                </c:pt>
                <c:pt idx="390">
                  <c:v>16.128547579298832</c:v>
                </c:pt>
                <c:pt idx="391">
                  <c:v>16.128547579298832</c:v>
                </c:pt>
                <c:pt idx="392">
                  <c:v>16.128547579298832</c:v>
                </c:pt>
                <c:pt idx="393">
                  <c:v>16.128547579298832</c:v>
                </c:pt>
                <c:pt idx="394">
                  <c:v>16.128547579298832</c:v>
                </c:pt>
                <c:pt idx="395">
                  <c:v>16.128547579298832</c:v>
                </c:pt>
                <c:pt idx="396">
                  <c:v>16.128547579298832</c:v>
                </c:pt>
                <c:pt idx="397">
                  <c:v>16.128547579298832</c:v>
                </c:pt>
                <c:pt idx="398">
                  <c:v>16.128547579298832</c:v>
                </c:pt>
                <c:pt idx="399">
                  <c:v>16.128547579298832</c:v>
                </c:pt>
                <c:pt idx="400">
                  <c:v>16.128547579298832</c:v>
                </c:pt>
                <c:pt idx="401">
                  <c:v>16.128547579298832</c:v>
                </c:pt>
                <c:pt idx="402">
                  <c:v>16.128547579298832</c:v>
                </c:pt>
                <c:pt idx="403">
                  <c:v>16.128547579298832</c:v>
                </c:pt>
                <c:pt idx="404">
                  <c:v>16.128547579298832</c:v>
                </c:pt>
                <c:pt idx="405">
                  <c:v>16.128547579298832</c:v>
                </c:pt>
                <c:pt idx="406">
                  <c:v>16.128547579298832</c:v>
                </c:pt>
                <c:pt idx="407">
                  <c:v>16.128547579298832</c:v>
                </c:pt>
                <c:pt idx="408">
                  <c:v>16.128547579298832</c:v>
                </c:pt>
                <c:pt idx="409">
                  <c:v>16.128547579298832</c:v>
                </c:pt>
                <c:pt idx="410">
                  <c:v>16.128547579298832</c:v>
                </c:pt>
                <c:pt idx="411">
                  <c:v>16.128547579298832</c:v>
                </c:pt>
                <c:pt idx="412">
                  <c:v>16.128547579298832</c:v>
                </c:pt>
                <c:pt idx="413">
                  <c:v>16.128547579298832</c:v>
                </c:pt>
                <c:pt idx="414">
                  <c:v>16.128547579298832</c:v>
                </c:pt>
                <c:pt idx="415">
                  <c:v>16.128547579298832</c:v>
                </c:pt>
                <c:pt idx="416">
                  <c:v>16.128547579298832</c:v>
                </c:pt>
                <c:pt idx="417">
                  <c:v>16.128547579298832</c:v>
                </c:pt>
                <c:pt idx="418">
                  <c:v>16.128547579298832</c:v>
                </c:pt>
                <c:pt idx="419">
                  <c:v>16.128547579298832</c:v>
                </c:pt>
                <c:pt idx="420">
                  <c:v>16.128547579298832</c:v>
                </c:pt>
                <c:pt idx="421">
                  <c:v>16.128547579298832</c:v>
                </c:pt>
                <c:pt idx="422">
                  <c:v>16.128547579298832</c:v>
                </c:pt>
                <c:pt idx="423">
                  <c:v>16.128547579298832</c:v>
                </c:pt>
                <c:pt idx="424">
                  <c:v>16.128547579298832</c:v>
                </c:pt>
                <c:pt idx="425">
                  <c:v>16.128547579298832</c:v>
                </c:pt>
                <c:pt idx="426">
                  <c:v>16.128547579298832</c:v>
                </c:pt>
                <c:pt idx="427">
                  <c:v>16.128547579298832</c:v>
                </c:pt>
                <c:pt idx="428">
                  <c:v>16.128547579298832</c:v>
                </c:pt>
                <c:pt idx="429">
                  <c:v>16.128547579298832</c:v>
                </c:pt>
                <c:pt idx="430">
                  <c:v>16.128547579298832</c:v>
                </c:pt>
                <c:pt idx="431">
                  <c:v>16.128547579298832</c:v>
                </c:pt>
                <c:pt idx="432">
                  <c:v>16.128547579298832</c:v>
                </c:pt>
                <c:pt idx="433">
                  <c:v>16.128547579298832</c:v>
                </c:pt>
                <c:pt idx="434">
                  <c:v>16.128547579298832</c:v>
                </c:pt>
                <c:pt idx="435">
                  <c:v>16.128547579298832</c:v>
                </c:pt>
                <c:pt idx="436">
                  <c:v>16.128547579298832</c:v>
                </c:pt>
                <c:pt idx="437">
                  <c:v>16.128547579298832</c:v>
                </c:pt>
                <c:pt idx="438">
                  <c:v>16.128547579298832</c:v>
                </c:pt>
                <c:pt idx="439">
                  <c:v>16.128547579298832</c:v>
                </c:pt>
                <c:pt idx="440">
                  <c:v>16.128547579298832</c:v>
                </c:pt>
                <c:pt idx="441">
                  <c:v>16.128547579298832</c:v>
                </c:pt>
                <c:pt idx="442">
                  <c:v>16.128547579298832</c:v>
                </c:pt>
                <c:pt idx="443">
                  <c:v>16.128547579298832</c:v>
                </c:pt>
                <c:pt idx="444">
                  <c:v>16.128547579298832</c:v>
                </c:pt>
                <c:pt idx="445">
                  <c:v>16.128547579298832</c:v>
                </c:pt>
                <c:pt idx="446">
                  <c:v>16.128547579298832</c:v>
                </c:pt>
                <c:pt idx="447">
                  <c:v>16.128547579298832</c:v>
                </c:pt>
                <c:pt idx="448">
                  <c:v>16.128547579298832</c:v>
                </c:pt>
                <c:pt idx="449">
                  <c:v>16.128547579298832</c:v>
                </c:pt>
                <c:pt idx="450">
                  <c:v>16.128547579298832</c:v>
                </c:pt>
                <c:pt idx="451">
                  <c:v>16.128547579298832</c:v>
                </c:pt>
                <c:pt idx="452">
                  <c:v>16.128547579298832</c:v>
                </c:pt>
                <c:pt idx="453">
                  <c:v>16.128547579298832</c:v>
                </c:pt>
                <c:pt idx="454">
                  <c:v>16.128547579298832</c:v>
                </c:pt>
                <c:pt idx="455">
                  <c:v>16.128547579298832</c:v>
                </c:pt>
                <c:pt idx="456">
                  <c:v>16.128547579298832</c:v>
                </c:pt>
                <c:pt idx="457">
                  <c:v>16.128547579298832</c:v>
                </c:pt>
                <c:pt idx="458">
                  <c:v>16.128547579298832</c:v>
                </c:pt>
                <c:pt idx="459">
                  <c:v>16.128547579298832</c:v>
                </c:pt>
                <c:pt idx="460">
                  <c:v>16.128547579298832</c:v>
                </c:pt>
                <c:pt idx="461">
                  <c:v>16.128547579298832</c:v>
                </c:pt>
                <c:pt idx="462">
                  <c:v>16.128547579298832</c:v>
                </c:pt>
                <c:pt idx="463">
                  <c:v>16.128547579298832</c:v>
                </c:pt>
                <c:pt idx="464">
                  <c:v>16.128547579298832</c:v>
                </c:pt>
                <c:pt idx="465">
                  <c:v>16.128547579298832</c:v>
                </c:pt>
                <c:pt idx="466">
                  <c:v>16.128547579298832</c:v>
                </c:pt>
                <c:pt idx="467">
                  <c:v>16.128547579298832</c:v>
                </c:pt>
                <c:pt idx="468">
                  <c:v>16.128547579298832</c:v>
                </c:pt>
                <c:pt idx="469">
                  <c:v>16.128547579298832</c:v>
                </c:pt>
                <c:pt idx="470">
                  <c:v>16.128547579298832</c:v>
                </c:pt>
                <c:pt idx="471">
                  <c:v>16.128547579298832</c:v>
                </c:pt>
                <c:pt idx="472">
                  <c:v>16.128547579298832</c:v>
                </c:pt>
                <c:pt idx="473">
                  <c:v>16.128547579298832</c:v>
                </c:pt>
                <c:pt idx="474">
                  <c:v>16.128547579298832</c:v>
                </c:pt>
                <c:pt idx="475">
                  <c:v>16.128547579298832</c:v>
                </c:pt>
                <c:pt idx="476">
                  <c:v>16.128547579298832</c:v>
                </c:pt>
                <c:pt idx="477">
                  <c:v>16.128547579298832</c:v>
                </c:pt>
                <c:pt idx="478">
                  <c:v>16.128547579298832</c:v>
                </c:pt>
                <c:pt idx="479">
                  <c:v>16.128547579298832</c:v>
                </c:pt>
                <c:pt idx="480">
                  <c:v>16.128547579298832</c:v>
                </c:pt>
                <c:pt idx="481">
                  <c:v>16.128547579298832</c:v>
                </c:pt>
                <c:pt idx="482">
                  <c:v>16.128547579298832</c:v>
                </c:pt>
                <c:pt idx="483">
                  <c:v>16.128547579298832</c:v>
                </c:pt>
                <c:pt idx="484">
                  <c:v>16.128547579298832</c:v>
                </c:pt>
                <c:pt idx="485">
                  <c:v>16.128547579298832</c:v>
                </c:pt>
                <c:pt idx="486">
                  <c:v>16.128547579298832</c:v>
                </c:pt>
                <c:pt idx="487">
                  <c:v>16.128547579298832</c:v>
                </c:pt>
                <c:pt idx="488">
                  <c:v>16.128547579298832</c:v>
                </c:pt>
                <c:pt idx="489">
                  <c:v>16.128547579298832</c:v>
                </c:pt>
                <c:pt idx="490">
                  <c:v>16.128547579298832</c:v>
                </c:pt>
                <c:pt idx="491">
                  <c:v>16.128547579298832</c:v>
                </c:pt>
                <c:pt idx="492">
                  <c:v>16.128547579298832</c:v>
                </c:pt>
                <c:pt idx="493">
                  <c:v>16.128547579298832</c:v>
                </c:pt>
                <c:pt idx="494">
                  <c:v>16.128547579298832</c:v>
                </c:pt>
                <c:pt idx="495">
                  <c:v>16.128547579298832</c:v>
                </c:pt>
                <c:pt idx="496">
                  <c:v>16.128547579298832</c:v>
                </c:pt>
                <c:pt idx="497">
                  <c:v>16.128547579298832</c:v>
                </c:pt>
                <c:pt idx="498">
                  <c:v>16.128547579298832</c:v>
                </c:pt>
                <c:pt idx="499">
                  <c:v>16.128547579298832</c:v>
                </c:pt>
                <c:pt idx="500">
                  <c:v>16.128547579298832</c:v>
                </c:pt>
                <c:pt idx="501">
                  <c:v>16.128547579298832</c:v>
                </c:pt>
                <c:pt idx="502">
                  <c:v>16.128547579298832</c:v>
                </c:pt>
                <c:pt idx="503">
                  <c:v>16.128547579298832</c:v>
                </c:pt>
                <c:pt idx="504">
                  <c:v>16.128547579298832</c:v>
                </c:pt>
                <c:pt idx="505">
                  <c:v>16.128547579298832</c:v>
                </c:pt>
                <c:pt idx="506">
                  <c:v>16.128547579298832</c:v>
                </c:pt>
                <c:pt idx="507">
                  <c:v>16.128547579298832</c:v>
                </c:pt>
                <c:pt idx="508">
                  <c:v>16.128547579298832</c:v>
                </c:pt>
                <c:pt idx="509">
                  <c:v>16.128547579298832</c:v>
                </c:pt>
                <c:pt idx="510">
                  <c:v>16.128547579298832</c:v>
                </c:pt>
                <c:pt idx="511">
                  <c:v>16.128547579298832</c:v>
                </c:pt>
                <c:pt idx="512">
                  <c:v>16.128547579298832</c:v>
                </c:pt>
                <c:pt idx="513">
                  <c:v>16.128547579298832</c:v>
                </c:pt>
                <c:pt idx="514">
                  <c:v>16.128547579298832</c:v>
                </c:pt>
                <c:pt idx="515">
                  <c:v>16.128547579298832</c:v>
                </c:pt>
                <c:pt idx="516">
                  <c:v>16.128547579298832</c:v>
                </c:pt>
                <c:pt idx="517">
                  <c:v>16.128547579298832</c:v>
                </c:pt>
                <c:pt idx="518">
                  <c:v>16.128547579298832</c:v>
                </c:pt>
                <c:pt idx="519">
                  <c:v>16.128547579298832</c:v>
                </c:pt>
                <c:pt idx="520">
                  <c:v>16.128547579298832</c:v>
                </c:pt>
                <c:pt idx="521">
                  <c:v>16.128547579298832</c:v>
                </c:pt>
                <c:pt idx="522">
                  <c:v>16.128547579298832</c:v>
                </c:pt>
                <c:pt idx="523">
                  <c:v>16.128547579298832</c:v>
                </c:pt>
                <c:pt idx="524">
                  <c:v>16.128547579298832</c:v>
                </c:pt>
                <c:pt idx="525">
                  <c:v>16.128547579298832</c:v>
                </c:pt>
                <c:pt idx="526">
                  <c:v>16.128547579298832</c:v>
                </c:pt>
                <c:pt idx="527">
                  <c:v>16.128547579298832</c:v>
                </c:pt>
                <c:pt idx="528">
                  <c:v>16.128547579298832</c:v>
                </c:pt>
                <c:pt idx="529">
                  <c:v>16.128547579298832</c:v>
                </c:pt>
                <c:pt idx="530">
                  <c:v>16.128547579298832</c:v>
                </c:pt>
                <c:pt idx="531">
                  <c:v>16.128547579298832</c:v>
                </c:pt>
                <c:pt idx="532">
                  <c:v>16.128547579298832</c:v>
                </c:pt>
                <c:pt idx="533">
                  <c:v>16.128547579298832</c:v>
                </c:pt>
                <c:pt idx="534">
                  <c:v>16.128547579298832</c:v>
                </c:pt>
                <c:pt idx="535">
                  <c:v>16.128547579298832</c:v>
                </c:pt>
                <c:pt idx="536">
                  <c:v>16.128547579298832</c:v>
                </c:pt>
                <c:pt idx="537">
                  <c:v>16.128547579298832</c:v>
                </c:pt>
                <c:pt idx="538">
                  <c:v>16.128547579298832</c:v>
                </c:pt>
                <c:pt idx="539">
                  <c:v>16.128547579298832</c:v>
                </c:pt>
                <c:pt idx="540">
                  <c:v>16.128547579298832</c:v>
                </c:pt>
                <c:pt idx="541">
                  <c:v>16.128547579298832</c:v>
                </c:pt>
                <c:pt idx="542">
                  <c:v>16.128547579298832</c:v>
                </c:pt>
                <c:pt idx="543">
                  <c:v>16.128547579298832</c:v>
                </c:pt>
                <c:pt idx="544">
                  <c:v>16.128547579298832</c:v>
                </c:pt>
                <c:pt idx="545">
                  <c:v>16.128547579298832</c:v>
                </c:pt>
                <c:pt idx="546">
                  <c:v>16.128547579298832</c:v>
                </c:pt>
                <c:pt idx="547">
                  <c:v>16.128547579298832</c:v>
                </c:pt>
                <c:pt idx="548">
                  <c:v>16.128547579298832</c:v>
                </c:pt>
                <c:pt idx="549">
                  <c:v>16.128547579298832</c:v>
                </c:pt>
                <c:pt idx="550">
                  <c:v>16.128547579298832</c:v>
                </c:pt>
                <c:pt idx="551">
                  <c:v>16.128547579298832</c:v>
                </c:pt>
                <c:pt idx="552">
                  <c:v>16.128547579298832</c:v>
                </c:pt>
                <c:pt idx="553">
                  <c:v>16.128547579298832</c:v>
                </c:pt>
                <c:pt idx="554">
                  <c:v>16.128547579298832</c:v>
                </c:pt>
                <c:pt idx="555">
                  <c:v>16.128547579298832</c:v>
                </c:pt>
                <c:pt idx="556">
                  <c:v>16.128547579298832</c:v>
                </c:pt>
                <c:pt idx="557">
                  <c:v>16.128547579298832</c:v>
                </c:pt>
                <c:pt idx="558">
                  <c:v>16.128547579298832</c:v>
                </c:pt>
                <c:pt idx="559">
                  <c:v>16.128547579298832</c:v>
                </c:pt>
                <c:pt idx="560">
                  <c:v>16.128547579298832</c:v>
                </c:pt>
                <c:pt idx="561">
                  <c:v>16.128547579298832</c:v>
                </c:pt>
                <c:pt idx="562">
                  <c:v>16.128547579298832</c:v>
                </c:pt>
                <c:pt idx="563">
                  <c:v>16.128547579298832</c:v>
                </c:pt>
                <c:pt idx="564">
                  <c:v>16.128547579298832</c:v>
                </c:pt>
                <c:pt idx="565">
                  <c:v>16.128547579298832</c:v>
                </c:pt>
                <c:pt idx="566">
                  <c:v>16.128547579298832</c:v>
                </c:pt>
                <c:pt idx="567">
                  <c:v>16.128547579298832</c:v>
                </c:pt>
                <c:pt idx="568">
                  <c:v>16.128547579298832</c:v>
                </c:pt>
                <c:pt idx="569">
                  <c:v>16.128547579298832</c:v>
                </c:pt>
                <c:pt idx="570">
                  <c:v>16.128547579298832</c:v>
                </c:pt>
                <c:pt idx="571">
                  <c:v>16.128547579298832</c:v>
                </c:pt>
                <c:pt idx="572">
                  <c:v>16.128547579298832</c:v>
                </c:pt>
                <c:pt idx="573">
                  <c:v>16.128547579298832</c:v>
                </c:pt>
                <c:pt idx="574">
                  <c:v>16.128547579298832</c:v>
                </c:pt>
                <c:pt idx="575">
                  <c:v>16.128547579298832</c:v>
                </c:pt>
                <c:pt idx="576">
                  <c:v>16.128547579298832</c:v>
                </c:pt>
                <c:pt idx="577">
                  <c:v>16.128547579298832</c:v>
                </c:pt>
                <c:pt idx="578">
                  <c:v>16.128547579298832</c:v>
                </c:pt>
                <c:pt idx="579">
                  <c:v>16.128547579298832</c:v>
                </c:pt>
                <c:pt idx="580">
                  <c:v>16.128547579298832</c:v>
                </c:pt>
                <c:pt idx="581">
                  <c:v>16.128547579298832</c:v>
                </c:pt>
                <c:pt idx="582">
                  <c:v>16.128547579298832</c:v>
                </c:pt>
                <c:pt idx="583">
                  <c:v>16.128547579298832</c:v>
                </c:pt>
                <c:pt idx="584">
                  <c:v>16.128547579298832</c:v>
                </c:pt>
                <c:pt idx="585">
                  <c:v>16.128547579298832</c:v>
                </c:pt>
                <c:pt idx="586">
                  <c:v>16.128547579298832</c:v>
                </c:pt>
                <c:pt idx="587">
                  <c:v>16.128547579298832</c:v>
                </c:pt>
                <c:pt idx="588">
                  <c:v>16.128547579298832</c:v>
                </c:pt>
                <c:pt idx="589">
                  <c:v>16.128547579298832</c:v>
                </c:pt>
                <c:pt idx="590">
                  <c:v>16.128547579298832</c:v>
                </c:pt>
                <c:pt idx="591">
                  <c:v>16.128547579298832</c:v>
                </c:pt>
                <c:pt idx="592">
                  <c:v>16.128547579298832</c:v>
                </c:pt>
                <c:pt idx="593">
                  <c:v>16.128547579298832</c:v>
                </c:pt>
                <c:pt idx="594">
                  <c:v>16.128547579298832</c:v>
                </c:pt>
                <c:pt idx="595">
                  <c:v>16.128547579298832</c:v>
                </c:pt>
                <c:pt idx="596">
                  <c:v>16.128547579298832</c:v>
                </c:pt>
                <c:pt idx="597">
                  <c:v>16.128547579298832</c:v>
                </c:pt>
                <c:pt idx="598">
                  <c:v>16.128547579298832</c:v>
                </c:pt>
                <c:pt idx="599">
                  <c:v>16.128547579298832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47-4AA3-96AB-EA6EC5DC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Particle_SPC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'AOI(Particle)_SPC'!$F$9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'AOI(Particle)_SPC'!$F$10:$F$609</c:f>
              <c:numCache>
                <c:formatCode>0</c:formatCode>
                <c:ptCount val="600"/>
                <c:pt idx="0">
                  <c:v>86</c:v>
                </c:pt>
                <c:pt idx="1">
                  <c:v>99</c:v>
                </c:pt>
                <c:pt idx="2">
                  <c:v>31</c:v>
                </c:pt>
                <c:pt idx="3">
                  <c:v>58</c:v>
                </c:pt>
                <c:pt idx="4">
                  <c:v>36</c:v>
                </c:pt>
                <c:pt idx="5">
                  <c:v>87</c:v>
                </c:pt>
                <c:pt idx="6">
                  <c:v>59</c:v>
                </c:pt>
                <c:pt idx="7">
                  <c:v>79</c:v>
                </c:pt>
                <c:pt idx="8">
                  <c:v>47</c:v>
                </c:pt>
                <c:pt idx="9">
                  <c:v>38</c:v>
                </c:pt>
                <c:pt idx="10">
                  <c:v>101</c:v>
                </c:pt>
                <c:pt idx="11">
                  <c:v>97</c:v>
                </c:pt>
                <c:pt idx="12">
                  <c:v>106</c:v>
                </c:pt>
                <c:pt idx="13">
                  <c:v>97</c:v>
                </c:pt>
                <c:pt idx="14">
                  <c:v>45</c:v>
                </c:pt>
                <c:pt idx="15">
                  <c:v>95</c:v>
                </c:pt>
                <c:pt idx="16">
                  <c:v>47</c:v>
                </c:pt>
                <c:pt idx="17">
                  <c:v>109</c:v>
                </c:pt>
                <c:pt idx="18">
                  <c:v>69</c:v>
                </c:pt>
                <c:pt idx="19">
                  <c:v>107</c:v>
                </c:pt>
                <c:pt idx="20">
                  <c:v>77</c:v>
                </c:pt>
                <c:pt idx="21">
                  <c:v>91</c:v>
                </c:pt>
                <c:pt idx="22">
                  <c:v>45</c:v>
                </c:pt>
                <c:pt idx="23">
                  <c:v>51</c:v>
                </c:pt>
                <c:pt idx="24">
                  <c:v>53</c:v>
                </c:pt>
                <c:pt idx="25">
                  <c:v>38</c:v>
                </c:pt>
                <c:pt idx="26">
                  <c:v>30</c:v>
                </c:pt>
                <c:pt idx="27">
                  <c:v>31</c:v>
                </c:pt>
                <c:pt idx="28">
                  <c:v>30</c:v>
                </c:pt>
                <c:pt idx="29">
                  <c:v>33</c:v>
                </c:pt>
                <c:pt idx="30">
                  <c:v>33</c:v>
                </c:pt>
                <c:pt idx="31">
                  <c:v>36</c:v>
                </c:pt>
                <c:pt idx="32">
                  <c:v>29</c:v>
                </c:pt>
                <c:pt idx="33">
                  <c:v>27</c:v>
                </c:pt>
                <c:pt idx="34">
                  <c:v>31</c:v>
                </c:pt>
                <c:pt idx="35">
                  <c:v>35</c:v>
                </c:pt>
                <c:pt idx="36">
                  <c:v>13</c:v>
                </c:pt>
                <c:pt idx="37">
                  <c:v>14</c:v>
                </c:pt>
                <c:pt idx="38">
                  <c:v>38</c:v>
                </c:pt>
                <c:pt idx="39">
                  <c:v>15</c:v>
                </c:pt>
                <c:pt idx="40">
                  <c:v>19</c:v>
                </c:pt>
                <c:pt idx="41">
                  <c:v>34</c:v>
                </c:pt>
                <c:pt idx="42">
                  <c:v>40</c:v>
                </c:pt>
                <c:pt idx="43">
                  <c:v>42</c:v>
                </c:pt>
                <c:pt idx="44">
                  <c:v>29</c:v>
                </c:pt>
                <c:pt idx="45">
                  <c:v>18</c:v>
                </c:pt>
                <c:pt idx="46">
                  <c:v>28</c:v>
                </c:pt>
                <c:pt idx="47">
                  <c:v>21</c:v>
                </c:pt>
                <c:pt idx="48">
                  <c:v>21</c:v>
                </c:pt>
                <c:pt idx="49">
                  <c:v>25</c:v>
                </c:pt>
                <c:pt idx="50">
                  <c:v>57</c:v>
                </c:pt>
                <c:pt idx="51">
                  <c:v>41</c:v>
                </c:pt>
                <c:pt idx="52">
                  <c:v>68</c:v>
                </c:pt>
                <c:pt idx="53">
                  <c:v>62</c:v>
                </c:pt>
                <c:pt idx="54">
                  <c:v>47</c:v>
                </c:pt>
                <c:pt idx="55">
                  <c:v>63</c:v>
                </c:pt>
                <c:pt idx="56">
                  <c:v>78</c:v>
                </c:pt>
                <c:pt idx="57">
                  <c:v>92</c:v>
                </c:pt>
                <c:pt idx="58">
                  <c:v>77</c:v>
                </c:pt>
                <c:pt idx="59">
                  <c:v>61</c:v>
                </c:pt>
                <c:pt idx="60">
                  <c:v>58</c:v>
                </c:pt>
                <c:pt idx="61">
                  <c:v>81</c:v>
                </c:pt>
                <c:pt idx="62">
                  <c:v>106</c:v>
                </c:pt>
                <c:pt idx="63">
                  <c:v>89</c:v>
                </c:pt>
                <c:pt idx="64">
                  <c:v>51</c:v>
                </c:pt>
                <c:pt idx="65">
                  <c:v>78</c:v>
                </c:pt>
                <c:pt idx="66">
                  <c:v>53</c:v>
                </c:pt>
                <c:pt idx="67">
                  <c:v>30</c:v>
                </c:pt>
                <c:pt idx="68">
                  <c:v>27</c:v>
                </c:pt>
                <c:pt idx="69">
                  <c:v>65</c:v>
                </c:pt>
                <c:pt idx="70">
                  <c:v>54</c:v>
                </c:pt>
                <c:pt idx="71">
                  <c:v>49</c:v>
                </c:pt>
                <c:pt idx="72">
                  <c:v>44</c:v>
                </c:pt>
                <c:pt idx="73">
                  <c:v>32</c:v>
                </c:pt>
                <c:pt idx="74">
                  <c:v>35</c:v>
                </c:pt>
                <c:pt idx="75">
                  <c:v>35</c:v>
                </c:pt>
                <c:pt idx="76">
                  <c:v>25</c:v>
                </c:pt>
                <c:pt idx="77">
                  <c:v>21</c:v>
                </c:pt>
                <c:pt idx="78">
                  <c:v>32</c:v>
                </c:pt>
                <c:pt idx="79">
                  <c:v>18</c:v>
                </c:pt>
                <c:pt idx="80">
                  <c:v>27</c:v>
                </c:pt>
                <c:pt idx="81">
                  <c:v>50</c:v>
                </c:pt>
                <c:pt idx="82">
                  <c:v>28</c:v>
                </c:pt>
                <c:pt idx="83">
                  <c:v>24</c:v>
                </c:pt>
                <c:pt idx="84">
                  <c:v>61</c:v>
                </c:pt>
                <c:pt idx="85">
                  <c:v>50</c:v>
                </c:pt>
                <c:pt idx="86">
                  <c:v>38</c:v>
                </c:pt>
                <c:pt idx="87">
                  <c:v>42</c:v>
                </c:pt>
                <c:pt idx="88">
                  <c:v>28</c:v>
                </c:pt>
                <c:pt idx="89">
                  <c:v>18</c:v>
                </c:pt>
                <c:pt idx="90">
                  <c:v>25</c:v>
                </c:pt>
                <c:pt idx="91">
                  <c:v>20</c:v>
                </c:pt>
                <c:pt idx="92">
                  <c:v>22</c:v>
                </c:pt>
                <c:pt idx="93">
                  <c:v>15</c:v>
                </c:pt>
                <c:pt idx="94">
                  <c:v>21</c:v>
                </c:pt>
                <c:pt idx="95">
                  <c:v>24</c:v>
                </c:pt>
                <c:pt idx="96">
                  <c:v>30</c:v>
                </c:pt>
                <c:pt idx="97">
                  <c:v>35</c:v>
                </c:pt>
                <c:pt idx="98">
                  <c:v>24</c:v>
                </c:pt>
                <c:pt idx="99">
                  <c:v>36</c:v>
                </c:pt>
                <c:pt idx="100">
                  <c:v>68</c:v>
                </c:pt>
                <c:pt idx="101">
                  <c:v>40</c:v>
                </c:pt>
                <c:pt idx="102">
                  <c:v>50</c:v>
                </c:pt>
                <c:pt idx="103">
                  <c:v>62</c:v>
                </c:pt>
                <c:pt idx="104">
                  <c:v>31</c:v>
                </c:pt>
                <c:pt idx="105">
                  <c:v>49</c:v>
                </c:pt>
                <c:pt idx="106">
                  <c:v>93</c:v>
                </c:pt>
                <c:pt idx="107">
                  <c:v>31</c:v>
                </c:pt>
                <c:pt idx="108">
                  <c:v>40</c:v>
                </c:pt>
                <c:pt idx="109">
                  <c:v>49</c:v>
                </c:pt>
                <c:pt idx="110">
                  <c:v>34</c:v>
                </c:pt>
                <c:pt idx="111">
                  <c:v>48</c:v>
                </c:pt>
                <c:pt idx="112">
                  <c:v>51</c:v>
                </c:pt>
                <c:pt idx="113">
                  <c:v>60</c:v>
                </c:pt>
                <c:pt idx="114">
                  <c:v>54</c:v>
                </c:pt>
                <c:pt idx="115">
                  <c:v>51</c:v>
                </c:pt>
                <c:pt idx="116">
                  <c:v>44</c:v>
                </c:pt>
                <c:pt idx="117">
                  <c:v>40</c:v>
                </c:pt>
                <c:pt idx="118">
                  <c:v>39</c:v>
                </c:pt>
                <c:pt idx="119">
                  <c:v>51</c:v>
                </c:pt>
                <c:pt idx="120">
                  <c:v>97</c:v>
                </c:pt>
                <c:pt idx="121">
                  <c:v>40</c:v>
                </c:pt>
                <c:pt idx="122">
                  <c:v>39</c:v>
                </c:pt>
                <c:pt idx="123">
                  <c:v>51</c:v>
                </c:pt>
                <c:pt idx="124">
                  <c:v>97</c:v>
                </c:pt>
                <c:pt idx="125">
                  <c:v>34</c:v>
                </c:pt>
                <c:pt idx="126">
                  <c:v>29</c:v>
                </c:pt>
                <c:pt idx="127">
                  <c:v>46</c:v>
                </c:pt>
                <c:pt idx="128">
                  <c:v>39</c:v>
                </c:pt>
                <c:pt idx="129">
                  <c:v>40</c:v>
                </c:pt>
                <c:pt idx="130">
                  <c:v>36</c:v>
                </c:pt>
                <c:pt idx="131">
                  <c:v>29</c:v>
                </c:pt>
                <c:pt idx="132">
                  <c:v>37</c:v>
                </c:pt>
                <c:pt idx="133">
                  <c:v>31</c:v>
                </c:pt>
                <c:pt idx="134">
                  <c:v>78</c:v>
                </c:pt>
                <c:pt idx="135">
                  <c:v>24</c:v>
                </c:pt>
                <c:pt idx="136">
                  <c:v>23</c:v>
                </c:pt>
                <c:pt idx="137">
                  <c:v>47</c:v>
                </c:pt>
                <c:pt idx="138">
                  <c:v>37</c:v>
                </c:pt>
                <c:pt idx="139">
                  <c:v>37</c:v>
                </c:pt>
                <c:pt idx="140">
                  <c:v>27</c:v>
                </c:pt>
                <c:pt idx="141">
                  <c:v>34</c:v>
                </c:pt>
                <c:pt idx="142">
                  <c:v>37</c:v>
                </c:pt>
                <c:pt idx="143">
                  <c:v>32</c:v>
                </c:pt>
                <c:pt idx="144">
                  <c:v>32</c:v>
                </c:pt>
                <c:pt idx="145">
                  <c:v>46</c:v>
                </c:pt>
                <c:pt idx="146">
                  <c:v>37</c:v>
                </c:pt>
                <c:pt idx="147">
                  <c:v>40</c:v>
                </c:pt>
                <c:pt idx="148">
                  <c:v>31</c:v>
                </c:pt>
                <c:pt idx="149">
                  <c:v>29</c:v>
                </c:pt>
                <c:pt idx="150">
                  <c:v>21</c:v>
                </c:pt>
                <c:pt idx="151">
                  <c:v>54</c:v>
                </c:pt>
                <c:pt idx="152">
                  <c:v>72</c:v>
                </c:pt>
                <c:pt idx="153">
                  <c:v>80</c:v>
                </c:pt>
                <c:pt idx="154">
                  <c:v>81</c:v>
                </c:pt>
                <c:pt idx="155">
                  <c:v>87</c:v>
                </c:pt>
                <c:pt idx="156">
                  <c:v>83</c:v>
                </c:pt>
                <c:pt idx="157">
                  <c:v>72</c:v>
                </c:pt>
                <c:pt idx="158">
                  <c:v>69</c:v>
                </c:pt>
                <c:pt idx="159">
                  <c:v>85</c:v>
                </c:pt>
                <c:pt idx="160">
                  <c:v>200</c:v>
                </c:pt>
                <c:pt idx="161">
                  <c:v>52</c:v>
                </c:pt>
                <c:pt idx="162">
                  <c:v>46</c:v>
                </c:pt>
                <c:pt idx="163">
                  <c:v>93</c:v>
                </c:pt>
                <c:pt idx="164">
                  <c:v>72</c:v>
                </c:pt>
                <c:pt idx="165">
                  <c:v>36</c:v>
                </c:pt>
                <c:pt idx="166">
                  <c:v>32</c:v>
                </c:pt>
                <c:pt idx="167">
                  <c:v>26</c:v>
                </c:pt>
                <c:pt idx="168">
                  <c:v>30</c:v>
                </c:pt>
                <c:pt idx="169">
                  <c:v>27</c:v>
                </c:pt>
                <c:pt idx="170">
                  <c:v>31</c:v>
                </c:pt>
                <c:pt idx="171">
                  <c:v>50</c:v>
                </c:pt>
                <c:pt idx="172">
                  <c:v>26</c:v>
                </c:pt>
                <c:pt idx="173">
                  <c:v>36</c:v>
                </c:pt>
                <c:pt idx="174">
                  <c:v>36</c:v>
                </c:pt>
                <c:pt idx="175">
                  <c:v>15</c:v>
                </c:pt>
                <c:pt idx="176">
                  <c:v>15</c:v>
                </c:pt>
                <c:pt idx="177">
                  <c:v>53</c:v>
                </c:pt>
                <c:pt idx="178">
                  <c:v>40</c:v>
                </c:pt>
                <c:pt idx="179">
                  <c:v>41</c:v>
                </c:pt>
                <c:pt idx="180">
                  <c:v>37</c:v>
                </c:pt>
                <c:pt idx="181">
                  <c:v>37</c:v>
                </c:pt>
                <c:pt idx="182">
                  <c:v>27</c:v>
                </c:pt>
                <c:pt idx="183">
                  <c:v>49</c:v>
                </c:pt>
                <c:pt idx="184">
                  <c:v>40</c:v>
                </c:pt>
                <c:pt idx="185">
                  <c:v>40</c:v>
                </c:pt>
                <c:pt idx="186">
                  <c:v>42</c:v>
                </c:pt>
                <c:pt idx="187">
                  <c:v>46</c:v>
                </c:pt>
                <c:pt idx="188">
                  <c:v>48</c:v>
                </c:pt>
                <c:pt idx="189">
                  <c:v>54</c:v>
                </c:pt>
                <c:pt idx="190">
                  <c:v>52</c:v>
                </c:pt>
                <c:pt idx="191">
                  <c:v>45</c:v>
                </c:pt>
                <c:pt idx="192">
                  <c:v>43</c:v>
                </c:pt>
                <c:pt idx="193">
                  <c:v>72</c:v>
                </c:pt>
                <c:pt idx="194">
                  <c:v>67</c:v>
                </c:pt>
                <c:pt idx="195">
                  <c:v>70</c:v>
                </c:pt>
                <c:pt idx="196">
                  <c:v>13</c:v>
                </c:pt>
                <c:pt idx="197">
                  <c:v>17</c:v>
                </c:pt>
                <c:pt idx="198">
                  <c:v>25</c:v>
                </c:pt>
                <c:pt idx="199">
                  <c:v>26</c:v>
                </c:pt>
                <c:pt idx="200">
                  <c:v>25</c:v>
                </c:pt>
                <c:pt idx="201">
                  <c:v>78</c:v>
                </c:pt>
                <c:pt idx="202">
                  <c:v>53</c:v>
                </c:pt>
                <c:pt idx="203">
                  <c:v>67</c:v>
                </c:pt>
                <c:pt idx="204">
                  <c:v>40</c:v>
                </c:pt>
                <c:pt idx="205">
                  <c:v>42</c:v>
                </c:pt>
                <c:pt idx="206">
                  <c:v>52</c:v>
                </c:pt>
                <c:pt idx="207">
                  <c:v>85</c:v>
                </c:pt>
                <c:pt idx="208">
                  <c:v>42</c:v>
                </c:pt>
                <c:pt idx="209">
                  <c:v>33</c:v>
                </c:pt>
                <c:pt idx="210">
                  <c:v>56</c:v>
                </c:pt>
                <c:pt idx="211">
                  <c:v>40</c:v>
                </c:pt>
                <c:pt idx="212">
                  <c:v>50</c:v>
                </c:pt>
                <c:pt idx="213">
                  <c:v>57</c:v>
                </c:pt>
                <c:pt idx="214">
                  <c:v>170</c:v>
                </c:pt>
                <c:pt idx="215">
                  <c:v>34</c:v>
                </c:pt>
                <c:pt idx="216">
                  <c:v>45</c:v>
                </c:pt>
                <c:pt idx="217">
                  <c:v>66</c:v>
                </c:pt>
                <c:pt idx="218">
                  <c:v>39</c:v>
                </c:pt>
                <c:pt idx="219">
                  <c:v>22</c:v>
                </c:pt>
                <c:pt idx="220">
                  <c:v>30</c:v>
                </c:pt>
                <c:pt idx="221">
                  <c:v>27</c:v>
                </c:pt>
                <c:pt idx="222">
                  <c:v>41</c:v>
                </c:pt>
                <c:pt idx="223">
                  <c:v>29</c:v>
                </c:pt>
                <c:pt idx="224">
                  <c:v>21</c:v>
                </c:pt>
                <c:pt idx="225">
                  <c:v>45</c:v>
                </c:pt>
                <c:pt idx="226">
                  <c:v>14</c:v>
                </c:pt>
                <c:pt idx="227">
                  <c:v>16</c:v>
                </c:pt>
                <c:pt idx="228">
                  <c:v>19</c:v>
                </c:pt>
                <c:pt idx="229">
                  <c:v>15</c:v>
                </c:pt>
                <c:pt idx="230">
                  <c:v>21</c:v>
                </c:pt>
                <c:pt idx="231">
                  <c:v>18</c:v>
                </c:pt>
                <c:pt idx="232">
                  <c:v>17</c:v>
                </c:pt>
                <c:pt idx="233">
                  <c:v>26</c:v>
                </c:pt>
                <c:pt idx="234">
                  <c:v>14</c:v>
                </c:pt>
                <c:pt idx="235">
                  <c:v>27</c:v>
                </c:pt>
                <c:pt idx="236">
                  <c:v>43</c:v>
                </c:pt>
                <c:pt idx="237">
                  <c:v>57</c:v>
                </c:pt>
                <c:pt idx="238">
                  <c:v>30</c:v>
                </c:pt>
                <c:pt idx="239">
                  <c:v>50</c:v>
                </c:pt>
                <c:pt idx="240">
                  <c:v>45</c:v>
                </c:pt>
                <c:pt idx="241">
                  <c:v>54</c:v>
                </c:pt>
                <c:pt idx="242">
                  <c:v>62</c:v>
                </c:pt>
                <c:pt idx="243">
                  <c:v>26</c:v>
                </c:pt>
                <c:pt idx="244">
                  <c:v>29</c:v>
                </c:pt>
                <c:pt idx="245">
                  <c:v>27</c:v>
                </c:pt>
                <c:pt idx="246">
                  <c:v>19</c:v>
                </c:pt>
                <c:pt idx="247">
                  <c:v>53</c:v>
                </c:pt>
                <c:pt idx="248">
                  <c:v>28</c:v>
                </c:pt>
                <c:pt idx="249">
                  <c:v>25</c:v>
                </c:pt>
                <c:pt idx="250">
                  <c:v>44</c:v>
                </c:pt>
                <c:pt idx="251">
                  <c:v>29</c:v>
                </c:pt>
                <c:pt idx="252">
                  <c:v>21</c:v>
                </c:pt>
                <c:pt idx="253">
                  <c:v>12</c:v>
                </c:pt>
                <c:pt idx="254">
                  <c:v>27</c:v>
                </c:pt>
                <c:pt idx="255">
                  <c:v>34</c:v>
                </c:pt>
                <c:pt idx="256">
                  <c:v>47</c:v>
                </c:pt>
                <c:pt idx="257">
                  <c:v>28</c:v>
                </c:pt>
                <c:pt idx="258">
                  <c:v>27</c:v>
                </c:pt>
                <c:pt idx="259">
                  <c:v>13</c:v>
                </c:pt>
                <c:pt idx="260">
                  <c:v>23</c:v>
                </c:pt>
                <c:pt idx="261">
                  <c:v>16</c:v>
                </c:pt>
                <c:pt idx="262">
                  <c:v>18</c:v>
                </c:pt>
                <c:pt idx="263">
                  <c:v>19</c:v>
                </c:pt>
                <c:pt idx="264">
                  <c:v>12</c:v>
                </c:pt>
                <c:pt idx="265">
                  <c:v>13</c:v>
                </c:pt>
                <c:pt idx="266">
                  <c:v>42</c:v>
                </c:pt>
                <c:pt idx="267">
                  <c:v>24</c:v>
                </c:pt>
                <c:pt idx="268">
                  <c:v>19</c:v>
                </c:pt>
                <c:pt idx="269">
                  <c:v>26</c:v>
                </c:pt>
                <c:pt idx="270">
                  <c:v>18</c:v>
                </c:pt>
                <c:pt idx="271">
                  <c:v>33</c:v>
                </c:pt>
                <c:pt idx="272">
                  <c:v>24</c:v>
                </c:pt>
                <c:pt idx="273">
                  <c:v>25</c:v>
                </c:pt>
                <c:pt idx="274">
                  <c:v>53</c:v>
                </c:pt>
                <c:pt idx="275">
                  <c:v>45</c:v>
                </c:pt>
                <c:pt idx="276">
                  <c:v>32</c:v>
                </c:pt>
                <c:pt idx="277">
                  <c:v>37</c:v>
                </c:pt>
                <c:pt idx="278">
                  <c:v>52</c:v>
                </c:pt>
                <c:pt idx="279">
                  <c:v>54</c:v>
                </c:pt>
                <c:pt idx="280">
                  <c:v>50</c:v>
                </c:pt>
                <c:pt idx="281">
                  <c:v>77</c:v>
                </c:pt>
                <c:pt idx="282">
                  <c:v>46</c:v>
                </c:pt>
                <c:pt idx="283">
                  <c:v>67</c:v>
                </c:pt>
                <c:pt idx="284">
                  <c:v>67</c:v>
                </c:pt>
                <c:pt idx="285">
                  <c:v>45</c:v>
                </c:pt>
                <c:pt idx="286">
                  <c:v>71</c:v>
                </c:pt>
                <c:pt idx="287">
                  <c:v>72</c:v>
                </c:pt>
                <c:pt idx="288">
                  <c:v>62</c:v>
                </c:pt>
                <c:pt idx="289">
                  <c:v>109</c:v>
                </c:pt>
                <c:pt idx="290">
                  <c:v>115</c:v>
                </c:pt>
                <c:pt idx="291">
                  <c:v>27</c:v>
                </c:pt>
                <c:pt idx="292">
                  <c:v>30</c:v>
                </c:pt>
                <c:pt idx="293">
                  <c:v>24</c:v>
                </c:pt>
                <c:pt idx="294">
                  <c:v>27</c:v>
                </c:pt>
                <c:pt idx="295">
                  <c:v>22</c:v>
                </c:pt>
                <c:pt idx="296">
                  <c:v>51</c:v>
                </c:pt>
                <c:pt idx="297">
                  <c:v>38</c:v>
                </c:pt>
                <c:pt idx="298">
                  <c:v>56</c:v>
                </c:pt>
                <c:pt idx="299">
                  <c:v>47</c:v>
                </c:pt>
                <c:pt idx="300">
                  <c:v>33</c:v>
                </c:pt>
                <c:pt idx="301">
                  <c:v>49</c:v>
                </c:pt>
                <c:pt idx="302">
                  <c:v>72</c:v>
                </c:pt>
                <c:pt idx="303">
                  <c:v>53</c:v>
                </c:pt>
                <c:pt idx="304">
                  <c:v>48</c:v>
                </c:pt>
                <c:pt idx="305">
                  <c:v>76</c:v>
                </c:pt>
                <c:pt idx="306">
                  <c:v>88</c:v>
                </c:pt>
                <c:pt idx="307">
                  <c:v>51</c:v>
                </c:pt>
                <c:pt idx="308">
                  <c:v>73</c:v>
                </c:pt>
                <c:pt idx="309">
                  <c:v>59</c:v>
                </c:pt>
                <c:pt idx="310">
                  <c:v>78</c:v>
                </c:pt>
                <c:pt idx="311">
                  <c:v>88</c:v>
                </c:pt>
                <c:pt idx="312">
                  <c:v>98</c:v>
                </c:pt>
                <c:pt idx="313">
                  <c:v>43</c:v>
                </c:pt>
                <c:pt idx="314">
                  <c:v>38</c:v>
                </c:pt>
                <c:pt idx="315">
                  <c:v>19</c:v>
                </c:pt>
                <c:pt idx="316">
                  <c:v>48</c:v>
                </c:pt>
                <c:pt idx="317">
                  <c:v>32</c:v>
                </c:pt>
                <c:pt idx="318">
                  <c:v>54</c:v>
                </c:pt>
                <c:pt idx="319">
                  <c:v>34</c:v>
                </c:pt>
                <c:pt idx="320">
                  <c:v>37</c:v>
                </c:pt>
                <c:pt idx="321">
                  <c:v>27</c:v>
                </c:pt>
                <c:pt idx="322">
                  <c:v>31</c:v>
                </c:pt>
                <c:pt idx="323">
                  <c:v>37</c:v>
                </c:pt>
                <c:pt idx="324">
                  <c:v>30</c:v>
                </c:pt>
                <c:pt idx="325">
                  <c:v>51</c:v>
                </c:pt>
                <c:pt idx="326">
                  <c:v>26</c:v>
                </c:pt>
                <c:pt idx="327">
                  <c:v>28</c:v>
                </c:pt>
                <c:pt idx="328">
                  <c:v>35</c:v>
                </c:pt>
                <c:pt idx="329">
                  <c:v>27</c:v>
                </c:pt>
                <c:pt idx="330">
                  <c:v>28</c:v>
                </c:pt>
                <c:pt idx="331">
                  <c:v>41</c:v>
                </c:pt>
                <c:pt idx="332">
                  <c:v>50</c:v>
                </c:pt>
                <c:pt idx="333">
                  <c:v>36</c:v>
                </c:pt>
                <c:pt idx="334">
                  <c:v>44</c:v>
                </c:pt>
                <c:pt idx="335">
                  <c:v>42</c:v>
                </c:pt>
                <c:pt idx="336">
                  <c:v>63</c:v>
                </c:pt>
                <c:pt idx="337">
                  <c:v>54</c:v>
                </c:pt>
                <c:pt idx="338">
                  <c:v>74</c:v>
                </c:pt>
                <c:pt idx="339">
                  <c:v>15</c:v>
                </c:pt>
                <c:pt idx="340">
                  <c:v>44</c:v>
                </c:pt>
                <c:pt idx="341">
                  <c:v>34</c:v>
                </c:pt>
                <c:pt idx="342">
                  <c:v>26</c:v>
                </c:pt>
                <c:pt idx="343">
                  <c:v>26</c:v>
                </c:pt>
                <c:pt idx="344">
                  <c:v>27</c:v>
                </c:pt>
                <c:pt idx="345">
                  <c:v>31</c:v>
                </c:pt>
                <c:pt idx="346">
                  <c:v>37</c:v>
                </c:pt>
                <c:pt idx="347">
                  <c:v>28</c:v>
                </c:pt>
                <c:pt idx="348">
                  <c:v>36</c:v>
                </c:pt>
                <c:pt idx="349">
                  <c:v>41</c:v>
                </c:pt>
                <c:pt idx="350">
                  <c:v>81</c:v>
                </c:pt>
                <c:pt idx="351">
                  <c:v>39</c:v>
                </c:pt>
                <c:pt idx="352">
                  <c:v>74</c:v>
                </c:pt>
                <c:pt idx="353">
                  <c:v>35</c:v>
                </c:pt>
                <c:pt idx="354">
                  <c:v>55</c:v>
                </c:pt>
                <c:pt idx="355">
                  <c:v>60</c:v>
                </c:pt>
                <c:pt idx="356">
                  <c:v>48</c:v>
                </c:pt>
                <c:pt idx="357">
                  <c:v>69</c:v>
                </c:pt>
                <c:pt idx="358">
                  <c:v>13</c:v>
                </c:pt>
                <c:pt idx="359">
                  <c:v>23</c:v>
                </c:pt>
                <c:pt idx="360">
                  <c:v>27</c:v>
                </c:pt>
                <c:pt idx="361">
                  <c:v>24</c:v>
                </c:pt>
                <c:pt idx="362">
                  <c:v>29</c:v>
                </c:pt>
                <c:pt idx="363">
                  <c:v>22</c:v>
                </c:pt>
                <c:pt idx="364">
                  <c:v>24</c:v>
                </c:pt>
                <c:pt idx="365">
                  <c:v>39</c:v>
                </c:pt>
                <c:pt idx="366">
                  <c:v>40</c:v>
                </c:pt>
                <c:pt idx="367">
                  <c:v>63</c:v>
                </c:pt>
                <c:pt idx="368">
                  <c:v>33</c:v>
                </c:pt>
                <c:pt idx="369">
                  <c:v>50</c:v>
                </c:pt>
                <c:pt idx="370">
                  <c:v>55</c:v>
                </c:pt>
                <c:pt idx="371">
                  <c:v>85</c:v>
                </c:pt>
                <c:pt idx="372">
                  <c:v>67</c:v>
                </c:pt>
                <c:pt idx="373">
                  <c:v>56</c:v>
                </c:pt>
                <c:pt idx="374">
                  <c:v>61</c:v>
                </c:pt>
                <c:pt idx="375">
                  <c:v>60</c:v>
                </c:pt>
                <c:pt idx="376">
                  <c:v>62</c:v>
                </c:pt>
                <c:pt idx="377">
                  <c:v>55</c:v>
                </c:pt>
                <c:pt idx="378">
                  <c:v>57</c:v>
                </c:pt>
                <c:pt idx="379">
                  <c:v>52</c:v>
                </c:pt>
                <c:pt idx="380">
                  <c:v>60</c:v>
                </c:pt>
                <c:pt idx="381">
                  <c:v>65</c:v>
                </c:pt>
                <c:pt idx="382">
                  <c:v>65</c:v>
                </c:pt>
                <c:pt idx="383">
                  <c:v>84</c:v>
                </c:pt>
                <c:pt idx="384">
                  <c:v>100</c:v>
                </c:pt>
                <c:pt idx="385">
                  <c:v>78</c:v>
                </c:pt>
                <c:pt idx="386">
                  <c:v>90</c:v>
                </c:pt>
                <c:pt idx="387">
                  <c:v>110</c:v>
                </c:pt>
                <c:pt idx="388">
                  <c:v>32</c:v>
                </c:pt>
                <c:pt idx="389">
                  <c:v>36</c:v>
                </c:pt>
                <c:pt idx="390">
                  <c:v>60</c:v>
                </c:pt>
                <c:pt idx="391">
                  <c:v>41</c:v>
                </c:pt>
                <c:pt idx="392">
                  <c:v>31</c:v>
                </c:pt>
                <c:pt idx="393">
                  <c:v>46</c:v>
                </c:pt>
                <c:pt idx="394">
                  <c:v>56</c:v>
                </c:pt>
                <c:pt idx="395">
                  <c:v>63</c:v>
                </c:pt>
                <c:pt idx="396">
                  <c:v>53</c:v>
                </c:pt>
                <c:pt idx="397">
                  <c:v>46</c:v>
                </c:pt>
                <c:pt idx="398">
                  <c:v>59</c:v>
                </c:pt>
                <c:pt idx="399">
                  <c:v>52</c:v>
                </c:pt>
                <c:pt idx="400">
                  <c:v>63</c:v>
                </c:pt>
                <c:pt idx="401">
                  <c:v>73</c:v>
                </c:pt>
                <c:pt idx="402">
                  <c:v>67</c:v>
                </c:pt>
                <c:pt idx="403">
                  <c:v>47</c:v>
                </c:pt>
                <c:pt idx="404">
                  <c:v>75</c:v>
                </c:pt>
                <c:pt idx="405">
                  <c:v>86</c:v>
                </c:pt>
                <c:pt idx="406">
                  <c:v>14</c:v>
                </c:pt>
                <c:pt idx="407">
                  <c:v>19</c:v>
                </c:pt>
                <c:pt idx="408">
                  <c:v>28</c:v>
                </c:pt>
                <c:pt idx="409">
                  <c:v>23</c:v>
                </c:pt>
                <c:pt idx="410">
                  <c:v>31</c:v>
                </c:pt>
                <c:pt idx="411">
                  <c:v>38</c:v>
                </c:pt>
                <c:pt idx="412">
                  <c:v>34</c:v>
                </c:pt>
                <c:pt idx="413">
                  <c:v>54</c:v>
                </c:pt>
                <c:pt idx="414">
                  <c:v>68</c:v>
                </c:pt>
                <c:pt idx="415">
                  <c:v>47</c:v>
                </c:pt>
                <c:pt idx="416">
                  <c:v>39</c:v>
                </c:pt>
                <c:pt idx="417">
                  <c:v>48</c:v>
                </c:pt>
                <c:pt idx="418">
                  <c:v>75</c:v>
                </c:pt>
                <c:pt idx="419">
                  <c:v>72</c:v>
                </c:pt>
                <c:pt idx="420">
                  <c:v>68</c:v>
                </c:pt>
                <c:pt idx="421">
                  <c:v>61</c:v>
                </c:pt>
                <c:pt idx="422">
                  <c:v>69</c:v>
                </c:pt>
                <c:pt idx="423">
                  <c:v>67</c:v>
                </c:pt>
                <c:pt idx="424">
                  <c:v>61</c:v>
                </c:pt>
                <c:pt idx="425">
                  <c:v>53</c:v>
                </c:pt>
                <c:pt idx="426">
                  <c:v>50</c:v>
                </c:pt>
                <c:pt idx="427">
                  <c:v>96</c:v>
                </c:pt>
                <c:pt idx="428">
                  <c:v>79</c:v>
                </c:pt>
                <c:pt idx="429">
                  <c:v>81</c:v>
                </c:pt>
                <c:pt idx="430">
                  <c:v>73</c:v>
                </c:pt>
                <c:pt idx="431">
                  <c:v>72</c:v>
                </c:pt>
                <c:pt idx="432">
                  <c:v>72</c:v>
                </c:pt>
                <c:pt idx="433">
                  <c:v>108</c:v>
                </c:pt>
                <c:pt idx="434">
                  <c:v>120</c:v>
                </c:pt>
                <c:pt idx="435">
                  <c:v>27</c:v>
                </c:pt>
                <c:pt idx="436">
                  <c:v>24</c:v>
                </c:pt>
                <c:pt idx="437">
                  <c:v>41</c:v>
                </c:pt>
                <c:pt idx="438">
                  <c:v>28</c:v>
                </c:pt>
                <c:pt idx="439">
                  <c:v>45</c:v>
                </c:pt>
                <c:pt idx="440">
                  <c:v>52</c:v>
                </c:pt>
                <c:pt idx="441">
                  <c:v>52</c:v>
                </c:pt>
                <c:pt idx="442">
                  <c:v>65</c:v>
                </c:pt>
                <c:pt idx="443">
                  <c:v>39</c:v>
                </c:pt>
                <c:pt idx="444">
                  <c:v>52</c:v>
                </c:pt>
                <c:pt idx="445">
                  <c:v>33</c:v>
                </c:pt>
                <c:pt idx="446">
                  <c:v>41</c:v>
                </c:pt>
                <c:pt idx="447">
                  <c:v>49</c:v>
                </c:pt>
                <c:pt idx="448">
                  <c:v>75</c:v>
                </c:pt>
                <c:pt idx="449">
                  <c:v>55</c:v>
                </c:pt>
                <c:pt idx="450">
                  <c:v>12</c:v>
                </c:pt>
                <c:pt idx="451">
                  <c:v>90</c:v>
                </c:pt>
                <c:pt idx="452">
                  <c:v>17</c:v>
                </c:pt>
                <c:pt idx="453">
                  <c:v>19</c:v>
                </c:pt>
                <c:pt idx="454">
                  <c:v>51</c:v>
                </c:pt>
                <c:pt idx="455">
                  <c:v>16</c:v>
                </c:pt>
                <c:pt idx="456">
                  <c:v>28</c:v>
                </c:pt>
                <c:pt idx="457">
                  <c:v>32</c:v>
                </c:pt>
                <c:pt idx="458">
                  <c:v>16</c:v>
                </c:pt>
                <c:pt idx="459">
                  <c:v>25</c:v>
                </c:pt>
                <c:pt idx="460">
                  <c:v>23</c:v>
                </c:pt>
                <c:pt idx="461">
                  <c:v>37</c:v>
                </c:pt>
                <c:pt idx="462">
                  <c:v>43</c:v>
                </c:pt>
                <c:pt idx="463">
                  <c:v>32</c:v>
                </c:pt>
                <c:pt idx="464">
                  <c:v>37</c:v>
                </c:pt>
                <c:pt idx="465">
                  <c:v>34</c:v>
                </c:pt>
                <c:pt idx="466">
                  <c:v>43</c:v>
                </c:pt>
                <c:pt idx="467">
                  <c:v>43</c:v>
                </c:pt>
                <c:pt idx="468">
                  <c:v>63</c:v>
                </c:pt>
                <c:pt idx="469">
                  <c:v>31</c:v>
                </c:pt>
                <c:pt idx="470">
                  <c:v>38</c:v>
                </c:pt>
                <c:pt idx="471">
                  <c:v>53</c:v>
                </c:pt>
                <c:pt idx="472">
                  <c:v>50</c:v>
                </c:pt>
                <c:pt idx="473">
                  <c:v>32</c:v>
                </c:pt>
                <c:pt idx="474">
                  <c:v>34</c:v>
                </c:pt>
                <c:pt idx="475">
                  <c:v>83</c:v>
                </c:pt>
                <c:pt idx="476">
                  <c:v>76</c:v>
                </c:pt>
                <c:pt idx="477">
                  <c:v>78</c:v>
                </c:pt>
                <c:pt idx="478">
                  <c:v>94</c:v>
                </c:pt>
                <c:pt idx="479">
                  <c:v>109</c:v>
                </c:pt>
                <c:pt idx="480">
                  <c:v>28</c:v>
                </c:pt>
                <c:pt idx="481">
                  <c:v>29</c:v>
                </c:pt>
                <c:pt idx="482">
                  <c:v>45</c:v>
                </c:pt>
                <c:pt idx="483">
                  <c:v>42</c:v>
                </c:pt>
                <c:pt idx="484">
                  <c:v>19</c:v>
                </c:pt>
                <c:pt idx="485">
                  <c:v>36</c:v>
                </c:pt>
                <c:pt idx="486">
                  <c:v>21</c:v>
                </c:pt>
                <c:pt idx="487">
                  <c:v>34</c:v>
                </c:pt>
                <c:pt idx="488">
                  <c:v>43</c:v>
                </c:pt>
                <c:pt idx="489">
                  <c:v>41</c:v>
                </c:pt>
                <c:pt idx="490">
                  <c:v>31</c:v>
                </c:pt>
                <c:pt idx="491">
                  <c:v>37</c:v>
                </c:pt>
                <c:pt idx="492">
                  <c:v>42</c:v>
                </c:pt>
                <c:pt idx="493">
                  <c:v>43</c:v>
                </c:pt>
                <c:pt idx="494">
                  <c:v>46</c:v>
                </c:pt>
                <c:pt idx="495">
                  <c:v>52</c:v>
                </c:pt>
                <c:pt idx="496">
                  <c:v>55</c:v>
                </c:pt>
                <c:pt idx="497">
                  <c:v>58</c:v>
                </c:pt>
                <c:pt idx="498">
                  <c:v>65</c:v>
                </c:pt>
                <c:pt idx="499">
                  <c:v>66</c:v>
                </c:pt>
                <c:pt idx="500">
                  <c:v>63</c:v>
                </c:pt>
                <c:pt idx="501">
                  <c:v>25</c:v>
                </c:pt>
                <c:pt idx="502">
                  <c:v>20</c:v>
                </c:pt>
                <c:pt idx="503">
                  <c:v>32</c:v>
                </c:pt>
                <c:pt idx="504">
                  <c:v>33</c:v>
                </c:pt>
                <c:pt idx="505">
                  <c:v>29</c:v>
                </c:pt>
                <c:pt idx="506">
                  <c:v>21</c:v>
                </c:pt>
                <c:pt idx="507">
                  <c:v>52</c:v>
                </c:pt>
                <c:pt idx="508">
                  <c:v>26</c:v>
                </c:pt>
                <c:pt idx="509">
                  <c:v>20</c:v>
                </c:pt>
                <c:pt idx="510">
                  <c:v>34</c:v>
                </c:pt>
                <c:pt idx="511">
                  <c:v>30</c:v>
                </c:pt>
                <c:pt idx="512">
                  <c:v>30</c:v>
                </c:pt>
                <c:pt idx="513">
                  <c:v>15</c:v>
                </c:pt>
                <c:pt idx="514">
                  <c:v>25</c:v>
                </c:pt>
                <c:pt idx="515">
                  <c:v>33</c:v>
                </c:pt>
                <c:pt idx="516">
                  <c:v>26</c:v>
                </c:pt>
                <c:pt idx="517">
                  <c:v>30</c:v>
                </c:pt>
                <c:pt idx="518">
                  <c:v>41</c:v>
                </c:pt>
                <c:pt idx="519">
                  <c:v>19</c:v>
                </c:pt>
                <c:pt idx="520">
                  <c:v>31</c:v>
                </c:pt>
                <c:pt idx="521">
                  <c:v>31</c:v>
                </c:pt>
                <c:pt idx="522">
                  <c:v>41</c:v>
                </c:pt>
                <c:pt idx="523">
                  <c:v>47</c:v>
                </c:pt>
                <c:pt idx="524">
                  <c:v>47</c:v>
                </c:pt>
                <c:pt idx="525">
                  <c:v>94</c:v>
                </c:pt>
                <c:pt idx="526">
                  <c:v>83</c:v>
                </c:pt>
                <c:pt idx="527">
                  <c:v>97</c:v>
                </c:pt>
                <c:pt idx="528">
                  <c:v>57</c:v>
                </c:pt>
                <c:pt idx="529">
                  <c:v>54</c:v>
                </c:pt>
                <c:pt idx="530">
                  <c:v>41</c:v>
                </c:pt>
                <c:pt idx="531">
                  <c:v>54</c:v>
                </c:pt>
                <c:pt idx="532">
                  <c:v>46</c:v>
                </c:pt>
                <c:pt idx="533">
                  <c:v>56</c:v>
                </c:pt>
                <c:pt idx="534">
                  <c:v>64</c:v>
                </c:pt>
                <c:pt idx="535">
                  <c:v>77</c:v>
                </c:pt>
                <c:pt idx="536">
                  <c:v>51</c:v>
                </c:pt>
                <c:pt idx="537">
                  <c:v>63</c:v>
                </c:pt>
                <c:pt idx="538">
                  <c:v>91</c:v>
                </c:pt>
                <c:pt idx="539">
                  <c:v>105</c:v>
                </c:pt>
                <c:pt idx="540">
                  <c:v>89</c:v>
                </c:pt>
                <c:pt idx="541">
                  <c:v>115</c:v>
                </c:pt>
                <c:pt idx="542">
                  <c:v>134</c:v>
                </c:pt>
                <c:pt idx="543">
                  <c:v>99</c:v>
                </c:pt>
                <c:pt idx="544">
                  <c:v>85</c:v>
                </c:pt>
                <c:pt idx="545">
                  <c:v>100</c:v>
                </c:pt>
                <c:pt idx="546">
                  <c:v>71</c:v>
                </c:pt>
                <c:pt idx="547">
                  <c:v>120</c:v>
                </c:pt>
                <c:pt idx="548">
                  <c:v>94</c:v>
                </c:pt>
                <c:pt idx="549">
                  <c:v>104</c:v>
                </c:pt>
                <c:pt idx="550">
                  <c:v>28</c:v>
                </c:pt>
                <c:pt idx="551">
                  <c:v>42</c:v>
                </c:pt>
                <c:pt idx="552">
                  <c:v>61</c:v>
                </c:pt>
                <c:pt idx="553">
                  <c:v>56</c:v>
                </c:pt>
                <c:pt idx="554">
                  <c:v>55</c:v>
                </c:pt>
                <c:pt idx="555">
                  <c:v>57</c:v>
                </c:pt>
                <c:pt idx="556">
                  <c:v>97</c:v>
                </c:pt>
                <c:pt idx="557">
                  <c:v>71</c:v>
                </c:pt>
                <c:pt idx="558">
                  <c:v>44</c:v>
                </c:pt>
                <c:pt idx="559">
                  <c:v>42</c:v>
                </c:pt>
                <c:pt idx="560">
                  <c:v>50</c:v>
                </c:pt>
                <c:pt idx="561">
                  <c:v>52</c:v>
                </c:pt>
                <c:pt idx="562">
                  <c:v>57</c:v>
                </c:pt>
                <c:pt idx="563">
                  <c:v>43</c:v>
                </c:pt>
                <c:pt idx="564">
                  <c:v>69</c:v>
                </c:pt>
                <c:pt idx="565">
                  <c:v>50</c:v>
                </c:pt>
                <c:pt idx="566">
                  <c:v>73</c:v>
                </c:pt>
                <c:pt idx="567">
                  <c:v>59</c:v>
                </c:pt>
                <c:pt idx="568">
                  <c:v>50</c:v>
                </c:pt>
                <c:pt idx="569">
                  <c:v>65</c:v>
                </c:pt>
                <c:pt idx="570">
                  <c:v>89</c:v>
                </c:pt>
                <c:pt idx="571">
                  <c:v>31</c:v>
                </c:pt>
                <c:pt idx="572">
                  <c:v>36</c:v>
                </c:pt>
                <c:pt idx="573">
                  <c:v>27</c:v>
                </c:pt>
                <c:pt idx="574">
                  <c:v>34</c:v>
                </c:pt>
                <c:pt idx="575">
                  <c:v>94</c:v>
                </c:pt>
                <c:pt idx="576">
                  <c:v>63</c:v>
                </c:pt>
                <c:pt idx="577">
                  <c:v>60</c:v>
                </c:pt>
                <c:pt idx="578">
                  <c:v>105</c:v>
                </c:pt>
                <c:pt idx="579">
                  <c:v>80</c:v>
                </c:pt>
                <c:pt idx="580">
                  <c:v>77</c:v>
                </c:pt>
                <c:pt idx="581">
                  <c:v>88</c:v>
                </c:pt>
                <c:pt idx="582">
                  <c:v>81</c:v>
                </c:pt>
                <c:pt idx="583">
                  <c:v>79</c:v>
                </c:pt>
                <c:pt idx="584">
                  <c:v>79</c:v>
                </c:pt>
                <c:pt idx="585">
                  <c:v>87</c:v>
                </c:pt>
                <c:pt idx="586">
                  <c:v>92</c:v>
                </c:pt>
                <c:pt idx="587">
                  <c:v>74</c:v>
                </c:pt>
                <c:pt idx="588">
                  <c:v>98</c:v>
                </c:pt>
                <c:pt idx="589">
                  <c:v>97</c:v>
                </c:pt>
                <c:pt idx="590">
                  <c:v>76</c:v>
                </c:pt>
                <c:pt idx="591">
                  <c:v>104</c:v>
                </c:pt>
                <c:pt idx="592">
                  <c:v>163</c:v>
                </c:pt>
                <c:pt idx="593">
                  <c:v>141</c:v>
                </c:pt>
                <c:pt idx="594">
                  <c:v>138</c:v>
                </c:pt>
                <c:pt idx="595">
                  <c:v>147</c:v>
                </c:pt>
                <c:pt idx="596">
                  <c:v>177</c:v>
                </c:pt>
                <c:pt idx="597">
                  <c:v>209</c:v>
                </c:pt>
                <c:pt idx="598">
                  <c:v>118</c:v>
                </c:pt>
                <c:pt idx="599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C-4C68-9404-8C65FBAE34C8}"/>
            </c:ext>
          </c:extLst>
        </c:ser>
        <c:ser>
          <c:idx val="1"/>
          <c:order val="1"/>
          <c:tx>
            <c:strRef>
              <c:f>'AOI(Particle)_SPC'!$I$9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'AOI(Particle)_SPC'!$I$10:$I$609</c:f>
              <c:numCache>
                <c:formatCode>0</c:formatCode>
                <c:ptCount val="600"/>
                <c:pt idx="0">
                  <c:v>93.345073349199026</c:v>
                </c:pt>
                <c:pt idx="1">
                  <c:v>93.345073349199026</c:v>
                </c:pt>
                <c:pt idx="2">
                  <c:v>93.345073349199026</c:v>
                </c:pt>
                <c:pt idx="3">
                  <c:v>93.345073349199026</c:v>
                </c:pt>
                <c:pt idx="4">
                  <c:v>93.345073349199026</c:v>
                </c:pt>
                <c:pt idx="5">
                  <c:v>93.345073349199026</c:v>
                </c:pt>
                <c:pt idx="6">
                  <c:v>93.345073349199026</c:v>
                </c:pt>
                <c:pt idx="7">
                  <c:v>93.345073349199026</c:v>
                </c:pt>
                <c:pt idx="8">
                  <c:v>93.345073349199026</c:v>
                </c:pt>
                <c:pt idx="9">
                  <c:v>93.345073349199026</c:v>
                </c:pt>
                <c:pt idx="10">
                  <c:v>93.345073349199026</c:v>
                </c:pt>
                <c:pt idx="11">
                  <c:v>93.345073349199026</c:v>
                </c:pt>
                <c:pt idx="12">
                  <c:v>93.345073349199026</c:v>
                </c:pt>
                <c:pt idx="13">
                  <c:v>93.345073349199026</c:v>
                </c:pt>
                <c:pt idx="14">
                  <c:v>93.345073349199026</c:v>
                </c:pt>
                <c:pt idx="15">
                  <c:v>93.345073349199026</c:v>
                </c:pt>
                <c:pt idx="16">
                  <c:v>93.345073349199026</c:v>
                </c:pt>
                <c:pt idx="17">
                  <c:v>93.345073349199026</c:v>
                </c:pt>
                <c:pt idx="18">
                  <c:v>93.345073349199026</c:v>
                </c:pt>
                <c:pt idx="19">
                  <c:v>93.345073349199026</c:v>
                </c:pt>
                <c:pt idx="20">
                  <c:v>93.345073349199026</c:v>
                </c:pt>
                <c:pt idx="21">
                  <c:v>93.345073349199026</c:v>
                </c:pt>
                <c:pt idx="22">
                  <c:v>93.345073349199026</c:v>
                </c:pt>
                <c:pt idx="23">
                  <c:v>93.345073349199026</c:v>
                </c:pt>
                <c:pt idx="24">
                  <c:v>93.345073349199026</c:v>
                </c:pt>
                <c:pt idx="25">
                  <c:v>93.345073349199026</c:v>
                </c:pt>
                <c:pt idx="26">
                  <c:v>93.345073349199026</c:v>
                </c:pt>
                <c:pt idx="27">
                  <c:v>93.345073349199026</c:v>
                </c:pt>
                <c:pt idx="28">
                  <c:v>93.345073349199026</c:v>
                </c:pt>
                <c:pt idx="29">
                  <c:v>93.345073349199026</c:v>
                </c:pt>
                <c:pt idx="30">
                  <c:v>93.345073349199026</c:v>
                </c:pt>
                <c:pt idx="31">
                  <c:v>93.345073349199026</c:v>
                </c:pt>
                <c:pt idx="32">
                  <c:v>93.345073349199026</c:v>
                </c:pt>
                <c:pt idx="33">
                  <c:v>93.345073349199026</c:v>
                </c:pt>
                <c:pt idx="34">
                  <c:v>93.345073349199026</c:v>
                </c:pt>
                <c:pt idx="35">
                  <c:v>93.345073349199026</c:v>
                </c:pt>
                <c:pt idx="36">
                  <c:v>93.345073349199026</c:v>
                </c:pt>
                <c:pt idx="37">
                  <c:v>93.345073349199026</c:v>
                </c:pt>
                <c:pt idx="38">
                  <c:v>93.345073349199026</c:v>
                </c:pt>
                <c:pt idx="39">
                  <c:v>93.345073349199026</c:v>
                </c:pt>
                <c:pt idx="40">
                  <c:v>93.345073349199026</c:v>
                </c:pt>
                <c:pt idx="41">
                  <c:v>93.345073349199026</c:v>
                </c:pt>
                <c:pt idx="42">
                  <c:v>93.345073349199026</c:v>
                </c:pt>
                <c:pt idx="43">
                  <c:v>93.345073349199026</c:v>
                </c:pt>
                <c:pt idx="44">
                  <c:v>93.345073349199026</c:v>
                </c:pt>
                <c:pt idx="45">
                  <c:v>93.345073349199026</c:v>
                </c:pt>
                <c:pt idx="46">
                  <c:v>93.345073349199026</c:v>
                </c:pt>
                <c:pt idx="47">
                  <c:v>93.345073349199026</c:v>
                </c:pt>
                <c:pt idx="48">
                  <c:v>93.345073349199026</c:v>
                </c:pt>
                <c:pt idx="49">
                  <c:v>93.345073349199026</c:v>
                </c:pt>
                <c:pt idx="50">
                  <c:v>93.345073349199026</c:v>
                </c:pt>
                <c:pt idx="51">
                  <c:v>93.345073349199026</c:v>
                </c:pt>
                <c:pt idx="52">
                  <c:v>93.345073349199026</c:v>
                </c:pt>
                <c:pt idx="53">
                  <c:v>93.345073349199026</c:v>
                </c:pt>
                <c:pt idx="54">
                  <c:v>93.345073349199026</c:v>
                </c:pt>
                <c:pt idx="55">
                  <c:v>93.345073349199026</c:v>
                </c:pt>
                <c:pt idx="56">
                  <c:v>93.345073349199026</c:v>
                </c:pt>
                <c:pt idx="57">
                  <c:v>93.345073349199026</c:v>
                </c:pt>
                <c:pt idx="58">
                  <c:v>93.345073349199026</c:v>
                </c:pt>
                <c:pt idx="59">
                  <c:v>93.345073349199026</c:v>
                </c:pt>
                <c:pt idx="60">
                  <c:v>93.345073349199026</c:v>
                </c:pt>
                <c:pt idx="61">
                  <c:v>93.345073349199026</c:v>
                </c:pt>
                <c:pt idx="62">
                  <c:v>93.345073349199026</c:v>
                </c:pt>
                <c:pt idx="63">
                  <c:v>93.345073349199026</c:v>
                </c:pt>
                <c:pt idx="64">
                  <c:v>93.345073349199026</c:v>
                </c:pt>
                <c:pt idx="65">
                  <c:v>93.345073349199026</c:v>
                </c:pt>
                <c:pt idx="66">
                  <c:v>93.345073349199026</c:v>
                </c:pt>
                <c:pt idx="67">
                  <c:v>93.345073349199026</c:v>
                </c:pt>
                <c:pt idx="68">
                  <c:v>93.345073349199026</c:v>
                </c:pt>
                <c:pt idx="69">
                  <c:v>93.345073349199026</c:v>
                </c:pt>
                <c:pt idx="70">
                  <c:v>93.345073349199026</c:v>
                </c:pt>
                <c:pt idx="71">
                  <c:v>93.345073349199026</c:v>
                </c:pt>
                <c:pt idx="72">
                  <c:v>93.345073349199026</c:v>
                </c:pt>
                <c:pt idx="73">
                  <c:v>93.345073349199026</c:v>
                </c:pt>
                <c:pt idx="74">
                  <c:v>93.345073349199026</c:v>
                </c:pt>
                <c:pt idx="75">
                  <c:v>93.345073349199026</c:v>
                </c:pt>
                <c:pt idx="76">
                  <c:v>93.345073349199026</c:v>
                </c:pt>
                <c:pt idx="77">
                  <c:v>93.345073349199026</c:v>
                </c:pt>
                <c:pt idx="78">
                  <c:v>93.345073349199026</c:v>
                </c:pt>
                <c:pt idx="79">
                  <c:v>93.345073349199026</c:v>
                </c:pt>
                <c:pt idx="80">
                  <c:v>93.345073349199026</c:v>
                </c:pt>
                <c:pt idx="81">
                  <c:v>93.345073349199026</c:v>
                </c:pt>
                <c:pt idx="82">
                  <c:v>93.345073349199026</c:v>
                </c:pt>
                <c:pt idx="83">
                  <c:v>93.345073349199026</c:v>
                </c:pt>
                <c:pt idx="84">
                  <c:v>93.345073349199026</c:v>
                </c:pt>
                <c:pt idx="85">
                  <c:v>93.345073349199026</c:v>
                </c:pt>
                <c:pt idx="86">
                  <c:v>93.345073349199026</c:v>
                </c:pt>
                <c:pt idx="87">
                  <c:v>93.345073349199026</c:v>
                </c:pt>
                <c:pt idx="88">
                  <c:v>93.345073349199026</c:v>
                </c:pt>
                <c:pt idx="89">
                  <c:v>93.345073349199026</c:v>
                </c:pt>
                <c:pt idx="90">
                  <c:v>93.345073349199026</c:v>
                </c:pt>
                <c:pt idx="91">
                  <c:v>93.345073349199026</c:v>
                </c:pt>
                <c:pt idx="92">
                  <c:v>93.345073349199026</c:v>
                </c:pt>
                <c:pt idx="93">
                  <c:v>93.345073349199026</c:v>
                </c:pt>
                <c:pt idx="94">
                  <c:v>93.345073349199026</c:v>
                </c:pt>
                <c:pt idx="95">
                  <c:v>93.345073349199026</c:v>
                </c:pt>
                <c:pt idx="96">
                  <c:v>93.345073349199026</c:v>
                </c:pt>
                <c:pt idx="97">
                  <c:v>93.345073349199026</c:v>
                </c:pt>
                <c:pt idx="98">
                  <c:v>93.345073349199026</c:v>
                </c:pt>
                <c:pt idx="99">
                  <c:v>93.345073349199026</c:v>
                </c:pt>
                <c:pt idx="100">
                  <c:v>93.345073349199026</c:v>
                </c:pt>
                <c:pt idx="101">
                  <c:v>93.345073349199026</c:v>
                </c:pt>
                <c:pt idx="102">
                  <c:v>93.345073349199026</c:v>
                </c:pt>
                <c:pt idx="103">
                  <c:v>93.345073349199026</c:v>
                </c:pt>
                <c:pt idx="104">
                  <c:v>93.345073349199026</c:v>
                </c:pt>
                <c:pt idx="105">
                  <c:v>93.345073349199026</c:v>
                </c:pt>
                <c:pt idx="106">
                  <c:v>93.345073349199026</c:v>
                </c:pt>
                <c:pt idx="107">
                  <c:v>93.345073349199026</c:v>
                </c:pt>
                <c:pt idx="108">
                  <c:v>93.345073349199026</c:v>
                </c:pt>
                <c:pt idx="109">
                  <c:v>93.345073349199026</c:v>
                </c:pt>
                <c:pt idx="110">
                  <c:v>93.345073349199026</c:v>
                </c:pt>
                <c:pt idx="111">
                  <c:v>93.345073349199026</c:v>
                </c:pt>
                <c:pt idx="112">
                  <c:v>93.345073349199026</c:v>
                </c:pt>
                <c:pt idx="113">
                  <c:v>93.345073349199026</c:v>
                </c:pt>
                <c:pt idx="114">
                  <c:v>93.345073349199026</c:v>
                </c:pt>
                <c:pt idx="115">
                  <c:v>93.345073349199026</c:v>
                </c:pt>
                <c:pt idx="116">
                  <c:v>93.345073349199026</c:v>
                </c:pt>
                <c:pt idx="117">
                  <c:v>93.345073349199026</c:v>
                </c:pt>
                <c:pt idx="118">
                  <c:v>93.345073349199026</c:v>
                </c:pt>
                <c:pt idx="119">
                  <c:v>93.345073349199026</c:v>
                </c:pt>
                <c:pt idx="120">
                  <c:v>93.345073349199026</c:v>
                </c:pt>
                <c:pt idx="121">
                  <c:v>93.345073349199026</c:v>
                </c:pt>
                <c:pt idx="122">
                  <c:v>93.345073349199026</c:v>
                </c:pt>
                <c:pt idx="123">
                  <c:v>93.345073349199026</c:v>
                </c:pt>
                <c:pt idx="124">
                  <c:v>93.345073349199026</c:v>
                </c:pt>
                <c:pt idx="125">
                  <c:v>93.345073349199026</c:v>
                </c:pt>
                <c:pt idx="126">
                  <c:v>93.345073349199026</c:v>
                </c:pt>
                <c:pt idx="127">
                  <c:v>93.345073349199026</c:v>
                </c:pt>
                <c:pt idx="128">
                  <c:v>93.345073349199026</c:v>
                </c:pt>
                <c:pt idx="129">
                  <c:v>93.345073349199026</c:v>
                </c:pt>
                <c:pt idx="130">
                  <c:v>93.345073349199026</c:v>
                </c:pt>
                <c:pt idx="131">
                  <c:v>93.345073349199026</c:v>
                </c:pt>
                <c:pt idx="132">
                  <c:v>93.345073349199026</c:v>
                </c:pt>
                <c:pt idx="133">
                  <c:v>93.345073349199026</c:v>
                </c:pt>
                <c:pt idx="134">
                  <c:v>93.345073349199026</c:v>
                </c:pt>
                <c:pt idx="135">
                  <c:v>93.345073349199026</c:v>
                </c:pt>
                <c:pt idx="136">
                  <c:v>93.345073349199026</c:v>
                </c:pt>
                <c:pt idx="137">
                  <c:v>93.345073349199026</c:v>
                </c:pt>
                <c:pt idx="138">
                  <c:v>93.345073349199026</c:v>
                </c:pt>
                <c:pt idx="139">
                  <c:v>93.345073349199026</c:v>
                </c:pt>
                <c:pt idx="140">
                  <c:v>93.345073349199026</c:v>
                </c:pt>
                <c:pt idx="141">
                  <c:v>93.345073349199026</c:v>
                </c:pt>
                <c:pt idx="142">
                  <c:v>93.345073349199026</c:v>
                </c:pt>
                <c:pt idx="143">
                  <c:v>93.345073349199026</c:v>
                </c:pt>
                <c:pt idx="144">
                  <c:v>93.345073349199026</c:v>
                </c:pt>
                <c:pt idx="145">
                  <c:v>93.345073349199026</c:v>
                </c:pt>
                <c:pt idx="146">
                  <c:v>93.345073349199026</c:v>
                </c:pt>
                <c:pt idx="147">
                  <c:v>93.345073349199026</c:v>
                </c:pt>
                <c:pt idx="148">
                  <c:v>93.345073349199026</c:v>
                </c:pt>
                <c:pt idx="149">
                  <c:v>93.345073349199026</c:v>
                </c:pt>
                <c:pt idx="150">
                  <c:v>93.345073349199026</c:v>
                </c:pt>
                <c:pt idx="151">
                  <c:v>93.345073349199026</c:v>
                </c:pt>
                <c:pt idx="152">
                  <c:v>93.345073349199026</c:v>
                </c:pt>
                <c:pt idx="153">
                  <c:v>93.345073349199026</c:v>
                </c:pt>
                <c:pt idx="154">
                  <c:v>93.345073349199026</c:v>
                </c:pt>
                <c:pt idx="155">
                  <c:v>93.345073349199026</c:v>
                </c:pt>
                <c:pt idx="156">
                  <c:v>93.345073349199026</c:v>
                </c:pt>
                <c:pt idx="157">
                  <c:v>93.345073349199026</c:v>
                </c:pt>
                <c:pt idx="158">
                  <c:v>93.345073349199026</c:v>
                </c:pt>
                <c:pt idx="159">
                  <c:v>93.345073349199026</c:v>
                </c:pt>
                <c:pt idx="160">
                  <c:v>93.345073349199026</c:v>
                </c:pt>
                <c:pt idx="161">
                  <c:v>93.345073349199026</c:v>
                </c:pt>
                <c:pt idx="162">
                  <c:v>93.345073349199026</c:v>
                </c:pt>
                <c:pt idx="163">
                  <c:v>93.345073349199026</c:v>
                </c:pt>
                <c:pt idx="164">
                  <c:v>93.345073349199026</c:v>
                </c:pt>
                <c:pt idx="165">
                  <c:v>93.345073349199026</c:v>
                </c:pt>
                <c:pt idx="166">
                  <c:v>93.345073349199026</c:v>
                </c:pt>
                <c:pt idx="167">
                  <c:v>93.345073349199026</c:v>
                </c:pt>
                <c:pt idx="168">
                  <c:v>93.345073349199026</c:v>
                </c:pt>
                <c:pt idx="169">
                  <c:v>93.345073349199026</c:v>
                </c:pt>
                <c:pt idx="170">
                  <c:v>93.345073349199026</c:v>
                </c:pt>
                <c:pt idx="171">
                  <c:v>93.345073349199026</c:v>
                </c:pt>
                <c:pt idx="172">
                  <c:v>93.345073349199026</c:v>
                </c:pt>
                <c:pt idx="173">
                  <c:v>93.345073349199026</c:v>
                </c:pt>
                <c:pt idx="174">
                  <c:v>93.345073349199026</c:v>
                </c:pt>
                <c:pt idx="175">
                  <c:v>93.345073349199026</c:v>
                </c:pt>
                <c:pt idx="176">
                  <c:v>93.345073349199026</c:v>
                </c:pt>
                <c:pt idx="177">
                  <c:v>93.345073349199026</c:v>
                </c:pt>
                <c:pt idx="178">
                  <c:v>93.345073349199026</c:v>
                </c:pt>
                <c:pt idx="179">
                  <c:v>93.345073349199026</c:v>
                </c:pt>
                <c:pt idx="180">
                  <c:v>93.345073349199026</c:v>
                </c:pt>
                <c:pt idx="181">
                  <c:v>93.345073349199026</c:v>
                </c:pt>
                <c:pt idx="182">
                  <c:v>93.345073349199026</c:v>
                </c:pt>
                <c:pt idx="183">
                  <c:v>93.345073349199026</c:v>
                </c:pt>
                <c:pt idx="184">
                  <c:v>93.345073349199026</c:v>
                </c:pt>
                <c:pt idx="185">
                  <c:v>93.345073349199026</c:v>
                </c:pt>
                <c:pt idx="186">
                  <c:v>93.345073349199026</c:v>
                </c:pt>
                <c:pt idx="187">
                  <c:v>93.345073349199026</c:v>
                </c:pt>
                <c:pt idx="188">
                  <c:v>93.345073349199026</c:v>
                </c:pt>
                <c:pt idx="189">
                  <c:v>93.345073349199026</c:v>
                </c:pt>
                <c:pt idx="190">
                  <c:v>93.345073349199026</c:v>
                </c:pt>
                <c:pt idx="191">
                  <c:v>93.345073349199026</c:v>
                </c:pt>
                <c:pt idx="192">
                  <c:v>93.345073349199026</c:v>
                </c:pt>
                <c:pt idx="193">
                  <c:v>93.345073349199026</c:v>
                </c:pt>
                <c:pt idx="194">
                  <c:v>93.345073349199026</c:v>
                </c:pt>
                <c:pt idx="195">
                  <c:v>93.345073349199026</c:v>
                </c:pt>
                <c:pt idx="196">
                  <c:v>93.345073349199026</c:v>
                </c:pt>
                <c:pt idx="197">
                  <c:v>93.345073349199026</c:v>
                </c:pt>
                <c:pt idx="198">
                  <c:v>93.345073349199026</c:v>
                </c:pt>
                <c:pt idx="199">
                  <c:v>93.345073349199026</c:v>
                </c:pt>
                <c:pt idx="200">
                  <c:v>93.345073349199026</c:v>
                </c:pt>
                <c:pt idx="201">
                  <c:v>93.345073349199026</c:v>
                </c:pt>
                <c:pt idx="202">
                  <c:v>93.345073349199026</c:v>
                </c:pt>
                <c:pt idx="203">
                  <c:v>93.345073349199026</c:v>
                </c:pt>
                <c:pt idx="204">
                  <c:v>93.345073349199026</c:v>
                </c:pt>
                <c:pt idx="205">
                  <c:v>93.345073349199026</c:v>
                </c:pt>
                <c:pt idx="206">
                  <c:v>93.345073349199026</c:v>
                </c:pt>
                <c:pt idx="207">
                  <c:v>93.345073349199026</c:v>
                </c:pt>
                <c:pt idx="208">
                  <c:v>93.345073349199026</c:v>
                </c:pt>
                <c:pt idx="209">
                  <c:v>93.345073349199026</c:v>
                </c:pt>
                <c:pt idx="210">
                  <c:v>93.345073349199026</c:v>
                </c:pt>
                <c:pt idx="211">
                  <c:v>93.345073349199026</c:v>
                </c:pt>
                <c:pt idx="212">
                  <c:v>93.345073349199026</c:v>
                </c:pt>
                <c:pt idx="213">
                  <c:v>93.345073349199026</c:v>
                </c:pt>
                <c:pt idx="214">
                  <c:v>93.345073349199026</c:v>
                </c:pt>
                <c:pt idx="215">
                  <c:v>93.345073349199026</c:v>
                </c:pt>
                <c:pt idx="216">
                  <c:v>93.345073349199026</c:v>
                </c:pt>
                <c:pt idx="217">
                  <c:v>93.345073349199026</c:v>
                </c:pt>
                <c:pt idx="218">
                  <c:v>93.345073349199026</c:v>
                </c:pt>
                <c:pt idx="219">
                  <c:v>93.345073349199026</c:v>
                </c:pt>
                <c:pt idx="220">
                  <c:v>93.345073349199026</c:v>
                </c:pt>
                <c:pt idx="221">
                  <c:v>93.345073349199026</c:v>
                </c:pt>
                <c:pt idx="222">
                  <c:v>93.345073349199026</c:v>
                </c:pt>
                <c:pt idx="223">
                  <c:v>93.345073349199026</c:v>
                </c:pt>
                <c:pt idx="224">
                  <c:v>93.345073349199026</c:v>
                </c:pt>
                <c:pt idx="225">
                  <c:v>93.345073349199026</c:v>
                </c:pt>
                <c:pt idx="226">
                  <c:v>93.345073349199026</c:v>
                </c:pt>
                <c:pt idx="227">
                  <c:v>93.345073349199026</c:v>
                </c:pt>
                <c:pt idx="228">
                  <c:v>93.345073349199026</c:v>
                </c:pt>
                <c:pt idx="229">
                  <c:v>93.345073349199026</c:v>
                </c:pt>
                <c:pt idx="230">
                  <c:v>93.345073349199026</c:v>
                </c:pt>
                <c:pt idx="231">
                  <c:v>93.345073349199026</c:v>
                </c:pt>
                <c:pt idx="232">
                  <c:v>93.345073349199026</c:v>
                </c:pt>
                <c:pt idx="233">
                  <c:v>93.345073349199026</c:v>
                </c:pt>
                <c:pt idx="234">
                  <c:v>93.345073349199026</c:v>
                </c:pt>
                <c:pt idx="235">
                  <c:v>93.345073349199026</c:v>
                </c:pt>
                <c:pt idx="236">
                  <c:v>93.345073349199026</c:v>
                </c:pt>
                <c:pt idx="237">
                  <c:v>93.345073349199026</c:v>
                </c:pt>
                <c:pt idx="238">
                  <c:v>93.345073349199026</c:v>
                </c:pt>
                <c:pt idx="239">
                  <c:v>93.345073349199026</c:v>
                </c:pt>
                <c:pt idx="240">
                  <c:v>93.345073349199026</c:v>
                </c:pt>
                <c:pt idx="241">
                  <c:v>93.345073349199026</c:v>
                </c:pt>
                <c:pt idx="242">
                  <c:v>93.345073349199026</c:v>
                </c:pt>
                <c:pt idx="243">
                  <c:v>93.345073349199026</c:v>
                </c:pt>
                <c:pt idx="244">
                  <c:v>93.345073349199026</c:v>
                </c:pt>
                <c:pt idx="245">
                  <c:v>93.345073349199026</c:v>
                </c:pt>
                <c:pt idx="246">
                  <c:v>93.345073349199026</c:v>
                </c:pt>
                <c:pt idx="247">
                  <c:v>93.345073349199026</c:v>
                </c:pt>
                <c:pt idx="248">
                  <c:v>93.345073349199026</c:v>
                </c:pt>
                <c:pt idx="249">
                  <c:v>93.345073349199026</c:v>
                </c:pt>
                <c:pt idx="250">
                  <c:v>93.345073349199026</c:v>
                </c:pt>
                <c:pt idx="251">
                  <c:v>93.345073349199026</c:v>
                </c:pt>
                <c:pt idx="252">
                  <c:v>93.345073349199026</c:v>
                </c:pt>
                <c:pt idx="253">
                  <c:v>93.345073349199026</c:v>
                </c:pt>
                <c:pt idx="254">
                  <c:v>93.345073349199026</c:v>
                </c:pt>
                <c:pt idx="255">
                  <c:v>93.345073349199026</c:v>
                </c:pt>
                <c:pt idx="256">
                  <c:v>93.345073349199026</c:v>
                </c:pt>
                <c:pt idx="257">
                  <c:v>93.345073349199026</c:v>
                </c:pt>
                <c:pt idx="258">
                  <c:v>93.345073349199026</c:v>
                </c:pt>
                <c:pt idx="259">
                  <c:v>93.345073349199026</c:v>
                </c:pt>
                <c:pt idx="260">
                  <c:v>93.345073349199026</c:v>
                </c:pt>
                <c:pt idx="261">
                  <c:v>93.345073349199026</c:v>
                </c:pt>
                <c:pt idx="262">
                  <c:v>93.345073349199026</c:v>
                </c:pt>
                <c:pt idx="263">
                  <c:v>93.345073349199026</c:v>
                </c:pt>
                <c:pt idx="264">
                  <c:v>93.345073349199026</c:v>
                </c:pt>
                <c:pt idx="265">
                  <c:v>93.345073349199026</c:v>
                </c:pt>
                <c:pt idx="266">
                  <c:v>93.345073349199026</c:v>
                </c:pt>
                <c:pt idx="267">
                  <c:v>93.345073349199026</c:v>
                </c:pt>
                <c:pt idx="268">
                  <c:v>93.345073349199026</c:v>
                </c:pt>
                <c:pt idx="269">
                  <c:v>93.345073349199026</c:v>
                </c:pt>
                <c:pt idx="270">
                  <c:v>93.345073349199026</c:v>
                </c:pt>
                <c:pt idx="271">
                  <c:v>93.345073349199026</c:v>
                </c:pt>
                <c:pt idx="272">
                  <c:v>93.345073349199026</c:v>
                </c:pt>
                <c:pt idx="273">
                  <c:v>93.345073349199026</c:v>
                </c:pt>
                <c:pt idx="274">
                  <c:v>93.345073349199026</c:v>
                </c:pt>
                <c:pt idx="275">
                  <c:v>93.345073349199026</c:v>
                </c:pt>
                <c:pt idx="276">
                  <c:v>93.345073349199026</c:v>
                </c:pt>
                <c:pt idx="277">
                  <c:v>93.345073349199026</c:v>
                </c:pt>
                <c:pt idx="278">
                  <c:v>93.345073349199026</c:v>
                </c:pt>
                <c:pt idx="279">
                  <c:v>93.345073349199026</c:v>
                </c:pt>
                <c:pt idx="280">
                  <c:v>93.345073349199026</c:v>
                </c:pt>
                <c:pt idx="281">
                  <c:v>93.345073349199026</c:v>
                </c:pt>
                <c:pt idx="282">
                  <c:v>93.345073349199026</c:v>
                </c:pt>
                <c:pt idx="283">
                  <c:v>93.345073349199026</c:v>
                </c:pt>
                <c:pt idx="284">
                  <c:v>93.345073349199026</c:v>
                </c:pt>
                <c:pt idx="285">
                  <c:v>93.345073349199026</c:v>
                </c:pt>
                <c:pt idx="286">
                  <c:v>93.345073349199026</c:v>
                </c:pt>
                <c:pt idx="287">
                  <c:v>93.345073349199026</c:v>
                </c:pt>
                <c:pt idx="288">
                  <c:v>93.345073349199026</c:v>
                </c:pt>
                <c:pt idx="289">
                  <c:v>93.345073349199026</c:v>
                </c:pt>
                <c:pt idx="290">
                  <c:v>93.345073349199026</c:v>
                </c:pt>
                <c:pt idx="291">
                  <c:v>93.345073349199026</c:v>
                </c:pt>
                <c:pt idx="292">
                  <c:v>93.345073349199026</c:v>
                </c:pt>
                <c:pt idx="293">
                  <c:v>93.345073349199026</c:v>
                </c:pt>
                <c:pt idx="294">
                  <c:v>93.345073349199026</c:v>
                </c:pt>
                <c:pt idx="295">
                  <c:v>93.345073349199026</c:v>
                </c:pt>
                <c:pt idx="296">
                  <c:v>93.345073349199026</c:v>
                </c:pt>
                <c:pt idx="297">
                  <c:v>93.345073349199026</c:v>
                </c:pt>
                <c:pt idx="298">
                  <c:v>93.345073349199026</c:v>
                </c:pt>
                <c:pt idx="299">
                  <c:v>93.345073349199026</c:v>
                </c:pt>
                <c:pt idx="300">
                  <c:v>93.345073349199026</c:v>
                </c:pt>
                <c:pt idx="301">
                  <c:v>93.345073349199026</c:v>
                </c:pt>
                <c:pt idx="302">
                  <c:v>93.345073349199026</c:v>
                </c:pt>
                <c:pt idx="303">
                  <c:v>93.345073349199026</c:v>
                </c:pt>
                <c:pt idx="304">
                  <c:v>93.345073349199026</c:v>
                </c:pt>
                <c:pt idx="305">
                  <c:v>93.345073349199026</c:v>
                </c:pt>
                <c:pt idx="306">
                  <c:v>93.345073349199026</c:v>
                </c:pt>
                <c:pt idx="307">
                  <c:v>93.345073349199026</c:v>
                </c:pt>
                <c:pt idx="308">
                  <c:v>93.345073349199026</c:v>
                </c:pt>
                <c:pt idx="309">
                  <c:v>93.345073349199026</c:v>
                </c:pt>
                <c:pt idx="310">
                  <c:v>93.345073349199026</c:v>
                </c:pt>
                <c:pt idx="311">
                  <c:v>93.345073349199026</c:v>
                </c:pt>
                <c:pt idx="312">
                  <c:v>93.345073349199026</c:v>
                </c:pt>
                <c:pt idx="313">
                  <c:v>93.345073349199026</c:v>
                </c:pt>
                <c:pt idx="314">
                  <c:v>93.345073349199026</c:v>
                </c:pt>
                <c:pt idx="315">
                  <c:v>93.345073349199026</c:v>
                </c:pt>
                <c:pt idx="316">
                  <c:v>93.345073349199026</c:v>
                </c:pt>
                <c:pt idx="317">
                  <c:v>93.345073349199026</c:v>
                </c:pt>
                <c:pt idx="318">
                  <c:v>93.345073349199026</c:v>
                </c:pt>
                <c:pt idx="319">
                  <c:v>93.345073349199026</c:v>
                </c:pt>
                <c:pt idx="320">
                  <c:v>93.345073349199026</c:v>
                </c:pt>
                <c:pt idx="321">
                  <c:v>93.345073349199026</c:v>
                </c:pt>
                <c:pt idx="322">
                  <c:v>93.345073349199026</c:v>
                </c:pt>
                <c:pt idx="323">
                  <c:v>93.345073349199026</c:v>
                </c:pt>
                <c:pt idx="324">
                  <c:v>93.345073349199026</c:v>
                </c:pt>
                <c:pt idx="325">
                  <c:v>93.345073349199026</c:v>
                </c:pt>
                <c:pt idx="326">
                  <c:v>93.345073349199026</c:v>
                </c:pt>
                <c:pt idx="327">
                  <c:v>93.345073349199026</c:v>
                </c:pt>
                <c:pt idx="328">
                  <c:v>93.345073349199026</c:v>
                </c:pt>
                <c:pt idx="329">
                  <c:v>93.345073349199026</c:v>
                </c:pt>
                <c:pt idx="330">
                  <c:v>93.345073349199026</c:v>
                </c:pt>
                <c:pt idx="331">
                  <c:v>93.345073349199026</c:v>
                </c:pt>
                <c:pt idx="332">
                  <c:v>93.345073349199026</c:v>
                </c:pt>
                <c:pt idx="333">
                  <c:v>93.345073349199026</c:v>
                </c:pt>
                <c:pt idx="334">
                  <c:v>93.345073349199026</c:v>
                </c:pt>
                <c:pt idx="335">
                  <c:v>93.345073349199026</c:v>
                </c:pt>
                <c:pt idx="336">
                  <c:v>93.345073349199026</c:v>
                </c:pt>
                <c:pt idx="337">
                  <c:v>93.345073349199026</c:v>
                </c:pt>
                <c:pt idx="338">
                  <c:v>93.345073349199026</c:v>
                </c:pt>
                <c:pt idx="339">
                  <c:v>93.345073349199026</c:v>
                </c:pt>
                <c:pt idx="340">
                  <c:v>93.345073349199026</c:v>
                </c:pt>
                <c:pt idx="341">
                  <c:v>93.345073349199026</c:v>
                </c:pt>
                <c:pt idx="342">
                  <c:v>93.345073349199026</c:v>
                </c:pt>
                <c:pt idx="343">
                  <c:v>93.345073349199026</c:v>
                </c:pt>
                <c:pt idx="344">
                  <c:v>93.345073349199026</c:v>
                </c:pt>
                <c:pt idx="345">
                  <c:v>93.345073349199026</c:v>
                </c:pt>
                <c:pt idx="346">
                  <c:v>93.345073349199026</c:v>
                </c:pt>
                <c:pt idx="347">
                  <c:v>93.345073349199026</c:v>
                </c:pt>
                <c:pt idx="348">
                  <c:v>93.345073349199026</c:v>
                </c:pt>
                <c:pt idx="349">
                  <c:v>93.345073349199026</c:v>
                </c:pt>
                <c:pt idx="350">
                  <c:v>93.345073349199026</c:v>
                </c:pt>
                <c:pt idx="351">
                  <c:v>93.345073349199026</c:v>
                </c:pt>
                <c:pt idx="352">
                  <c:v>93.345073349199026</c:v>
                </c:pt>
                <c:pt idx="353">
                  <c:v>93.345073349199026</c:v>
                </c:pt>
                <c:pt idx="354">
                  <c:v>93.345073349199026</c:v>
                </c:pt>
                <c:pt idx="355">
                  <c:v>93.345073349199026</c:v>
                </c:pt>
                <c:pt idx="356">
                  <c:v>93.345073349199026</c:v>
                </c:pt>
                <c:pt idx="357">
                  <c:v>93.345073349199026</c:v>
                </c:pt>
                <c:pt idx="358">
                  <c:v>93.345073349199026</c:v>
                </c:pt>
                <c:pt idx="359">
                  <c:v>93.345073349199026</c:v>
                </c:pt>
                <c:pt idx="360">
                  <c:v>93.345073349199026</c:v>
                </c:pt>
                <c:pt idx="361">
                  <c:v>93.345073349199026</c:v>
                </c:pt>
                <c:pt idx="362">
                  <c:v>93.345073349199026</c:v>
                </c:pt>
                <c:pt idx="363">
                  <c:v>93.345073349199026</c:v>
                </c:pt>
                <c:pt idx="364">
                  <c:v>93.345073349199026</c:v>
                </c:pt>
                <c:pt idx="365">
                  <c:v>93.345073349199026</c:v>
                </c:pt>
                <c:pt idx="366">
                  <c:v>93.345073349199026</c:v>
                </c:pt>
                <c:pt idx="367">
                  <c:v>93.345073349199026</c:v>
                </c:pt>
                <c:pt idx="368">
                  <c:v>93.345073349199026</c:v>
                </c:pt>
                <c:pt idx="369">
                  <c:v>93.345073349199026</c:v>
                </c:pt>
                <c:pt idx="370">
                  <c:v>93.345073349199026</c:v>
                </c:pt>
                <c:pt idx="371">
                  <c:v>93.345073349199026</c:v>
                </c:pt>
                <c:pt idx="372">
                  <c:v>93.345073349199026</c:v>
                </c:pt>
                <c:pt idx="373">
                  <c:v>93.345073349199026</c:v>
                </c:pt>
                <c:pt idx="374">
                  <c:v>93.345073349199026</c:v>
                </c:pt>
                <c:pt idx="375">
                  <c:v>93.345073349199026</c:v>
                </c:pt>
                <c:pt idx="376">
                  <c:v>93.345073349199026</c:v>
                </c:pt>
                <c:pt idx="377">
                  <c:v>93.345073349199026</c:v>
                </c:pt>
                <c:pt idx="378">
                  <c:v>93.345073349199026</c:v>
                </c:pt>
                <c:pt idx="379">
                  <c:v>93.345073349199026</c:v>
                </c:pt>
                <c:pt idx="380">
                  <c:v>93.345073349199026</c:v>
                </c:pt>
                <c:pt idx="381">
                  <c:v>93.345073349199026</c:v>
                </c:pt>
                <c:pt idx="382">
                  <c:v>93.345073349199026</c:v>
                </c:pt>
                <c:pt idx="383">
                  <c:v>93.345073349199026</c:v>
                </c:pt>
                <c:pt idx="384">
                  <c:v>93.345073349199026</c:v>
                </c:pt>
                <c:pt idx="385">
                  <c:v>93.345073349199026</c:v>
                </c:pt>
                <c:pt idx="386">
                  <c:v>93.345073349199026</c:v>
                </c:pt>
                <c:pt idx="387">
                  <c:v>93.345073349199026</c:v>
                </c:pt>
                <c:pt idx="388">
                  <c:v>93.345073349199026</c:v>
                </c:pt>
                <c:pt idx="389">
                  <c:v>93.345073349199026</c:v>
                </c:pt>
                <c:pt idx="390">
                  <c:v>93.345073349199026</c:v>
                </c:pt>
                <c:pt idx="391">
                  <c:v>93.345073349199026</c:v>
                </c:pt>
                <c:pt idx="392">
                  <c:v>93.345073349199026</c:v>
                </c:pt>
                <c:pt idx="393">
                  <c:v>93.345073349199026</c:v>
                </c:pt>
                <c:pt idx="394">
                  <c:v>93.345073349199026</c:v>
                </c:pt>
                <c:pt idx="395">
                  <c:v>93.345073349199026</c:v>
                </c:pt>
                <c:pt idx="396">
                  <c:v>93.345073349199026</c:v>
                </c:pt>
                <c:pt idx="397">
                  <c:v>93.345073349199026</c:v>
                </c:pt>
                <c:pt idx="398">
                  <c:v>93.345073349199026</c:v>
                </c:pt>
                <c:pt idx="399">
                  <c:v>93.345073349199026</c:v>
                </c:pt>
                <c:pt idx="400">
                  <c:v>93.345073349199026</c:v>
                </c:pt>
                <c:pt idx="401">
                  <c:v>93.345073349199026</c:v>
                </c:pt>
                <c:pt idx="402">
                  <c:v>93.345073349199026</c:v>
                </c:pt>
                <c:pt idx="403">
                  <c:v>93.345073349199026</c:v>
                </c:pt>
                <c:pt idx="404">
                  <c:v>93.345073349199026</c:v>
                </c:pt>
                <c:pt idx="405">
                  <c:v>93.345073349199026</c:v>
                </c:pt>
                <c:pt idx="406">
                  <c:v>93.345073349199026</c:v>
                </c:pt>
                <c:pt idx="407">
                  <c:v>93.345073349199026</c:v>
                </c:pt>
                <c:pt idx="408">
                  <c:v>93.345073349199026</c:v>
                </c:pt>
                <c:pt idx="409">
                  <c:v>93.345073349199026</c:v>
                </c:pt>
                <c:pt idx="410">
                  <c:v>93.345073349199026</c:v>
                </c:pt>
                <c:pt idx="411">
                  <c:v>93.345073349199026</c:v>
                </c:pt>
                <c:pt idx="412">
                  <c:v>93.345073349199026</c:v>
                </c:pt>
                <c:pt idx="413">
                  <c:v>93.345073349199026</c:v>
                </c:pt>
                <c:pt idx="414">
                  <c:v>93.345073349199026</c:v>
                </c:pt>
                <c:pt idx="415">
                  <c:v>93.345073349199026</c:v>
                </c:pt>
                <c:pt idx="416">
                  <c:v>93.345073349199026</c:v>
                </c:pt>
                <c:pt idx="417">
                  <c:v>93.345073349199026</c:v>
                </c:pt>
                <c:pt idx="418">
                  <c:v>93.345073349199026</c:v>
                </c:pt>
                <c:pt idx="419">
                  <c:v>93.345073349199026</c:v>
                </c:pt>
                <c:pt idx="420">
                  <c:v>93.345073349199026</c:v>
                </c:pt>
                <c:pt idx="421">
                  <c:v>93.345073349199026</c:v>
                </c:pt>
                <c:pt idx="422">
                  <c:v>93.345073349199026</c:v>
                </c:pt>
                <c:pt idx="423">
                  <c:v>93.345073349199026</c:v>
                </c:pt>
                <c:pt idx="424">
                  <c:v>93.345073349199026</c:v>
                </c:pt>
                <c:pt idx="425">
                  <c:v>93.345073349199026</c:v>
                </c:pt>
                <c:pt idx="426">
                  <c:v>93.345073349199026</c:v>
                </c:pt>
                <c:pt idx="427">
                  <c:v>93.345073349199026</c:v>
                </c:pt>
                <c:pt idx="428">
                  <c:v>93.345073349199026</c:v>
                </c:pt>
                <c:pt idx="429">
                  <c:v>93.345073349199026</c:v>
                </c:pt>
                <c:pt idx="430">
                  <c:v>93.345073349199026</c:v>
                </c:pt>
                <c:pt idx="431">
                  <c:v>93.345073349199026</c:v>
                </c:pt>
                <c:pt idx="432">
                  <c:v>93.345073349199026</c:v>
                </c:pt>
                <c:pt idx="433">
                  <c:v>93.345073349199026</c:v>
                </c:pt>
                <c:pt idx="434">
                  <c:v>93.345073349199026</c:v>
                </c:pt>
                <c:pt idx="435">
                  <c:v>93.345073349199026</c:v>
                </c:pt>
                <c:pt idx="436">
                  <c:v>93.345073349199026</c:v>
                </c:pt>
                <c:pt idx="437">
                  <c:v>93.345073349199026</c:v>
                </c:pt>
                <c:pt idx="438">
                  <c:v>93.345073349199026</c:v>
                </c:pt>
                <c:pt idx="439">
                  <c:v>93.345073349199026</c:v>
                </c:pt>
                <c:pt idx="440">
                  <c:v>93.345073349199026</c:v>
                </c:pt>
                <c:pt idx="441">
                  <c:v>93.345073349199026</c:v>
                </c:pt>
                <c:pt idx="442">
                  <c:v>93.345073349199026</c:v>
                </c:pt>
                <c:pt idx="443">
                  <c:v>93.345073349199026</c:v>
                </c:pt>
                <c:pt idx="444">
                  <c:v>93.345073349199026</c:v>
                </c:pt>
                <c:pt idx="445">
                  <c:v>93.345073349199026</c:v>
                </c:pt>
                <c:pt idx="446">
                  <c:v>93.345073349199026</c:v>
                </c:pt>
                <c:pt idx="447">
                  <c:v>93.345073349199026</c:v>
                </c:pt>
                <c:pt idx="448">
                  <c:v>93.345073349199026</c:v>
                </c:pt>
                <c:pt idx="449">
                  <c:v>93.345073349199026</c:v>
                </c:pt>
                <c:pt idx="450">
                  <c:v>93.345073349199026</c:v>
                </c:pt>
                <c:pt idx="451">
                  <c:v>93.345073349199026</c:v>
                </c:pt>
                <c:pt idx="452">
                  <c:v>93.345073349199026</c:v>
                </c:pt>
                <c:pt idx="453">
                  <c:v>93.345073349199026</c:v>
                </c:pt>
                <c:pt idx="454">
                  <c:v>93.345073349199026</c:v>
                </c:pt>
                <c:pt idx="455">
                  <c:v>93.345073349199026</c:v>
                </c:pt>
                <c:pt idx="456">
                  <c:v>93.345073349199026</c:v>
                </c:pt>
                <c:pt idx="457">
                  <c:v>93.345073349199026</c:v>
                </c:pt>
                <c:pt idx="458">
                  <c:v>93.345073349199026</c:v>
                </c:pt>
                <c:pt idx="459">
                  <c:v>93.345073349199026</c:v>
                </c:pt>
                <c:pt idx="460">
                  <c:v>93.345073349199026</c:v>
                </c:pt>
                <c:pt idx="461">
                  <c:v>93.345073349199026</c:v>
                </c:pt>
                <c:pt idx="462">
                  <c:v>93.345073349199026</c:v>
                </c:pt>
                <c:pt idx="463">
                  <c:v>93.345073349199026</c:v>
                </c:pt>
                <c:pt idx="464">
                  <c:v>93.345073349199026</c:v>
                </c:pt>
                <c:pt idx="465">
                  <c:v>93.345073349199026</c:v>
                </c:pt>
                <c:pt idx="466">
                  <c:v>93.345073349199026</c:v>
                </c:pt>
                <c:pt idx="467">
                  <c:v>93.345073349199026</c:v>
                </c:pt>
                <c:pt idx="468">
                  <c:v>93.345073349199026</c:v>
                </c:pt>
                <c:pt idx="469">
                  <c:v>93.345073349199026</c:v>
                </c:pt>
                <c:pt idx="470">
                  <c:v>93.345073349199026</c:v>
                </c:pt>
                <c:pt idx="471">
                  <c:v>93.345073349199026</c:v>
                </c:pt>
                <c:pt idx="472">
                  <c:v>93.345073349199026</c:v>
                </c:pt>
                <c:pt idx="473">
                  <c:v>93.345073349199026</c:v>
                </c:pt>
                <c:pt idx="474">
                  <c:v>93.345073349199026</c:v>
                </c:pt>
                <c:pt idx="475">
                  <c:v>93.345073349199026</c:v>
                </c:pt>
                <c:pt idx="476">
                  <c:v>93.345073349199026</c:v>
                </c:pt>
                <c:pt idx="477">
                  <c:v>93.345073349199026</c:v>
                </c:pt>
                <c:pt idx="478">
                  <c:v>93.345073349199026</c:v>
                </c:pt>
                <c:pt idx="479">
                  <c:v>93.345073349199026</c:v>
                </c:pt>
                <c:pt idx="480">
                  <c:v>93.345073349199026</c:v>
                </c:pt>
                <c:pt idx="481">
                  <c:v>93.345073349199026</c:v>
                </c:pt>
                <c:pt idx="482">
                  <c:v>93.345073349199026</c:v>
                </c:pt>
                <c:pt idx="483">
                  <c:v>93.345073349199026</c:v>
                </c:pt>
                <c:pt idx="484">
                  <c:v>93.345073349199026</c:v>
                </c:pt>
                <c:pt idx="485">
                  <c:v>93.345073349199026</c:v>
                </c:pt>
                <c:pt idx="486">
                  <c:v>93.345073349199026</c:v>
                </c:pt>
                <c:pt idx="487">
                  <c:v>93.345073349199026</c:v>
                </c:pt>
                <c:pt idx="488">
                  <c:v>93.345073349199026</c:v>
                </c:pt>
                <c:pt idx="489">
                  <c:v>93.345073349199026</c:v>
                </c:pt>
                <c:pt idx="490">
                  <c:v>93.345073349199026</c:v>
                </c:pt>
                <c:pt idx="491">
                  <c:v>93.345073349199026</c:v>
                </c:pt>
                <c:pt idx="492">
                  <c:v>93.345073349199026</c:v>
                </c:pt>
                <c:pt idx="493">
                  <c:v>93.345073349199026</c:v>
                </c:pt>
                <c:pt idx="494">
                  <c:v>93.345073349199026</c:v>
                </c:pt>
                <c:pt idx="495">
                  <c:v>93.345073349199026</c:v>
                </c:pt>
                <c:pt idx="496">
                  <c:v>93.345073349199026</c:v>
                </c:pt>
                <c:pt idx="497">
                  <c:v>93.345073349199026</c:v>
                </c:pt>
                <c:pt idx="498">
                  <c:v>93.345073349199026</c:v>
                </c:pt>
                <c:pt idx="499">
                  <c:v>93.345073349199026</c:v>
                </c:pt>
                <c:pt idx="500">
                  <c:v>93.345073349199026</c:v>
                </c:pt>
                <c:pt idx="501">
                  <c:v>93.345073349199026</c:v>
                </c:pt>
                <c:pt idx="502">
                  <c:v>93.345073349199026</c:v>
                </c:pt>
                <c:pt idx="503">
                  <c:v>93.345073349199026</c:v>
                </c:pt>
                <c:pt idx="504">
                  <c:v>93.345073349199026</c:v>
                </c:pt>
                <c:pt idx="505">
                  <c:v>93.345073349199026</c:v>
                </c:pt>
                <c:pt idx="506">
                  <c:v>93.345073349199026</c:v>
                </c:pt>
                <c:pt idx="507">
                  <c:v>93.345073349199026</c:v>
                </c:pt>
                <c:pt idx="508">
                  <c:v>93.345073349199026</c:v>
                </c:pt>
                <c:pt idx="509">
                  <c:v>93.345073349199026</c:v>
                </c:pt>
                <c:pt idx="510">
                  <c:v>93.345073349199026</c:v>
                </c:pt>
                <c:pt idx="511">
                  <c:v>93.345073349199026</c:v>
                </c:pt>
                <c:pt idx="512">
                  <c:v>93.345073349199026</c:v>
                </c:pt>
                <c:pt idx="513">
                  <c:v>93.345073349199026</c:v>
                </c:pt>
                <c:pt idx="514">
                  <c:v>93.345073349199026</c:v>
                </c:pt>
                <c:pt idx="515">
                  <c:v>93.345073349199026</c:v>
                </c:pt>
                <c:pt idx="516">
                  <c:v>93.345073349199026</c:v>
                </c:pt>
                <c:pt idx="517">
                  <c:v>93.345073349199026</c:v>
                </c:pt>
                <c:pt idx="518">
                  <c:v>93.345073349199026</c:v>
                </c:pt>
                <c:pt idx="519">
                  <c:v>93.345073349199026</c:v>
                </c:pt>
                <c:pt idx="520">
                  <c:v>93.345073349199026</c:v>
                </c:pt>
                <c:pt idx="521">
                  <c:v>93.345073349199026</c:v>
                </c:pt>
                <c:pt idx="522">
                  <c:v>93.345073349199026</c:v>
                </c:pt>
                <c:pt idx="523">
                  <c:v>93.345073349199026</c:v>
                </c:pt>
                <c:pt idx="524">
                  <c:v>93.345073349199026</c:v>
                </c:pt>
                <c:pt idx="525">
                  <c:v>93.345073349199026</c:v>
                </c:pt>
                <c:pt idx="526">
                  <c:v>93.345073349199026</c:v>
                </c:pt>
                <c:pt idx="527">
                  <c:v>93.345073349199026</c:v>
                </c:pt>
                <c:pt idx="528">
                  <c:v>93.345073349199026</c:v>
                </c:pt>
                <c:pt idx="529">
                  <c:v>93.345073349199026</c:v>
                </c:pt>
                <c:pt idx="530">
                  <c:v>93.345073349199026</c:v>
                </c:pt>
                <c:pt idx="531">
                  <c:v>93.345073349199026</c:v>
                </c:pt>
                <c:pt idx="532">
                  <c:v>93.345073349199026</c:v>
                </c:pt>
                <c:pt idx="533">
                  <c:v>93.345073349199026</c:v>
                </c:pt>
                <c:pt idx="534">
                  <c:v>93.345073349199026</c:v>
                </c:pt>
                <c:pt idx="535">
                  <c:v>93.345073349199026</c:v>
                </c:pt>
                <c:pt idx="536">
                  <c:v>93.345073349199026</c:v>
                </c:pt>
                <c:pt idx="537">
                  <c:v>93.345073349199026</c:v>
                </c:pt>
                <c:pt idx="538">
                  <c:v>93.345073349199026</c:v>
                </c:pt>
                <c:pt idx="539">
                  <c:v>93.345073349199026</c:v>
                </c:pt>
                <c:pt idx="540">
                  <c:v>93.345073349199026</c:v>
                </c:pt>
                <c:pt idx="541">
                  <c:v>93.345073349199026</c:v>
                </c:pt>
                <c:pt idx="542">
                  <c:v>93.345073349199026</c:v>
                </c:pt>
                <c:pt idx="543">
                  <c:v>93.345073349199026</c:v>
                </c:pt>
                <c:pt idx="544">
                  <c:v>93.345073349199026</c:v>
                </c:pt>
                <c:pt idx="545">
                  <c:v>93.345073349199026</c:v>
                </c:pt>
                <c:pt idx="546">
                  <c:v>93.345073349199026</c:v>
                </c:pt>
                <c:pt idx="547">
                  <c:v>93.345073349199026</c:v>
                </c:pt>
                <c:pt idx="548">
                  <c:v>93.345073349199026</c:v>
                </c:pt>
                <c:pt idx="549">
                  <c:v>93.345073349199026</c:v>
                </c:pt>
                <c:pt idx="550">
                  <c:v>93.345073349199026</c:v>
                </c:pt>
                <c:pt idx="551">
                  <c:v>93.345073349199026</c:v>
                </c:pt>
                <c:pt idx="552">
                  <c:v>93.345073349199026</c:v>
                </c:pt>
                <c:pt idx="553">
                  <c:v>93.345073349199026</c:v>
                </c:pt>
                <c:pt idx="554">
                  <c:v>93.345073349199026</c:v>
                </c:pt>
                <c:pt idx="555">
                  <c:v>93.345073349199026</c:v>
                </c:pt>
                <c:pt idx="556">
                  <c:v>93.345073349199026</c:v>
                </c:pt>
                <c:pt idx="557">
                  <c:v>93.345073349199026</c:v>
                </c:pt>
                <c:pt idx="558">
                  <c:v>93.345073349199026</c:v>
                </c:pt>
                <c:pt idx="559">
                  <c:v>93.345073349199026</c:v>
                </c:pt>
                <c:pt idx="560">
                  <c:v>93.345073349199026</c:v>
                </c:pt>
                <c:pt idx="561">
                  <c:v>93.345073349199026</c:v>
                </c:pt>
                <c:pt idx="562">
                  <c:v>93.345073349199026</c:v>
                </c:pt>
                <c:pt idx="563">
                  <c:v>93.345073349199026</c:v>
                </c:pt>
                <c:pt idx="564">
                  <c:v>93.345073349199026</c:v>
                </c:pt>
                <c:pt idx="565">
                  <c:v>93.345073349199026</c:v>
                </c:pt>
                <c:pt idx="566">
                  <c:v>93.345073349199026</c:v>
                </c:pt>
                <c:pt idx="567">
                  <c:v>93.345073349199026</c:v>
                </c:pt>
                <c:pt idx="568">
                  <c:v>93.345073349199026</c:v>
                </c:pt>
                <c:pt idx="569">
                  <c:v>93.345073349199026</c:v>
                </c:pt>
                <c:pt idx="570">
                  <c:v>93.345073349199026</c:v>
                </c:pt>
                <c:pt idx="571">
                  <c:v>93.345073349199026</c:v>
                </c:pt>
                <c:pt idx="572">
                  <c:v>93.345073349199026</c:v>
                </c:pt>
                <c:pt idx="573">
                  <c:v>93.345073349199026</c:v>
                </c:pt>
                <c:pt idx="574">
                  <c:v>93.345073349199026</c:v>
                </c:pt>
                <c:pt idx="575">
                  <c:v>93.345073349199026</c:v>
                </c:pt>
                <c:pt idx="576">
                  <c:v>93.345073349199026</c:v>
                </c:pt>
                <c:pt idx="577">
                  <c:v>93.345073349199026</c:v>
                </c:pt>
                <c:pt idx="578">
                  <c:v>93.345073349199026</c:v>
                </c:pt>
                <c:pt idx="579">
                  <c:v>93.345073349199026</c:v>
                </c:pt>
                <c:pt idx="580">
                  <c:v>93.345073349199026</c:v>
                </c:pt>
                <c:pt idx="581">
                  <c:v>93.345073349199026</c:v>
                </c:pt>
                <c:pt idx="582">
                  <c:v>93.345073349199026</c:v>
                </c:pt>
                <c:pt idx="583">
                  <c:v>93.345073349199026</c:v>
                </c:pt>
                <c:pt idx="584">
                  <c:v>93.345073349199026</c:v>
                </c:pt>
                <c:pt idx="585">
                  <c:v>93.345073349199026</c:v>
                </c:pt>
                <c:pt idx="586">
                  <c:v>93.345073349199026</c:v>
                </c:pt>
                <c:pt idx="587">
                  <c:v>93.345073349199026</c:v>
                </c:pt>
                <c:pt idx="588">
                  <c:v>93.345073349199026</c:v>
                </c:pt>
                <c:pt idx="589">
                  <c:v>93.345073349199026</c:v>
                </c:pt>
                <c:pt idx="590">
                  <c:v>93.345073349199026</c:v>
                </c:pt>
                <c:pt idx="591">
                  <c:v>93.345073349199026</c:v>
                </c:pt>
                <c:pt idx="592">
                  <c:v>93.345073349199026</c:v>
                </c:pt>
                <c:pt idx="593">
                  <c:v>93.345073349199026</c:v>
                </c:pt>
                <c:pt idx="594">
                  <c:v>93.345073349199026</c:v>
                </c:pt>
                <c:pt idx="595">
                  <c:v>93.345073349199026</c:v>
                </c:pt>
                <c:pt idx="596">
                  <c:v>93.345073349199026</c:v>
                </c:pt>
                <c:pt idx="597">
                  <c:v>93.345073349199026</c:v>
                </c:pt>
                <c:pt idx="598">
                  <c:v>93.345073349199026</c:v>
                </c:pt>
                <c:pt idx="599">
                  <c:v>93.345073349199026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0C-4C68-9404-8C65FBAE34C8}"/>
            </c:ext>
          </c:extLst>
        </c:ser>
        <c:ser>
          <c:idx val="2"/>
          <c:order val="2"/>
          <c:tx>
            <c:strRef>
              <c:f>'AOI(Particle)_SPC'!$H$9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'AOI(Particle)_SPC'!$A$10:$A$609</c:f>
              <c:numCache>
                <c:formatCode>0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'AOI(Particle)_SPC'!$H$10:$H$609</c:f>
              <c:numCache>
                <c:formatCode>0</c:formatCode>
                <c:ptCount val="600"/>
                <c:pt idx="0">
                  <c:v>50.45</c:v>
                </c:pt>
                <c:pt idx="1">
                  <c:v>50.45</c:v>
                </c:pt>
                <c:pt idx="2">
                  <c:v>50.45</c:v>
                </c:pt>
                <c:pt idx="3">
                  <c:v>50.45</c:v>
                </c:pt>
                <c:pt idx="4">
                  <c:v>50.45</c:v>
                </c:pt>
                <c:pt idx="5">
                  <c:v>50.45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50.45</c:v>
                </c:pt>
                <c:pt idx="10">
                  <c:v>50.45</c:v>
                </c:pt>
                <c:pt idx="11">
                  <c:v>50.45</c:v>
                </c:pt>
                <c:pt idx="12">
                  <c:v>50.45</c:v>
                </c:pt>
                <c:pt idx="13">
                  <c:v>50.45</c:v>
                </c:pt>
                <c:pt idx="14">
                  <c:v>50.45</c:v>
                </c:pt>
                <c:pt idx="15">
                  <c:v>50.45</c:v>
                </c:pt>
                <c:pt idx="16">
                  <c:v>50.45</c:v>
                </c:pt>
                <c:pt idx="17">
                  <c:v>50.45</c:v>
                </c:pt>
                <c:pt idx="18">
                  <c:v>50.45</c:v>
                </c:pt>
                <c:pt idx="19">
                  <c:v>50.45</c:v>
                </c:pt>
                <c:pt idx="20">
                  <c:v>50.45</c:v>
                </c:pt>
                <c:pt idx="21">
                  <c:v>50.45</c:v>
                </c:pt>
                <c:pt idx="22">
                  <c:v>50.45</c:v>
                </c:pt>
                <c:pt idx="23">
                  <c:v>50.45</c:v>
                </c:pt>
                <c:pt idx="24">
                  <c:v>50.45</c:v>
                </c:pt>
                <c:pt idx="25">
                  <c:v>50.45</c:v>
                </c:pt>
                <c:pt idx="26">
                  <c:v>50.45</c:v>
                </c:pt>
                <c:pt idx="27">
                  <c:v>50.45</c:v>
                </c:pt>
                <c:pt idx="28">
                  <c:v>50.45</c:v>
                </c:pt>
                <c:pt idx="29">
                  <c:v>50.45</c:v>
                </c:pt>
                <c:pt idx="30">
                  <c:v>50.45</c:v>
                </c:pt>
                <c:pt idx="31">
                  <c:v>50.45</c:v>
                </c:pt>
                <c:pt idx="32">
                  <c:v>50.45</c:v>
                </c:pt>
                <c:pt idx="33">
                  <c:v>50.45</c:v>
                </c:pt>
                <c:pt idx="34">
                  <c:v>50.45</c:v>
                </c:pt>
                <c:pt idx="35">
                  <c:v>50.45</c:v>
                </c:pt>
                <c:pt idx="36">
                  <c:v>50.45</c:v>
                </c:pt>
                <c:pt idx="37">
                  <c:v>50.45</c:v>
                </c:pt>
                <c:pt idx="38">
                  <c:v>50.45</c:v>
                </c:pt>
                <c:pt idx="39">
                  <c:v>50.45</c:v>
                </c:pt>
                <c:pt idx="40">
                  <c:v>50.45</c:v>
                </c:pt>
                <c:pt idx="41">
                  <c:v>50.45</c:v>
                </c:pt>
                <c:pt idx="42">
                  <c:v>50.45</c:v>
                </c:pt>
                <c:pt idx="43">
                  <c:v>50.45</c:v>
                </c:pt>
                <c:pt idx="44">
                  <c:v>50.45</c:v>
                </c:pt>
                <c:pt idx="45">
                  <c:v>50.45</c:v>
                </c:pt>
                <c:pt idx="46">
                  <c:v>50.45</c:v>
                </c:pt>
                <c:pt idx="47">
                  <c:v>50.45</c:v>
                </c:pt>
                <c:pt idx="48">
                  <c:v>50.45</c:v>
                </c:pt>
                <c:pt idx="49">
                  <c:v>50.45</c:v>
                </c:pt>
                <c:pt idx="50">
                  <c:v>50.45</c:v>
                </c:pt>
                <c:pt idx="51">
                  <c:v>50.45</c:v>
                </c:pt>
                <c:pt idx="52">
                  <c:v>50.45</c:v>
                </c:pt>
                <c:pt idx="53">
                  <c:v>50.45</c:v>
                </c:pt>
                <c:pt idx="54">
                  <c:v>50.45</c:v>
                </c:pt>
                <c:pt idx="55">
                  <c:v>50.45</c:v>
                </c:pt>
                <c:pt idx="56">
                  <c:v>50.45</c:v>
                </c:pt>
                <c:pt idx="57">
                  <c:v>50.45</c:v>
                </c:pt>
                <c:pt idx="58">
                  <c:v>50.45</c:v>
                </c:pt>
                <c:pt idx="59">
                  <c:v>50.45</c:v>
                </c:pt>
                <c:pt idx="60">
                  <c:v>50.45</c:v>
                </c:pt>
                <c:pt idx="61">
                  <c:v>50.45</c:v>
                </c:pt>
                <c:pt idx="62">
                  <c:v>50.45</c:v>
                </c:pt>
                <c:pt idx="63">
                  <c:v>50.45</c:v>
                </c:pt>
                <c:pt idx="64">
                  <c:v>50.45</c:v>
                </c:pt>
                <c:pt idx="65">
                  <c:v>50.45</c:v>
                </c:pt>
                <c:pt idx="66">
                  <c:v>50.45</c:v>
                </c:pt>
                <c:pt idx="67">
                  <c:v>50.45</c:v>
                </c:pt>
                <c:pt idx="68">
                  <c:v>50.45</c:v>
                </c:pt>
                <c:pt idx="69">
                  <c:v>50.45</c:v>
                </c:pt>
                <c:pt idx="70">
                  <c:v>50.45</c:v>
                </c:pt>
                <c:pt idx="71">
                  <c:v>50.45</c:v>
                </c:pt>
                <c:pt idx="72">
                  <c:v>50.45</c:v>
                </c:pt>
                <c:pt idx="73">
                  <c:v>50.45</c:v>
                </c:pt>
                <c:pt idx="74">
                  <c:v>50.45</c:v>
                </c:pt>
                <c:pt idx="75">
                  <c:v>50.45</c:v>
                </c:pt>
                <c:pt idx="76">
                  <c:v>50.45</c:v>
                </c:pt>
                <c:pt idx="77">
                  <c:v>50.45</c:v>
                </c:pt>
                <c:pt idx="78">
                  <c:v>50.45</c:v>
                </c:pt>
                <c:pt idx="79">
                  <c:v>50.45</c:v>
                </c:pt>
                <c:pt idx="80">
                  <c:v>50.45</c:v>
                </c:pt>
                <c:pt idx="81">
                  <c:v>50.45</c:v>
                </c:pt>
                <c:pt idx="82">
                  <c:v>50.45</c:v>
                </c:pt>
                <c:pt idx="83">
                  <c:v>50.45</c:v>
                </c:pt>
                <c:pt idx="84">
                  <c:v>50.45</c:v>
                </c:pt>
                <c:pt idx="85">
                  <c:v>50.45</c:v>
                </c:pt>
                <c:pt idx="86">
                  <c:v>50.45</c:v>
                </c:pt>
                <c:pt idx="87">
                  <c:v>50.45</c:v>
                </c:pt>
                <c:pt idx="88">
                  <c:v>50.45</c:v>
                </c:pt>
                <c:pt idx="89">
                  <c:v>50.45</c:v>
                </c:pt>
                <c:pt idx="90">
                  <c:v>50.45</c:v>
                </c:pt>
                <c:pt idx="91">
                  <c:v>50.45</c:v>
                </c:pt>
                <c:pt idx="92">
                  <c:v>50.45</c:v>
                </c:pt>
                <c:pt idx="93">
                  <c:v>50.45</c:v>
                </c:pt>
                <c:pt idx="94">
                  <c:v>50.45</c:v>
                </c:pt>
                <c:pt idx="95">
                  <c:v>50.45</c:v>
                </c:pt>
                <c:pt idx="96">
                  <c:v>50.45</c:v>
                </c:pt>
                <c:pt idx="97">
                  <c:v>50.45</c:v>
                </c:pt>
                <c:pt idx="98">
                  <c:v>50.45</c:v>
                </c:pt>
                <c:pt idx="99">
                  <c:v>50.45</c:v>
                </c:pt>
                <c:pt idx="100">
                  <c:v>50.45</c:v>
                </c:pt>
                <c:pt idx="101">
                  <c:v>50.45</c:v>
                </c:pt>
                <c:pt idx="102">
                  <c:v>50.45</c:v>
                </c:pt>
                <c:pt idx="103">
                  <c:v>50.45</c:v>
                </c:pt>
                <c:pt idx="104">
                  <c:v>50.45</c:v>
                </c:pt>
                <c:pt idx="105">
                  <c:v>50.45</c:v>
                </c:pt>
                <c:pt idx="106">
                  <c:v>50.45</c:v>
                </c:pt>
                <c:pt idx="107">
                  <c:v>50.45</c:v>
                </c:pt>
                <c:pt idx="108">
                  <c:v>50.45</c:v>
                </c:pt>
                <c:pt idx="109">
                  <c:v>50.45</c:v>
                </c:pt>
                <c:pt idx="110">
                  <c:v>50.45</c:v>
                </c:pt>
                <c:pt idx="111">
                  <c:v>50.45</c:v>
                </c:pt>
                <c:pt idx="112">
                  <c:v>50.45</c:v>
                </c:pt>
                <c:pt idx="113">
                  <c:v>50.45</c:v>
                </c:pt>
                <c:pt idx="114">
                  <c:v>50.45</c:v>
                </c:pt>
                <c:pt idx="115">
                  <c:v>50.45</c:v>
                </c:pt>
                <c:pt idx="116">
                  <c:v>50.45</c:v>
                </c:pt>
                <c:pt idx="117">
                  <c:v>50.45</c:v>
                </c:pt>
                <c:pt idx="118">
                  <c:v>50.45</c:v>
                </c:pt>
                <c:pt idx="119">
                  <c:v>50.45</c:v>
                </c:pt>
                <c:pt idx="120">
                  <c:v>50.45</c:v>
                </c:pt>
                <c:pt idx="121">
                  <c:v>50.45</c:v>
                </c:pt>
                <c:pt idx="122">
                  <c:v>50.45</c:v>
                </c:pt>
                <c:pt idx="123">
                  <c:v>50.45</c:v>
                </c:pt>
                <c:pt idx="124">
                  <c:v>50.45</c:v>
                </c:pt>
                <c:pt idx="125">
                  <c:v>50.45</c:v>
                </c:pt>
                <c:pt idx="126">
                  <c:v>50.45</c:v>
                </c:pt>
                <c:pt idx="127">
                  <c:v>50.45</c:v>
                </c:pt>
                <c:pt idx="128">
                  <c:v>50.45</c:v>
                </c:pt>
                <c:pt idx="129">
                  <c:v>50.45</c:v>
                </c:pt>
                <c:pt idx="130">
                  <c:v>50.45</c:v>
                </c:pt>
                <c:pt idx="131">
                  <c:v>50.45</c:v>
                </c:pt>
                <c:pt idx="132">
                  <c:v>50.45</c:v>
                </c:pt>
                <c:pt idx="133">
                  <c:v>50.45</c:v>
                </c:pt>
                <c:pt idx="134">
                  <c:v>50.45</c:v>
                </c:pt>
                <c:pt idx="135">
                  <c:v>50.45</c:v>
                </c:pt>
                <c:pt idx="136">
                  <c:v>50.45</c:v>
                </c:pt>
                <c:pt idx="137">
                  <c:v>50.45</c:v>
                </c:pt>
                <c:pt idx="138">
                  <c:v>50.45</c:v>
                </c:pt>
                <c:pt idx="139">
                  <c:v>50.45</c:v>
                </c:pt>
                <c:pt idx="140">
                  <c:v>50.45</c:v>
                </c:pt>
                <c:pt idx="141">
                  <c:v>50.45</c:v>
                </c:pt>
                <c:pt idx="142">
                  <c:v>50.45</c:v>
                </c:pt>
                <c:pt idx="143">
                  <c:v>50.45</c:v>
                </c:pt>
                <c:pt idx="144">
                  <c:v>50.45</c:v>
                </c:pt>
                <c:pt idx="145">
                  <c:v>50.45</c:v>
                </c:pt>
                <c:pt idx="146">
                  <c:v>50.45</c:v>
                </c:pt>
                <c:pt idx="147">
                  <c:v>50.45</c:v>
                </c:pt>
                <c:pt idx="148">
                  <c:v>50.45</c:v>
                </c:pt>
                <c:pt idx="149">
                  <c:v>50.45</c:v>
                </c:pt>
                <c:pt idx="150">
                  <c:v>50.45</c:v>
                </c:pt>
                <c:pt idx="151">
                  <c:v>50.45</c:v>
                </c:pt>
                <c:pt idx="152">
                  <c:v>50.45</c:v>
                </c:pt>
                <c:pt idx="153">
                  <c:v>50.45</c:v>
                </c:pt>
                <c:pt idx="154">
                  <c:v>50.45</c:v>
                </c:pt>
                <c:pt idx="155">
                  <c:v>50.45</c:v>
                </c:pt>
                <c:pt idx="156">
                  <c:v>50.45</c:v>
                </c:pt>
                <c:pt idx="157">
                  <c:v>50.45</c:v>
                </c:pt>
                <c:pt idx="158">
                  <c:v>50.45</c:v>
                </c:pt>
                <c:pt idx="159">
                  <c:v>50.45</c:v>
                </c:pt>
                <c:pt idx="160">
                  <c:v>50.45</c:v>
                </c:pt>
                <c:pt idx="161">
                  <c:v>50.45</c:v>
                </c:pt>
                <c:pt idx="162">
                  <c:v>50.45</c:v>
                </c:pt>
                <c:pt idx="163">
                  <c:v>50.45</c:v>
                </c:pt>
                <c:pt idx="164">
                  <c:v>50.45</c:v>
                </c:pt>
                <c:pt idx="165">
                  <c:v>50.45</c:v>
                </c:pt>
                <c:pt idx="166">
                  <c:v>50.45</c:v>
                </c:pt>
                <c:pt idx="167">
                  <c:v>50.45</c:v>
                </c:pt>
                <c:pt idx="168">
                  <c:v>50.45</c:v>
                </c:pt>
                <c:pt idx="169">
                  <c:v>50.45</c:v>
                </c:pt>
                <c:pt idx="170">
                  <c:v>50.45</c:v>
                </c:pt>
                <c:pt idx="171">
                  <c:v>50.45</c:v>
                </c:pt>
                <c:pt idx="172">
                  <c:v>50.45</c:v>
                </c:pt>
                <c:pt idx="173">
                  <c:v>50.45</c:v>
                </c:pt>
                <c:pt idx="174">
                  <c:v>50.45</c:v>
                </c:pt>
                <c:pt idx="175">
                  <c:v>50.45</c:v>
                </c:pt>
                <c:pt idx="176">
                  <c:v>50.45</c:v>
                </c:pt>
                <c:pt idx="177">
                  <c:v>50.45</c:v>
                </c:pt>
                <c:pt idx="178">
                  <c:v>50.45</c:v>
                </c:pt>
                <c:pt idx="179">
                  <c:v>50.45</c:v>
                </c:pt>
                <c:pt idx="180">
                  <c:v>50.45</c:v>
                </c:pt>
                <c:pt idx="181">
                  <c:v>50.45</c:v>
                </c:pt>
                <c:pt idx="182">
                  <c:v>50.45</c:v>
                </c:pt>
                <c:pt idx="183">
                  <c:v>50.45</c:v>
                </c:pt>
                <c:pt idx="184">
                  <c:v>50.45</c:v>
                </c:pt>
                <c:pt idx="185">
                  <c:v>50.45</c:v>
                </c:pt>
                <c:pt idx="186">
                  <c:v>50.45</c:v>
                </c:pt>
                <c:pt idx="187">
                  <c:v>50.45</c:v>
                </c:pt>
                <c:pt idx="188">
                  <c:v>50.45</c:v>
                </c:pt>
                <c:pt idx="189">
                  <c:v>50.45</c:v>
                </c:pt>
                <c:pt idx="190">
                  <c:v>50.45</c:v>
                </c:pt>
                <c:pt idx="191">
                  <c:v>50.45</c:v>
                </c:pt>
                <c:pt idx="192">
                  <c:v>50.45</c:v>
                </c:pt>
                <c:pt idx="193">
                  <c:v>50.45</c:v>
                </c:pt>
                <c:pt idx="194">
                  <c:v>50.45</c:v>
                </c:pt>
                <c:pt idx="195">
                  <c:v>50.45</c:v>
                </c:pt>
                <c:pt idx="196">
                  <c:v>50.45</c:v>
                </c:pt>
                <c:pt idx="197">
                  <c:v>50.45</c:v>
                </c:pt>
                <c:pt idx="198">
                  <c:v>50.45</c:v>
                </c:pt>
                <c:pt idx="199">
                  <c:v>50.45</c:v>
                </c:pt>
                <c:pt idx="200">
                  <c:v>50.45</c:v>
                </c:pt>
                <c:pt idx="201">
                  <c:v>50.45</c:v>
                </c:pt>
                <c:pt idx="202">
                  <c:v>50.45</c:v>
                </c:pt>
                <c:pt idx="203">
                  <c:v>50.45</c:v>
                </c:pt>
                <c:pt idx="204">
                  <c:v>50.45</c:v>
                </c:pt>
                <c:pt idx="205">
                  <c:v>50.45</c:v>
                </c:pt>
                <c:pt idx="206">
                  <c:v>50.45</c:v>
                </c:pt>
                <c:pt idx="207">
                  <c:v>50.45</c:v>
                </c:pt>
                <c:pt idx="208">
                  <c:v>50.45</c:v>
                </c:pt>
                <c:pt idx="209">
                  <c:v>50.45</c:v>
                </c:pt>
                <c:pt idx="210">
                  <c:v>50.45</c:v>
                </c:pt>
                <c:pt idx="211">
                  <c:v>50.45</c:v>
                </c:pt>
                <c:pt idx="212">
                  <c:v>50.45</c:v>
                </c:pt>
                <c:pt idx="213">
                  <c:v>50.45</c:v>
                </c:pt>
                <c:pt idx="214">
                  <c:v>50.45</c:v>
                </c:pt>
                <c:pt idx="215">
                  <c:v>50.45</c:v>
                </c:pt>
                <c:pt idx="216">
                  <c:v>50.45</c:v>
                </c:pt>
                <c:pt idx="217">
                  <c:v>50.45</c:v>
                </c:pt>
                <c:pt idx="218">
                  <c:v>50.45</c:v>
                </c:pt>
                <c:pt idx="219">
                  <c:v>50.45</c:v>
                </c:pt>
                <c:pt idx="220">
                  <c:v>50.45</c:v>
                </c:pt>
                <c:pt idx="221">
                  <c:v>50.45</c:v>
                </c:pt>
                <c:pt idx="222">
                  <c:v>50.45</c:v>
                </c:pt>
                <c:pt idx="223">
                  <c:v>50.45</c:v>
                </c:pt>
                <c:pt idx="224">
                  <c:v>50.45</c:v>
                </c:pt>
                <c:pt idx="225">
                  <c:v>50.45</c:v>
                </c:pt>
                <c:pt idx="226">
                  <c:v>50.45</c:v>
                </c:pt>
                <c:pt idx="227">
                  <c:v>50.45</c:v>
                </c:pt>
                <c:pt idx="228">
                  <c:v>50.45</c:v>
                </c:pt>
                <c:pt idx="229">
                  <c:v>50.45</c:v>
                </c:pt>
                <c:pt idx="230">
                  <c:v>50.45</c:v>
                </c:pt>
                <c:pt idx="231">
                  <c:v>50.45</c:v>
                </c:pt>
                <c:pt idx="232">
                  <c:v>50.45</c:v>
                </c:pt>
                <c:pt idx="233">
                  <c:v>50.45</c:v>
                </c:pt>
                <c:pt idx="234">
                  <c:v>50.45</c:v>
                </c:pt>
                <c:pt idx="235">
                  <c:v>50.45</c:v>
                </c:pt>
                <c:pt idx="236">
                  <c:v>50.45</c:v>
                </c:pt>
                <c:pt idx="237">
                  <c:v>50.45</c:v>
                </c:pt>
                <c:pt idx="238">
                  <c:v>50.45</c:v>
                </c:pt>
                <c:pt idx="239">
                  <c:v>50.45</c:v>
                </c:pt>
                <c:pt idx="240">
                  <c:v>50.45</c:v>
                </c:pt>
                <c:pt idx="241">
                  <c:v>50.45</c:v>
                </c:pt>
                <c:pt idx="242">
                  <c:v>50.45</c:v>
                </c:pt>
                <c:pt idx="243">
                  <c:v>50.45</c:v>
                </c:pt>
                <c:pt idx="244">
                  <c:v>50.45</c:v>
                </c:pt>
                <c:pt idx="245">
                  <c:v>50.45</c:v>
                </c:pt>
                <c:pt idx="246">
                  <c:v>50.45</c:v>
                </c:pt>
                <c:pt idx="247">
                  <c:v>50.45</c:v>
                </c:pt>
                <c:pt idx="248">
                  <c:v>50.45</c:v>
                </c:pt>
                <c:pt idx="249">
                  <c:v>50.45</c:v>
                </c:pt>
                <c:pt idx="250">
                  <c:v>50.45</c:v>
                </c:pt>
                <c:pt idx="251">
                  <c:v>50.45</c:v>
                </c:pt>
                <c:pt idx="252">
                  <c:v>50.45</c:v>
                </c:pt>
                <c:pt idx="253">
                  <c:v>50.45</c:v>
                </c:pt>
                <c:pt idx="254">
                  <c:v>50.45</c:v>
                </c:pt>
                <c:pt idx="255">
                  <c:v>50.45</c:v>
                </c:pt>
                <c:pt idx="256">
                  <c:v>50.45</c:v>
                </c:pt>
                <c:pt idx="257">
                  <c:v>50.45</c:v>
                </c:pt>
                <c:pt idx="258">
                  <c:v>50.45</c:v>
                </c:pt>
                <c:pt idx="259">
                  <c:v>50.45</c:v>
                </c:pt>
                <c:pt idx="260">
                  <c:v>50.45</c:v>
                </c:pt>
                <c:pt idx="261">
                  <c:v>50.45</c:v>
                </c:pt>
                <c:pt idx="262">
                  <c:v>50.45</c:v>
                </c:pt>
                <c:pt idx="263">
                  <c:v>50.45</c:v>
                </c:pt>
                <c:pt idx="264">
                  <c:v>50.45</c:v>
                </c:pt>
                <c:pt idx="265">
                  <c:v>50.45</c:v>
                </c:pt>
                <c:pt idx="266">
                  <c:v>50.45</c:v>
                </c:pt>
                <c:pt idx="267">
                  <c:v>50.45</c:v>
                </c:pt>
                <c:pt idx="268">
                  <c:v>50.45</c:v>
                </c:pt>
                <c:pt idx="269">
                  <c:v>50.45</c:v>
                </c:pt>
                <c:pt idx="270">
                  <c:v>50.45</c:v>
                </c:pt>
                <c:pt idx="271">
                  <c:v>50.45</c:v>
                </c:pt>
                <c:pt idx="272">
                  <c:v>50.45</c:v>
                </c:pt>
                <c:pt idx="273">
                  <c:v>50.45</c:v>
                </c:pt>
                <c:pt idx="274">
                  <c:v>50.45</c:v>
                </c:pt>
                <c:pt idx="275">
                  <c:v>50.45</c:v>
                </c:pt>
                <c:pt idx="276">
                  <c:v>50.45</c:v>
                </c:pt>
                <c:pt idx="277">
                  <c:v>50.45</c:v>
                </c:pt>
                <c:pt idx="278">
                  <c:v>50.45</c:v>
                </c:pt>
                <c:pt idx="279">
                  <c:v>50.45</c:v>
                </c:pt>
                <c:pt idx="280">
                  <c:v>50.45</c:v>
                </c:pt>
                <c:pt idx="281">
                  <c:v>50.45</c:v>
                </c:pt>
                <c:pt idx="282">
                  <c:v>50.45</c:v>
                </c:pt>
                <c:pt idx="283">
                  <c:v>50.45</c:v>
                </c:pt>
                <c:pt idx="284">
                  <c:v>50.45</c:v>
                </c:pt>
                <c:pt idx="285">
                  <c:v>50.45</c:v>
                </c:pt>
                <c:pt idx="286">
                  <c:v>50.45</c:v>
                </c:pt>
                <c:pt idx="287">
                  <c:v>50.45</c:v>
                </c:pt>
                <c:pt idx="288">
                  <c:v>50.45</c:v>
                </c:pt>
                <c:pt idx="289">
                  <c:v>50.45</c:v>
                </c:pt>
                <c:pt idx="290">
                  <c:v>50.45</c:v>
                </c:pt>
                <c:pt idx="291">
                  <c:v>50.45</c:v>
                </c:pt>
                <c:pt idx="292">
                  <c:v>50.45</c:v>
                </c:pt>
                <c:pt idx="293">
                  <c:v>50.45</c:v>
                </c:pt>
                <c:pt idx="294">
                  <c:v>50.45</c:v>
                </c:pt>
                <c:pt idx="295">
                  <c:v>50.45</c:v>
                </c:pt>
                <c:pt idx="296">
                  <c:v>50.45</c:v>
                </c:pt>
                <c:pt idx="297">
                  <c:v>50.45</c:v>
                </c:pt>
                <c:pt idx="298">
                  <c:v>50.45</c:v>
                </c:pt>
                <c:pt idx="299">
                  <c:v>50.45</c:v>
                </c:pt>
                <c:pt idx="300">
                  <c:v>50.45</c:v>
                </c:pt>
                <c:pt idx="301">
                  <c:v>50.45</c:v>
                </c:pt>
                <c:pt idx="302">
                  <c:v>50.45</c:v>
                </c:pt>
                <c:pt idx="303">
                  <c:v>50.45</c:v>
                </c:pt>
                <c:pt idx="304">
                  <c:v>50.45</c:v>
                </c:pt>
                <c:pt idx="305">
                  <c:v>50.45</c:v>
                </c:pt>
                <c:pt idx="306">
                  <c:v>50.45</c:v>
                </c:pt>
                <c:pt idx="307">
                  <c:v>50.45</c:v>
                </c:pt>
                <c:pt idx="308">
                  <c:v>50.45</c:v>
                </c:pt>
                <c:pt idx="309">
                  <c:v>50.45</c:v>
                </c:pt>
                <c:pt idx="310">
                  <c:v>50.45</c:v>
                </c:pt>
                <c:pt idx="311">
                  <c:v>50.45</c:v>
                </c:pt>
                <c:pt idx="312">
                  <c:v>50.45</c:v>
                </c:pt>
                <c:pt idx="313">
                  <c:v>50.45</c:v>
                </c:pt>
                <c:pt idx="314">
                  <c:v>50.45</c:v>
                </c:pt>
                <c:pt idx="315">
                  <c:v>50.45</c:v>
                </c:pt>
                <c:pt idx="316">
                  <c:v>50.45</c:v>
                </c:pt>
                <c:pt idx="317">
                  <c:v>50.45</c:v>
                </c:pt>
                <c:pt idx="318">
                  <c:v>50.45</c:v>
                </c:pt>
                <c:pt idx="319">
                  <c:v>50.45</c:v>
                </c:pt>
                <c:pt idx="320">
                  <c:v>50.45</c:v>
                </c:pt>
                <c:pt idx="321">
                  <c:v>50.45</c:v>
                </c:pt>
                <c:pt idx="322">
                  <c:v>50.45</c:v>
                </c:pt>
                <c:pt idx="323">
                  <c:v>50.45</c:v>
                </c:pt>
                <c:pt idx="324">
                  <c:v>50.45</c:v>
                </c:pt>
                <c:pt idx="325">
                  <c:v>50.45</c:v>
                </c:pt>
                <c:pt idx="326">
                  <c:v>50.45</c:v>
                </c:pt>
                <c:pt idx="327">
                  <c:v>50.45</c:v>
                </c:pt>
                <c:pt idx="328">
                  <c:v>50.45</c:v>
                </c:pt>
                <c:pt idx="329">
                  <c:v>50.45</c:v>
                </c:pt>
                <c:pt idx="330">
                  <c:v>50.45</c:v>
                </c:pt>
                <c:pt idx="331">
                  <c:v>50.45</c:v>
                </c:pt>
                <c:pt idx="332">
                  <c:v>50.45</c:v>
                </c:pt>
                <c:pt idx="333">
                  <c:v>50.45</c:v>
                </c:pt>
                <c:pt idx="334">
                  <c:v>50.45</c:v>
                </c:pt>
                <c:pt idx="335">
                  <c:v>50.45</c:v>
                </c:pt>
                <c:pt idx="336">
                  <c:v>50.45</c:v>
                </c:pt>
                <c:pt idx="337">
                  <c:v>50.45</c:v>
                </c:pt>
                <c:pt idx="338">
                  <c:v>50.45</c:v>
                </c:pt>
                <c:pt idx="339">
                  <c:v>50.45</c:v>
                </c:pt>
                <c:pt idx="340">
                  <c:v>50.45</c:v>
                </c:pt>
                <c:pt idx="341">
                  <c:v>50.45</c:v>
                </c:pt>
                <c:pt idx="342">
                  <c:v>50.45</c:v>
                </c:pt>
                <c:pt idx="343">
                  <c:v>50.45</c:v>
                </c:pt>
                <c:pt idx="344">
                  <c:v>50.45</c:v>
                </c:pt>
                <c:pt idx="345">
                  <c:v>50.45</c:v>
                </c:pt>
                <c:pt idx="346">
                  <c:v>50.45</c:v>
                </c:pt>
                <c:pt idx="347">
                  <c:v>50.45</c:v>
                </c:pt>
                <c:pt idx="348">
                  <c:v>50.45</c:v>
                </c:pt>
                <c:pt idx="349">
                  <c:v>50.45</c:v>
                </c:pt>
                <c:pt idx="350">
                  <c:v>50.45</c:v>
                </c:pt>
                <c:pt idx="351">
                  <c:v>50.45</c:v>
                </c:pt>
                <c:pt idx="352">
                  <c:v>50.45</c:v>
                </c:pt>
                <c:pt idx="353">
                  <c:v>50.45</c:v>
                </c:pt>
                <c:pt idx="354">
                  <c:v>50.45</c:v>
                </c:pt>
                <c:pt idx="355">
                  <c:v>50.45</c:v>
                </c:pt>
                <c:pt idx="356">
                  <c:v>50.45</c:v>
                </c:pt>
                <c:pt idx="357">
                  <c:v>50.45</c:v>
                </c:pt>
                <c:pt idx="358">
                  <c:v>50.45</c:v>
                </c:pt>
                <c:pt idx="359">
                  <c:v>50.45</c:v>
                </c:pt>
                <c:pt idx="360">
                  <c:v>50.45</c:v>
                </c:pt>
                <c:pt idx="361">
                  <c:v>50.45</c:v>
                </c:pt>
                <c:pt idx="362">
                  <c:v>50.45</c:v>
                </c:pt>
                <c:pt idx="363">
                  <c:v>50.45</c:v>
                </c:pt>
                <c:pt idx="364">
                  <c:v>50.45</c:v>
                </c:pt>
                <c:pt idx="365">
                  <c:v>50.45</c:v>
                </c:pt>
                <c:pt idx="366">
                  <c:v>50.45</c:v>
                </c:pt>
                <c:pt idx="367">
                  <c:v>50.45</c:v>
                </c:pt>
                <c:pt idx="368">
                  <c:v>50.45</c:v>
                </c:pt>
                <c:pt idx="369">
                  <c:v>50.45</c:v>
                </c:pt>
                <c:pt idx="370">
                  <c:v>50.45</c:v>
                </c:pt>
                <c:pt idx="371">
                  <c:v>50.45</c:v>
                </c:pt>
                <c:pt idx="372">
                  <c:v>50.45</c:v>
                </c:pt>
                <c:pt idx="373">
                  <c:v>50.45</c:v>
                </c:pt>
                <c:pt idx="374">
                  <c:v>50.45</c:v>
                </c:pt>
                <c:pt idx="375">
                  <c:v>50.45</c:v>
                </c:pt>
                <c:pt idx="376">
                  <c:v>50.45</c:v>
                </c:pt>
                <c:pt idx="377">
                  <c:v>50.45</c:v>
                </c:pt>
                <c:pt idx="378">
                  <c:v>50.45</c:v>
                </c:pt>
                <c:pt idx="379">
                  <c:v>50.45</c:v>
                </c:pt>
                <c:pt idx="380">
                  <c:v>50.45</c:v>
                </c:pt>
                <c:pt idx="381">
                  <c:v>50.45</c:v>
                </c:pt>
                <c:pt idx="382">
                  <c:v>50.45</c:v>
                </c:pt>
                <c:pt idx="383">
                  <c:v>50.45</c:v>
                </c:pt>
                <c:pt idx="384">
                  <c:v>50.45</c:v>
                </c:pt>
                <c:pt idx="385">
                  <c:v>50.45</c:v>
                </c:pt>
                <c:pt idx="386">
                  <c:v>50.45</c:v>
                </c:pt>
                <c:pt idx="387">
                  <c:v>50.45</c:v>
                </c:pt>
                <c:pt idx="388">
                  <c:v>50.45</c:v>
                </c:pt>
                <c:pt idx="389">
                  <c:v>50.45</c:v>
                </c:pt>
                <c:pt idx="390">
                  <c:v>50.45</c:v>
                </c:pt>
                <c:pt idx="391">
                  <c:v>50.45</c:v>
                </c:pt>
                <c:pt idx="392">
                  <c:v>50.45</c:v>
                </c:pt>
                <c:pt idx="393">
                  <c:v>50.45</c:v>
                </c:pt>
                <c:pt idx="394">
                  <c:v>50.45</c:v>
                </c:pt>
                <c:pt idx="395">
                  <c:v>50.45</c:v>
                </c:pt>
                <c:pt idx="396">
                  <c:v>50.45</c:v>
                </c:pt>
                <c:pt idx="397">
                  <c:v>50.45</c:v>
                </c:pt>
                <c:pt idx="398">
                  <c:v>50.45</c:v>
                </c:pt>
                <c:pt idx="399">
                  <c:v>50.45</c:v>
                </c:pt>
                <c:pt idx="400">
                  <c:v>50.45</c:v>
                </c:pt>
                <c:pt idx="401">
                  <c:v>50.45</c:v>
                </c:pt>
                <c:pt idx="402">
                  <c:v>50.45</c:v>
                </c:pt>
                <c:pt idx="403">
                  <c:v>50.45</c:v>
                </c:pt>
                <c:pt idx="404">
                  <c:v>50.45</c:v>
                </c:pt>
                <c:pt idx="405">
                  <c:v>50.45</c:v>
                </c:pt>
                <c:pt idx="406">
                  <c:v>50.45</c:v>
                </c:pt>
                <c:pt idx="407">
                  <c:v>50.45</c:v>
                </c:pt>
                <c:pt idx="408">
                  <c:v>50.45</c:v>
                </c:pt>
                <c:pt idx="409">
                  <c:v>50.45</c:v>
                </c:pt>
                <c:pt idx="410">
                  <c:v>50.45</c:v>
                </c:pt>
                <c:pt idx="411">
                  <c:v>50.45</c:v>
                </c:pt>
                <c:pt idx="412">
                  <c:v>50.45</c:v>
                </c:pt>
                <c:pt idx="413">
                  <c:v>50.45</c:v>
                </c:pt>
                <c:pt idx="414">
                  <c:v>50.45</c:v>
                </c:pt>
                <c:pt idx="415">
                  <c:v>50.45</c:v>
                </c:pt>
                <c:pt idx="416">
                  <c:v>50.45</c:v>
                </c:pt>
                <c:pt idx="417">
                  <c:v>50.45</c:v>
                </c:pt>
                <c:pt idx="418">
                  <c:v>50.45</c:v>
                </c:pt>
                <c:pt idx="419">
                  <c:v>50.45</c:v>
                </c:pt>
                <c:pt idx="420">
                  <c:v>50.45</c:v>
                </c:pt>
                <c:pt idx="421">
                  <c:v>50.45</c:v>
                </c:pt>
                <c:pt idx="422">
                  <c:v>50.45</c:v>
                </c:pt>
                <c:pt idx="423">
                  <c:v>50.45</c:v>
                </c:pt>
                <c:pt idx="424">
                  <c:v>50.45</c:v>
                </c:pt>
                <c:pt idx="425">
                  <c:v>50.45</c:v>
                </c:pt>
                <c:pt idx="426">
                  <c:v>50.45</c:v>
                </c:pt>
                <c:pt idx="427">
                  <c:v>50.45</c:v>
                </c:pt>
                <c:pt idx="428">
                  <c:v>50.45</c:v>
                </c:pt>
                <c:pt idx="429">
                  <c:v>50.45</c:v>
                </c:pt>
                <c:pt idx="430">
                  <c:v>50.45</c:v>
                </c:pt>
                <c:pt idx="431">
                  <c:v>50.45</c:v>
                </c:pt>
                <c:pt idx="432">
                  <c:v>50.45</c:v>
                </c:pt>
                <c:pt idx="433">
                  <c:v>50.45</c:v>
                </c:pt>
                <c:pt idx="434">
                  <c:v>50.45</c:v>
                </c:pt>
                <c:pt idx="435">
                  <c:v>50.45</c:v>
                </c:pt>
                <c:pt idx="436">
                  <c:v>50.45</c:v>
                </c:pt>
                <c:pt idx="437">
                  <c:v>50.45</c:v>
                </c:pt>
                <c:pt idx="438">
                  <c:v>50.45</c:v>
                </c:pt>
                <c:pt idx="439">
                  <c:v>50.45</c:v>
                </c:pt>
                <c:pt idx="440">
                  <c:v>50.45</c:v>
                </c:pt>
                <c:pt idx="441">
                  <c:v>50.45</c:v>
                </c:pt>
                <c:pt idx="442">
                  <c:v>50.45</c:v>
                </c:pt>
                <c:pt idx="443">
                  <c:v>50.45</c:v>
                </c:pt>
                <c:pt idx="444">
                  <c:v>50.45</c:v>
                </c:pt>
                <c:pt idx="445">
                  <c:v>50.45</c:v>
                </c:pt>
                <c:pt idx="446">
                  <c:v>50.45</c:v>
                </c:pt>
                <c:pt idx="447">
                  <c:v>50.45</c:v>
                </c:pt>
                <c:pt idx="448">
                  <c:v>50.45</c:v>
                </c:pt>
                <c:pt idx="449">
                  <c:v>50.45</c:v>
                </c:pt>
                <c:pt idx="450">
                  <c:v>50.45</c:v>
                </c:pt>
                <c:pt idx="451">
                  <c:v>50.45</c:v>
                </c:pt>
                <c:pt idx="452">
                  <c:v>50.45</c:v>
                </c:pt>
                <c:pt idx="453">
                  <c:v>50.45</c:v>
                </c:pt>
                <c:pt idx="454">
                  <c:v>50.45</c:v>
                </c:pt>
                <c:pt idx="455">
                  <c:v>50.45</c:v>
                </c:pt>
                <c:pt idx="456">
                  <c:v>50.45</c:v>
                </c:pt>
                <c:pt idx="457">
                  <c:v>50.45</c:v>
                </c:pt>
                <c:pt idx="458">
                  <c:v>50.45</c:v>
                </c:pt>
                <c:pt idx="459">
                  <c:v>50.45</c:v>
                </c:pt>
                <c:pt idx="460">
                  <c:v>50.45</c:v>
                </c:pt>
                <c:pt idx="461">
                  <c:v>50.45</c:v>
                </c:pt>
                <c:pt idx="462">
                  <c:v>50.45</c:v>
                </c:pt>
                <c:pt idx="463">
                  <c:v>50.45</c:v>
                </c:pt>
                <c:pt idx="464">
                  <c:v>50.45</c:v>
                </c:pt>
                <c:pt idx="465">
                  <c:v>50.45</c:v>
                </c:pt>
                <c:pt idx="466">
                  <c:v>50.45</c:v>
                </c:pt>
                <c:pt idx="467">
                  <c:v>50.45</c:v>
                </c:pt>
                <c:pt idx="468">
                  <c:v>50.45</c:v>
                </c:pt>
                <c:pt idx="469">
                  <c:v>50.45</c:v>
                </c:pt>
                <c:pt idx="470">
                  <c:v>50.45</c:v>
                </c:pt>
                <c:pt idx="471">
                  <c:v>50.45</c:v>
                </c:pt>
                <c:pt idx="472">
                  <c:v>50.45</c:v>
                </c:pt>
                <c:pt idx="473">
                  <c:v>50.45</c:v>
                </c:pt>
                <c:pt idx="474">
                  <c:v>50.45</c:v>
                </c:pt>
                <c:pt idx="475">
                  <c:v>50.45</c:v>
                </c:pt>
                <c:pt idx="476">
                  <c:v>50.45</c:v>
                </c:pt>
                <c:pt idx="477">
                  <c:v>50.45</c:v>
                </c:pt>
                <c:pt idx="478">
                  <c:v>50.45</c:v>
                </c:pt>
                <c:pt idx="479">
                  <c:v>50.45</c:v>
                </c:pt>
                <c:pt idx="480">
                  <c:v>50.45</c:v>
                </c:pt>
                <c:pt idx="481">
                  <c:v>50.45</c:v>
                </c:pt>
                <c:pt idx="482">
                  <c:v>50.45</c:v>
                </c:pt>
                <c:pt idx="483">
                  <c:v>50.45</c:v>
                </c:pt>
                <c:pt idx="484">
                  <c:v>50.45</c:v>
                </c:pt>
                <c:pt idx="485">
                  <c:v>50.45</c:v>
                </c:pt>
                <c:pt idx="486">
                  <c:v>50.45</c:v>
                </c:pt>
                <c:pt idx="487">
                  <c:v>50.45</c:v>
                </c:pt>
                <c:pt idx="488">
                  <c:v>50.45</c:v>
                </c:pt>
                <c:pt idx="489">
                  <c:v>50.45</c:v>
                </c:pt>
                <c:pt idx="490">
                  <c:v>50.45</c:v>
                </c:pt>
                <c:pt idx="491">
                  <c:v>50.45</c:v>
                </c:pt>
                <c:pt idx="492">
                  <c:v>50.45</c:v>
                </c:pt>
                <c:pt idx="493">
                  <c:v>50.45</c:v>
                </c:pt>
                <c:pt idx="494">
                  <c:v>50.45</c:v>
                </c:pt>
                <c:pt idx="495">
                  <c:v>50.45</c:v>
                </c:pt>
                <c:pt idx="496">
                  <c:v>50.45</c:v>
                </c:pt>
                <c:pt idx="497">
                  <c:v>50.45</c:v>
                </c:pt>
                <c:pt idx="498">
                  <c:v>50.45</c:v>
                </c:pt>
                <c:pt idx="499">
                  <c:v>50.45</c:v>
                </c:pt>
                <c:pt idx="500">
                  <c:v>50.45</c:v>
                </c:pt>
                <c:pt idx="501">
                  <c:v>50.45</c:v>
                </c:pt>
                <c:pt idx="502">
                  <c:v>50.45</c:v>
                </c:pt>
                <c:pt idx="503">
                  <c:v>50.45</c:v>
                </c:pt>
                <c:pt idx="504">
                  <c:v>50.45</c:v>
                </c:pt>
                <c:pt idx="505">
                  <c:v>50.45</c:v>
                </c:pt>
                <c:pt idx="506">
                  <c:v>50.45</c:v>
                </c:pt>
                <c:pt idx="507">
                  <c:v>50.45</c:v>
                </c:pt>
                <c:pt idx="508">
                  <c:v>50.45</c:v>
                </c:pt>
                <c:pt idx="509">
                  <c:v>50.45</c:v>
                </c:pt>
                <c:pt idx="510">
                  <c:v>50.45</c:v>
                </c:pt>
                <c:pt idx="511">
                  <c:v>50.45</c:v>
                </c:pt>
                <c:pt idx="512">
                  <c:v>50.45</c:v>
                </c:pt>
                <c:pt idx="513">
                  <c:v>50.45</c:v>
                </c:pt>
                <c:pt idx="514">
                  <c:v>50.45</c:v>
                </c:pt>
                <c:pt idx="515">
                  <c:v>50.45</c:v>
                </c:pt>
                <c:pt idx="516">
                  <c:v>50.45</c:v>
                </c:pt>
                <c:pt idx="517">
                  <c:v>50.45</c:v>
                </c:pt>
                <c:pt idx="518">
                  <c:v>50.45</c:v>
                </c:pt>
                <c:pt idx="519">
                  <c:v>50.45</c:v>
                </c:pt>
                <c:pt idx="520">
                  <c:v>50.45</c:v>
                </c:pt>
                <c:pt idx="521">
                  <c:v>50.45</c:v>
                </c:pt>
                <c:pt idx="522">
                  <c:v>50.45</c:v>
                </c:pt>
                <c:pt idx="523">
                  <c:v>50.45</c:v>
                </c:pt>
                <c:pt idx="524">
                  <c:v>50.45</c:v>
                </c:pt>
                <c:pt idx="525">
                  <c:v>50.45</c:v>
                </c:pt>
                <c:pt idx="526">
                  <c:v>50.45</c:v>
                </c:pt>
                <c:pt idx="527">
                  <c:v>50.45</c:v>
                </c:pt>
                <c:pt idx="528">
                  <c:v>50.45</c:v>
                </c:pt>
                <c:pt idx="529">
                  <c:v>50.45</c:v>
                </c:pt>
                <c:pt idx="530">
                  <c:v>50.45</c:v>
                </c:pt>
                <c:pt idx="531">
                  <c:v>50.45</c:v>
                </c:pt>
                <c:pt idx="532">
                  <c:v>50.45</c:v>
                </c:pt>
                <c:pt idx="533">
                  <c:v>50.45</c:v>
                </c:pt>
                <c:pt idx="534">
                  <c:v>50.45</c:v>
                </c:pt>
                <c:pt idx="535">
                  <c:v>50.45</c:v>
                </c:pt>
                <c:pt idx="536">
                  <c:v>50.45</c:v>
                </c:pt>
                <c:pt idx="537">
                  <c:v>50.45</c:v>
                </c:pt>
                <c:pt idx="538">
                  <c:v>50.45</c:v>
                </c:pt>
                <c:pt idx="539">
                  <c:v>50.45</c:v>
                </c:pt>
                <c:pt idx="540">
                  <c:v>50.45</c:v>
                </c:pt>
                <c:pt idx="541">
                  <c:v>50.45</c:v>
                </c:pt>
                <c:pt idx="542">
                  <c:v>50.45</c:v>
                </c:pt>
                <c:pt idx="543">
                  <c:v>50.45</c:v>
                </c:pt>
                <c:pt idx="544">
                  <c:v>50.45</c:v>
                </c:pt>
                <c:pt idx="545">
                  <c:v>50.45</c:v>
                </c:pt>
                <c:pt idx="546">
                  <c:v>50.45</c:v>
                </c:pt>
                <c:pt idx="547">
                  <c:v>50.45</c:v>
                </c:pt>
                <c:pt idx="548">
                  <c:v>50.45</c:v>
                </c:pt>
                <c:pt idx="549">
                  <c:v>50.45</c:v>
                </c:pt>
                <c:pt idx="550">
                  <c:v>50.45</c:v>
                </c:pt>
                <c:pt idx="551">
                  <c:v>50.45</c:v>
                </c:pt>
                <c:pt idx="552">
                  <c:v>50.45</c:v>
                </c:pt>
                <c:pt idx="553">
                  <c:v>50.45</c:v>
                </c:pt>
                <c:pt idx="554">
                  <c:v>50.45</c:v>
                </c:pt>
                <c:pt idx="555">
                  <c:v>50.45</c:v>
                </c:pt>
                <c:pt idx="556">
                  <c:v>50.45</c:v>
                </c:pt>
                <c:pt idx="557">
                  <c:v>50.45</c:v>
                </c:pt>
                <c:pt idx="558">
                  <c:v>50.45</c:v>
                </c:pt>
                <c:pt idx="559">
                  <c:v>50.45</c:v>
                </c:pt>
                <c:pt idx="560">
                  <c:v>50.45</c:v>
                </c:pt>
                <c:pt idx="561">
                  <c:v>50.45</c:v>
                </c:pt>
                <c:pt idx="562">
                  <c:v>50.45</c:v>
                </c:pt>
                <c:pt idx="563">
                  <c:v>50.45</c:v>
                </c:pt>
                <c:pt idx="564">
                  <c:v>50.45</c:v>
                </c:pt>
                <c:pt idx="565">
                  <c:v>50.45</c:v>
                </c:pt>
                <c:pt idx="566">
                  <c:v>50.45</c:v>
                </c:pt>
                <c:pt idx="567">
                  <c:v>50.45</c:v>
                </c:pt>
                <c:pt idx="568">
                  <c:v>50.45</c:v>
                </c:pt>
                <c:pt idx="569">
                  <c:v>50.45</c:v>
                </c:pt>
                <c:pt idx="570">
                  <c:v>50.45</c:v>
                </c:pt>
                <c:pt idx="571">
                  <c:v>50.45</c:v>
                </c:pt>
                <c:pt idx="572">
                  <c:v>50.45</c:v>
                </c:pt>
                <c:pt idx="573">
                  <c:v>50.45</c:v>
                </c:pt>
                <c:pt idx="574">
                  <c:v>50.45</c:v>
                </c:pt>
                <c:pt idx="575">
                  <c:v>50.45</c:v>
                </c:pt>
                <c:pt idx="576">
                  <c:v>50.45</c:v>
                </c:pt>
                <c:pt idx="577">
                  <c:v>50.45</c:v>
                </c:pt>
                <c:pt idx="578">
                  <c:v>50.45</c:v>
                </c:pt>
                <c:pt idx="579">
                  <c:v>50.45</c:v>
                </c:pt>
                <c:pt idx="580">
                  <c:v>50.45</c:v>
                </c:pt>
                <c:pt idx="581">
                  <c:v>50.45</c:v>
                </c:pt>
                <c:pt idx="582">
                  <c:v>50.45</c:v>
                </c:pt>
                <c:pt idx="583">
                  <c:v>50.45</c:v>
                </c:pt>
                <c:pt idx="584">
                  <c:v>50.45</c:v>
                </c:pt>
                <c:pt idx="585">
                  <c:v>50.45</c:v>
                </c:pt>
                <c:pt idx="586">
                  <c:v>50.45</c:v>
                </c:pt>
                <c:pt idx="587">
                  <c:v>50.45</c:v>
                </c:pt>
                <c:pt idx="588">
                  <c:v>50.45</c:v>
                </c:pt>
                <c:pt idx="589">
                  <c:v>50.45</c:v>
                </c:pt>
                <c:pt idx="590">
                  <c:v>50.45</c:v>
                </c:pt>
                <c:pt idx="591">
                  <c:v>50.45</c:v>
                </c:pt>
                <c:pt idx="592">
                  <c:v>50.45</c:v>
                </c:pt>
                <c:pt idx="593">
                  <c:v>50.45</c:v>
                </c:pt>
                <c:pt idx="594">
                  <c:v>50.45</c:v>
                </c:pt>
                <c:pt idx="595">
                  <c:v>50.45</c:v>
                </c:pt>
                <c:pt idx="596">
                  <c:v>50.45</c:v>
                </c:pt>
                <c:pt idx="597">
                  <c:v>50.45</c:v>
                </c:pt>
                <c:pt idx="598">
                  <c:v>50.45</c:v>
                </c:pt>
                <c:pt idx="599">
                  <c:v>50.45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0C-4C68-9404-8C65FBAE3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Particle_SPC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299851190476188"/>
          <c:y val="9.739444444444445E-2"/>
          <c:w val="6.6763392857142861E-2"/>
          <c:h val="0.1913775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HYBOX1_Particle_SPC!$E$9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HYBOX1_Particle_SPC!$E$10:$E$309</c:f>
              <c:numCache>
                <c:formatCode>General</c:formatCode>
                <c:ptCount val="300"/>
                <c:pt idx="0">
                  <c:v>86</c:v>
                </c:pt>
                <c:pt idx="1">
                  <c:v>99</c:v>
                </c:pt>
                <c:pt idx="2">
                  <c:v>31</c:v>
                </c:pt>
                <c:pt idx="3">
                  <c:v>58</c:v>
                </c:pt>
                <c:pt idx="4">
                  <c:v>36</c:v>
                </c:pt>
                <c:pt idx="5">
                  <c:v>87</c:v>
                </c:pt>
                <c:pt idx="6">
                  <c:v>59</c:v>
                </c:pt>
                <c:pt idx="7">
                  <c:v>79</c:v>
                </c:pt>
                <c:pt idx="8">
                  <c:v>47</c:v>
                </c:pt>
                <c:pt idx="9">
                  <c:v>38</c:v>
                </c:pt>
                <c:pt idx="10">
                  <c:v>101</c:v>
                </c:pt>
                <c:pt idx="11">
                  <c:v>97</c:v>
                </c:pt>
                <c:pt idx="12">
                  <c:v>106</c:v>
                </c:pt>
                <c:pt idx="13">
                  <c:v>97</c:v>
                </c:pt>
                <c:pt idx="14">
                  <c:v>45</c:v>
                </c:pt>
                <c:pt idx="15">
                  <c:v>95</c:v>
                </c:pt>
                <c:pt idx="16">
                  <c:v>47</c:v>
                </c:pt>
                <c:pt idx="17">
                  <c:v>109</c:v>
                </c:pt>
                <c:pt idx="18">
                  <c:v>69</c:v>
                </c:pt>
                <c:pt idx="19">
                  <c:v>107</c:v>
                </c:pt>
                <c:pt idx="20">
                  <c:v>77</c:v>
                </c:pt>
                <c:pt idx="21">
                  <c:v>91</c:v>
                </c:pt>
                <c:pt idx="22">
                  <c:v>45</c:v>
                </c:pt>
                <c:pt idx="23">
                  <c:v>51</c:v>
                </c:pt>
                <c:pt idx="24">
                  <c:v>53</c:v>
                </c:pt>
                <c:pt idx="25">
                  <c:v>38</c:v>
                </c:pt>
                <c:pt idx="26">
                  <c:v>30</c:v>
                </c:pt>
                <c:pt idx="27">
                  <c:v>31</c:v>
                </c:pt>
                <c:pt idx="28">
                  <c:v>30</c:v>
                </c:pt>
                <c:pt idx="29">
                  <c:v>33</c:v>
                </c:pt>
                <c:pt idx="30">
                  <c:v>33</c:v>
                </c:pt>
                <c:pt idx="31">
                  <c:v>36</c:v>
                </c:pt>
                <c:pt idx="32">
                  <c:v>29</c:v>
                </c:pt>
                <c:pt idx="33">
                  <c:v>27</c:v>
                </c:pt>
                <c:pt idx="34">
                  <c:v>31</c:v>
                </c:pt>
                <c:pt idx="35">
                  <c:v>35</c:v>
                </c:pt>
                <c:pt idx="36">
                  <c:v>13</c:v>
                </c:pt>
                <c:pt idx="37">
                  <c:v>14</c:v>
                </c:pt>
                <c:pt idx="38">
                  <c:v>38</c:v>
                </c:pt>
                <c:pt idx="39">
                  <c:v>15</c:v>
                </c:pt>
                <c:pt idx="40">
                  <c:v>19</c:v>
                </c:pt>
                <c:pt idx="41">
                  <c:v>34</c:v>
                </c:pt>
                <c:pt idx="42">
                  <c:v>40</c:v>
                </c:pt>
                <c:pt idx="43">
                  <c:v>42</c:v>
                </c:pt>
                <c:pt idx="44">
                  <c:v>29</c:v>
                </c:pt>
                <c:pt idx="45">
                  <c:v>18</c:v>
                </c:pt>
                <c:pt idx="46">
                  <c:v>28</c:v>
                </c:pt>
                <c:pt idx="47">
                  <c:v>21</c:v>
                </c:pt>
                <c:pt idx="48">
                  <c:v>21</c:v>
                </c:pt>
                <c:pt idx="49">
                  <c:v>25</c:v>
                </c:pt>
                <c:pt idx="50">
                  <c:v>57</c:v>
                </c:pt>
                <c:pt idx="51">
                  <c:v>41</c:v>
                </c:pt>
                <c:pt idx="52">
                  <c:v>68</c:v>
                </c:pt>
                <c:pt idx="53">
                  <c:v>62</c:v>
                </c:pt>
                <c:pt idx="54">
                  <c:v>47</c:v>
                </c:pt>
                <c:pt idx="55">
                  <c:v>63</c:v>
                </c:pt>
                <c:pt idx="56">
                  <c:v>78</c:v>
                </c:pt>
                <c:pt idx="57">
                  <c:v>92</c:v>
                </c:pt>
                <c:pt idx="58">
                  <c:v>77</c:v>
                </c:pt>
                <c:pt idx="59">
                  <c:v>61</c:v>
                </c:pt>
                <c:pt idx="60">
                  <c:v>58</c:v>
                </c:pt>
                <c:pt idx="61">
                  <c:v>81</c:v>
                </c:pt>
                <c:pt idx="62">
                  <c:v>106</c:v>
                </c:pt>
                <c:pt idx="63">
                  <c:v>89</c:v>
                </c:pt>
                <c:pt idx="64">
                  <c:v>51</c:v>
                </c:pt>
                <c:pt idx="65">
                  <c:v>78</c:v>
                </c:pt>
                <c:pt idx="66">
                  <c:v>53</c:v>
                </c:pt>
                <c:pt idx="67">
                  <c:v>30</c:v>
                </c:pt>
                <c:pt idx="68">
                  <c:v>27</c:v>
                </c:pt>
                <c:pt idx="69">
                  <c:v>65</c:v>
                </c:pt>
                <c:pt idx="70">
                  <c:v>54</c:v>
                </c:pt>
                <c:pt idx="71">
                  <c:v>49</c:v>
                </c:pt>
                <c:pt idx="72">
                  <c:v>44</c:v>
                </c:pt>
                <c:pt idx="73">
                  <c:v>32</c:v>
                </c:pt>
                <c:pt idx="74">
                  <c:v>35</c:v>
                </c:pt>
                <c:pt idx="75">
                  <c:v>35</c:v>
                </c:pt>
                <c:pt idx="76">
                  <c:v>25</c:v>
                </c:pt>
                <c:pt idx="77">
                  <c:v>21</c:v>
                </c:pt>
                <c:pt idx="78">
                  <c:v>32</c:v>
                </c:pt>
                <c:pt idx="79">
                  <c:v>18</c:v>
                </c:pt>
                <c:pt idx="80">
                  <c:v>27</c:v>
                </c:pt>
                <c:pt idx="81">
                  <c:v>50</c:v>
                </c:pt>
                <c:pt idx="82">
                  <c:v>28</c:v>
                </c:pt>
                <c:pt idx="83">
                  <c:v>24</c:v>
                </c:pt>
                <c:pt idx="84">
                  <c:v>61</c:v>
                </c:pt>
                <c:pt idx="85">
                  <c:v>50</c:v>
                </c:pt>
                <c:pt idx="86">
                  <c:v>38</c:v>
                </c:pt>
                <c:pt idx="87">
                  <c:v>42</c:v>
                </c:pt>
                <c:pt idx="88">
                  <c:v>28</c:v>
                </c:pt>
                <c:pt idx="89">
                  <c:v>18</c:v>
                </c:pt>
                <c:pt idx="90">
                  <c:v>25</c:v>
                </c:pt>
                <c:pt idx="91">
                  <c:v>20</c:v>
                </c:pt>
                <c:pt idx="92">
                  <c:v>22</c:v>
                </c:pt>
                <c:pt idx="93">
                  <c:v>15</c:v>
                </c:pt>
                <c:pt idx="94">
                  <c:v>21</c:v>
                </c:pt>
                <c:pt idx="95">
                  <c:v>24</c:v>
                </c:pt>
                <c:pt idx="96">
                  <c:v>30</c:v>
                </c:pt>
                <c:pt idx="97">
                  <c:v>35</c:v>
                </c:pt>
                <c:pt idx="98">
                  <c:v>24</c:v>
                </c:pt>
                <c:pt idx="99">
                  <c:v>36</c:v>
                </c:pt>
                <c:pt idx="100">
                  <c:v>68</c:v>
                </c:pt>
                <c:pt idx="101">
                  <c:v>40</c:v>
                </c:pt>
                <c:pt idx="102">
                  <c:v>50</c:v>
                </c:pt>
                <c:pt idx="103">
                  <c:v>62</c:v>
                </c:pt>
                <c:pt idx="104">
                  <c:v>31</c:v>
                </c:pt>
                <c:pt idx="105">
                  <c:v>49</c:v>
                </c:pt>
                <c:pt idx="106">
                  <c:v>93</c:v>
                </c:pt>
                <c:pt idx="107">
                  <c:v>31</c:v>
                </c:pt>
                <c:pt idx="108">
                  <c:v>40</c:v>
                </c:pt>
                <c:pt idx="109">
                  <c:v>49</c:v>
                </c:pt>
                <c:pt idx="110">
                  <c:v>34</c:v>
                </c:pt>
                <c:pt idx="111">
                  <c:v>48</c:v>
                </c:pt>
                <c:pt idx="112">
                  <c:v>51</c:v>
                </c:pt>
                <c:pt idx="113">
                  <c:v>60</c:v>
                </c:pt>
                <c:pt idx="114">
                  <c:v>54</c:v>
                </c:pt>
                <c:pt idx="115">
                  <c:v>51</c:v>
                </c:pt>
                <c:pt idx="116">
                  <c:v>44</c:v>
                </c:pt>
                <c:pt idx="117">
                  <c:v>40</c:v>
                </c:pt>
                <c:pt idx="118">
                  <c:v>39</c:v>
                </c:pt>
                <c:pt idx="119">
                  <c:v>51</c:v>
                </c:pt>
                <c:pt idx="120">
                  <c:v>97</c:v>
                </c:pt>
                <c:pt idx="121">
                  <c:v>40</c:v>
                </c:pt>
                <c:pt idx="122">
                  <c:v>39</c:v>
                </c:pt>
                <c:pt idx="123">
                  <c:v>51</c:v>
                </c:pt>
                <c:pt idx="124">
                  <c:v>97</c:v>
                </c:pt>
                <c:pt idx="125">
                  <c:v>34</c:v>
                </c:pt>
                <c:pt idx="126">
                  <c:v>29</c:v>
                </c:pt>
                <c:pt idx="127">
                  <c:v>46</c:v>
                </c:pt>
                <c:pt idx="128">
                  <c:v>39</c:v>
                </c:pt>
                <c:pt idx="129">
                  <c:v>40</c:v>
                </c:pt>
                <c:pt idx="130">
                  <c:v>36</c:v>
                </c:pt>
                <c:pt idx="131">
                  <c:v>29</c:v>
                </c:pt>
                <c:pt idx="132">
                  <c:v>37</c:v>
                </c:pt>
                <c:pt idx="133">
                  <c:v>31</c:v>
                </c:pt>
                <c:pt idx="134">
                  <c:v>78</c:v>
                </c:pt>
                <c:pt idx="135">
                  <c:v>24</c:v>
                </c:pt>
                <c:pt idx="136">
                  <c:v>23</c:v>
                </c:pt>
                <c:pt idx="137">
                  <c:v>47</c:v>
                </c:pt>
                <c:pt idx="138">
                  <c:v>37</c:v>
                </c:pt>
                <c:pt idx="139">
                  <c:v>37</c:v>
                </c:pt>
                <c:pt idx="140">
                  <c:v>27</c:v>
                </c:pt>
                <c:pt idx="141">
                  <c:v>34</c:v>
                </c:pt>
                <c:pt idx="142">
                  <c:v>37</c:v>
                </c:pt>
                <c:pt idx="143">
                  <c:v>32</c:v>
                </c:pt>
                <c:pt idx="144">
                  <c:v>32</c:v>
                </c:pt>
                <c:pt idx="145">
                  <c:v>46</c:v>
                </c:pt>
                <c:pt idx="146">
                  <c:v>37</c:v>
                </c:pt>
                <c:pt idx="147">
                  <c:v>40</c:v>
                </c:pt>
                <c:pt idx="148">
                  <c:v>31</c:v>
                </c:pt>
                <c:pt idx="149">
                  <c:v>29</c:v>
                </c:pt>
                <c:pt idx="150">
                  <c:v>21</c:v>
                </c:pt>
                <c:pt idx="151">
                  <c:v>54</c:v>
                </c:pt>
                <c:pt idx="152">
                  <c:v>72</c:v>
                </c:pt>
                <c:pt idx="153">
                  <c:v>80</c:v>
                </c:pt>
                <c:pt idx="154">
                  <c:v>81</c:v>
                </c:pt>
                <c:pt idx="155">
                  <c:v>87</c:v>
                </c:pt>
                <c:pt idx="156">
                  <c:v>83</c:v>
                </c:pt>
                <c:pt idx="157">
                  <c:v>72</c:v>
                </c:pt>
                <c:pt idx="158">
                  <c:v>69</c:v>
                </c:pt>
                <c:pt idx="159">
                  <c:v>85</c:v>
                </c:pt>
                <c:pt idx="160">
                  <c:v>200</c:v>
                </c:pt>
                <c:pt idx="161">
                  <c:v>52</c:v>
                </c:pt>
                <c:pt idx="162">
                  <c:v>46</c:v>
                </c:pt>
                <c:pt idx="163">
                  <c:v>93</c:v>
                </c:pt>
                <c:pt idx="164">
                  <c:v>72</c:v>
                </c:pt>
                <c:pt idx="165">
                  <c:v>36</c:v>
                </c:pt>
                <c:pt idx="166">
                  <c:v>32</c:v>
                </c:pt>
                <c:pt idx="167">
                  <c:v>26</c:v>
                </c:pt>
                <c:pt idx="168">
                  <c:v>30</c:v>
                </c:pt>
                <c:pt idx="169">
                  <c:v>27</c:v>
                </c:pt>
                <c:pt idx="170">
                  <c:v>31</c:v>
                </c:pt>
                <c:pt idx="171">
                  <c:v>50</c:v>
                </c:pt>
                <c:pt idx="172">
                  <c:v>26</c:v>
                </c:pt>
                <c:pt idx="173">
                  <c:v>36</c:v>
                </c:pt>
                <c:pt idx="174">
                  <c:v>36</c:v>
                </c:pt>
                <c:pt idx="175">
                  <c:v>15</c:v>
                </c:pt>
                <c:pt idx="176">
                  <c:v>15</c:v>
                </c:pt>
                <c:pt idx="177">
                  <c:v>53</c:v>
                </c:pt>
                <c:pt idx="178">
                  <c:v>40</c:v>
                </c:pt>
                <c:pt idx="179">
                  <c:v>41</c:v>
                </c:pt>
                <c:pt idx="180">
                  <c:v>37</c:v>
                </c:pt>
                <c:pt idx="181">
                  <c:v>37</c:v>
                </c:pt>
                <c:pt idx="182">
                  <c:v>27</c:v>
                </c:pt>
                <c:pt idx="183">
                  <c:v>49</c:v>
                </c:pt>
                <c:pt idx="184">
                  <c:v>40</c:v>
                </c:pt>
                <c:pt idx="185">
                  <c:v>40</c:v>
                </c:pt>
                <c:pt idx="186">
                  <c:v>42</c:v>
                </c:pt>
                <c:pt idx="187">
                  <c:v>46</c:v>
                </c:pt>
                <c:pt idx="188">
                  <c:v>48</c:v>
                </c:pt>
                <c:pt idx="189">
                  <c:v>54</c:v>
                </c:pt>
                <c:pt idx="190">
                  <c:v>52</c:v>
                </c:pt>
                <c:pt idx="191">
                  <c:v>45</c:v>
                </c:pt>
                <c:pt idx="192">
                  <c:v>43</c:v>
                </c:pt>
                <c:pt idx="193">
                  <c:v>72</c:v>
                </c:pt>
                <c:pt idx="194">
                  <c:v>67</c:v>
                </c:pt>
                <c:pt idx="195">
                  <c:v>70</c:v>
                </c:pt>
                <c:pt idx="196">
                  <c:v>13</c:v>
                </c:pt>
                <c:pt idx="197">
                  <c:v>17</c:v>
                </c:pt>
                <c:pt idx="198">
                  <c:v>25</c:v>
                </c:pt>
                <c:pt idx="199">
                  <c:v>26</c:v>
                </c:pt>
                <c:pt idx="200">
                  <c:v>25</c:v>
                </c:pt>
                <c:pt idx="201">
                  <c:v>78</c:v>
                </c:pt>
                <c:pt idx="202">
                  <c:v>53</c:v>
                </c:pt>
                <c:pt idx="203">
                  <c:v>67</c:v>
                </c:pt>
                <c:pt idx="204">
                  <c:v>40</c:v>
                </c:pt>
                <c:pt idx="205">
                  <c:v>42</c:v>
                </c:pt>
                <c:pt idx="206">
                  <c:v>52</c:v>
                </c:pt>
                <c:pt idx="207">
                  <c:v>85</c:v>
                </c:pt>
                <c:pt idx="208">
                  <c:v>42</c:v>
                </c:pt>
                <c:pt idx="209">
                  <c:v>33</c:v>
                </c:pt>
                <c:pt idx="210">
                  <c:v>56</c:v>
                </c:pt>
                <c:pt idx="211">
                  <c:v>40</c:v>
                </c:pt>
                <c:pt idx="212">
                  <c:v>50</c:v>
                </c:pt>
                <c:pt idx="213">
                  <c:v>57</c:v>
                </c:pt>
                <c:pt idx="214">
                  <c:v>170</c:v>
                </c:pt>
                <c:pt idx="215">
                  <c:v>34</c:v>
                </c:pt>
                <c:pt idx="216">
                  <c:v>45</c:v>
                </c:pt>
                <c:pt idx="217">
                  <c:v>66</c:v>
                </c:pt>
                <c:pt idx="218">
                  <c:v>39</c:v>
                </c:pt>
                <c:pt idx="219">
                  <c:v>22</c:v>
                </c:pt>
                <c:pt idx="220">
                  <c:v>30</c:v>
                </c:pt>
                <c:pt idx="221">
                  <c:v>27</c:v>
                </c:pt>
                <c:pt idx="222">
                  <c:v>41</c:v>
                </c:pt>
                <c:pt idx="223">
                  <c:v>29</c:v>
                </c:pt>
                <c:pt idx="224">
                  <c:v>21</c:v>
                </c:pt>
                <c:pt idx="225">
                  <c:v>45</c:v>
                </c:pt>
                <c:pt idx="226">
                  <c:v>14</c:v>
                </c:pt>
                <c:pt idx="227">
                  <c:v>16</c:v>
                </c:pt>
                <c:pt idx="228">
                  <c:v>19</c:v>
                </c:pt>
                <c:pt idx="229">
                  <c:v>15</c:v>
                </c:pt>
                <c:pt idx="230">
                  <c:v>21</c:v>
                </c:pt>
                <c:pt idx="231">
                  <c:v>18</c:v>
                </c:pt>
                <c:pt idx="232">
                  <c:v>17</c:v>
                </c:pt>
                <c:pt idx="233">
                  <c:v>26</c:v>
                </c:pt>
                <c:pt idx="234">
                  <c:v>14</c:v>
                </c:pt>
                <c:pt idx="235">
                  <c:v>27</c:v>
                </c:pt>
                <c:pt idx="236">
                  <c:v>43</c:v>
                </c:pt>
                <c:pt idx="237">
                  <c:v>57</c:v>
                </c:pt>
                <c:pt idx="238">
                  <c:v>30</c:v>
                </c:pt>
                <c:pt idx="239">
                  <c:v>50</c:v>
                </c:pt>
                <c:pt idx="240">
                  <c:v>45</c:v>
                </c:pt>
                <c:pt idx="241">
                  <c:v>54</c:v>
                </c:pt>
                <c:pt idx="242">
                  <c:v>62</c:v>
                </c:pt>
                <c:pt idx="243">
                  <c:v>26</c:v>
                </c:pt>
                <c:pt idx="244">
                  <c:v>29</c:v>
                </c:pt>
                <c:pt idx="245">
                  <c:v>27</c:v>
                </c:pt>
                <c:pt idx="246">
                  <c:v>19</c:v>
                </c:pt>
                <c:pt idx="247">
                  <c:v>53</c:v>
                </c:pt>
                <c:pt idx="248">
                  <c:v>28</c:v>
                </c:pt>
                <c:pt idx="249">
                  <c:v>25</c:v>
                </c:pt>
                <c:pt idx="250">
                  <c:v>44</c:v>
                </c:pt>
                <c:pt idx="251">
                  <c:v>29</c:v>
                </c:pt>
                <c:pt idx="252">
                  <c:v>21</c:v>
                </c:pt>
                <c:pt idx="253">
                  <c:v>12</c:v>
                </c:pt>
                <c:pt idx="254">
                  <c:v>27</c:v>
                </c:pt>
                <c:pt idx="255">
                  <c:v>34</c:v>
                </c:pt>
                <c:pt idx="256">
                  <c:v>47</c:v>
                </c:pt>
                <c:pt idx="257">
                  <c:v>28</c:v>
                </c:pt>
                <c:pt idx="258">
                  <c:v>27</c:v>
                </c:pt>
                <c:pt idx="259">
                  <c:v>13</c:v>
                </c:pt>
                <c:pt idx="260">
                  <c:v>23</c:v>
                </c:pt>
                <c:pt idx="261">
                  <c:v>16</c:v>
                </c:pt>
                <c:pt idx="262">
                  <c:v>18</c:v>
                </c:pt>
                <c:pt idx="263">
                  <c:v>19</c:v>
                </c:pt>
                <c:pt idx="264">
                  <c:v>12</c:v>
                </c:pt>
                <c:pt idx="265">
                  <c:v>13</c:v>
                </c:pt>
                <c:pt idx="266">
                  <c:v>42</c:v>
                </c:pt>
                <c:pt idx="267">
                  <c:v>24</c:v>
                </c:pt>
                <c:pt idx="268">
                  <c:v>19</c:v>
                </c:pt>
                <c:pt idx="269">
                  <c:v>26</c:v>
                </c:pt>
                <c:pt idx="270">
                  <c:v>18</c:v>
                </c:pt>
                <c:pt idx="271">
                  <c:v>33</c:v>
                </c:pt>
                <c:pt idx="272">
                  <c:v>24</c:v>
                </c:pt>
                <c:pt idx="273">
                  <c:v>25</c:v>
                </c:pt>
                <c:pt idx="274">
                  <c:v>53</c:v>
                </c:pt>
                <c:pt idx="275">
                  <c:v>45</c:v>
                </c:pt>
                <c:pt idx="276">
                  <c:v>32</c:v>
                </c:pt>
                <c:pt idx="277">
                  <c:v>37</c:v>
                </c:pt>
                <c:pt idx="278">
                  <c:v>52</c:v>
                </c:pt>
                <c:pt idx="279">
                  <c:v>54</c:v>
                </c:pt>
                <c:pt idx="280">
                  <c:v>50</c:v>
                </c:pt>
                <c:pt idx="281">
                  <c:v>77</c:v>
                </c:pt>
                <c:pt idx="282">
                  <c:v>46</c:v>
                </c:pt>
                <c:pt idx="283">
                  <c:v>67</c:v>
                </c:pt>
                <c:pt idx="284">
                  <c:v>67</c:v>
                </c:pt>
                <c:pt idx="285">
                  <c:v>45</c:v>
                </c:pt>
                <c:pt idx="286">
                  <c:v>71</c:v>
                </c:pt>
                <c:pt idx="287">
                  <c:v>72</c:v>
                </c:pt>
                <c:pt idx="288">
                  <c:v>62</c:v>
                </c:pt>
                <c:pt idx="289">
                  <c:v>109</c:v>
                </c:pt>
                <c:pt idx="290">
                  <c:v>115</c:v>
                </c:pt>
                <c:pt idx="291">
                  <c:v>27</c:v>
                </c:pt>
                <c:pt idx="292">
                  <c:v>30</c:v>
                </c:pt>
                <c:pt idx="293">
                  <c:v>24</c:v>
                </c:pt>
                <c:pt idx="294">
                  <c:v>27</c:v>
                </c:pt>
                <c:pt idx="295">
                  <c:v>22</c:v>
                </c:pt>
                <c:pt idx="296">
                  <c:v>51</c:v>
                </c:pt>
                <c:pt idx="297">
                  <c:v>38</c:v>
                </c:pt>
                <c:pt idx="298">
                  <c:v>56</c:v>
                </c:pt>
                <c:pt idx="299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97-4448-8DBA-874DDDE9B0C2}"/>
            </c:ext>
          </c:extLst>
        </c:ser>
        <c:ser>
          <c:idx val="1"/>
          <c:order val="1"/>
          <c:tx>
            <c:strRef>
              <c:f>HYBOX1_Particle_SPC!$H$9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HYBOX1_Particle_SPC!$H$10:$H$309</c:f>
              <c:numCache>
                <c:formatCode>General</c:formatCode>
                <c:ptCount val="300"/>
                <c:pt idx="0">
                  <c:v>88.250344884840729</c:v>
                </c:pt>
                <c:pt idx="1">
                  <c:v>88.250344884840729</c:v>
                </c:pt>
                <c:pt idx="2">
                  <c:v>88.250344884840729</c:v>
                </c:pt>
                <c:pt idx="3">
                  <c:v>88.250344884840729</c:v>
                </c:pt>
                <c:pt idx="4">
                  <c:v>88.250344884840729</c:v>
                </c:pt>
                <c:pt idx="5">
                  <c:v>88.250344884840729</c:v>
                </c:pt>
                <c:pt idx="6">
                  <c:v>88.250344884840729</c:v>
                </c:pt>
                <c:pt idx="7">
                  <c:v>88.250344884840729</c:v>
                </c:pt>
                <c:pt idx="8">
                  <c:v>88.250344884840729</c:v>
                </c:pt>
                <c:pt idx="9">
                  <c:v>88.250344884840729</c:v>
                </c:pt>
                <c:pt idx="10">
                  <c:v>88.250344884840729</c:v>
                </c:pt>
                <c:pt idx="11">
                  <c:v>88.250344884840729</c:v>
                </c:pt>
                <c:pt idx="12">
                  <c:v>88.250344884840729</c:v>
                </c:pt>
                <c:pt idx="13">
                  <c:v>88.250344884840729</c:v>
                </c:pt>
                <c:pt idx="14">
                  <c:v>88.250344884840729</c:v>
                </c:pt>
                <c:pt idx="15">
                  <c:v>88.250344884840729</c:v>
                </c:pt>
                <c:pt idx="16">
                  <c:v>88.250344884840729</c:v>
                </c:pt>
                <c:pt idx="17">
                  <c:v>88.250344884840729</c:v>
                </c:pt>
                <c:pt idx="18">
                  <c:v>88.250344884840729</c:v>
                </c:pt>
                <c:pt idx="19">
                  <c:v>88.250344884840729</c:v>
                </c:pt>
                <c:pt idx="20">
                  <c:v>88.250344884840729</c:v>
                </c:pt>
                <c:pt idx="21">
                  <c:v>88.250344884840729</c:v>
                </c:pt>
                <c:pt idx="22">
                  <c:v>88.250344884840729</c:v>
                </c:pt>
                <c:pt idx="23">
                  <c:v>88.250344884840729</c:v>
                </c:pt>
                <c:pt idx="24">
                  <c:v>88.250344884840729</c:v>
                </c:pt>
                <c:pt idx="25">
                  <c:v>88.250344884840729</c:v>
                </c:pt>
                <c:pt idx="26">
                  <c:v>88.250344884840729</c:v>
                </c:pt>
                <c:pt idx="27">
                  <c:v>88.250344884840729</c:v>
                </c:pt>
                <c:pt idx="28">
                  <c:v>88.250344884840729</c:v>
                </c:pt>
                <c:pt idx="29">
                  <c:v>88.250344884840729</c:v>
                </c:pt>
                <c:pt idx="30">
                  <c:v>88.250344884840729</c:v>
                </c:pt>
                <c:pt idx="31">
                  <c:v>88.250344884840729</c:v>
                </c:pt>
                <c:pt idx="32">
                  <c:v>88.250344884840729</c:v>
                </c:pt>
                <c:pt idx="33">
                  <c:v>88.250344884840729</c:v>
                </c:pt>
                <c:pt idx="34">
                  <c:v>88.250344884840729</c:v>
                </c:pt>
                <c:pt idx="35">
                  <c:v>88.250344884840729</c:v>
                </c:pt>
                <c:pt idx="36">
                  <c:v>88.250344884840729</c:v>
                </c:pt>
                <c:pt idx="37">
                  <c:v>88.250344884840729</c:v>
                </c:pt>
                <c:pt idx="38">
                  <c:v>88.250344884840729</c:v>
                </c:pt>
                <c:pt idx="39">
                  <c:v>88.250344884840729</c:v>
                </c:pt>
                <c:pt idx="40">
                  <c:v>88.250344884840729</c:v>
                </c:pt>
                <c:pt idx="41">
                  <c:v>88.250344884840729</c:v>
                </c:pt>
                <c:pt idx="42">
                  <c:v>88.250344884840729</c:v>
                </c:pt>
                <c:pt idx="43">
                  <c:v>88.250344884840729</c:v>
                </c:pt>
                <c:pt idx="44">
                  <c:v>88.250344884840729</c:v>
                </c:pt>
                <c:pt idx="45">
                  <c:v>88.250344884840729</c:v>
                </c:pt>
                <c:pt idx="46">
                  <c:v>88.250344884840729</c:v>
                </c:pt>
                <c:pt idx="47">
                  <c:v>88.250344884840729</c:v>
                </c:pt>
                <c:pt idx="48">
                  <c:v>88.250344884840729</c:v>
                </c:pt>
                <c:pt idx="49">
                  <c:v>88.250344884840729</c:v>
                </c:pt>
                <c:pt idx="50">
                  <c:v>88.250344884840729</c:v>
                </c:pt>
                <c:pt idx="51">
                  <c:v>88.250344884840729</c:v>
                </c:pt>
                <c:pt idx="52">
                  <c:v>88.250344884840729</c:v>
                </c:pt>
                <c:pt idx="53">
                  <c:v>88.250344884840729</c:v>
                </c:pt>
                <c:pt idx="54">
                  <c:v>88.250344884840729</c:v>
                </c:pt>
                <c:pt idx="55">
                  <c:v>88.250344884840729</c:v>
                </c:pt>
                <c:pt idx="56">
                  <c:v>88.250344884840729</c:v>
                </c:pt>
                <c:pt idx="57">
                  <c:v>88.250344884840729</c:v>
                </c:pt>
                <c:pt idx="58">
                  <c:v>88.250344884840729</c:v>
                </c:pt>
                <c:pt idx="59">
                  <c:v>88.250344884840729</c:v>
                </c:pt>
                <c:pt idx="60">
                  <c:v>88.250344884840729</c:v>
                </c:pt>
                <c:pt idx="61">
                  <c:v>88.250344884840729</c:v>
                </c:pt>
                <c:pt idx="62">
                  <c:v>88.250344884840729</c:v>
                </c:pt>
                <c:pt idx="63">
                  <c:v>88.250344884840729</c:v>
                </c:pt>
                <c:pt idx="64">
                  <c:v>88.250344884840729</c:v>
                </c:pt>
                <c:pt idx="65">
                  <c:v>88.250344884840729</c:v>
                </c:pt>
                <c:pt idx="66">
                  <c:v>88.250344884840729</c:v>
                </c:pt>
                <c:pt idx="67">
                  <c:v>88.250344884840729</c:v>
                </c:pt>
                <c:pt idx="68">
                  <c:v>88.250344884840729</c:v>
                </c:pt>
                <c:pt idx="69">
                  <c:v>88.250344884840729</c:v>
                </c:pt>
                <c:pt idx="70">
                  <c:v>88.250344884840729</c:v>
                </c:pt>
                <c:pt idx="71">
                  <c:v>88.250344884840729</c:v>
                </c:pt>
                <c:pt idx="72">
                  <c:v>88.250344884840729</c:v>
                </c:pt>
                <c:pt idx="73">
                  <c:v>88.250344884840729</c:v>
                </c:pt>
                <c:pt idx="74">
                  <c:v>88.250344884840729</c:v>
                </c:pt>
                <c:pt idx="75">
                  <c:v>88.250344884840729</c:v>
                </c:pt>
                <c:pt idx="76">
                  <c:v>88.250344884840729</c:v>
                </c:pt>
                <c:pt idx="77">
                  <c:v>88.250344884840729</c:v>
                </c:pt>
                <c:pt idx="78">
                  <c:v>88.250344884840729</c:v>
                </c:pt>
                <c:pt idx="79">
                  <c:v>88.250344884840729</c:v>
                </c:pt>
                <c:pt idx="80">
                  <c:v>88.250344884840729</c:v>
                </c:pt>
                <c:pt idx="81">
                  <c:v>88.250344884840729</c:v>
                </c:pt>
                <c:pt idx="82">
                  <c:v>88.250344884840729</c:v>
                </c:pt>
                <c:pt idx="83">
                  <c:v>88.250344884840729</c:v>
                </c:pt>
                <c:pt idx="84">
                  <c:v>88.250344884840729</c:v>
                </c:pt>
                <c:pt idx="85">
                  <c:v>88.250344884840729</c:v>
                </c:pt>
                <c:pt idx="86">
                  <c:v>88.250344884840729</c:v>
                </c:pt>
                <c:pt idx="87">
                  <c:v>88.250344884840729</c:v>
                </c:pt>
                <c:pt idx="88">
                  <c:v>88.250344884840729</c:v>
                </c:pt>
                <c:pt idx="89">
                  <c:v>88.250344884840729</c:v>
                </c:pt>
                <c:pt idx="90">
                  <c:v>88.250344884840729</c:v>
                </c:pt>
                <c:pt idx="91">
                  <c:v>88.250344884840729</c:v>
                </c:pt>
                <c:pt idx="92">
                  <c:v>88.250344884840729</c:v>
                </c:pt>
                <c:pt idx="93">
                  <c:v>88.250344884840729</c:v>
                </c:pt>
                <c:pt idx="94">
                  <c:v>88.250344884840729</c:v>
                </c:pt>
                <c:pt idx="95">
                  <c:v>88.250344884840729</c:v>
                </c:pt>
                <c:pt idx="96">
                  <c:v>88.250344884840729</c:v>
                </c:pt>
                <c:pt idx="97">
                  <c:v>88.250344884840729</c:v>
                </c:pt>
                <c:pt idx="98">
                  <c:v>88.250344884840729</c:v>
                </c:pt>
                <c:pt idx="99">
                  <c:v>88.250344884840729</c:v>
                </c:pt>
                <c:pt idx="100">
                  <c:v>88.250344884840729</c:v>
                </c:pt>
                <c:pt idx="101">
                  <c:v>88.250344884840729</c:v>
                </c:pt>
                <c:pt idx="102">
                  <c:v>88.250344884840729</c:v>
                </c:pt>
                <c:pt idx="103">
                  <c:v>88.250344884840729</c:v>
                </c:pt>
                <c:pt idx="104">
                  <c:v>88.250344884840729</c:v>
                </c:pt>
                <c:pt idx="105">
                  <c:v>88.250344884840729</c:v>
                </c:pt>
                <c:pt idx="106">
                  <c:v>88.250344884840729</c:v>
                </c:pt>
                <c:pt idx="107">
                  <c:v>88.250344884840729</c:v>
                </c:pt>
                <c:pt idx="108">
                  <c:v>88.250344884840729</c:v>
                </c:pt>
                <c:pt idx="109">
                  <c:v>88.250344884840729</c:v>
                </c:pt>
                <c:pt idx="110">
                  <c:v>88.250344884840729</c:v>
                </c:pt>
                <c:pt idx="111">
                  <c:v>88.250344884840729</c:v>
                </c:pt>
                <c:pt idx="112">
                  <c:v>88.250344884840729</c:v>
                </c:pt>
                <c:pt idx="113">
                  <c:v>88.250344884840729</c:v>
                </c:pt>
                <c:pt idx="114">
                  <c:v>88.250344884840729</c:v>
                </c:pt>
                <c:pt idx="115">
                  <c:v>88.250344884840729</c:v>
                </c:pt>
                <c:pt idx="116">
                  <c:v>88.250344884840729</c:v>
                </c:pt>
                <c:pt idx="117">
                  <c:v>88.250344884840729</c:v>
                </c:pt>
                <c:pt idx="118">
                  <c:v>88.250344884840729</c:v>
                </c:pt>
                <c:pt idx="119">
                  <c:v>88.250344884840729</c:v>
                </c:pt>
                <c:pt idx="120">
                  <c:v>88.250344884840729</c:v>
                </c:pt>
                <c:pt idx="121">
                  <c:v>88.250344884840729</c:v>
                </c:pt>
                <c:pt idx="122">
                  <c:v>88.250344884840729</c:v>
                </c:pt>
                <c:pt idx="123">
                  <c:v>88.250344884840729</c:v>
                </c:pt>
                <c:pt idx="124">
                  <c:v>88.250344884840729</c:v>
                </c:pt>
                <c:pt idx="125">
                  <c:v>88.250344884840729</c:v>
                </c:pt>
                <c:pt idx="126">
                  <c:v>88.250344884840729</c:v>
                </c:pt>
                <c:pt idx="127">
                  <c:v>88.250344884840729</c:v>
                </c:pt>
                <c:pt idx="128">
                  <c:v>88.250344884840729</c:v>
                </c:pt>
                <c:pt idx="129">
                  <c:v>88.250344884840729</c:v>
                </c:pt>
                <c:pt idx="130">
                  <c:v>88.250344884840729</c:v>
                </c:pt>
                <c:pt idx="131">
                  <c:v>88.250344884840729</c:v>
                </c:pt>
                <c:pt idx="132">
                  <c:v>88.250344884840729</c:v>
                </c:pt>
                <c:pt idx="133">
                  <c:v>88.250344884840729</c:v>
                </c:pt>
                <c:pt idx="134">
                  <c:v>88.250344884840729</c:v>
                </c:pt>
                <c:pt idx="135">
                  <c:v>88.250344884840729</c:v>
                </c:pt>
                <c:pt idx="136">
                  <c:v>88.250344884840729</c:v>
                </c:pt>
                <c:pt idx="137">
                  <c:v>88.250344884840729</c:v>
                </c:pt>
                <c:pt idx="138">
                  <c:v>88.250344884840729</c:v>
                </c:pt>
                <c:pt idx="139">
                  <c:v>88.250344884840729</c:v>
                </c:pt>
                <c:pt idx="140">
                  <c:v>88.250344884840729</c:v>
                </c:pt>
                <c:pt idx="141">
                  <c:v>88.250344884840729</c:v>
                </c:pt>
                <c:pt idx="142">
                  <c:v>88.250344884840729</c:v>
                </c:pt>
                <c:pt idx="143">
                  <c:v>88.250344884840729</c:v>
                </c:pt>
                <c:pt idx="144">
                  <c:v>88.250344884840729</c:v>
                </c:pt>
                <c:pt idx="145">
                  <c:v>88.250344884840729</c:v>
                </c:pt>
                <c:pt idx="146">
                  <c:v>88.250344884840729</c:v>
                </c:pt>
                <c:pt idx="147">
                  <c:v>88.250344884840729</c:v>
                </c:pt>
                <c:pt idx="148">
                  <c:v>88.250344884840729</c:v>
                </c:pt>
                <c:pt idx="149">
                  <c:v>88.250344884840729</c:v>
                </c:pt>
                <c:pt idx="150">
                  <c:v>88.250344884840729</c:v>
                </c:pt>
                <c:pt idx="151">
                  <c:v>88.250344884840729</c:v>
                </c:pt>
                <c:pt idx="152">
                  <c:v>88.250344884840729</c:v>
                </c:pt>
                <c:pt idx="153">
                  <c:v>88.250344884840729</c:v>
                </c:pt>
                <c:pt idx="154">
                  <c:v>88.250344884840729</c:v>
                </c:pt>
                <c:pt idx="155">
                  <c:v>88.250344884840729</c:v>
                </c:pt>
                <c:pt idx="156">
                  <c:v>88.250344884840729</c:v>
                </c:pt>
                <c:pt idx="157">
                  <c:v>88.250344884840729</c:v>
                </c:pt>
                <c:pt idx="158">
                  <c:v>88.250344884840729</c:v>
                </c:pt>
                <c:pt idx="159">
                  <c:v>88.250344884840729</c:v>
                </c:pt>
                <c:pt idx="160">
                  <c:v>88.250344884840729</c:v>
                </c:pt>
                <c:pt idx="161">
                  <c:v>88.250344884840729</c:v>
                </c:pt>
                <c:pt idx="162">
                  <c:v>88.250344884840729</c:v>
                </c:pt>
                <c:pt idx="163">
                  <c:v>88.250344884840729</c:v>
                </c:pt>
                <c:pt idx="164">
                  <c:v>88.250344884840729</c:v>
                </c:pt>
                <c:pt idx="165">
                  <c:v>88.250344884840729</c:v>
                </c:pt>
                <c:pt idx="166">
                  <c:v>88.250344884840729</c:v>
                </c:pt>
                <c:pt idx="167">
                  <c:v>88.250344884840729</c:v>
                </c:pt>
                <c:pt idx="168">
                  <c:v>88.250344884840729</c:v>
                </c:pt>
                <c:pt idx="169">
                  <c:v>88.250344884840729</c:v>
                </c:pt>
                <c:pt idx="170">
                  <c:v>88.250344884840729</c:v>
                </c:pt>
                <c:pt idx="171">
                  <c:v>88.250344884840729</c:v>
                </c:pt>
                <c:pt idx="172">
                  <c:v>88.250344884840729</c:v>
                </c:pt>
                <c:pt idx="173">
                  <c:v>88.250344884840729</c:v>
                </c:pt>
                <c:pt idx="174">
                  <c:v>88.250344884840729</c:v>
                </c:pt>
                <c:pt idx="175">
                  <c:v>88.250344884840729</c:v>
                </c:pt>
                <c:pt idx="176">
                  <c:v>88.250344884840729</c:v>
                </c:pt>
                <c:pt idx="177">
                  <c:v>88.250344884840729</c:v>
                </c:pt>
                <c:pt idx="178">
                  <c:v>88.250344884840729</c:v>
                </c:pt>
                <c:pt idx="179">
                  <c:v>88.250344884840729</c:v>
                </c:pt>
                <c:pt idx="180">
                  <c:v>88.250344884840729</c:v>
                </c:pt>
                <c:pt idx="181">
                  <c:v>88.250344884840729</c:v>
                </c:pt>
                <c:pt idx="182">
                  <c:v>88.250344884840729</c:v>
                </c:pt>
                <c:pt idx="183">
                  <c:v>88.250344884840729</c:v>
                </c:pt>
                <c:pt idx="184">
                  <c:v>88.250344884840729</c:v>
                </c:pt>
                <c:pt idx="185">
                  <c:v>88.250344884840729</c:v>
                </c:pt>
                <c:pt idx="186">
                  <c:v>88.250344884840729</c:v>
                </c:pt>
                <c:pt idx="187">
                  <c:v>88.250344884840729</c:v>
                </c:pt>
                <c:pt idx="188">
                  <c:v>88.250344884840729</c:v>
                </c:pt>
                <c:pt idx="189">
                  <c:v>88.250344884840729</c:v>
                </c:pt>
                <c:pt idx="190">
                  <c:v>88.250344884840729</c:v>
                </c:pt>
                <c:pt idx="191">
                  <c:v>88.250344884840729</c:v>
                </c:pt>
                <c:pt idx="192">
                  <c:v>88.250344884840729</c:v>
                </c:pt>
                <c:pt idx="193">
                  <c:v>88.250344884840729</c:v>
                </c:pt>
                <c:pt idx="194">
                  <c:v>88.250344884840729</c:v>
                </c:pt>
                <c:pt idx="195">
                  <c:v>88.250344884840729</c:v>
                </c:pt>
                <c:pt idx="196">
                  <c:v>88.250344884840729</c:v>
                </c:pt>
                <c:pt idx="197">
                  <c:v>88.250344884840729</c:v>
                </c:pt>
                <c:pt idx="198">
                  <c:v>88.250344884840729</c:v>
                </c:pt>
                <c:pt idx="199">
                  <c:v>88.250344884840729</c:v>
                </c:pt>
                <c:pt idx="200">
                  <c:v>88.250344884840729</c:v>
                </c:pt>
                <c:pt idx="201">
                  <c:v>88.250344884840729</c:v>
                </c:pt>
                <c:pt idx="202">
                  <c:v>88.250344884840729</c:v>
                </c:pt>
                <c:pt idx="203">
                  <c:v>88.250344884840729</c:v>
                </c:pt>
                <c:pt idx="204">
                  <c:v>88.250344884840729</c:v>
                </c:pt>
                <c:pt idx="205">
                  <c:v>88.250344884840729</c:v>
                </c:pt>
                <c:pt idx="206">
                  <c:v>88.250344884840729</c:v>
                </c:pt>
                <c:pt idx="207">
                  <c:v>88.250344884840729</c:v>
                </c:pt>
                <c:pt idx="208">
                  <c:v>88.250344884840729</c:v>
                </c:pt>
                <c:pt idx="209">
                  <c:v>88.250344884840729</c:v>
                </c:pt>
                <c:pt idx="210">
                  <c:v>88.250344884840729</c:v>
                </c:pt>
                <c:pt idx="211">
                  <c:v>88.250344884840729</c:v>
                </c:pt>
                <c:pt idx="212">
                  <c:v>88.250344884840729</c:v>
                </c:pt>
                <c:pt idx="213">
                  <c:v>88.250344884840729</c:v>
                </c:pt>
                <c:pt idx="214">
                  <c:v>88.250344884840729</c:v>
                </c:pt>
                <c:pt idx="215">
                  <c:v>88.250344884840729</c:v>
                </c:pt>
                <c:pt idx="216">
                  <c:v>88.250344884840729</c:v>
                </c:pt>
                <c:pt idx="217">
                  <c:v>88.250344884840729</c:v>
                </c:pt>
                <c:pt idx="218">
                  <c:v>88.250344884840729</c:v>
                </c:pt>
                <c:pt idx="219">
                  <c:v>88.250344884840729</c:v>
                </c:pt>
                <c:pt idx="220">
                  <c:v>88.250344884840729</c:v>
                </c:pt>
                <c:pt idx="221">
                  <c:v>88.250344884840729</c:v>
                </c:pt>
                <c:pt idx="222">
                  <c:v>88.250344884840729</c:v>
                </c:pt>
                <c:pt idx="223">
                  <c:v>88.250344884840729</c:v>
                </c:pt>
                <c:pt idx="224">
                  <c:v>88.250344884840729</c:v>
                </c:pt>
                <c:pt idx="225">
                  <c:v>88.250344884840729</c:v>
                </c:pt>
                <c:pt idx="226">
                  <c:v>88.250344884840729</c:v>
                </c:pt>
                <c:pt idx="227">
                  <c:v>88.250344884840729</c:v>
                </c:pt>
                <c:pt idx="228">
                  <c:v>88.250344884840729</c:v>
                </c:pt>
                <c:pt idx="229">
                  <c:v>88.250344884840729</c:v>
                </c:pt>
                <c:pt idx="230">
                  <c:v>88.250344884840729</c:v>
                </c:pt>
                <c:pt idx="231">
                  <c:v>88.250344884840729</c:v>
                </c:pt>
                <c:pt idx="232">
                  <c:v>88.250344884840729</c:v>
                </c:pt>
                <c:pt idx="233">
                  <c:v>88.250344884840729</c:v>
                </c:pt>
                <c:pt idx="234">
                  <c:v>88.250344884840729</c:v>
                </c:pt>
                <c:pt idx="235">
                  <c:v>88.250344884840729</c:v>
                </c:pt>
                <c:pt idx="236">
                  <c:v>88.250344884840729</c:v>
                </c:pt>
                <c:pt idx="237">
                  <c:v>88.250344884840729</c:v>
                </c:pt>
                <c:pt idx="238">
                  <c:v>88.250344884840729</c:v>
                </c:pt>
                <c:pt idx="239">
                  <c:v>88.250344884840729</c:v>
                </c:pt>
                <c:pt idx="240">
                  <c:v>88.250344884840729</c:v>
                </c:pt>
                <c:pt idx="241">
                  <c:v>88.250344884840729</c:v>
                </c:pt>
                <c:pt idx="242">
                  <c:v>88.250344884840729</c:v>
                </c:pt>
                <c:pt idx="243">
                  <c:v>88.250344884840729</c:v>
                </c:pt>
                <c:pt idx="244">
                  <c:v>88.250344884840729</c:v>
                </c:pt>
                <c:pt idx="245">
                  <c:v>88.250344884840729</c:v>
                </c:pt>
                <c:pt idx="246">
                  <c:v>88.250344884840729</c:v>
                </c:pt>
                <c:pt idx="247">
                  <c:v>88.250344884840729</c:v>
                </c:pt>
                <c:pt idx="248">
                  <c:v>88.250344884840729</c:v>
                </c:pt>
                <c:pt idx="249">
                  <c:v>88.250344884840729</c:v>
                </c:pt>
                <c:pt idx="250">
                  <c:v>88.250344884840729</c:v>
                </c:pt>
                <c:pt idx="251">
                  <c:v>88.250344884840729</c:v>
                </c:pt>
                <c:pt idx="252">
                  <c:v>88.250344884840729</c:v>
                </c:pt>
                <c:pt idx="253">
                  <c:v>88.250344884840729</c:v>
                </c:pt>
                <c:pt idx="254">
                  <c:v>88.250344884840729</c:v>
                </c:pt>
                <c:pt idx="255">
                  <c:v>88.250344884840729</c:v>
                </c:pt>
                <c:pt idx="256">
                  <c:v>88.250344884840729</c:v>
                </c:pt>
                <c:pt idx="257">
                  <c:v>88.250344884840729</c:v>
                </c:pt>
                <c:pt idx="258">
                  <c:v>88.250344884840729</c:v>
                </c:pt>
                <c:pt idx="259">
                  <c:v>88.250344884840729</c:v>
                </c:pt>
                <c:pt idx="260">
                  <c:v>88.250344884840729</c:v>
                </c:pt>
                <c:pt idx="261">
                  <c:v>88.250344884840729</c:v>
                </c:pt>
                <c:pt idx="262">
                  <c:v>88.250344884840729</c:v>
                </c:pt>
                <c:pt idx="263">
                  <c:v>88.250344884840729</c:v>
                </c:pt>
                <c:pt idx="264">
                  <c:v>88.250344884840729</c:v>
                </c:pt>
                <c:pt idx="265">
                  <c:v>88.250344884840729</c:v>
                </c:pt>
                <c:pt idx="266">
                  <c:v>88.250344884840729</c:v>
                </c:pt>
                <c:pt idx="267">
                  <c:v>88.250344884840729</c:v>
                </c:pt>
                <c:pt idx="268">
                  <c:v>88.250344884840729</c:v>
                </c:pt>
                <c:pt idx="269">
                  <c:v>88.250344884840729</c:v>
                </c:pt>
                <c:pt idx="270">
                  <c:v>88.250344884840729</c:v>
                </c:pt>
                <c:pt idx="271">
                  <c:v>88.250344884840729</c:v>
                </c:pt>
                <c:pt idx="272">
                  <c:v>88.250344884840729</c:v>
                </c:pt>
                <c:pt idx="273">
                  <c:v>88.250344884840729</c:v>
                </c:pt>
                <c:pt idx="274">
                  <c:v>88.250344884840729</c:v>
                </c:pt>
                <c:pt idx="275">
                  <c:v>88.250344884840729</c:v>
                </c:pt>
                <c:pt idx="276">
                  <c:v>88.250344884840729</c:v>
                </c:pt>
                <c:pt idx="277">
                  <c:v>88.250344884840729</c:v>
                </c:pt>
                <c:pt idx="278">
                  <c:v>88.250344884840729</c:v>
                </c:pt>
                <c:pt idx="279">
                  <c:v>88.250344884840729</c:v>
                </c:pt>
                <c:pt idx="280">
                  <c:v>88.250344884840729</c:v>
                </c:pt>
                <c:pt idx="281">
                  <c:v>88.250344884840729</c:v>
                </c:pt>
                <c:pt idx="282">
                  <c:v>88.250344884840729</c:v>
                </c:pt>
                <c:pt idx="283">
                  <c:v>88.250344884840729</c:v>
                </c:pt>
                <c:pt idx="284">
                  <c:v>88.250344884840729</c:v>
                </c:pt>
                <c:pt idx="285">
                  <c:v>88.250344884840729</c:v>
                </c:pt>
                <c:pt idx="286">
                  <c:v>88.250344884840729</c:v>
                </c:pt>
                <c:pt idx="287">
                  <c:v>88.250344884840729</c:v>
                </c:pt>
                <c:pt idx="288">
                  <c:v>88.250344884840729</c:v>
                </c:pt>
                <c:pt idx="289">
                  <c:v>88.250344884840729</c:v>
                </c:pt>
                <c:pt idx="290">
                  <c:v>88.250344884840729</c:v>
                </c:pt>
                <c:pt idx="291">
                  <c:v>88.250344884840729</c:v>
                </c:pt>
                <c:pt idx="292">
                  <c:v>88.250344884840729</c:v>
                </c:pt>
                <c:pt idx="293">
                  <c:v>88.250344884840729</c:v>
                </c:pt>
                <c:pt idx="294">
                  <c:v>88.250344884840729</c:v>
                </c:pt>
                <c:pt idx="295">
                  <c:v>88.250344884840729</c:v>
                </c:pt>
                <c:pt idx="296">
                  <c:v>88.250344884840729</c:v>
                </c:pt>
                <c:pt idx="297">
                  <c:v>88.250344884840729</c:v>
                </c:pt>
                <c:pt idx="298">
                  <c:v>88.250344884840729</c:v>
                </c:pt>
                <c:pt idx="299">
                  <c:v>88.250344884840729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97-4448-8DBA-874DDDE9B0C2}"/>
            </c:ext>
          </c:extLst>
        </c:ser>
        <c:ser>
          <c:idx val="2"/>
          <c:order val="2"/>
          <c:tx>
            <c:strRef>
              <c:f>HYBOX1_Particle_SPC!$G$9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HYBOX1_Particle_SPC!$G$10:$G$309</c:f>
              <c:numCache>
                <c:formatCode>General</c:formatCode>
                <c:ptCount val="300"/>
                <c:pt idx="0">
                  <c:v>44.976666666666667</c:v>
                </c:pt>
                <c:pt idx="1">
                  <c:v>44.976666666666667</c:v>
                </c:pt>
                <c:pt idx="2">
                  <c:v>44.976666666666667</c:v>
                </c:pt>
                <c:pt idx="3">
                  <c:v>44.976666666666667</c:v>
                </c:pt>
                <c:pt idx="4">
                  <c:v>44.976666666666667</c:v>
                </c:pt>
                <c:pt idx="5">
                  <c:v>44.976666666666667</c:v>
                </c:pt>
                <c:pt idx="6">
                  <c:v>44.976666666666667</c:v>
                </c:pt>
                <c:pt idx="7">
                  <c:v>44.976666666666667</c:v>
                </c:pt>
                <c:pt idx="8">
                  <c:v>44.976666666666667</c:v>
                </c:pt>
                <c:pt idx="9">
                  <c:v>44.976666666666667</c:v>
                </c:pt>
                <c:pt idx="10">
                  <c:v>44.976666666666667</c:v>
                </c:pt>
                <c:pt idx="11">
                  <c:v>44.976666666666667</c:v>
                </c:pt>
                <c:pt idx="12">
                  <c:v>44.976666666666667</c:v>
                </c:pt>
                <c:pt idx="13">
                  <c:v>44.976666666666667</c:v>
                </c:pt>
                <c:pt idx="14">
                  <c:v>44.976666666666667</c:v>
                </c:pt>
                <c:pt idx="15">
                  <c:v>44.976666666666667</c:v>
                </c:pt>
                <c:pt idx="16">
                  <c:v>44.976666666666667</c:v>
                </c:pt>
                <c:pt idx="17">
                  <c:v>44.976666666666667</c:v>
                </c:pt>
                <c:pt idx="18">
                  <c:v>44.976666666666667</c:v>
                </c:pt>
                <c:pt idx="19">
                  <c:v>44.976666666666667</c:v>
                </c:pt>
                <c:pt idx="20">
                  <c:v>44.976666666666667</c:v>
                </c:pt>
                <c:pt idx="21">
                  <c:v>44.976666666666667</c:v>
                </c:pt>
                <c:pt idx="22">
                  <c:v>44.976666666666667</c:v>
                </c:pt>
                <c:pt idx="23">
                  <c:v>44.976666666666667</c:v>
                </c:pt>
                <c:pt idx="24">
                  <c:v>44.976666666666667</c:v>
                </c:pt>
                <c:pt idx="25">
                  <c:v>44.976666666666667</c:v>
                </c:pt>
                <c:pt idx="26">
                  <c:v>44.976666666666667</c:v>
                </c:pt>
                <c:pt idx="27">
                  <c:v>44.976666666666667</c:v>
                </c:pt>
                <c:pt idx="28">
                  <c:v>44.976666666666667</c:v>
                </c:pt>
                <c:pt idx="29">
                  <c:v>44.976666666666667</c:v>
                </c:pt>
                <c:pt idx="30">
                  <c:v>44.976666666666667</c:v>
                </c:pt>
                <c:pt idx="31">
                  <c:v>44.976666666666667</c:v>
                </c:pt>
                <c:pt idx="32">
                  <c:v>44.976666666666667</c:v>
                </c:pt>
                <c:pt idx="33">
                  <c:v>44.976666666666667</c:v>
                </c:pt>
                <c:pt idx="34">
                  <c:v>44.976666666666667</c:v>
                </c:pt>
                <c:pt idx="35">
                  <c:v>44.976666666666667</c:v>
                </c:pt>
                <c:pt idx="36">
                  <c:v>44.976666666666667</c:v>
                </c:pt>
                <c:pt idx="37">
                  <c:v>44.976666666666667</c:v>
                </c:pt>
                <c:pt idx="38">
                  <c:v>44.976666666666667</c:v>
                </c:pt>
                <c:pt idx="39">
                  <c:v>44.976666666666667</c:v>
                </c:pt>
                <c:pt idx="40">
                  <c:v>44.976666666666667</c:v>
                </c:pt>
                <c:pt idx="41">
                  <c:v>44.976666666666667</c:v>
                </c:pt>
                <c:pt idx="42">
                  <c:v>44.976666666666667</c:v>
                </c:pt>
                <c:pt idx="43">
                  <c:v>44.976666666666667</c:v>
                </c:pt>
                <c:pt idx="44">
                  <c:v>44.976666666666667</c:v>
                </c:pt>
                <c:pt idx="45">
                  <c:v>44.976666666666667</c:v>
                </c:pt>
                <c:pt idx="46">
                  <c:v>44.976666666666667</c:v>
                </c:pt>
                <c:pt idx="47">
                  <c:v>44.976666666666667</c:v>
                </c:pt>
                <c:pt idx="48">
                  <c:v>44.976666666666667</c:v>
                </c:pt>
                <c:pt idx="49">
                  <c:v>44.976666666666667</c:v>
                </c:pt>
                <c:pt idx="50">
                  <c:v>44.976666666666667</c:v>
                </c:pt>
                <c:pt idx="51">
                  <c:v>44.976666666666667</c:v>
                </c:pt>
                <c:pt idx="52">
                  <c:v>44.976666666666667</c:v>
                </c:pt>
                <c:pt idx="53">
                  <c:v>44.976666666666667</c:v>
                </c:pt>
                <c:pt idx="54">
                  <c:v>44.976666666666667</c:v>
                </c:pt>
                <c:pt idx="55">
                  <c:v>44.976666666666667</c:v>
                </c:pt>
                <c:pt idx="56">
                  <c:v>44.976666666666667</c:v>
                </c:pt>
                <c:pt idx="57">
                  <c:v>44.976666666666667</c:v>
                </c:pt>
                <c:pt idx="58">
                  <c:v>44.976666666666667</c:v>
                </c:pt>
                <c:pt idx="59">
                  <c:v>44.976666666666667</c:v>
                </c:pt>
                <c:pt idx="60">
                  <c:v>44.976666666666667</c:v>
                </c:pt>
                <c:pt idx="61">
                  <c:v>44.976666666666667</c:v>
                </c:pt>
                <c:pt idx="62">
                  <c:v>44.976666666666667</c:v>
                </c:pt>
                <c:pt idx="63">
                  <c:v>44.976666666666667</c:v>
                </c:pt>
                <c:pt idx="64">
                  <c:v>44.976666666666667</c:v>
                </c:pt>
                <c:pt idx="65">
                  <c:v>44.976666666666667</c:v>
                </c:pt>
                <c:pt idx="66">
                  <c:v>44.976666666666667</c:v>
                </c:pt>
                <c:pt idx="67">
                  <c:v>44.976666666666667</c:v>
                </c:pt>
                <c:pt idx="68">
                  <c:v>44.976666666666667</c:v>
                </c:pt>
                <c:pt idx="69">
                  <c:v>44.976666666666667</c:v>
                </c:pt>
                <c:pt idx="70">
                  <c:v>44.976666666666667</c:v>
                </c:pt>
                <c:pt idx="71">
                  <c:v>44.976666666666667</c:v>
                </c:pt>
                <c:pt idx="72">
                  <c:v>44.976666666666667</c:v>
                </c:pt>
                <c:pt idx="73">
                  <c:v>44.976666666666667</c:v>
                </c:pt>
                <c:pt idx="74">
                  <c:v>44.976666666666667</c:v>
                </c:pt>
                <c:pt idx="75">
                  <c:v>44.976666666666667</c:v>
                </c:pt>
                <c:pt idx="76">
                  <c:v>44.976666666666667</c:v>
                </c:pt>
                <c:pt idx="77">
                  <c:v>44.976666666666667</c:v>
                </c:pt>
                <c:pt idx="78">
                  <c:v>44.976666666666667</c:v>
                </c:pt>
                <c:pt idx="79">
                  <c:v>44.976666666666667</c:v>
                </c:pt>
                <c:pt idx="80">
                  <c:v>44.976666666666667</c:v>
                </c:pt>
                <c:pt idx="81">
                  <c:v>44.976666666666667</c:v>
                </c:pt>
                <c:pt idx="82">
                  <c:v>44.976666666666667</c:v>
                </c:pt>
                <c:pt idx="83">
                  <c:v>44.976666666666667</c:v>
                </c:pt>
                <c:pt idx="84">
                  <c:v>44.976666666666667</c:v>
                </c:pt>
                <c:pt idx="85">
                  <c:v>44.976666666666667</c:v>
                </c:pt>
                <c:pt idx="86">
                  <c:v>44.976666666666667</c:v>
                </c:pt>
                <c:pt idx="87">
                  <c:v>44.976666666666667</c:v>
                </c:pt>
                <c:pt idx="88">
                  <c:v>44.976666666666667</c:v>
                </c:pt>
                <c:pt idx="89">
                  <c:v>44.976666666666667</c:v>
                </c:pt>
                <c:pt idx="90">
                  <c:v>44.976666666666667</c:v>
                </c:pt>
                <c:pt idx="91">
                  <c:v>44.976666666666667</c:v>
                </c:pt>
                <c:pt idx="92">
                  <c:v>44.976666666666667</c:v>
                </c:pt>
                <c:pt idx="93">
                  <c:v>44.976666666666667</c:v>
                </c:pt>
                <c:pt idx="94">
                  <c:v>44.976666666666667</c:v>
                </c:pt>
                <c:pt idx="95">
                  <c:v>44.976666666666667</c:v>
                </c:pt>
                <c:pt idx="96">
                  <c:v>44.976666666666667</c:v>
                </c:pt>
                <c:pt idx="97">
                  <c:v>44.976666666666667</c:v>
                </c:pt>
                <c:pt idx="98">
                  <c:v>44.976666666666667</c:v>
                </c:pt>
                <c:pt idx="99">
                  <c:v>44.976666666666667</c:v>
                </c:pt>
                <c:pt idx="100">
                  <c:v>44.976666666666667</c:v>
                </c:pt>
                <c:pt idx="101">
                  <c:v>44.976666666666667</c:v>
                </c:pt>
                <c:pt idx="102">
                  <c:v>44.976666666666667</c:v>
                </c:pt>
                <c:pt idx="103">
                  <c:v>44.976666666666667</c:v>
                </c:pt>
                <c:pt idx="104">
                  <c:v>44.976666666666667</c:v>
                </c:pt>
                <c:pt idx="105">
                  <c:v>44.976666666666667</c:v>
                </c:pt>
                <c:pt idx="106">
                  <c:v>44.976666666666667</c:v>
                </c:pt>
                <c:pt idx="107">
                  <c:v>44.976666666666667</c:v>
                </c:pt>
                <c:pt idx="108">
                  <c:v>44.976666666666667</c:v>
                </c:pt>
                <c:pt idx="109">
                  <c:v>44.976666666666667</c:v>
                </c:pt>
                <c:pt idx="110">
                  <c:v>44.976666666666667</c:v>
                </c:pt>
                <c:pt idx="111">
                  <c:v>44.976666666666667</c:v>
                </c:pt>
                <c:pt idx="112">
                  <c:v>44.976666666666667</c:v>
                </c:pt>
                <c:pt idx="113">
                  <c:v>44.976666666666667</c:v>
                </c:pt>
                <c:pt idx="114">
                  <c:v>44.976666666666667</c:v>
                </c:pt>
                <c:pt idx="115">
                  <c:v>44.976666666666667</c:v>
                </c:pt>
                <c:pt idx="116">
                  <c:v>44.976666666666667</c:v>
                </c:pt>
                <c:pt idx="117">
                  <c:v>44.976666666666667</c:v>
                </c:pt>
                <c:pt idx="118">
                  <c:v>44.976666666666667</c:v>
                </c:pt>
                <c:pt idx="119">
                  <c:v>44.976666666666667</c:v>
                </c:pt>
                <c:pt idx="120">
                  <c:v>44.976666666666667</c:v>
                </c:pt>
                <c:pt idx="121">
                  <c:v>44.976666666666667</c:v>
                </c:pt>
                <c:pt idx="122">
                  <c:v>44.976666666666667</c:v>
                </c:pt>
                <c:pt idx="123">
                  <c:v>44.976666666666667</c:v>
                </c:pt>
                <c:pt idx="124">
                  <c:v>44.976666666666667</c:v>
                </c:pt>
                <c:pt idx="125">
                  <c:v>44.976666666666667</c:v>
                </c:pt>
                <c:pt idx="126">
                  <c:v>44.976666666666667</c:v>
                </c:pt>
                <c:pt idx="127">
                  <c:v>44.976666666666667</c:v>
                </c:pt>
                <c:pt idx="128">
                  <c:v>44.976666666666667</c:v>
                </c:pt>
                <c:pt idx="129">
                  <c:v>44.976666666666667</c:v>
                </c:pt>
                <c:pt idx="130">
                  <c:v>44.976666666666667</c:v>
                </c:pt>
                <c:pt idx="131">
                  <c:v>44.976666666666667</c:v>
                </c:pt>
                <c:pt idx="132">
                  <c:v>44.976666666666667</c:v>
                </c:pt>
                <c:pt idx="133">
                  <c:v>44.976666666666667</c:v>
                </c:pt>
                <c:pt idx="134">
                  <c:v>44.976666666666667</c:v>
                </c:pt>
                <c:pt idx="135">
                  <c:v>44.976666666666667</c:v>
                </c:pt>
                <c:pt idx="136">
                  <c:v>44.976666666666667</c:v>
                </c:pt>
                <c:pt idx="137">
                  <c:v>44.976666666666667</c:v>
                </c:pt>
                <c:pt idx="138">
                  <c:v>44.976666666666667</c:v>
                </c:pt>
                <c:pt idx="139">
                  <c:v>44.976666666666667</c:v>
                </c:pt>
                <c:pt idx="140">
                  <c:v>44.976666666666667</c:v>
                </c:pt>
                <c:pt idx="141">
                  <c:v>44.976666666666667</c:v>
                </c:pt>
                <c:pt idx="142">
                  <c:v>44.976666666666667</c:v>
                </c:pt>
                <c:pt idx="143">
                  <c:v>44.976666666666667</c:v>
                </c:pt>
                <c:pt idx="144">
                  <c:v>44.976666666666667</c:v>
                </c:pt>
                <c:pt idx="145">
                  <c:v>44.976666666666667</c:v>
                </c:pt>
                <c:pt idx="146">
                  <c:v>44.976666666666667</c:v>
                </c:pt>
                <c:pt idx="147">
                  <c:v>44.976666666666667</c:v>
                </c:pt>
                <c:pt idx="148">
                  <c:v>44.976666666666667</c:v>
                </c:pt>
                <c:pt idx="149">
                  <c:v>44.976666666666667</c:v>
                </c:pt>
                <c:pt idx="150">
                  <c:v>44.976666666666667</c:v>
                </c:pt>
                <c:pt idx="151">
                  <c:v>44.976666666666667</c:v>
                </c:pt>
                <c:pt idx="152">
                  <c:v>44.976666666666667</c:v>
                </c:pt>
                <c:pt idx="153">
                  <c:v>44.976666666666667</c:v>
                </c:pt>
                <c:pt idx="154">
                  <c:v>44.976666666666667</c:v>
                </c:pt>
                <c:pt idx="155">
                  <c:v>44.976666666666667</c:v>
                </c:pt>
                <c:pt idx="156">
                  <c:v>44.976666666666667</c:v>
                </c:pt>
                <c:pt idx="157">
                  <c:v>44.976666666666667</c:v>
                </c:pt>
                <c:pt idx="158">
                  <c:v>44.976666666666667</c:v>
                </c:pt>
                <c:pt idx="159">
                  <c:v>44.976666666666667</c:v>
                </c:pt>
                <c:pt idx="160">
                  <c:v>44.976666666666667</c:v>
                </c:pt>
                <c:pt idx="161">
                  <c:v>44.976666666666667</c:v>
                </c:pt>
                <c:pt idx="162">
                  <c:v>44.976666666666667</c:v>
                </c:pt>
                <c:pt idx="163">
                  <c:v>44.976666666666667</c:v>
                </c:pt>
                <c:pt idx="164">
                  <c:v>44.976666666666667</c:v>
                </c:pt>
                <c:pt idx="165">
                  <c:v>44.976666666666667</c:v>
                </c:pt>
                <c:pt idx="166">
                  <c:v>44.976666666666667</c:v>
                </c:pt>
                <c:pt idx="167">
                  <c:v>44.976666666666667</c:v>
                </c:pt>
                <c:pt idx="168">
                  <c:v>44.976666666666667</c:v>
                </c:pt>
                <c:pt idx="169">
                  <c:v>44.976666666666667</c:v>
                </c:pt>
                <c:pt idx="170">
                  <c:v>44.976666666666667</c:v>
                </c:pt>
                <c:pt idx="171">
                  <c:v>44.976666666666667</c:v>
                </c:pt>
                <c:pt idx="172">
                  <c:v>44.976666666666667</c:v>
                </c:pt>
                <c:pt idx="173">
                  <c:v>44.976666666666667</c:v>
                </c:pt>
                <c:pt idx="174">
                  <c:v>44.976666666666667</c:v>
                </c:pt>
                <c:pt idx="175">
                  <c:v>44.976666666666667</c:v>
                </c:pt>
                <c:pt idx="176">
                  <c:v>44.976666666666667</c:v>
                </c:pt>
                <c:pt idx="177">
                  <c:v>44.976666666666667</c:v>
                </c:pt>
                <c:pt idx="178">
                  <c:v>44.976666666666667</c:v>
                </c:pt>
                <c:pt idx="179">
                  <c:v>44.976666666666667</c:v>
                </c:pt>
                <c:pt idx="180">
                  <c:v>44.976666666666667</c:v>
                </c:pt>
                <c:pt idx="181">
                  <c:v>44.976666666666667</c:v>
                </c:pt>
                <c:pt idx="182">
                  <c:v>44.976666666666667</c:v>
                </c:pt>
                <c:pt idx="183">
                  <c:v>44.976666666666667</c:v>
                </c:pt>
                <c:pt idx="184">
                  <c:v>44.976666666666667</c:v>
                </c:pt>
                <c:pt idx="185">
                  <c:v>44.976666666666667</c:v>
                </c:pt>
                <c:pt idx="186">
                  <c:v>44.976666666666667</c:v>
                </c:pt>
                <c:pt idx="187">
                  <c:v>44.976666666666667</c:v>
                </c:pt>
                <c:pt idx="188">
                  <c:v>44.976666666666667</c:v>
                </c:pt>
                <c:pt idx="189">
                  <c:v>44.976666666666667</c:v>
                </c:pt>
                <c:pt idx="190">
                  <c:v>44.976666666666667</c:v>
                </c:pt>
                <c:pt idx="191">
                  <c:v>44.976666666666667</c:v>
                </c:pt>
                <c:pt idx="192">
                  <c:v>44.976666666666667</c:v>
                </c:pt>
                <c:pt idx="193">
                  <c:v>44.976666666666667</c:v>
                </c:pt>
                <c:pt idx="194">
                  <c:v>44.976666666666667</c:v>
                </c:pt>
                <c:pt idx="195">
                  <c:v>44.976666666666667</c:v>
                </c:pt>
                <c:pt idx="196">
                  <c:v>44.976666666666667</c:v>
                </c:pt>
                <c:pt idx="197">
                  <c:v>44.976666666666667</c:v>
                </c:pt>
                <c:pt idx="198">
                  <c:v>44.976666666666667</c:v>
                </c:pt>
                <c:pt idx="199">
                  <c:v>44.976666666666667</c:v>
                </c:pt>
                <c:pt idx="200">
                  <c:v>44.976666666666667</c:v>
                </c:pt>
                <c:pt idx="201">
                  <c:v>44.976666666666667</c:v>
                </c:pt>
                <c:pt idx="202">
                  <c:v>44.976666666666667</c:v>
                </c:pt>
                <c:pt idx="203">
                  <c:v>44.976666666666667</c:v>
                </c:pt>
                <c:pt idx="204">
                  <c:v>44.976666666666667</c:v>
                </c:pt>
                <c:pt idx="205">
                  <c:v>44.976666666666667</c:v>
                </c:pt>
                <c:pt idx="206">
                  <c:v>44.976666666666667</c:v>
                </c:pt>
                <c:pt idx="207">
                  <c:v>44.976666666666667</c:v>
                </c:pt>
                <c:pt idx="208">
                  <c:v>44.976666666666667</c:v>
                </c:pt>
                <c:pt idx="209">
                  <c:v>44.976666666666667</c:v>
                </c:pt>
                <c:pt idx="210">
                  <c:v>44.976666666666667</c:v>
                </c:pt>
                <c:pt idx="211">
                  <c:v>44.976666666666667</c:v>
                </c:pt>
                <c:pt idx="212">
                  <c:v>44.976666666666667</c:v>
                </c:pt>
                <c:pt idx="213">
                  <c:v>44.976666666666667</c:v>
                </c:pt>
                <c:pt idx="214">
                  <c:v>44.976666666666667</c:v>
                </c:pt>
                <c:pt idx="215">
                  <c:v>44.976666666666667</c:v>
                </c:pt>
                <c:pt idx="216">
                  <c:v>44.976666666666667</c:v>
                </c:pt>
                <c:pt idx="217">
                  <c:v>44.976666666666667</c:v>
                </c:pt>
                <c:pt idx="218">
                  <c:v>44.976666666666667</c:v>
                </c:pt>
                <c:pt idx="219">
                  <c:v>44.976666666666667</c:v>
                </c:pt>
                <c:pt idx="220">
                  <c:v>44.976666666666667</c:v>
                </c:pt>
                <c:pt idx="221">
                  <c:v>44.976666666666667</c:v>
                </c:pt>
                <c:pt idx="222">
                  <c:v>44.976666666666667</c:v>
                </c:pt>
                <c:pt idx="223">
                  <c:v>44.976666666666667</c:v>
                </c:pt>
                <c:pt idx="224">
                  <c:v>44.976666666666667</c:v>
                </c:pt>
                <c:pt idx="225">
                  <c:v>44.976666666666667</c:v>
                </c:pt>
                <c:pt idx="226">
                  <c:v>44.976666666666667</c:v>
                </c:pt>
                <c:pt idx="227">
                  <c:v>44.976666666666667</c:v>
                </c:pt>
                <c:pt idx="228">
                  <c:v>44.976666666666667</c:v>
                </c:pt>
                <c:pt idx="229">
                  <c:v>44.976666666666667</c:v>
                </c:pt>
                <c:pt idx="230">
                  <c:v>44.976666666666667</c:v>
                </c:pt>
                <c:pt idx="231">
                  <c:v>44.976666666666667</c:v>
                </c:pt>
                <c:pt idx="232">
                  <c:v>44.976666666666667</c:v>
                </c:pt>
                <c:pt idx="233">
                  <c:v>44.976666666666667</c:v>
                </c:pt>
                <c:pt idx="234">
                  <c:v>44.976666666666667</c:v>
                </c:pt>
                <c:pt idx="235">
                  <c:v>44.976666666666667</c:v>
                </c:pt>
                <c:pt idx="236">
                  <c:v>44.976666666666667</c:v>
                </c:pt>
                <c:pt idx="237">
                  <c:v>44.976666666666667</c:v>
                </c:pt>
                <c:pt idx="238">
                  <c:v>44.976666666666667</c:v>
                </c:pt>
                <c:pt idx="239">
                  <c:v>44.976666666666667</c:v>
                </c:pt>
                <c:pt idx="240">
                  <c:v>44.976666666666667</c:v>
                </c:pt>
                <c:pt idx="241">
                  <c:v>44.976666666666667</c:v>
                </c:pt>
                <c:pt idx="242">
                  <c:v>44.976666666666667</c:v>
                </c:pt>
                <c:pt idx="243">
                  <c:v>44.976666666666667</c:v>
                </c:pt>
                <c:pt idx="244">
                  <c:v>44.976666666666667</c:v>
                </c:pt>
                <c:pt idx="245">
                  <c:v>44.976666666666667</c:v>
                </c:pt>
                <c:pt idx="246">
                  <c:v>44.976666666666667</c:v>
                </c:pt>
                <c:pt idx="247">
                  <c:v>44.976666666666667</c:v>
                </c:pt>
                <c:pt idx="248">
                  <c:v>44.976666666666667</c:v>
                </c:pt>
                <c:pt idx="249">
                  <c:v>44.976666666666667</c:v>
                </c:pt>
                <c:pt idx="250">
                  <c:v>44.976666666666667</c:v>
                </c:pt>
                <c:pt idx="251">
                  <c:v>44.976666666666667</c:v>
                </c:pt>
                <c:pt idx="252">
                  <c:v>44.976666666666667</c:v>
                </c:pt>
                <c:pt idx="253">
                  <c:v>44.976666666666667</c:v>
                </c:pt>
                <c:pt idx="254">
                  <c:v>44.976666666666667</c:v>
                </c:pt>
                <c:pt idx="255">
                  <c:v>44.976666666666667</c:v>
                </c:pt>
                <c:pt idx="256">
                  <c:v>44.976666666666667</c:v>
                </c:pt>
                <c:pt idx="257">
                  <c:v>44.976666666666667</c:v>
                </c:pt>
                <c:pt idx="258">
                  <c:v>44.976666666666667</c:v>
                </c:pt>
                <c:pt idx="259">
                  <c:v>44.976666666666667</c:v>
                </c:pt>
                <c:pt idx="260">
                  <c:v>44.976666666666667</c:v>
                </c:pt>
                <c:pt idx="261">
                  <c:v>44.976666666666667</c:v>
                </c:pt>
                <c:pt idx="262">
                  <c:v>44.976666666666667</c:v>
                </c:pt>
                <c:pt idx="263">
                  <c:v>44.976666666666667</c:v>
                </c:pt>
                <c:pt idx="264">
                  <c:v>44.976666666666667</c:v>
                </c:pt>
                <c:pt idx="265">
                  <c:v>44.976666666666667</c:v>
                </c:pt>
                <c:pt idx="266">
                  <c:v>44.976666666666667</c:v>
                </c:pt>
                <c:pt idx="267">
                  <c:v>44.976666666666667</c:v>
                </c:pt>
                <c:pt idx="268">
                  <c:v>44.976666666666667</c:v>
                </c:pt>
                <c:pt idx="269">
                  <c:v>44.976666666666667</c:v>
                </c:pt>
                <c:pt idx="270">
                  <c:v>44.976666666666667</c:v>
                </c:pt>
                <c:pt idx="271">
                  <c:v>44.976666666666667</c:v>
                </c:pt>
                <c:pt idx="272">
                  <c:v>44.976666666666667</c:v>
                </c:pt>
                <c:pt idx="273">
                  <c:v>44.976666666666667</c:v>
                </c:pt>
                <c:pt idx="274">
                  <c:v>44.976666666666667</c:v>
                </c:pt>
                <c:pt idx="275">
                  <c:v>44.976666666666667</c:v>
                </c:pt>
                <c:pt idx="276">
                  <c:v>44.976666666666667</c:v>
                </c:pt>
                <c:pt idx="277">
                  <c:v>44.976666666666667</c:v>
                </c:pt>
                <c:pt idx="278">
                  <c:v>44.976666666666667</c:v>
                </c:pt>
                <c:pt idx="279">
                  <c:v>44.976666666666667</c:v>
                </c:pt>
                <c:pt idx="280">
                  <c:v>44.976666666666667</c:v>
                </c:pt>
                <c:pt idx="281">
                  <c:v>44.976666666666667</c:v>
                </c:pt>
                <c:pt idx="282">
                  <c:v>44.976666666666667</c:v>
                </c:pt>
                <c:pt idx="283">
                  <c:v>44.976666666666667</c:v>
                </c:pt>
                <c:pt idx="284">
                  <c:v>44.976666666666667</c:v>
                </c:pt>
                <c:pt idx="285">
                  <c:v>44.976666666666667</c:v>
                </c:pt>
                <c:pt idx="286">
                  <c:v>44.976666666666667</c:v>
                </c:pt>
                <c:pt idx="287">
                  <c:v>44.976666666666667</c:v>
                </c:pt>
                <c:pt idx="288">
                  <c:v>44.976666666666667</c:v>
                </c:pt>
                <c:pt idx="289">
                  <c:v>44.976666666666667</c:v>
                </c:pt>
                <c:pt idx="290">
                  <c:v>44.976666666666667</c:v>
                </c:pt>
                <c:pt idx="291">
                  <c:v>44.976666666666667</c:v>
                </c:pt>
                <c:pt idx="292">
                  <c:v>44.976666666666667</c:v>
                </c:pt>
                <c:pt idx="293">
                  <c:v>44.976666666666667</c:v>
                </c:pt>
                <c:pt idx="294">
                  <c:v>44.976666666666667</c:v>
                </c:pt>
                <c:pt idx="295">
                  <c:v>44.976666666666667</c:v>
                </c:pt>
                <c:pt idx="296">
                  <c:v>44.976666666666667</c:v>
                </c:pt>
                <c:pt idx="297">
                  <c:v>44.976666666666667</c:v>
                </c:pt>
                <c:pt idx="298">
                  <c:v>44.976666666666667</c:v>
                </c:pt>
                <c:pt idx="299">
                  <c:v>44.976666666666667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97-4448-8DBA-874DDDE9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HYBOX1_Particle_SPC!$F$9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HYBOX1_Particle_SPC!$F$10:$F$309</c:f>
              <c:numCache>
                <c:formatCode>General</c:formatCode>
                <c:ptCount val="300"/>
                <c:pt idx="1">
                  <c:v>13</c:v>
                </c:pt>
                <c:pt idx="2">
                  <c:v>68</c:v>
                </c:pt>
                <c:pt idx="3">
                  <c:v>27</c:v>
                </c:pt>
                <c:pt idx="4">
                  <c:v>22</c:v>
                </c:pt>
                <c:pt idx="5">
                  <c:v>51</c:v>
                </c:pt>
                <c:pt idx="6">
                  <c:v>28</c:v>
                </c:pt>
                <c:pt idx="7">
                  <c:v>20</c:v>
                </c:pt>
                <c:pt idx="8">
                  <c:v>32</c:v>
                </c:pt>
                <c:pt idx="9">
                  <c:v>9</c:v>
                </c:pt>
                <c:pt idx="10">
                  <c:v>63</c:v>
                </c:pt>
                <c:pt idx="11">
                  <c:v>4</c:v>
                </c:pt>
                <c:pt idx="12">
                  <c:v>9</c:v>
                </c:pt>
                <c:pt idx="13">
                  <c:v>9</c:v>
                </c:pt>
                <c:pt idx="14">
                  <c:v>52</c:v>
                </c:pt>
                <c:pt idx="15">
                  <c:v>50</c:v>
                </c:pt>
                <c:pt idx="16">
                  <c:v>48</c:v>
                </c:pt>
                <c:pt idx="17">
                  <c:v>62</c:v>
                </c:pt>
                <c:pt idx="18">
                  <c:v>40</c:v>
                </c:pt>
                <c:pt idx="19">
                  <c:v>38</c:v>
                </c:pt>
                <c:pt idx="20">
                  <c:v>30</c:v>
                </c:pt>
                <c:pt idx="21">
                  <c:v>14</c:v>
                </c:pt>
                <c:pt idx="22">
                  <c:v>46</c:v>
                </c:pt>
                <c:pt idx="23">
                  <c:v>6</c:v>
                </c:pt>
                <c:pt idx="24">
                  <c:v>2</c:v>
                </c:pt>
                <c:pt idx="25">
                  <c:v>15</c:v>
                </c:pt>
                <c:pt idx="26">
                  <c:v>8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3</c:v>
                </c:pt>
                <c:pt idx="32">
                  <c:v>7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22</c:v>
                </c:pt>
                <c:pt idx="37">
                  <c:v>1</c:v>
                </c:pt>
                <c:pt idx="38">
                  <c:v>24</c:v>
                </c:pt>
                <c:pt idx="39">
                  <c:v>23</c:v>
                </c:pt>
                <c:pt idx="40">
                  <c:v>4</c:v>
                </c:pt>
                <c:pt idx="41">
                  <c:v>15</c:v>
                </c:pt>
                <c:pt idx="42">
                  <c:v>6</c:v>
                </c:pt>
                <c:pt idx="43">
                  <c:v>2</c:v>
                </c:pt>
                <c:pt idx="44">
                  <c:v>13</c:v>
                </c:pt>
                <c:pt idx="45">
                  <c:v>11</c:v>
                </c:pt>
                <c:pt idx="46">
                  <c:v>10</c:v>
                </c:pt>
                <c:pt idx="47">
                  <c:v>7</c:v>
                </c:pt>
                <c:pt idx="48">
                  <c:v>0</c:v>
                </c:pt>
                <c:pt idx="49">
                  <c:v>4</c:v>
                </c:pt>
                <c:pt idx="50">
                  <c:v>32</c:v>
                </c:pt>
                <c:pt idx="51">
                  <c:v>16</c:v>
                </c:pt>
                <c:pt idx="52">
                  <c:v>27</c:v>
                </c:pt>
                <c:pt idx="53">
                  <c:v>6</c:v>
                </c:pt>
                <c:pt idx="54">
                  <c:v>15</c:v>
                </c:pt>
                <c:pt idx="55">
                  <c:v>16</c:v>
                </c:pt>
                <c:pt idx="56">
                  <c:v>15</c:v>
                </c:pt>
                <c:pt idx="57">
                  <c:v>14</c:v>
                </c:pt>
                <c:pt idx="58">
                  <c:v>15</c:v>
                </c:pt>
                <c:pt idx="59">
                  <c:v>16</c:v>
                </c:pt>
                <c:pt idx="60">
                  <c:v>3</c:v>
                </c:pt>
                <c:pt idx="61">
                  <c:v>23</c:v>
                </c:pt>
                <c:pt idx="62">
                  <c:v>25</c:v>
                </c:pt>
                <c:pt idx="63">
                  <c:v>17</c:v>
                </c:pt>
                <c:pt idx="64">
                  <c:v>38</c:v>
                </c:pt>
                <c:pt idx="65">
                  <c:v>27</c:v>
                </c:pt>
                <c:pt idx="66">
                  <c:v>25</c:v>
                </c:pt>
                <c:pt idx="67">
                  <c:v>23</c:v>
                </c:pt>
                <c:pt idx="68">
                  <c:v>3</c:v>
                </c:pt>
                <c:pt idx="69">
                  <c:v>38</c:v>
                </c:pt>
                <c:pt idx="70">
                  <c:v>11</c:v>
                </c:pt>
                <c:pt idx="71">
                  <c:v>5</c:v>
                </c:pt>
                <c:pt idx="72">
                  <c:v>5</c:v>
                </c:pt>
                <c:pt idx="73">
                  <c:v>12</c:v>
                </c:pt>
                <c:pt idx="74">
                  <c:v>3</c:v>
                </c:pt>
                <c:pt idx="75">
                  <c:v>0</c:v>
                </c:pt>
                <c:pt idx="76">
                  <c:v>10</c:v>
                </c:pt>
                <c:pt idx="77">
                  <c:v>4</c:v>
                </c:pt>
                <c:pt idx="78">
                  <c:v>11</c:v>
                </c:pt>
                <c:pt idx="79">
                  <c:v>14</c:v>
                </c:pt>
                <c:pt idx="80">
                  <c:v>9</c:v>
                </c:pt>
                <c:pt idx="81">
                  <c:v>23</c:v>
                </c:pt>
                <c:pt idx="82">
                  <c:v>22</c:v>
                </c:pt>
                <c:pt idx="83">
                  <c:v>4</c:v>
                </c:pt>
                <c:pt idx="84">
                  <c:v>37</c:v>
                </c:pt>
                <c:pt idx="85">
                  <c:v>11</c:v>
                </c:pt>
                <c:pt idx="86">
                  <c:v>12</c:v>
                </c:pt>
                <c:pt idx="87">
                  <c:v>4</c:v>
                </c:pt>
                <c:pt idx="88">
                  <c:v>14</c:v>
                </c:pt>
                <c:pt idx="89">
                  <c:v>10</c:v>
                </c:pt>
                <c:pt idx="90">
                  <c:v>7</c:v>
                </c:pt>
                <c:pt idx="91">
                  <c:v>5</c:v>
                </c:pt>
                <c:pt idx="92">
                  <c:v>2</c:v>
                </c:pt>
                <c:pt idx="93">
                  <c:v>7</c:v>
                </c:pt>
                <c:pt idx="94">
                  <c:v>6</c:v>
                </c:pt>
                <c:pt idx="95">
                  <c:v>3</c:v>
                </c:pt>
                <c:pt idx="96">
                  <c:v>6</c:v>
                </c:pt>
                <c:pt idx="97">
                  <c:v>5</c:v>
                </c:pt>
                <c:pt idx="98">
                  <c:v>11</c:v>
                </c:pt>
                <c:pt idx="99">
                  <c:v>12</c:v>
                </c:pt>
                <c:pt idx="100">
                  <c:v>32</c:v>
                </c:pt>
                <c:pt idx="101">
                  <c:v>28</c:v>
                </c:pt>
                <c:pt idx="102">
                  <c:v>10</c:v>
                </c:pt>
                <c:pt idx="103">
                  <c:v>12</c:v>
                </c:pt>
                <c:pt idx="104">
                  <c:v>31</c:v>
                </c:pt>
                <c:pt idx="105">
                  <c:v>18</c:v>
                </c:pt>
                <c:pt idx="106">
                  <c:v>44</c:v>
                </c:pt>
                <c:pt idx="107">
                  <c:v>62</c:v>
                </c:pt>
                <c:pt idx="108">
                  <c:v>9</c:v>
                </c:pt>
                <c:pt idx="109">
                  <c:v>9</c:v>
                </c:pt>
                <c:pt idx="110">
                  <c:v>15</c:v>
                </c:pt>
                <c:pt idx="111">
                  <c:v>14</c:v>
                </c:pt>
                <c:pt idx="112">
                  <c:v>3</c:v>
                </c:pt>
                <c:pt idx="113">
                  <c:v>9</c:v>
                </c:pt>
                <c:pt idx="114">
                  <c:v>6</c:v>
                </c:pt>
                <c:pt idx="115">
                  <c:v>3</c:v>
                </c:pt>
                <c:pt idx="116">
                  <c:v>7</c:v>
                </c:pt>
                <c:pt idx="117">
                  <c:v>4</c:v>
                </c:pt>
                <c:pt idx="118">
                  <c:v>1</c:v>
                </c:pt>
                <c:pt idx="119">
                  <c:v>12</c:v>
                </c:pt>
                <c:pt idx="120">
                  <c:v>46</c:v>
                </c:pt>
                <c:pt idx="121">
                  <c:v>57</c:v>
                </c:pt>
                <c:pt idx="122">
                  <c:v>1</c:v>
                </c:pt>
                <c:pt idx="123">
                  <c:v>12</c:v>
                </c:pt>
                <c:pt idx="124">
                  <c:v>46</c:v>
                </c:pt>
                <c:pt idx="125">
                  <c:v>63</c:v>
                </c:pt>
                <c:pt idx="126">
                  <c:v>5</c:v>
                </c:pt>
                <c:pt idx="127">
                  <c:v>17</c:v>
                </c:pt>
                <c:pt idx="128">
                  <c:v>7</c:v>
                </c:pt>
                <c:pt idx="129">
                  <c:v>1</c:v>
                </c:pt>
                <c:pt idx="130">
                  <c:v>4</c:v>
                </c:pt>
                <c:pt idx="131">
                  <c:v>7</c:v>
                </c:pt>
                <c:pt idx="132">
                  <c:v>8</c:v>
                </c:pt>
                <c:pt idx="133">
                  <c:v>6</c:v>
                </c:pt>
                <c:pt idx="134">
                  <c:v>47</c:v>
                </c:pt>
                <c:pt idx="135">
                  <c:v>54</c:v>
                </c:pt>
                <c:pt idx="136">
                  <c:v>1</c:v>
                </c:pt>
                <c:pt idx="137">
                  <c:v>24</c:v>
                </c:pt>
                <c:pt idx="138">
                  <c:v>10</c:v>
                </c:pt>
                <c:pt idx="139">
                  <c:v>0</c:v>
                </c:pt>
                <c:pt idx="140">
                  <c:v>10</c:v>
                </c:pt>
                <c:pt idx="141">
                  <c:v>7</c:v>
                </c:pt>
                <c:pt idx="142">
                  <c:v>3</c:v>
                </c:pt>
                <c:pt idx="143">
                  <c:v>5</c:v>
                </c:pt>
                <c:pt idx="144">
                  <c:v>0</c:v>
                </c:pt>
                <c:pt idx="145">
                  <c:v>14</c:v>
                </c:pt>
                <c:pt idx="146">
                  <c:v>9</c:v>
                </c:pt>
                <c:pt idx="147">
                  <c:v>3</c:v>
                </c:pt>
                <c:pt idx="148">
                  <c:v>9</c:v>
                </c:pt>
                <c:pt idx="149">
                  <c:v>2</c:v>
                </c:pt>
                <c:pt idx="150">
                  <c:v>8</c:v>
                </c:pt>
                <c:pt idx="151">
                  <c:v>33</c:v>
                </c:pt>
                <c:pt idx="152">
                  <c:v>18</c:v>
                </c:pt>
                <c:pt idx="153">
                  <c:v>8</c:v>
                </c:pt>
                <c:pt idx="154">
                  <c:v>1</c:v>
                </c:pt>
                <c:pt idx="155">
                  <c:v>6</c:v>
                </c:pt>
                <c:pt idx="156">
                  <c:v>4</c:v>
                </c:pt>
                <c:pt idx="157">
                  <c:v>11</c:v>
                </c:pt>
                <c:pt idx="158">
                  <c:v>3</c:v>
                </c:pt>
                <c:pt idx="159">
                  <c:v>16</c:v>
                </c:pt>
                <c:pt idx="160">
                  <c:v>115</c:v>
                </c:pt>
                <c:pt idx="161">
                  <c:v>148</c:v>
                </c:pt>
                <c:pt idx="162">
                  <c:v>6</c:v>
                </c:pt>
                <c:pt idx="163">
                  <c:v>47</c:v>
                </c:pt>
                <c:pt idx="164">
                  <c:v>21</c:v>
                </c:pt>
                <c:pt idx="165">
                  <c:v>36</c:v>
                </c:pt>
                <c:pt idx="166">
                  <c:v>4</c:v>
                </c:pt>
                <c:pt idx="167">
                  <c:v>6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19</c:v>
                </c:pt>
                <c:pt idx="172">
                  <c:v>24</c:v>
                </c:pt>
                <c:pt idx="173">
                  <c:v>10</c:v>
                </c:pt>
                <c:pt idx="174">
                  <c:v>0</c:v>
                </c:pt>
                <c:pt idx="175">
                  <c:v>21</c:v>
                </c:pt>
                <c:pt idx="176">
                  <c:v>0</c:v>
                </c:pt>
                <c:pt idx="177">
                  <c:v>38</c:v>
                </c:pt>
                <c:pt idx="178">
                  <c:v>13</c:v>
                </c:pt>
                <c:pt idx="179">
                  <c:v>1</c:v>
                </c:pt>
                <c:pt idx="180">
                  <c:v>4</c:v>
                </c:pt>
                <c:pt idx="181">
                  <c:v>0</c:v>
                </c:pt>
                <c:pt idx="182">
                  <c:v>10</c:v>
                </c:pt>
                <c:pt idx="183">
                  <c:v>22</c:v>
                </c:pt>
                <c:pt idx="184">
                  <c:v>9</c:v>
                </c:pt>
                <c:pt idx="185">
                  <c:v>0</c:v>
                </c:pt>
                <c:pt idx="186">
                  <c:v>2</c:v>
                </c:pt>
                <c:pt idx="187">
                  <c:v>4</c:v>
                </c:pt>
                <c:pt idx="188">
                  <c:v>2</c:v>
                </c:pt>
                <c:pt idx="189">
                  <c:v>6</c:v>
                </c:pt>
                <c:pt idx="190">
                  <c:v>2</c:v>
                </c:pt>
                <c:pt idx="191">
                  <c:v>7</c:v>
                </c:pt>
                <c:pt idx="192">
                  <c:v>2</c:v>
                </c:pt>
                <c:pt idx="193">
                  <c:v>29</c:v>
                </c:pt>
                <c:pt idx="194">
                  <c:v>5</c:v>
                </c:pt>
                <c:pt idx="195">
                  <c:v>3</c:v>
                </c:pt>
                <c:pt idx="196">
                  <c:v>57</c:v>
                </c:pt>
                <c:pt idx="197">
                  <c:v>4</c:v>
                </c:pt>
                <c:pt idx="198">
                  <c:v>8</c:v>
                </c:pt>
                <c:pt idx="199">
                  <c:v>1</c:v>
                </c:pt>
                <c:pt idx="200">
                  <c:v>1</c:v>
                </c:pt>
                <c:pt idx="201">
                  <c:v>53</c:v>
                </c:pt>
                <c:pt idx="202">
                  <c:v>25</c:v>
                </c:pt>
                <c:pt idx="203">
                  <c:v>14</c:v>
                </c:pt>
                <c:pt idx="204">
                  <c:v>27</c:v>
                </c:pt>
                <c:pt idx="205">
                  <c:v>2</c:v>
                </c:pt>
                <c:pt idx="206">
                  <c:v>10</c:v>
                </c:pt>
                <c:pt idx="207">
                  <c:v>33</c:v>
                </c:pt>
                <c:pt idx="208">
                  <c:v>43</c:v>
                </c:pt>
                <c:pt idx="209">
                  <c:v>9</c:v>
                </c:pt>
                <c:pt idx="210">
                  <c:v>23</c:v>
                </c:pt>
                <c:pt idx="211">
                  <c:v>16</c:v>
                </c:pt>
                <c:pt idx="212">
                  <c:v>10</c:v>
                </c:pt>
                <c:pt idx="213">
                  <c:v>7</c:v>
                </c:pt>
                <c:pt idx="214">
                  <c:v>113</c:v>
                </c:pt>
                <c:pt idx="215">
                  <c:v>136</c:v>
                </c:pt>
                <c:pt idx="216">
                  <c:v>11</c:v>
                </c:pt>
                <c:pt idx="217">
                  <c:v>21</c:v>
                </c:pt>
                <c:pt idx="218">
                  <c:v>27</c:v>
                </c:pt>
                <c:pt idx="219">
                  <c:v>17</c:v>
                </c:pt>
                <c:pt idx="220">
                  <c:v>8</c:v>
                </c:pt>
                <c:pt idx="221">
                  <c:v>3</c:v>
                </c:pt>
                <c:pt idx="222">
                  <c:v>14</c:v>
                </c:pt>
                <c:pt idx="223">
                  <c:v>12</c:v>
                </c:pt>
                <c:pt idx="224">
                  <c:v>8</c:v>
                </c:pt>
                <c:pt idx="225">
                  <c:v>24</c:v>
                </c:pt>
                <c:pt idx="226">
                  <c:v>31</c:v>
                </c:pt>
                <c:pt idx="227">
                  <c:v>2</c:v>
                </c:pt>
                <c:pt idx="228">
                  <c:v>3</c:v>
                </c:pt>
                <c:pt idx="229">
                  <c:v>4</c:v>
                </c:pt>
                <c:pt idx="230">
                  <c:v>6</c:v>
                </c:pt>
                <c:pt idx="231">
                  <c:v>3</c:v>
                </c:pt>
                <c:pt idx="232">
                  <c:v>1</c:v>
                </c:pt>
                <c:pt idx="233">
                  <c:v>9</c:v>
                </c:pt>
                <c:pt idx="234">
                  <c:v>12</c:v>
                </c:pt>
                <c:pt idx="235">
                  <c:v>13</c:v>
                </c:pt>
                <c:pt idx="236">
                  <c:v>16</c:v>
                </c:pt>
                <c:pt idx="237">
                  <c:v>14</c:v>
                </c:pt>
                <c:pt idx="238">
                  <c:v>27</c:v>
                </c:pt>
                <c:pt idx="239">
                  <c:v>20</c:v>
                </c:pt>
                <c:pt idx="240">
                  <c:v>5</c:v>
                </c:pt>
                <c:pt idx="241">
                  <c:v>9</c:v>
                </c:pt>
                <c:pt idx="242">
                  <c:v>8</c:v>
                </c:pt>
                <c:pt idx="243">
                  <c:v>36</c:v>
                </c:pt>
                <c:pt idx="244">
                  <c:v>3</c:v>
                </c:pt>
                <c:pt idx="245">
                  <c:v>2</c:v>
                </c:pt>
                <c:pt idx="246">
                  <c:v>8</c:v>
                </c:pt>
                <c:pt idx="247">
                  <c:v>34</c:v>
                </c:pt>
                <c:pt idx="248">
                  <c:v>25</c:v>
                </c:pt>
                <c:pt idx="249">
                  <c:v>3</c:v>
                </c:pt>
                <c:pt idx="250">
                  <c:v>19</c:v>
                </c:pt>
                <c:pt idx="251">
                  <c:v>15</c:v>
                </c:pt>
                <c:pt idx="252">
                  <c:v>8</c:v>
                </c:pt>
                <c:pt idx="253">
                  <c:v>9</c:v>
                </c:pt>
                <c:pt idx="254">
                  <c:v>15</c:v>
                </c:pt>
                <c:pt idx="255">
                  <c:v>7</c:v>
                </c:pt>
                <c:pt idx="256">
                  <c:v>13</c:v>
                </c:pt>
                <c:pt idx="257">
                  <c:v>19</c:v>
                </c:pt>
                <c:pt idx="258">
                  <c:v>1</c:v>
                </c:pt>
                <c:pt idx="259">
                  <c:v>14</c:v>
                </c:pt>
                <c:pt idx="260">
                  <c:v>10</c:v>
                </c:pt>
                <c:pt idx="261">
                  <c:v>7</c:v>
                </c:pt>
                <c:pt idx="262">
                  <c:v>2</c:v>
                </c:pt>
                <c:pt idx="263">
                  <c:v>1</c:v>
                </c:pt>
                <c:pt idx="264">
                  <c:v>7</c:v>
                </c:pt>
                <c:pt idx="265">
                  <c:v>1</c:v>
                </c:pt>
                <c:pt idx="266">
                  <c:v>29</c:v>
                </c:pt>
                <c:pt idx="267">
                  <c:v>18</c:v>
                </c:pt>
                <c:pt idx="268">
                  <c:v>5</c:v>
                </c:pt>
                <c:pt idx="269">
                  <c:v>7</c:v>
                </c:pt>
                <c:pt idx="270">
                  <c:v>8</c:v>
                </c:pt>
                <c:pt idx="271">
                  <c:v>15</c:v>
                </c:pt>
                <c:pt idx="272">
                  <c:v>9</c:v>
                </c:pt>
                <c:pt idx="273">
                  <c:v>1</c:v>
                </c:pt>
                <c:pt idx="274">
                  <c:v>28</c:v>
                </c:pt>
                <c:pt idx="275">
                  <c:v>8</c:v>
                </c:pt>
                <c:pt idx="276">
                  <c:v>13</c:v>
                </c:pt>
                <c:pt idx="277">
                  <c:v>5</c:v>
                </c:pt>
                <c:pt idx="278">
                  <c:v>15</c:v>
                </c:pt>
                <c:pt idx="279">
                  <c:v>2</c:v>
                </c:pt>
                <c:pt idx="280">
                  <c:v>4</c:v>
                </c:pt>
                <c:pt idx="281">
                  <c:v>27</c:v>
                </c:pt>
                <c:pt idx="282">
                  <c:v>31</c:v>
                </c:pt>
                <c:pt idx="283">
                  <c:v>21</c:v>
                </c:pt>
                <c:pt idx="284">
                  <c:v>0</c:v>
                </c:pt>
                <c:pt idx="285">
                  <c:v>22</c:v>
                </c:pt>
                <c:pt idx="286">
                  <c:v>26</c:v>
                </c:pt>
                <c:pt idx="287">
                  <c:v>1</c:v>
                </c:pt>
                <c:pt idx="288">
                  <c:v>10</c:v>
                </c:pt>
                <c:pt idx="289">
                  <c:v>47</c:v>
                </c:pt>
                <c:pt idx="290">
                  <c:v>6</c:v>
                </c:pt>
                <c:pt idx="291">
                  <c:v>88</c:v>
                </c:pt>
                <c:pt idx="292">
                  <c:v>3</c:v>
                </c:pt>
                <c:pt idx="293">
                  <c:v>6</c:v>
                </c:pt>
                <c:pt idx="294">
                  <c:v>3</c:v>
                </c:pt>
                <c:pt idx="295">
                  <c:v>5</c:v>
                </c:pt>
                <c:pt idx="296">
                  <c:v>29</c:v>
                </c:pt>
                <c:pt idx="297">
                  <c:v>13</c:v>
                </c:pt>
                <c:pt idx="298">
                  <c:v>18</c:v>
                </c:pt>
                <c:pt idx="299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73-4081-AAA0-2765D8044A45}"/>
            </c:ext>
          </c:extLst>
        </c:ser>
        <c:ser>
          <c:idx val="1"/>
          <c:order val="1"/>
          <c:tx>
            <c:strRef>
              <c:f>HYBOX1_Particle_SPC!$I$9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HYBOX1_Particle_SPC!$I$10:$I$309</c:f>
              <c:numCache>
                <c:formatCode>General</c:formatCode>
                <c:ptCount val="300"/>
                <c:pt idx="0">
                  <c:v>53.157040133779255</c:v>
                </c:pt>
                <c:pt idx="1">
                  <c:v>53.157040133779255</c:v>
                </c:pt>
                <c:pt idx="2">
                  <c:v>53.157040133779255</c:v>
                </c:pt>
                <c:pt idx="3">
                  <c:v>53.157040133779255</c:v>
                </c:pt>
                <c:pt idx="4">
                  <c:v>53.157040133779255</c:v>
                </c:pt>
                <c:pt idx="5">
                  <c:v>53.157040133779255</c:v>
                </c:pt>
                <c:pt idx="6">
                  <c:v>53.157040133779255</c:v>
                </c:pt>
                <c:pt idx="7">
                  <c:v>53.157040133779255</c:v>
                </c:pt>
                <c:pt idx="8">
                  <c:v>53.157040133779255</c:v>
                </c:pt>
                <c:pt idx="9">
                  <c:v>53.157040133779255</c:v>
                </c:pt>
                <c:pt idx="10">
                  <c:v>53.157040133779255</c:v>
                </c:pt>
                <c:pt idx="11">
                  <c:v>53.157040133779255</c:v>
                </c:pt>
                <c:pt idx="12">
                  <c:v>53.157040133779255</c:v>
                </c:pt>
                <c:pt idx="13">
                  <c:v>53.157040133779255</c:v>
                </c:pt>
                <c:pt idx="14">
                  <c:v>53.157040133779255</c:v>
                </c:pt>
                <c:pt idx="15">
                  <c:v>53.157040133779255</c:v>
                </c:pt>
                <c:pt idx="16">
                  <c:v>53.157040133779255</c:v>
                </c:pt>
                <c:pt idx="17">
                  <c:v>53.157040133779255</c:v>
                </c:pt>
                <c:pt idx="18">
                  <c:v>53.157040133779255</c:v>
                </c:pt>
                <c:pt idx="19">
                  <c:v>53.157040133779255</c:v>
                </c:pt>
                <c:pt idx="20">
                  <c:v>53.157040133779255</c:v>
                </c:pt>
                <c:pt idx="21">
                  <c:v>53.157040133779255</c:v>
                </c:pt>
                <c:pt idx="22">
                  <c:v>53.157040133779255</c:v>
                </c:pt>
                <c:pt idx="23">
                  <c:v>53.157040133779255</c:v>
                </c:pt>
                <c:pt idx="24">
                  <c:v>53.157040133779255</c:v>
                </c:pt>
                <c:pt idx="25">
                  <c:v>53.157040133779255</c:v>
                </c:pt>
                <c:pt idx="26">
                  <c:v>53.157040133779255</c:v>
                </c:pt>
                <c:pt idx="27">
                  <c:v>53.157040133779255</c:v>
                </c:pt>
                <c:pt idx="28">
                  <c:v>53.157040133779255</c:v>
                </c:pt>
                <c:pt idx="29">
                  <c:v>53.157040133779255</c:v>
                </c:pt>
                <c:pt idx="30">
                  <c:v>53.157040133779255</c:v>
                </c:pt>
                <c:pt idx="31">
                  <c:v>53.157040133779255</c:v>
                </c:pt>
                <c:pt idx="32">
                  <c:v>53.157040133779255</c:v>
                </c:pt>
                <c:pt idx="33">
                  <c:v>53.157040133779255</c:v>
                </c:pt>
                <c:pt idx="34">
                  <c:v>53.157040133779255</c:v>
                </c:pt>
                <c:pt idx="35">
                  <c:v>53.157040133779255</c:v>
                </c:pt>
                <c:pt idx="36">
                  <c:v>53.157040133779255</c:v>
                </c:pt>
                <c:pt idx="37">
                  <c:v>53.157040133779255</c:v>
                </c:pt>
                <c:pt idx="38">
                  <c:v>53.157040133779255</c:v>
                </c:pt>
                <c:pt idx="39">
                  <c:v>53.157040133779255</c:v>
                </c:pt>
                <c:pt idx="40">
                  <c:v>53.157040133779255</c:v>
                </c:pt>
                <c:pt idx="41">
                  <c:v>53.157040133779255</c:v>
                </c:pt>
                <c:pt idx="42">
                  <c:v>53.157040133779255</c:v>
                </c:pt>
                <c:pt idx="43">
                  <c:v>53.157040133779255</c:v>
                </c:pt>
                <c:pt idx="44">
                  <c:v>53.157040133779255</c:v>
                </c:pt>
                <c:pt idx="45">
                  <c:v>53.157040133779255</c:v>
                </c:pt>
                <c:pt idx="46">
                  <c:v>53.157040133779255</c:v>
                </c:pt>
                <c:pt idx="47">
                  <c:v>53.157040133779255</c:v>
                </c:pt>
                <c:pt idx="48">
                  <c:v>53.157040133779255</c:v>
                </c:pt>
                <c:pt idx="49">
                  <c:v>53.157040133779255</c:v>
                </c:pt>
                <c:pt idx="50">
                  <c:v>53.157040133779255</c:v>
                </c:pt>
                <c:pt idx="51">
                  <c:v>53.157040133779255</c:v>
                </c:pt>
                <c:pt idx="52">
                  <c:v>53.157040133779255</c:v>
                </c:pt>
                <c:pt idx="53">
                  <c:v>53.157040133779255</c:v>
                </c:pt>
                <c:pt idx="54">
                  <c:v>53.157040133779255</c:v>
                </c:pt>
                <c:pt idx="55">
                  <c:v>53.157040133779255</c:v>
                </c:pt>
                <c:pt idx="56">
                  <c:v>53.157040133779255</c:v>
                </c:pt>
                <c:pt idx="57">
                  <c:v>53.157040133779255</c:v>
                </c:pt>
                <c:pt idx="58">
                  <c:v>53.157040133779255</c:v>
                </c:pt>
                <c:pt idx="59">
                  <c:v>53.157040133779255</c:v>
                </c:pt>
                <c:pt idx="60">
                  <c:v>53.157040133779255</c:v>
                </c:pt>
                <c:pt idx="61">
                  <c:v>53.157040133779255</c:v>
                </c:pt>
                <c:pt idx="62">
                  <c:v>53.157040133779255</c:v>
                </c:pt>
                <c:pt idx="63">
                  <c:v>53.157040133779255</c:v>
                </c:pt>
                <c:pt idx="64">
                  <c:v>53.157040133779255</c:v>
                </c:pt>
                <c:pt idx="65">
                  <c:v>53.157040133779255</c:v>
                </c:pt>
                <c:pt idx="66">
                  <c:v>53.157040133779255</c:v>
                </c:pt>
                <c:pt idx="67">
                  <c:v>53.157040133779255</c:v>
                </c:pt>
                <c:pt idx="68">
                  <c:v>53.157040133779255</c:v>
                </c:pt>
                <c:pt idx="69">
                  <c:v>53.157040133779255</c:v>
                </c:pt>
                <c:pt idx="70">
                  <c:v>53.157040133779255</c:v>
                </c:pt>
                <c:pt idx="71">
                  <c:v>53.157040133779255</c:v>
                </c:pt>
                <c:pt idx="72">
                  <c:v>53.157040133779255</c:v>
                </c:pt>
                <c:pt idx="73">
                  <c:v>53.157040133779255</c:v>
                </c:pt>
                <c:pt idx="74">
                  <c:v>53.157040133779255</c:v>
                </c:pt>
                <c:pt idx="75">
                  <c:v>53.157040133779255</c:v>
                </c:pt>
                <c:pt idx="76">
                  <c:v>53.157040133779255</c:v>
                </c:pt>
                <c:pt idx="77">
                  <c:v>53.157040133779255</c:v>
                </c:pt>
                <c:pt idx="78">
                  <c:v>53.157040133779255</c:v>
                </c:pt>
                <c:pt idx="79">
                  <c:v>53.157040133779255</c:v>
                </c:pt>
                <c:pt idx="80">
                  <c:v>53.157040133779255</c:v>
                </c:pt>
                <c:pt idx="81">
                  <c:v>53.157040133779255</c:v>
                </c:pt>
                <c:pt idx="82">
                  <c:v>53.157040133779255</c:v>
                </c:pt>
                <c:pt idx="83">
                  <c:v>53.157040133779255</c:v>
                </c:pt>
                <c:pt idx="84">
                  <c:v>53.157040133779255</c:v>
                </c:pt>
                <c:pt idx="85">
                  <c:v>53.157040133779255</c:v>
                </c:pt>
                <c:pt idx="86">
                  <c:v>53.157040133779255</c:v>
                </c:pt>
                <c:pt idx="87">
                  <c:v>53.157040133779255</c:v>
                </c:pt>
                <c:pt idx="88">
                  <c:v>53.157040133779255</c:v>
                </c:pt>
                <c:pt idx="89">
                  <c:v>53.157040133779255</c:v>
                </c:pt>
                <c:pt idx="90">
                  <c:v>53.157040133779255</c:v>
                </c:pt>
                <c:pt idx="91">
                  <c:v>53.157040133779255</c:v>
                </c:pt>
                <c:pt idx="92">
                  <c:v>53.157040133779255</c:v>
                </c:pt>
                <c:pt idx="93">
                  <c:v>53.157040133779255</c:v>
                </c:pt>
                <c:pt idx="94">
                  <c:v>53.157040133779255</c:v>
                </c:pt>
                <c:pt idx="95">
                  <c:v>53.157040133779255</c:v>
                </c:pt>
                <c:pt idx="96">
                  <c:v>53.157040133779255</c:v>
                </c:pt>
                <c:pt idx="97">
                  <c:v>53.157040133779255</c:v>
                </c:pt>
                <c:pt idx="98">
                  <c:v>53.157040133779255</c:v>
                </c:pt>
                <c:pt idx="99">
                  <c:v>53.157040133779255</c:v>
                </c:pt>
                <c:pt idx="100">
                  <c:v>53.157040133779255</c:v>
                </c:pt>
                <c:pt idx="101">
                  <c:v>53.157040133779255</c:v>
                </c:pt>
                <c:pt idx="102">
                  <c:v>53.157040133779255</c:v>
                </c:pt>
                <c:pt idx="103">
                  <c:v>53.157040133779255</c:v>
                </c:pt>
                <c:pt idx="104">
                  <c:v>53.157040133779255</c:v>
                </c:pt>
                <c:pt idx="105">
                  <c:v>53.157040133779255</c:v>
                </c:pt>
                <c:pt idx="106">
                  <c:v>53.157040133779255</c:v>
                </c:pt>
                <c:pt idx="107">
                  <c:v>53.157040133779255</c:v>
                </c:pt>
                <c:pt idx="108">
                  <c:v>53.157040133779255</c:v>
                </c:pt>
                <c:pt idx="109">
                  <c:v>53.157040133779255</c:v>
                </c:pt>
                <c:pt idx="110">
                  <c:v>53.157040133779255</c:v>
                </c:pt>
                <c:pt idx="111">
                  <c:v>53.157040133779255</c:v>
                </c:pt>
                <c:pt idx="112">
                  <c:v>53.157040133779255</c:v>
                </c:pt>
                <c:pt idx="113">
                  <c:v>53.157040133779255</c:v>
                </c:pt>
                <c:pt idx="114">
                  <c:v>53.157040133779255</c:v>
                </c:pt>
                <c:pt idx="115">
                  <c:v>53.157040133779255</c:v>
                </c:pt>
                <c:pt idx="116">
                  <c:v>53.157040133779255</c:v>
                </c:pt>
                <c:pt idx="117">
                  <c:v>53.157040133779255</c:v>
                </c:pt>
                <c:pt idx="118">
                  <c:v>53.157040133779255</c:v>
                </c:pt>
                <c:pt idx="119">
                  <c:v>53.157040133779255</c:v>
                </c:pt>
                <c:pt idx="120">
                  <c:v>53.157040133779255</c:v>
                </c:pt>
                <c:pt idx="121">
                  <c:v>53.157040133779255</c:v>
                </c:pt>
                <c:pt idx="122">
                  <c:v>53.157040133779255</c:v>
                </c:pt>
                <c:pt idx="123">
                  <c:v>53.157040133779255</c:v>
                </c:pt>
                <c:pt idx="124">
                  <c:v>53.157040133779255</c:v>
                </c:pt>
                <c:pt idx="125">
                  <c:v>53.157040133779255</c:v>
                </c:pt>
                <c:pt idx="126">
                  <c:v>53.157040133779255</c:v>
                </c:pt>
                <c:pt idx="127">
                  <c:v>53.157040133779255</c:v>
                </c:pt>
                <c:pt idx="128">
                  <c:v>53.157040133779255</c:v>
                </c:pt>
                <c:pt idx="129">
                  <c:v>53.157040133779255</c:v>
                </c:pt>
                <c:pt idx="130">
                  <c:v>53.157040133779255</c:v>
                </c:pt>
                <c:pt idx="131">
                  <c:v>53.157040133779255</c:v>
                </c:pt>
                <c:pt idx="132">
                  <c:v>53.157040133779255</c:v>
                </c:pt>
                <c:pt idx="133">
                  <c:v>53.157040133779255</c:v>
                </c:pt>
                <c:pt idx="134">
                  <c:v>53.157040133779255</c:v>
                </c:pt>
                <c:pt idx="135">
                  <c:v>53.157040133779255</c:v>
                </c:pt>
                <c:pt idx="136">
                  <c:v>53.157040133779255</c:v>
                </c:pt>
                <c:pt idx="137">
                  <c:v>53.157040133779255</c:v>
                </c:pt>
                <c:pt idx="138">
                  <c:v>53.157040133779255</c:v>
                </c:pt>
                <c:pt idx="139">
                  <c:v>53.157040133779255</c:v>
                </c:pt>
                <c:pt idx="140">
                  <c:v>53.157040133779255</c:v>
                </c:pt>
                <c:pt idx="141">
                  <c:v>53.157040133779255</c:v>
                </c:pt>
                <c:pt idx="142">
                  <c:v>53.157040133779255</c:v>
                </c:pt>
                <c:pt idx="143">
                  <c:v>53.157040133779255</c:v>
                </c:pt>
                <c:pt idx="144">
                  <c:v>53.157040133779255</c:v>
                </c:pt>
                <c:pt idx="145">
                  <c:v>53.157040133779255</c:v>
                </c:pt>
                <c:pt idx="146">
                  <c:v>53.157040133779255</c:v>
                </c:pt>
                <c:pt idx="147">
                  <c:v>53.157040133779255</c:v>
                </c:pt>
                <c:pt idx="148">
                  <c:v>53.157040133779255</c:v>
                </c:pt>
                <c:pt idx="149">
                  <c:v>53.157040133779255</c:v>
                </c:pt>
                <c:pt idx="150">
                  <c:v>53.157040133779255</c:v>
                </c:pt>
                <c:pt idx="151">
                  <c:v>53.157040133779255</c:v>
                </c:pt>
                <c:pt idx="152">
                  <c:v>53.157040133779255</c:v>
                </c:pt>
                <c:pt idx="153">
                  <c:v>53.157040133779255</c:v>
                </c:pt>
                <c:pt idx="154">
                  <c:v>53.157040133779255</c:v>
                </c:pt>
                <c:pt idx="155">
                  <c:v>53.157040133779255</c:v>
                </c:pt>
                <c:pt idx="156">
                  <c:v>53.157040133779255</c:v>
                </c:pt>
                <c:pt idx="157">
                  <c:v>53.157040133779255</c:v>
                </c:pt>
                <c:pt idx="158">
                  <c:v>53.157040133779255</c:v>
                </c:pt>
                <c:pt idx="159">
                  <c:v>53.157040133779255</c:v>
                </c:pt>
                <c:pt idx="160">
                  <c:v>53.157040133779255</c:v>
                </c:pt>
                <c:pt idx="161">
                  <c:v>53.157040133779255</c:v>
                </c:pt>
                <c:pt idx="162">
                  <c:v>53.157040133779255</c:v>
                </c:pt>
                <c:pt idx="163">
                  <c:v>53.157040133779255</c:v>
                </c:pt>
                <c:pt idx="164">
                  <c:v>53.157040133779255</c:v>
                </c:pt>
                <c:pt idx="165">
                  <c:v>53.157040133779255</c:v>
                </c:pt>
                <c:pt idx="166">
                  <c:v>53.157040133779255</c:v>
                </c:pt>
                <c:pt idx="167">
                  <c:v>53.157040133779255</c:v>
                </c:pt>
                <c:pt idx="168">
                  <c:v>53.157040133779255</c:v>
                </c:pt>
                <c:pt idx="169">
                  <c:v>53.157040133779255</c:v>
                </c:pt>
                <c:pt idx="170">
                  <c:v>53.157040133779255</c:v>
                </c:pt>
                <c:pt idx="171">
                  <c:v>53.157040133779255</c:v>
                </c:pt>
                <c:pt idx="172">
                  <c:v>53.157040133779255</c:v>
                </c:pt>
                <c:pt idx="173">
                  <c:v>53.157040133779255</c:v>
                </c:pt>
                <c:pt idx="174">
                  <c:v>53.157040133779255</c:v>
                </c:pt>
                <c:pt idx="175">
                  <c:v>53.157040133779255</c:v>
                </c:pt>
                <c:pt idx="176">
                  <c:v>53.157040133779255</c:v>
                </c:pt>
                <c:pt idx="177">
                  <c:v>53.157040133779255</c:v>
                </c:pt>
                <c:pt idx="178">
                  <c:v>53.157040133779255</c:v>
                </c:pt>
                <c:pt idx="179">
                  <c:v>53.157040133779255</c:v>
                </c:pt>
                <c:pt idx="180">
                  <c:v>53.157040133779255</c:v>
                </c:pt>
                <c:pt idx="181">
                  <c:v>53.157040133779255</c:v>
                </c:pt>
                <c:pt idx="182">
                  <c:v>53.157040133779255</c:v>
                </c:pt>
                <c:pt idx="183">
                  <c:v>53.157040133779255</c:v>
                </c:pt>
                <c:pt idx="184">
                  <c:v>53.157040133779255</c:v>
                </c:pt>
                <c:pt idx="185">
                  <c:v>53.157040133779255</c:v>
                </c:pt>
                <c:pt idx="186">
                  <c:v>53.157040133779255</c:v>
                </c:pt>
                <c:pt idx="187">
                  <c:v>53.157040133779255</c:v>
                </c:pt>
                <c:pt idx="188">
                  <c:v>53.157040133779255</c:v>
                </c:pt>
                <c:pt idx="189">
                  <c:v>53.157040133779255</c:v>
                </c:pt>
                <c:pt idx="190">
                  <c:v>53.157040133779255</c:v>
                </c:pt>
                <c:pt idx="191">
                  <c:v>53.157040133779255</c:v>
                </c:pt>
                <c:pt idx="192">
                  <c:v>53.157040133779255</c:v>
                </c:pt>
                <c:pt idx="193">
                  <c:v>53.157040133779255</c:v>
                </c:pt>
                <c:pt idx="194">
                  <c:v>53.157040133779255</c:v>
                </c:pt>
                <c:pt idx="195">
                  <c:v>53.157040133779255</c:v>
                </c:pt>
                <c:pt idx="196">
                  <c:v>53.157040133779255</c:v>
                </c:pt>
                <c:pt idx="197">
                  <c:v>53.157040133779255</c:v>
                </c:pt>
                <c:pt idx="198">
                  <c:v>53.157040133779255</c:v>
                </c:pt>
                <c:pt idx="199">
                  <c:v>53.157040133779255</c:v>
                </c:pt>
                <c:pt idx="200">
                  <c:v>53.157040133779255</c:v>
                </c:pt>
                <c:pt idx="201">
                  <c:v>53.157040133779255</c:v>
                </c:pt>
                <c:pt idx="202">
                  <c:v>53.157040133779255</c:v>
                </c:pt>
                <c:pt idx="203">
                  <c:v>53.157040133779255</c:v>
                </c:pt>
                <c:pt idx="204">
                  <c:v>53.157040133779255</c:v>
                </c:pt>
                <c:pt idx="205">
                  <c:v>53.157040133779255</c:v>
                </c:pt>
                <c:pt idx="206">
                  <c:v>53.157040133779255</c:v>
                </c:pt>
                <c:pt idx="207">
                  <c:v>53.157040133779255</c:v>
                </c:pt>
                <c:pt idx="208">
                  <c:v>53.157040133779255</c:v>
                </c:pt>
                <c:pt idx="209">
                  <c:v>53.157040133779255</c:v>
                </c:pt>
                <c:pt idx="210">
                  <c:v>53.157040133779255</c:v>
                </c:pt>
                <c:pt idx="211">
                  <c:v>53.157040133779255</c:v>
                </c:pt>
                <c:pt idx="212">
                  <c:v>53.157040133779255</c:v>
                </c:pt>
                <c:pt idx="213">
                  <c:v>53.157040133779255</c:v>
                </c:pt>
                <c:pt idx="214">
                  <c:v>53.157040133779255</c:v>
                </c:pt>
                <c:pt idx="215">
                  <c:v>53.157040133779255</c:v>
                </c:pt>
                <c:pt idx="216">
                  <c:v>53.157040133779255</c:v>
                </c:pt>
                <c:pt idx="217">
                  <c:v>53.157040133779255</c:v>
                </c:pt>
                <c:pt idx="218">
                  <c:v>53.157040133779255</c:v>
                </c:pt>
                <c:pt idx="219">
                  <c:v>53.157040133779255</c:v>
                </c:pt>
                <c:pt idx="220">
                  <c:v>53.157040133779255</c:v>
                </c:pt>
                <c:pt idx="221">
                  <c:v>53.157040133779255</c:v>
                </c:pt>
                <c:pt idx="222">
                  <c:v>53.157040133779255</c:v>
                </c:pt>
                <c:pt idx="223">
                  <c:v>53.157040133779255</c:v>
                </c:pt>
                <c:pt idx="224">
                  <c:v>53.157040133779255</c:v>
                </c:pt>
                <c:pt idx="225">
                  <c:v>53.157040133779255</c:v>
                </c:pt>
                <c:pt idx="226">
                  <c:v>53.157040133779255</c:v>
                </c:pt>
                <c:pt idx="227">
                  <c:v>53.157040133779255</c:v>
                </c:pt>
                <c:pt idx="228">
                  <c:v>53.157040133779255</c:v>
                </c:pt>
                <c:pt idx="229">
                  <c:v>53.157040133779255</c:v>
                </c:pt>
                <c:pt idx="230">
                  <c:v>53.157040133779255</c:v>
                </c:pt>
                <c:pt idx="231">
                  <c:v>53.157040133779255</c:v>
                </c:pt>
                <c:pt idx="232">
                  <c:v>53.157040133779255</c:v>
                </c:pt>
                <c:pt idx="233">
                  <c:v>53.157040133779255</c:v>
                </c:pt>
                <c:pt idx="234">
                  <c:v>53.157040133779255</c:v>
                </c:pt>
                <c:pt idx="235">
                  <c:v>53.157040133779255</c:v>
                </c:pt>
                <c:pt idx="236">
                  <c:v>53.157040133779255</c:v>
                </c:pt>
                <c:pt idx="237">
                  <c:v>53.157040133779255</c:v>
                </c:pt>
                <c:pt idx="238">
                  <c:v>53.157040133779255</c:v>
                </c:pt>
                <c:pt idx="239">
                  <c:v>53.157040133779255</c:v>
                </c:pt>
                <c:pt idx="240">
                  <c:v>53.157040133779255</c:v>
                </c:pt>
                <c:pt idx="241">
                  <c:v>53.157040133779255</c:v>
                </c:pt>
                <c:pt idx="242">
                  <c:v>53.157040133779255</c:v>
                </c:pt>
                <c:pt idx="243">
                  <c:v>53.157040133779255</c:v>
                </c:pt>
                <c:pt idx="244">
                  <c:v>53.157040133779255</c:v>
                </c:pt>
                <c:pt idx="245">
                  <c:v>53.157040133779255</c:v>
                </c:pt>
                <c:pt idx="246">
                  <c:v>53.157040133779255</c:v>
                </c:pt>
                <c:pt idx="247">
                  <c:v>53.157040133779255</c:v>
                </c:pt>
                <c:pt idx="248">
                  <c:v>53.157040133779255</c:v>
                </c:pt>
                <c:pt idx="249">
                  <c:v>53.157040133779255</c:v>
                </c:pt>
                <c:pt idx="250">
                  <c:v>53.157040133779255</c:v>
                </c:pt>
                <c:pt idx="251">
                  <c:v>53.157040133779255</c:v>
                </c:pt>
                <c:pt idx="252">
                  <c:v>53.157040133779255</c:v>
                </c:pt>
                <c:pt idx="253">
                  <c:v>53.157040133779255</c:v>
                </c:pt>
                <c:pt idx="254">
                  <c:v>53.157040133779255</c:v>
                </c:pt>
                <c:pt idx="255">
                  <c:v>53.157040133779255</c:v>
                </c:pt>
                <c:pt idx="256">
                  <c:v>53.157040133779255</c:v>
                </c:pt>
                <c:pt idx="257">
                  <c:v>53.157040133779255</c:v>
                </c:pt>
                <c:pt idx="258">
                  <c:v>53.157040133779255</c:v>
                </c:pt>
                <c:pt idx="259">
                  <c:v>53.157040133779255</c:v>
                </c:pt>
                <c:pt idx="260">
                  <c:v>53.157040133779255</c:v>
                </c:pt>
                <c:pt idx="261">
                  <c:v>53.157040133779255</c:v>
                </c:pt>
                <c:pt idx="262">
                  <c:v>53.157040133779255</c:v>
                </c:pt>
                <c:pt idx="263">
                  <c:v>53.157040133779255</c:v>
                </c:pt>
                <c:pt idx="264">
                  <c:v>53.157040133779255</c:v>
                </c:pt>
                <c:pt idx="265">
                  <c:v>53.157040133779255</c:v>
                </c:pt>
                <c:pt idx="266">
                  <c:v>53.157040133779255</c:v>
                </c:pt>
                <c:pt idx="267">
                  <c:v>53.157040133779255</c:v>
                </c:pt>
                <c:pt idx="268">
                  <c:v>53.157040133779255</c:v>
                </c:pt>
                <c:pt idx="269">
                  <c:v>53.157040133779255</c:v>
                </c:pt>
                <c:pt idx="270">
                  <c:v>53.157040133779255</c:v>
                </c:pt>
                <c:pt idx="271">
                  <c:v>53.157040133779255</c:v>
                </c:pt>
                <c:pt idx="272">
                  <c:v>53.157040133779255</c:v>
                </c:pt>
                <c:pt idx="273">
                  <c:v>53.157040133779255</c:v>
                </c:pt>
                <c:pt idx="274">
                  <c:v>53.157040133779255</c:v>
                </c:pt>
                <c:pt idx="275">
                  <c:v>53.157040133779255</c:v>
                </c:pt>
                <c:pt idx="276">
                  <c:v>53.157040133779255</c:v>
                </c:pt>
                <c:pt idx="277">
                  <c:v>53.157040133779255</c:v>
                </c:pt>
                <c:pt idx="278">
                  <c:v>53.157040133779255</c:v>
                </c:pt>
                <c:pt idx="279">
                  <c:v>53.157040133779255</c:v>
                </c:pt>
                <c:pt idx="280">
                  <c:v>53.157040133779255</c:v>
                </c:pt>
                <c:pt idx="281">
                  <c:v>53.157040133779255</c:v>
                </c:pt>
                <c:pt idx="282">
                  <c:v>53.157040133779255</c:v>
                </c:pt>
                <c:pt idx="283">
                  <c:v>53.157040133779255</c:v>
                </c:pt>
                <c:pt idx="284">
                  <c:v>53.157040133779255</c:v>
                </c:pt>
                <c:pt idx="285">
                  <c:v>53.157040133779255</c:v>
                </c:pt>
                <c:pt idx="286">
                  <c:v>53.157040133779255</c:v>
                </c:pt>
                <c:pt idx="287">
                  <c:v>53.157040133779255</c:v>
                </c:pt>
                <c:pt idx="288">
                  <c:v>53.157040133779255</c:v>
                </c:pt>
                <c:pt idx="289">
                  <c:v>53.157040133779255</c:v>
                </c:pt>
                <c:pt idx="290">
                  <c:v>53.157040133779255</c:v>
                </c:pt>
                <c:pt idx="291">
                  <c:v>53.157040133779255</c:v>
                </c:pt>
                <c:pt idx="292">
                  <c:v>53.157040133779255</c:v>
                </c:pt>
                <c:pt idx="293">
                  <c:v>53.157040133779255</c:v>
                </c:pt>
                <c:pt idx="294">
                  <c:v>53.157040133779255</c:v>
                </c:pt>
                <c:pt idx="295">
                  <c:v>53.157040133779255</c:v>
                </c:pt>
                <c:pt idx="296">
                  <c:v>53.157040133779255</c:v>
                </c:pt>
                <c:pt idx="297">
                  <c:v>53.157040133779255</c:v>
                </c:pt>
                <c:pt idx="298">
                  <c:v>53.157040133779255</c:v>
                </c:pt>
                <c:pt idx="299">
                  <c:v>53.157040133779255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73-4081-AAA0-2765D8044A45}"/>
            </c:ext>
          </c:extLst>
        </c:ser>
        <c:ser>
          <c:idx val="2"/>
          <c:order val="2"/>
          <c:tx>
            <c:strRef>
              <c:f>HYBOX1_Particle_SPC!$J$9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HYBOX1_Particle_SPC!$J$10:$J$309</c:f>
              <c:numCache>
                <c:formatCode>General</c:formatCode>
                <c:ptCount val="300"/>
                <c:pt idx="0">
                  <c:v>16.270903010033443</c:v>
                </c:pt>
                <c:pt idx="1">
                  <c:v>16.270903010033443</c:v>
                </c:pt>
                <c:pt idx="2">
                  <c:v>16.270903010033443</c:v>
                </c:pt>
                <c:pt idx="3">
                  <c:v>16.270903010033443</c:v>
                </c:pt>
                <c:pt idx="4">
                  <c:v>16.270903010033443</c:v>
                </c:pt>
                <c:pt idx="5">
                  <c:v>16.270903010033443</c:v>
                </c:pt>
                <c:pt idx="6">
                  <c:v>16.270903010033443</c:v>
                </c:pt>
                <c:pt idx="7">
                  <c:v>16.270903010033443</c:v>
                </c:pt>
                <c:pt idx="8">
                  <c:v>16.270903010033443</c:v>
                </c:pt>
                <c:pt idx="9">
                  <c:v>16.270903010033443</c:v>
                </c:pt>
                <c:pt idx="10">
                  <c:v>16.270903010033443</c:v>
                </c:pt>
                <c:pt idx="11">
                  <c:v>16.270903010033443</c:v>
                </c:pt>
                <c:pt idx="12">
                  <c:v>16.270903010033443</c:v>
                </c:pt>
                <c:pt idx="13">
                  <c:v>16.270903010033443</c:v>
                </c:pt>
                <c:pt idx="14">
                  <c:v>16.270903010033443</c:v>
                </c:pt>
                <c:pt idx="15">
                  <c:v>16.270903010033443</c:v>
                </c:pt>
                <c:pt idx="16">
                  <c:v>16.270903010033443</c:v>
                </c:pt>
                <c:pt idx="17">
                  <c:v>16.270903010033443</c:v>
                </c:pt>
                <c:pt idx="18">
                  <c:v>16.270903010033443</c:v>
                </c:pt>
                <c:pt idx="19">
                  <c:v>16.270903010033443</c:v>
                </c:pt>
                <c:pt idx="20">
                  <c:v>16.270903010033443</c:v>
                </c:pt>
                <c:pt idx="21">
                  <c:v>16.270903010033443</c:v>
                </c:pt>
                <c:pt idx="22">
                  <c:v>16.270903010033443</c:v>
                </c:pt>
                <c:pt idx="23">
                  <c:v>16.270903010033443</c:v>
                </c:pt>
                <c:pt idx="24">
                  <c:v>16.270903010033443</c:v>
                </c:pt>
                <c:pt idx="25">
                  <c:v>16.270903010033443</c:v>
                </c:pt>
                <c:pt idx="26">
                  <c:v>16.270903010033443</c:v>
                </c:pt>
                <c:pt idx="27">
                  <c:v>16.270903010033443</c:v>
                </c:pt>
                <c:pt idx="28">
                  <c:v>16.270903010033443</c:v>
                </c:pt>
                <c:pt idx="29">
                  <c:v>16.270903010033443</c:v>
                </c:pt>
                <c:pt idx="30">
                  <c:v>16.270903010033443</c:v>
                </c:pt>
                <c:pt idx="31">
                  <c:v>16.270903010033443</c:v>
                </c:pt>
                <c:pt idx="32">
                  <c:v>16.270903010033443</c:v>
                </c:pt>
                <c:pt idx="33">
                  <c:v>16.270903010033443</c:v>
                </c:pt>
                <c:pt idx="34">
                  <c:v>16.270903010033443</c:v>
                </c:pt>
                <c:pt idx="35">
                  <c:v>16.270903010033443</c:v>
                </c:pt>
                <c:pt idx="36">
                  <c:v>16.270903010033443</c:v>
                </c:pt>
                <c:pt idx="37">
                  <c:v>16.270903010033443</c:v>
                </c:pt>
                <c:pt idx="38">
                  <c:v>16.270903010033443</c:v>
                </c:pt>
                <c:pt idx="39">
                  <c:v>16.270903010033443</c:v>
                </c:pt>
                <c:pt idx="40">
                  <c:v>16.270903010033443</c:v>
                </c:pt>
                <c:pt idx="41">
                  <c:v>16.270903010033443</c:v>
                </c:pt>
                <c:pt idx="42">
                  <c:v>16.270903010033443</c:v>
                </c:pt>
                <c:pt idx="43">
                  <c:v>16.270903010033443</c:v>
                </c:pt>
                <c:pt idx="44">
                  <c:v>16.270903010033443</c:v>
                </c:pt>
                <c:pt idx="45">
                  <c:v>16.270903010033443</c:v>
                </c:pt>
                <c:pt idx="46">
                  <c:v>16.270903010033443</c:v>
                </c:pt>
                <c:pt idx="47">
                  <c:v>16.270903010033443</c:v>
                </c:pt>
                <c:pt idx="48">
                  <c:v>16.270903010033443</c:v>
                </c:pt>
                <c:pt idx="49">
                  <c:v>16.270903010033443</c:v>
                </c:pt>
                <c:pt idx="50">
                  <c:v>16.270903010033443</c:v>
                </c:pt>
                <c:pt idx="51">
                  <c:v>16.270903010033443</c:v>
                </c:pt>
                <c:pt idx="52">
                  <c:v>16.270903010033443</c:v>
                </c:pt>
                <c:pt idx="53">
                  <c:v>16.270903010033443</c:v>
                </c:pt>
                <c:pt idx="54">
                  <c:v>16.270903010033443</c:v>
                </c:pt>
                <c:pt idx="55">
                  <c:v>16.270903010033443</c:v>
                </c:pt>
                <c:pt idx="56">
                  <c:v>16.270903010033443</c:v>
                </c:pt>
                <c:pt idx="57">
                  <c:v>16.270903010033443</c:v>
                </c:pt>
                <c:pt idx="58">
                  <c:v>16.270903010033443</c:v>
                </c:pt>
                <c:pt idx="59">
                  <c:v>16.270903010033443</c:v>
                </c:pt>
                <c:pt idx="60">
                  <c:v>16.270903010033443</c:v>
                </c:pt>
                <c:pt idx="61">
                  <c:v>16.270903010033443</c:v>
                </c:pt>
                <c:pt idx="62">
                  <c:v>16.270903010033443</c:v>
                </c:pt>
                <c:pt idx="63">
                  <c:v>16.270903010033443</c:v>
                </c:pt>
                <c:pt idx="64">
                  <c:v>16.270903010033443</c:v>
                </c:pt>
                <c:pt idx="65">
                  <c:v>16.270903010033443</c:v>
                </c:pt>
                <c:pt idx="66">
                  <c:v>16.270903010033443</c:v>
                </c:pt>
                <c:pt idx="67">
                  <c:v>16.270903010033443</c:v>
                </c:pt>
                <c:pt idx="68">
                  <c:v>16.270903010033443</c:v>
                </c:pt>
                <c:pt idx="69">
                  <c:v>16.270903010033443</c:v>
                </c:pt>
                <c:pt idx="70">
                  <c:v>16.270903010033443</c:v>
                </c:pt>
                <c:pt idx="71">
                  <c:v>16.270903010033443</c:v>
                </c:pt>
                <c:pt idx="72">
                  <c:v>16.270903010033443</c:v>
                </c:pt>
                <c:pt idx="73">
                  <c:v>16.270903010033443</c:v>
                </c:pt>
                <c:pt idx="74">
                  <c:v>16.270903010033443</c:v>
                </c:pt>
                <c:pt idx="75">
                  <c:v>16.270903010033443</c:v>
                </c:pt>
                <c:pt idx="76">
                  <c:v>16.270903010033443</c:v>
                </c:pt>
                <c:pt idx="77">
                  <c:v>16.270903010033443</c:v>
                </c:pt>
                <c:pt idx="78">
                  <c:v>16.270903010033443</c:v>
                </c:pt>
                <c:pt idx="79">
                  <c:v>16.270903010033443</c:v>
                </c:pt>
                <c:pt idx="80">
                  <c:v>16.270903010033443</c:v>
                </c:pt>
                <c:pt idx="81">
                  <c:v>16.270903010033443</c:v>
                </c:pt>
                <c:pt idx="82">
                  <c:v>16.270903010033443</c:v>
                </c:pt>
                <c:pt idx="83">
                  <c:v>16.270903010033443</c:v>
                </c:pt>
                <c:pt idx="84">
                  <c:v>16.270903010033443</c:v>
                </c:pt>
                <c:pt idx="85">
                  <c:v>16.270903010033443</c:v>
                </c:pt>
                <c:pt idx="86">
                  <c:v>16.270903010033443</c:v>
                </c:pt>
                <c:pt idx="87">
                  <c:v>16.270903010033443</c:v>
                </c:pt>
                <c:pt idx="88">
                  <c:v>16.270903010033443</c:v>
                </c:pt>
                <c:pt idx="89">
                  <c:v>16.270903010033443</c:v>
                </c:pt>
                <c:pt idx="90">
                  <c:v>16.270903010033443</c:v>
                </c:pt>
                <c:pt idx="91">
                  <c:v>16.270903010033443</c:v>
                </c:pt>
                <c:pt idx="92">
                  <c:v>16.270903010033443</c:v>
                </c:pt>
                <c:pt idx="93">
                  <c:v>16.270903010033443</c:v>
                </c:pt>
                <c:pt idx="94">
                  <c:v>16.270903010033443</c:v>
                </c:pt>
                <c:pt idx="95">
                  <c:v>16.270903010033443</c:v>
                </c:pt>
                <c:pt idx="96">
                  <c:v>16.270903010033443</c:v>
                </c:pt>
                <c:pt idx="97">
                  <c:v>16.270903010033443</c:v>
                </c:pt>
                <c:pt idx="98">
                  <c:v>16.270903010033443</c:v>
                </c:pt>
                <c:pt idx="99">
                  <c:v>16.270903010033443</c:v>
                </c:pt>
                <c:pt idx="100">
                  <c:v>16.270903010033443</c:v>
                </c:pt>
                <c:pt idx="101">
                  <c:v>16.270903010033443</c:v>
                </c:pt>
                <c:pt idx="102">
                  <c:v>16.270903010033443</c:v>
                </c:pt>
                <c:pt idx="103">
                  <c:v>16.270903010033443</c:v>
                </c:pt>
                <c:pt idx="104">
                  <c:v>16.270903010033443</c:v>
                </c:pt>
                <c:pt idx="105">
                  <c:v>16.270903010033443</c:v>
                </c:pt>
                <c:pt idx="106">
                  <c:v>16.270903010033443</c:v>
                </c:pt>
                <c:pt idx="107">
                  <c:v>16.270903010033443</c:v>
                </c:pt>
                <c:pt idx="108">
                  <c:v>16.270903010033443</c:v>
                </c:pt>
                <c:pt idx="109">
                  <c:v>16.270903010033443</c:v>
                </c:pt>
                <c:pt idx="110">
                  <c:v>16.270903010033443</c:v>
                </c:pt>
                <c:pt idx="111">
                  <c:v>16.270903010033443</c:v>
                </c:pt>
                <c:pt idx="112">
                  <c:v>16.270903010033443</c:v>
                </c:pt>
                <c:pt idx="113">
                  <c:v>16.270903010033443</c:v>
                </c:pt>
                <c:pt idx="114">
                  <c:v>16.270903010033443</c:v>
                </c:pt>
                <c:pt idx="115">
                  <c:v>16.270903010033443</c:v>
                </c:pt>
                <c:pt idx="116">
                  <c:v>16.270903010033443</c:v>
                </c:pt>
                <c:pt idx="117">
                  <c:v>16.270903010033443</c:v>
                </c:pt>
                <c:pt idx="118">
                  <c:v>16.270903010033443</c:v>
                </c:pt>
                <c:pt idx="119">
                  <c:v>16.270903010033443</c:v>
                </c:pt>
                <c:pt idx="120">
                  <c:v>16.270903010033443</c:v>
                </c:pt>
                <c:pt idx="121">
                  <c:v>16.270903010033443</c:v>
                </c:pt>
                <c:pt idx="122">
                  <c:v>16.270903010033443</c:v>
                </c:pt>
                <c:pt idx="123">
                  <c:v>16.270903010033443</c:v>
                </c:pt>
                <c:pt idx="124">
                  <c:v>16.270903010033443</c:v>
                </c:pt>
                <c:pt idx="125">
                  <c:v>16.270903010033443</c:v>
                </c:pt>
                <c:pt idx="126">
                  <c:v>16.270903010033443</c:v>
                </c:pt>
                <c:pt idx="127">
                  <c:v>16.270903010033443</c:v>
                </c:pt>
                <c:pt idx="128">
                  <c:v>16.270903010033443</c:v>
                </c:pt>
                <c:pt idx="129">
                  <c:v>16.270903010033443</c:v>
                </c:pt>
                <c:pt idx="130">
                  <c:v>16.270903010033443</c:v>
                </c:pt>
                <c:pt idx="131">
                  <c:v>16.270903010033443</c:v>
                </c:pt>
                <c:pt idx="132">
                  <c:v>16.270903010033443</c:v>
                </c:pt>
                <c:pt idx="133">
                  <c:v>16.270903010033443</c:v>
                </c:pt>
                <c:pt idx="134">
                  <c:v>16.270903010033443</c:v>
                </c:pt>
                <c:pt idx="135">
                  <c:v>16.270903010033443</c:v>
                </c:pt>
                <c:pt idx="136">
                  <c:v>16.270903010033443</c:v>
                </c:pt>
                <c:pt idx="137">
                  <c:v>16.270903010033443</c:v>
                </c:pt>
                <c:pt idx="138">
                  <c:v>16.270903010033443</c:v>
                </c:pt>
                <c:pt idx="139">
                  <c:v>16.270903010033443</c:v>
                </c:pt>
                <c:pt idx="140">
                  <c:v>16.270903010033443</c:v>
                </c:pt>
                <c:pt idx="141">
                  <c:v>16.270903010033443</c:v>
                </c:pt>
                <c:pt idx="142">
                  <c:v>16.270903010033443</c:v>
                </c:pt>
                <c:pt idx="143">
                  <c:v>16.270903010033443</c:v>
                </c:pt>
                <c:pt idx="144">
                  <c:v>16.270903010033443</c:v>
                </c:pt>
                <c:pt idx="145">
                  <c:v>16.270903010033443</c:v>
                </c:pt>
                <c:pt idx="146">
                  <c:v>16.270903010033443</c:v>
                </c:pt>
                <c:pt idx="147">
                  <c:v>16.270903010033443</c:v>
                </c:pt>
                <c:pt idx="148">
                  <c:v>16.270903010033443</c:v>
                </c:pt>
                <c:pt idx="149">
                  <c:v>16.270903010033443</c:v>
                </c:pt>
                <c:pt idx="150">
                  <c:v>16.270903010033443</c:v>
                </c:pt>
                <c:pt idx="151">
                  <c:v>16.270903010033443</c:v>
                </c:pt>
                <c:pt idx="152">
                  <c:v>16.270903010033443</c:v>
                </c:pt>
                <c:pt idx="153">
                  <c:v>16.270903010033443</c:v>
                </c:pt>
                <c:pt idx="154">
                  <c:v>16.270903010033443</c:v>
                </c:pt>
                <c:pt idx="155">
                  <c:v>16.270903010033443</c:v>
                </c:pt>
                <c:pt idx="156">
                  <c:v>16.270903010033443</c:v>
                </c:pt>
                <c:pt idx="157">
                  <c:v>16.270903010033443</c:v>
                </c:pt>
                <c:pt idx="158">
                  <c:v>16.270903010033443</c:v>
                </c:pt>
                <c:pt idx="159">
                  <c:v>16.270903010033443</c:v>
                </c:pt>
                <c:pt idx="160">
                  <c:v>16.270903010033443</c:v>
                </c:pt>
                <c:pt idx="161">
                  <c:v>16.270903010033443</c:v>
                </c:pt>
                <c:pt idx="162">
                  <c:v>16.270903010033443</c:v>
                </c:pt>
                <c:pt idx="163">
                  <c:v>16.270903010033443</c:v>
                </c:pt>
                <c:pt idx="164">
                  <c:v>16.270903010033443</c:v>
                </c:pt>
                <c:pt idx="165">
                  <c:v>16.270903010033443</c:v>
                </c:pt>
                <c:pt idx="166">
                  <c:v>16.270903010033443</c:v>
                </c:pt>
                <c:pt idx="167">
                  <c:v>16.270903010033443</c:v>
                </c:pt>
                <c:pt idx="168">
                  <c:v>16.270903010033443</c:v>
                </c:pt>
                <c:pt idx="169">
                  <c:v>16.270903010033443</c:v>
                </c:pt>
                <c:pt idx="170">
                  <c:v>16.270903010033443</c:v>
                </c:pt>
                <c:pt idx="171">
                  <c:v>16.270903010033443</c:v>
                </c:pt>
                <c:pt idx="172">
                  <c:v>16.270903010033443</c:v>
                </c:pt>
                <c:pt idx="173">
                  <c:v>16.270903010033443</c:v>
                </c:pt>
                <c:pt idx="174">
                  <c:v>16.270903010033443</c:v>
                </c:pt>
                <c:pt idx="175">
                  <c:v>16.270903010033443</c:v>
                </c:pt>
                <c:pt idx="176">
                  <c:v>16.270903010033443</c:v>
                </c:pt>
                <c:pt idx="177">
                  <c:v>16.270903010033443</c:v>
                </c:pt>
                <c:pt idx="178">
                  <c:v>16.270903010033443</c:v>
                </c:pt>
                <c:pt idx="179">
                  <c:v>16.270903010033443</c:v>
                </c:pt>
                <c:pt idx="180">
                  <c:v>16.270903010033443</c:v>
                </c:pt>
                <c:pt idx="181">
                  <c:v>16.270903010033443</c:v>
                </c:pt>
                <c:pt idx="182">
                  <c:v>16.270903010033443</c:v>
                </c:pt>
                <c:pt idx="183">
                  <c:v>16.270903010033443</c:v>
                </c:pt>
                <c:pt idx="184">
                  <c:v>16.270903010033443</c:v>
                </c:pt>
                <c:pt idx="185">
                  <c:v>16.270903010033443</c:v>
                </c:pt>
                <c:pt idx="186">
                  <c:v>16.270903010033443</c:v>
                </c:pt>
                <c:pt idx="187">
                  <c:v>16.270903010033443</c:v>
                </c:pt>
                <c:pt idx="188">
                  <c:v>16.270903010033443</c:v>
                </c:pt>
                <c:pt idx="189">
                  <c:v>16.270903010033443</c:v>
                </c:pt>
                <c:pt idx="190">
                  <c:v>16.270903010033443</c:v>
                </c:pt>
                <c:pt idx="191">
                  <c:v>16.270903010033443</c:v>
                </c:pt>
                <c:pt idx="192">
                  <c:v>16.270903010033443</c:v>
                </c:pt>
                <c:pt idx="193">
                  <c:v>16.270903010033443</c:v>
                </c:pt>
                <c:pt idx="194">
                  <c:v>16.270903010033443</c:v>
                </c:pt>
                <c:pt idx="195">
                  <c:v>16.270903010033443</c:v>
                </c:pt>
                <c:pt idx="196">
                  <c:v>16.270903010033443</c:v>
                </c:pt>
                <c:pt idx="197">
                  <c:v>16.270903010033443</c:v>
                </c:pt>
                <c:pt idx="198">
                  <c:v>16.270903010033443</c:v>
                </c:pt>
                <c:pt idx="199">
                  <c:v>16.270903010033443</c:v>
                </c:pt>
                <c:pt idx="200">
                  <c:v>16.270903010033443</c:v>
                </c:pt>
                <c:pt idx="201">
                  <c:v>16.270903010033443</c:v>
                </c:pt>
                <c:pt idx="202">
                  <c:v>16.270903010033443</c:v>
                </c:pt>
                <c:pt idx="203">
                  <c:v>16.270903010033443</c:v>
                </c:pt>
                <c:pt idx="204">
                  <c:v>16.270903010033443</c:v>
                </c:pt>
                <c:pt idx="205">
                  <c:v>16.270903010033443</c:v>
                </c:pt>
                <c:pt idx="206">
                  <c:v>16.270903010033443</c:v>
                </c:pt>
                <c:pt idx="207">
                  <c:v>16.270903010033443</c:v>
                </c:pt>
                <c:pt idx="208">
                  <c:v>16.270903010033443</c:v>
                </c:pt>
                <c:pt idx="209">
                  <c:v>16.270903010033443</c:v>
                </c:pt>
                <c:pt idx="210">
                  <c:v>16.270903010033443</c:v>
                </c:pt>
                <c:pt idx="211">
                  <c:v>16.270903010033443</c:v>
                </c:pt>
                <c:pt idx="212">
                  <c:v>16.270903010033443</c:v>
                </c:pt>
                <c:pt idx="213">
                  <c:v>16.270903010033443</c:v>
                </c:pt>
                <c:pt idx="214">
                  <c:v>16.270903010033443</c:v>
                </c:pt>
                <c:pt idx="215">
                  <c:v>16.270903010033443</c:v>
                </c:pt>
                <c:pt idx="216">
                  <c:v>16.270903010033443</c:v>
                </c:pt>
                <c:pt idx="217">
                  <c:v>16.270903010033443</c:v>
                </c:pt>
                <c:pt idx="218">
                  <c:v>16.270903010033443</c:v>
                </c:pt>
                <c:pt idx="219">
                  <c:v>16.270903010033443</c:v>
                </c:pt>
                <c:pt idx="220">
                  <c:v>16.270903010033443</c:v>
                </c:pt>
                <c:pt idx="221">
                  <c:v>16.270903010033443</c:v>
                </c:pt>
                <c:pt idx="222">
                  <c:v>16.270903010033443</c:v>
                </c:pt>
                <c:pt idx="223">
                  <c:v>16.270903010033443</c:v>
                </c:pt>
                <c:pt idx="224">
                  <c:v>16.270903010033443</c:v>
                </c:pt>
                <c:pt idx="225">
                  <c:v>16.270903010033443</c:v>
                </c:pt>
                <c:pt idx="226">
                  <c:v>16.270903010033443</c:v>
                </c:pt>
                <c:pt idx="227">
                  <c:v>16.270903010033443</c:v>
                </c:pt>
                <c:pt idx="228">
                  <c:v>16.270903010033443</c:v>
                </c:pt>
                <c:pt idx="229">
                  <c:v>16.270903010033443</c:v>
                </c:pt>
                <c:pt idx="230">
                  <c:v>16.270903010033443</c:v>
                </c:pt>
                <c:pt idx="231">
                  <c:v>16.270903010033443</c:v>
                </c:pt>
                <c:pt idx="232">
                  <c:v>16.270903010033443</c:v>
                </c:pt>
                <c:pt idx="233">
                  <c:v>16.270903010033443</c:v>
                </c:pt>
                <c:pt idx="234">
                  <c:v>16.270903010033443</c:v>
                </c:pt>
                <c:pt idx="235">
                  <c:v>16.270903010033443</c:v>
                </c:pt>
                <c:pt idx="236">
                  <c:v>16.270903010033443</c:v>
                </c:pt>
                <c:pt idx="237">
                  <c:v>16.270903010033443</c:v>
                </c:pt>
                <c:pt idx="238">
                  <c:v>16.270903010033443</c:v>
                </c:pt>
                <c:pt idx="239">
                  <c:v>16.270903010033443</c:v>
                </c:pt>
                <c:pt idx="240">
                  <c:v>16.270903010033443</c:v>
                </c:pt>
                <c:pt idx="241">
                  <c:v>16.270903010033443</c:v>
                </c:pt>
                <c:pt idx="242">
                  <c:v>16.270903010033443</c:v>
                </c:pt>
                <c:pt idx="243">
                  <c:v>16.270903010033443</c:v>
                </c:pt>
                <c:pt idx="244">
                  <c:v>16.270903010033443</c:v>
                </c:pt>
                <c:pt idx="245">
                  <c:v>16.270903010033443</c:v>
                </c:pt>
                <c:pt idx="246">
                  <c:v>16.270903010033443</c:v>
                </c:pt>
                <c:pt idx="247">
                  <c:v>16.270903010033443</c:v>
                </c:pt>
                <c:pt idx="248">
                  <c:v>16.270903010033443</c:v>
                </c:pt>
                <c:pt idx="249">
                  <c:v>16.270903010033443</c:v>
                </c:pt>
                <c:pt idx="250">
                  <c:v>16.270903010033443</c:v>
                </c:pt>
                <c:pt idx="251">
                  <c:v>16.270903010033443</c:v>
                </c:pt>
                <c:pt idx="252">
                  <c:v>16.270903010033443</c:v>
                </c:pt>
                <c:pt idx="253">
                  <c:v>16.270903010033443</c:v>
                </c:pt>
                <c:pt idx="254">
                  <c:v>16.270903010033443</c:v>
                </c:pt>
                <c:pt idx="255">
                  <c:v>16.270903010033443</c:v>
                </c:pt>
                <c:pt idx="256">
                  <c:v>16.270903010033443</c:v>
                </c:pt>
                <c:pt idx="257">
                  <c:v>16.270903010033443</c:v>
                </c:pt>
                <c:pt idx="258">
                  <c:v>16.270903010033443</c:v>
                </c:pt>
                <c:pt idx="259">
                  <c:v>16.270903010033443</c:v>
                </c:pt>
                <c:pt idx="260">
                  <c:v>16.270903010033443</c:v>
                </c:pt>
                <c:pt idx="261">
                  <c:v>16.270903010033443</c:v>
                </c:pt>
                <c:pt idx="262">
                  <c:v>16.270903010033443</c:v>
                </c:pt>
                <c:pt idx="263">
                  <c:v>16.270903010033443</c:v>
                </c:pt>
                <c:pt idx="264">
                  <c:v>16.270903010033443</c:v>
                </c:pt>
                <c:pt idx="265">
                  <c:v>16.270903010033443</c:v>
                </c:pt>
                <c:pt idx="266">
                  <c:v>16.270903010033443</c:v>
                </c:pt>
                <c:pt idx="267">
                  <c:v>16.270903010033443</c:v>
                </c:pt>
                <c:pt idx="268">
                  <c:v>16.270903010033443</c:v>
                </c:pt>
                <c:pt idx="269">
                  <c:v>16.270903010033443</c:v>
                </c:pt>
                <c:pt idx="270">
                  <c:v>16.270903010033443</c:v>
                </c:pt>
                <c:pt idx="271">
                  <c:v>16.270903010033443</c:v>
                </c:pt>
                <c:pt idx="272">
                  <c:v>16.270903010033443</c:v>
                </c:pt>
                <c:pt idx="273">
                  <c:v>16.270903010033443</c:v>
                </c:pt>
                <c:pt idx="274">
                  <c:v>16.270903010033443</c:v>
                </c:pt>
                <c:pt idx="275">
                  <c:v>16.270903010033443</c:v>
                </c:pt>
                <c:pt idx="276">
                  <c:v>16.270903010033443</c:v>
                </c:pt>
                <c:pt idx="277">
                  <c:v>16.270903010033443</c:v>
                </c:pt>
                <c:pt idx="278">
                  <c:v>16.270903010033443</c:v>
                </c:pt>
                <c:pt idx="279">
                  <c:v>16.270903010033443</c:v>
                </c:pt>
                <c:pt idx="280">
                  <c:v>16.270903010033443</c:v>
                </c:pt>
                <c:pt idx="281">
                  <c:v>16.270903010033443</c:v>
                </c:pt>
                <c:pt idx="282">
                  <c:v>16.270903010033443</c:v>
                </c:pt>
                <c:pt idx="283">
                  <c:v>16.270903010033443</c:v>
                </c:pt>
                <c:pt idx="284">
                  <c:v>16.270903010033443</c:v>
                </c:pt>
                <c:pt idx="285">
                  <c:v>16.270903010033443</c:v>
                </c:pt>
                <c:pt idx="286">
                  <c:v>16.270903010033443</c:v>
                </c:pt>
                <c:pt idx="287">
                  <c:v>16.270903010033443</c:v>
                </c:pt>
                <c:pt idx="288">
                  <c:v>16.270903010033443</c:v>
                </c:pt>
                <c:pt idx="289">
                  <c:v>16.270903010033443</c:v>
                </c:pt>
                <c:pt idx="290">
                  <c:v>16.270903010033443</c:v>
                </c:pt>
                <c:pt idx="291">
                  <c:v>16.270903010033443</c:v>
                </c:pt>
                <c:pt idx="292">
                  <c:v>16.270903010033443</c:v>
                </c:pt>
                <c:pt idx="293">
                  <c:v>16.270903010033443</c:v>
                </c:pt>
                <c:pt idx="294">
                  <c:v>16.270903010033443</c:v>
                </c:pt>
                <c:pt idx="295">
                  <c:v>16.270903010033443</c:v>
                </c:pt>
                <c:pt idx="296">
                  <c:v>16.270903010033443</c:v>
                </c:pt>
                <c:pt idx="297">
                  <c:v>16.270903010033443</c:v>
                </c:pt>
                <c:pt idx="298">
                  <c:v>16.270903010033443</c:v>
                </c:pt>
                <c:pt idx="299">
                  <c:v>16.270903010033443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73-4081-AAA0-2765D8044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HYBOX2_Particle_SPC!$E$9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HYBOX2_Particle_SPC!$E$10:$E$309</c:f>
              <c:numCache>
                <c:formatCode>General</c:formatCode>
                <c:ptCount val="300"/>
                <c:pt idx="0">
                  <c:v>33</c:v>
                </c:pt>
                <c:pt idx="1">
                  <c:v>49</c:v>
                </c:pt>
                <c:pt idx="2">
                  <c:v>72</c:v>
                </c:pt>
                <c:pt idx="3">
                  <c:v>53</c:v>
                </c:pt>
                <c:pt idx="4">
                  <c:v>48</c:v>
                </c:pt>
                <c:pt idx="5">
                  <c:v>76</c:v>
                </c:pt>
                <c:pt idx="6">
                  <c:v>88</c:v>
                </c:pt>
                <c:pt idx="7">
                  <c:v>51</c:v>
                </c:pt>
                <c:pt idx="8">
                  <c:v>73</c:v>
                </c:pt>
                <c:pt idx="9">
                  <c:v>59</c:v>
                </c:pt>
                <c:pt idx="10">
                  <c:v>78</c:v>
                </c:pt>
                <c:pt idx="11">
                  <c:v>88</c:v>
                </c:pt>
                <c:pt idx="12">
                  <c:v>98</c:v>
                </c:pt>
                <c:pt idx="13">
                  <c:v>43</c:v>
                </c:pt>
                <c:pt idx="14">
                  <c:v>38</c:v>
                </c:pt>
                <c:pt idx="15">
                  <c:v>19</c:v>
                </c:pt>
                <c:pt idx="16">
                  <c:v>48</c:v>
                </c:pt>
                <c:pt idx="17">
                  <c:v>32</c:v>
                </c:pt>
                <c:pt idx="18">
                  <c:v>54</c:v>
                </c:pt>
                <c:pt idx="19">
                  <c:v>34</c:v>
                </c:pt>
                <c:pt idx="20">
                  <c:v>37</c:v>
                </c:pt>
                <c:pt idx="21">
                  <c:v>27</c:v>
                </c:pt>
                <c:pt idx="22">
                  <c:v>31</c:v>
                </c:pt>
                <c:pt idx="23">
                  <c:v>37</c:v>
                </c:pt>
                <c:pt idx="24">
                  <c:v>30</c:v>
                </c:pt>
                <c:pt idx="25">
                  <c:v>51</c:v>
                </c:pt>
                <c:pt idx="26">
                  <c:v>26</c:v>
                </c:pt>
                <c:pt idx="27">
                  <c:v>28</c:v>
                </c:pt>
                <c:pt idx="28">
                  <c:v>35</c:v>
                </c:pt>
                <c:pt idx="29">
                  <c:v>27</c:v>
                </c:pt>
                <c:pt idx="30">
                  <c:v>28</c:v>
                </c:pt>
                <c:pt idx="31">
                  <c:v>41</c:v>
                </c:pt>
                <c:pt idx="32">
                  <c:v>50</c:v>
                </c:pt>
                <c:pt idx="33">
                  <c:v>36</c:v>
                </c:pt>
                <c:pt idx="34">
                  <c:v>44</c:v>
                </c:pt>
                <c:pt idx="35">
                  <c:v>42</c:v>
                </c:pt>
                <c:pt idx="36">
                  <c:v>63</c:v>
                </c:pt>
                <c:pt idx="37">
                  <c:v>54</c:v>
                </c:pt>
                <c:pt idx="38">
                  <c:v>74</c:v>
                </c:pt>
                <c:pt idx="39">
                  <c:v>15</c:v>
                </c:pt>
                <c:pt idx="40">
                  <c:v>44</c:v>
                </c:pt>
                <c:pt idx="41">
                  <c:v>34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31</c:v>
                </c:pt>
                <c:pt idx="46">
                  <c:v>37</c:v>
                </c:pt>
                <c:pt idx="47">
                  <c:v>28</c:v>
                </c:pt>
                <c:pt idx="48">
                  <c:v>36</c:v>
                </c:pt>
                <c:pt idx="49">
                  <c:v>41</c:v>
                </c:pt>
                <c:pt idx="50">
                  <c:v>81</c:v>
                </c:pt>
                <c:pt idx="51">
                  <c:v>39</c:v>
                </c:pt>
                <c:pt idx="52">
                  <c:v>74</c:v>
                </c:pt>
                <c:pt idx="53">
                  <c:v>35</c:v>
                </c:pt>
                <c:pt idx="54">
                  <c:v>55</c:v>
                </c:pt>
                <c:pt idx="55">
                  <c:v>60</c:v>
                </c:pt>
                <c:pt idx="56">
                  <c:v>48</c:v>
                </c:pt>
                <c:pt idx="57">
                  <c:v>69</c:v>
                </c:pt>
                <c:pt idx="58">
                  <c:v>13</c:v>
                </c:pt>
                <c:pt idx="59">
                  <c:v>23</c:v>
                </c:pt>
                <c:pt idx="60">
                  <c:v>27</c:v>
                </c:pt>
                <c:pt idx="61">
                  <c:v>24</c:v>
                </c:pt>
                <c:pt idx="62">
                  <c:v>29</c:v>
                </c:pt>
                <c:pt idx="63">
                  <c:v>22</c:v>
                </c:pt>
                <c:pt idx="64">
                  <c:v>24</c:v>
                </c:pt>
                <c:pt idx="65">
                  <c:v>39</c:v>
                </c:pt>
                <c:pt idx="66">
                  <c:v>40</c:v>
                </c:pt>
                <c:pt idx="67">
                  <c:v>63</c:v>
                </c:pt>
                <c:pt idx="68">
                  <c:v>33</c:v>
                </c:pt>
                <c:pt idx="69">
                  <c:v>50</c:v>
                </c:pt>
                <c:pt idx="70">
                  <c:v>55</c:v>
                </c:pt>
                <c:pt idx="71">
                  <c:v>85</c:v>
                </c:pt>
                <c:pt idx="72">
                  <c:v>67</c:v>
                </c:pt>
                <c:pt idx="73">
                  <c:v>56</c:v>
                </c:pt>
                <c:pt idx="74">
                  <c:v>61</c:v>
                </c:pt>
                <c:pt idx="75">
                  <c:v>60</c:v>
                </c:pt>
                <c:pt idx="76">
                  <c:v>62</c:v>
                </c:pt>
                <c:pt idx="77">
                  <c:v>55</c:v>
                </c:pt>
                <c:pt idx="78">
                  <c:v>57</c:v>
                </c:pt>
                <c:pt idx="79">
                  <c:v>52</c:v>
                </c:pt>
                <c:pt idx="80">
                  <c:v>60</c:v>
                </c:pt>
                <c:pt idx="81">
                  <c:v>65</c:v>
                </c:pt>
                <c:pt idx="82">
                  <c:v>65</c:v>
                </c:pt>
                <c:pt idx="83">
                  <c:v>84</c:v>
                </c:pt>
                <c:pt idx="84">
                  <c:v>100</c:v>
                </c:pt>
                <c:pt idx="85">
                  <c:v>78</c:v>
                </c:pt>
                <c:pt idx="86">
                  <c:v>90</c:v>
                </c:pt>
                <c:pt idx="87">
                  <c:v>110</c:v>
                </c:pt>
                <c:pt idx="88">
                  <c:v>32</c:v>
                </c:pt>
                <c:pt idx="89">
                  <c:v>36</c:v>
                </c:pt>
                <c:pt idx="90">
                  <c:v>60</c:v>
                </c:pt>
                <c:pt idx="91">
                  <c:v>41</c:v>
                </c:pt>
                <c:pt idx="92">
                  <c:v>31</c:v>
                </c:pt>
                <c:pt idx="93">
                  <c:v>46</c:v>
                </c:pt>
                <c:pt idx="94">
                  <c:v>56</c:v>
                </c:pt>
                <c:pt idx="95">
                  <c:v>63</c:v>
                </c:pt>
                <c:pt idx="96">
                  <c:v>53</c:v>
                </c:pt>
                <c:pt idx="97">
                  <c:v>46</c:v>
                </c:pt>
                <c:pt idx="98">
                  <c:v>59</c:v>
                </c:pt>
                <c:pt idx="99">
                  <c:v>52</c:v>
                </c:pt>
                <c:pt idx="100">
                  <c:v>63</c:v>
                </c:pt>
                <c:pt idx="101">
                  <c:v>73</c:v>
                </c:pt>
                <c:pt idx="102">
                  <c:v>67</c:v>
                </c:pt>
                <c:pt idx="103">
                  <c:v>47</c:v>
                </c:pt>
                <c:pt idx="104">
                  <c:v>75</c:v>
                </c:pt>
                <c:pt idx="105">
                  <c:v>86</c:v>
                </c:pt>
                <c:pt idx="106">
                  <c:v>14</c:v>
                </c:pt>
                <c:pt idx="107">
                  <c:v>19</c:v>
                </c:pt>
                <c:pt idx="108">
                  <c:v>28</c:v>
                </c:pt>
                <c:pt idx="109">
                  <c:v>23</c:v>
                </c:pt>
                <c:pt idx="110">
                  <c:v>31</c:v>
                </c:pt>
                <c:pt idx="111">
                  <c:v>38</c:v>
                </c:pt>
                <c:pt idx="112">
                  <c:v>34</c:v>
                </c:pt>
                <c:pt idx="113">
                  <c:v>54</c:v>
                </c:pt>
                <c:pt idx="114">
                  <c:v>68</c:v>
                </c:pt>
                <c:pt idx="115">
                  <c:v>47</c:v>
                </c:pt>
                <c:pt idx="116">
                  <c:v>39</c:v>
                </c:pt>
                <c:pt idx="117">
                  <c:v>48</c:v>
                </c:pt>
                <c:pt idx="118">
                  <c:v>75</c:v>
                </c:pt>
                <c:pt idx="119">
                  <c:v>72</c:v>
                </c:pt>
                <c:pt idx="120">
                  <c:v>68</c:v>
                </c:pt>
                <c:pt idx="121">
                  <c:v>61</c:v>
                </c:pt>
                <c:pt idx="122">
                  <c:v>69</c:v>
                </c:pt>
                <c:pt idx="123">
                  <c:v>67</c:v>
                </c:pt>
                <c:pt idx="124">
                  <c:v>61</c:v>
                </c:pt>
                <c:pt idx="125">
                  <c:v>53</c:v>
                </c:pt>
                <c:pt idx="126">
                  <c:v>50</c:v>
                </c:pt>
                <c:pt idx="127">
                  <c:v>96</c:v>
                </c:pt>
                <c:pt idx="128">
                  <c:v>79</c:v>
                </c:pt>
                <c:pt idx="129">
                  <c:v>81</c:v>
                </c:pt>
                <c:pt idx="130">
                  <c:v>73</c:v>
                </c:pt>
                <c:pt idx="131">
                  <c:v>72</c:v>
                </c:pt>
                <c:pt idx="132">
                  <c:v>72</c:v>
                </c:pt>
                <c:pt idx="133">
                  <c:v>108</c:v>
                </c:pt>
                <c:pt idx="134">
                  <c:v>120</c:v>
                </c:pt>
                <c:pt idx="135">
                  <c:v>27</c:v>
                </c:pt>
                <c:pt idx="136">
                  <c:v>24</c:v>
                </c:pt>
                <c:pt idx="137">
                  <c:v>41</c:v>
                </c:pt>
                <c:pt idx="138">
                  <c:v>28</c:v>
                </c:pt>
                <c:pt idx="139">
                  <c:v>45</c:v>
                </c:pt>
                <c:pt idx="140">
                  <c:v>52</c:v>
                </c:pt>
                <c:pt idx="141">
                  <c:v>52</c:v>
                </c:pt>
                <c:pt idx="142">
                  <c:v>65</c:v>
                </c:pt>
                <c:pt idx="143">
                  <c:v>39</c:v>
                </c:pt>
                <c:pt idx="144">
                  <c:v>52</c:v>
                </c:pt>
                <c:pt idx="145">
                  <c:v>33</c:v>
                </c:pt>
                <c:pt idx="146">
                  <c:v>41</c:v>
                </c:pt>
                <c:pt idx="147">
                  <c:v>49</c:v>
                </c:pt>
                <c:pt idx="148">
                  <c:v>75</c:v>
                </c:pt>
                <c:pt idx="149">
                  <c:v>55</c:v>
                </c:pt>
                <c:pt idx="150">
                  <c:v>12</c:v>
                </c:pt>
                <c:pt idx="151">
                  <c:v>90</c:v>
                </c:pt>
                <c:pt idx="152">
                  <c:v>17</c:v>
                </c:pt>
                <c:pt idx="153">
                  <c:v>19</c:v>
                </c:pt>
                <c:pt idx="154">
                  <c:v>51</c:v>
                </c:pt>
                <c:pt idx="155">
                  <c:v>16</c:v>
                </c:pt>
                <c:pt idx="156">
                  <c:v>28</c:v>
                </c:pt>
                <c:pt idx="157">
                  <c:v>32</c:v>
                </c:pt>
                <c:pt idx="158">
                  <c:v>16</c:v>
                </c:pt>
                <c:pt idx="159">
                  <c:v>25</c:v>
                </c:pt>
                <c:pt idx="160">
                  <c:v>23</c:v>
                </c:pt>
                <c:pt idx="161">
                  <c:v>37</c:v>
                </c:pt>
                <c:pt idx="162">
                  <c:v>43</c:v>
                </c:pt>
                <c:pt idx="163">
                  <c:v>32</c:v>
                </c:pt>
                <c:pt idx="164">
                  <c:v>37</c:v>
                </c:pt>
                <c:pt idx="165">
                  <c:v>34</c:v>
                </c:pt>
                <c:pt idx="166">
                  <c:v>43</c:v>
                </c:pt>
                <c:pt idx="167">
                  <c:v>43</c:v>
                </c:pt>
                <c:pt idx="168">
                  <c:v>63</c:v>
                </c:pt>
                <c:pt idx="169">
                  <c:v>31</c:v>
                </c:pt>
                <c:pt idx="170">
                  <c:v>38</c:v>
                </c:pt>
                <c:pt idx="171">
                  <c:v>53</c:v>
                </c:pt>
                <c:pt idx="172">
                  <c:v>50</c:v>
                </c:pt>
                <c:pt idx="173">
                  <c:v>32</c:v>
                </c:pt>
                <c:pt idx="174">
                  <c:v>34</c:v>
                </c:pt>
                <c:pt idx="175">
                  <c:v>83</c:v>
                </c:pt>
                <c:pt idx="176">
                  <c:v>76</c:v>
                </c:pt>
                <c:pt idx="177">
                  <c:v>78</c:v>
                </c:pt>
                <c:pt idx="178">
                  <c:v>94</c:v>
                </c:pt>
                <c:pt idx="179">
                  <c:v>109</c:v>
                </c:pt>
                <c:pt idx="180">
                  <c:v>28</c:v>
                </c:pt>
                <c:pt idx="181">
                  <c:v>29</c:v>
                </c:pt>
                <c:pt idx="182">
                  <c:v>45</c:v>
                </c:pt>
                <c:pt idx="183">
                  <c:v>42</c:v>
                </c:pt>
                <c:pt idx="184">
                  <c:v>19</c:v>
                </c:pt>
                <c:pt idx="185">
                  <c:v>36</c:v>
                </c:pt>
                <c:pt idx="186">
                  <c:v>21</c:v>
                </c:pt>
                <c:pt idx="187">
                  <c:v>34</c:v>
                </c:pt>
                <c:pt idx="188">
                  <c:v>43</c:v>
                </c:pt>
                <c:pt idx="189">
                  <c:v>41</c:v>
                </c:pt>
                <c:pt idx="190">
                  <c:v>31</c:v>
                </c:pt>
                <c:pt idx="191">
                  <c:v>37</c:v>
                </c:pt>
                <c:pt idx="192">
                  <c:v>42</c:v>
                </c:pt>
                <c:pt idx="193">
                  <c:v>43</c:v>
                </c:pt>
                <c:pt idx="194">
                  <c:v>46</c:v>
                </c:pt>
                <c:pt idx="195">
                  <c:v>52</c:v>
                </c:pt>
                <c:pt idx="196">
                  <c:v>55</c:v>
                </c:pt>
                <c:pt idx="197">
                  <c:v>58</c:v>
                </c:pt>
                <c:pt idx="198">
                  <c:v>65</c:v>
                </c:pt>
                <c:pt idx="199">
                  <c:v>66</c:v>
                </c:pt>
                <c:pt idx="200">
                  <c:v>63</c:v>
                </c:pt>
                <c:pt idx="201">
                  <c:v>25</c:v>
                </c:pt>
                <c:pt idx="202">
                  <c:v>20</c:v>
                </c:pt>
                <c:pt idx="203">
                  <c:v>32</c:v>
                </c:pt>
                <c:pt idx="204">
                  <c:v>33</c:v>
                </c:pt>
                <c:pt idx="205">
                  <c:v>29</c:v>
                </c:pt>
                <c:pt idx="206">
                  <c:v>21</c:v>
                </c:pt>
                <c:pt idx="207">
                  <c:v>52</c:v>
                </c:pt>
                <c:pt idx="208">
                  <c:v>26</c:v>
                </c:pt>
                <c:pt idx="209">
                  <c:v>20</c:v>
                </c:pt>
                <c:pt idx="210">
                  <c:v>34</c:v>
                </c:pt>
                <c:pt idx="211">
                  <c:v>30</c:v>
                </c:pt>
                <c:pt idx="212">
                  <c:v>30</c:v>
                </c:pt>
                <c:pt idx="213">
                  <c:v>15</c:v>
                </c:pt>
                <c:pt idx="214">
                  <c:v>25</c:v>
                </c:pt>
                <c:pt idx="215">
                  <c:v>33</c:v>
                </c:pt>
                <c:pt idx="216">
                  <c:v>26</c:v>
                </c:pt>
                <c:pt idx="217">
                  <c:v>30</c:v>
                </c:pt>
                <c:pt idx="218">
                  <c:v>41</c:v>
                </c:pt>
                <c:pt idx="219">
                  <c:v>19</c:v>
                </c:pt>
                <c:pt idx="220">
                  <c:v>31</c:v>
                </c:pt>
                <c:pt idx="221">
                  <c:v>31</c:v>
                </c:pt>
                <c:pt idx="222">
                  <c:v>41</c:v>
                </c:pt>
                <c:pt idx="223">
                  <c:v>47</c:v>
                </c:pt>
                <c:pt idx="224">
                  <c:v>47</c:v>
                </c:pt>
                <c:pt idx="225">
                  <c:v>94</c:v>
                </c:pt>
                <c:pt idx="226">
                  <c:v>83</c:v>
                </c:pt>
                <c:pt idx="227">
                  <c:v>97</c:v>
                </c:pt>
                <c:pt idx="228">
                  <c:v>57</c:v>
                </c:pt>
                <c:pt idx="229">
                  <c:v>54</c:v>
                </c:pt>
                <c:pt idx="230">
                  <c:v>41</c:v>
                </c:pt>
                <c:pt idx="231">
                  <c:v>54</c:v>
                </c:pt>
                <c:pt idx="232">
                  <c:v>46</c:v>
                </c:pt>
                <c:pt idx="233">
                  <c:v>56</c:v>
                </c:pt>
                <c:pt idx="234">
                  <c:v>64</c:v>
                </c:pt>
                <c:pt idx="235">
                  <c:v>77</c:v>
                </c:pt>
                <c:pt idx="236">
                  <c:v>51</c:v>
                </c:pt>
                <c:pt idx="237">
                  <c:v>63</c:v>
                </c:pt>
                <c:pt idx="238">
                  <c:v>91</c:v>
                </c:pt>
                <c:pt idx="239">
                  <c:v>105</c:v>
                </c:pt>
                <c:pt idx="240">
                  <c:v>89</c:v>
                </c:pt>
                <c:pt idx="241">
                  <c:v>115</c:v>
                </c:pt>
                <c:pt idx="242">
                  <c:v>134</c:v>
                </c:pt>
                <c:pt idx="243">
                  <c:v>99</c:v>
                </c:pt>
                <c:pt idx="244">
                  <c:v>85</c:v>
                </c:pt>
                <c:pt idx="245">
                  <c:v>100</c:v>
                </c:pt>
                <c:pt idx="246">
                  <c:v>71</c:v>
                </c:pt>
                <c:pt idx="247">
                  <c:v>120</c:v>
                </c:pt>
                <c:pt idx="248">
                  <c:v>94</c:v>
                </c:pt>
                <c:pt idx="249">
                  <c:v>104</c:v>
                </c:pt>
                <c:pt idx="250">
                  <c:v>28</c:v>
                </c:pt>
                <c:pt idx="251">
                  <c:v>42</c:v>
                </c:pt>
                <c:pt idx="252">
                  <c:v>61</c:v>
                </c:pt>
                <c:pt idx="253">
                  <c:v>56</c:v>
                </c:pt>
                <c:pt idx="254">
                  <c:v>55</c:v>
                </c:pt>
                <c:pt idx="255">
                  <c:v>57</c:v>
                </c:pt>
                <c:pt idx="256">
                  <c:v>97</c:v>
                </c:pt>
                <c:pt idx="257">
                  <c:v>71</c:v>
                </c:pt>
                <c:pt idx="258">
                  <c:v>44</c:v>
                </c:pt>
                <c:pt idx="259">
                  <c:v>42</c:v>
                </c:pt>
                <c:pt idx="260">
                  <c:v>50</c:v>
                </c:pt>
                <c:pt idx="261">
                  <c:v>52</c:v>
                </c:pt>
                <c:pt idx="262">
                  <c:v>57</c:v>
                </c:pt>
                <c:pt idx="263">
                  <c:v>43</c:v>
                </c:pt>
                <c:pt idx="264">
                  <c:v>69</c:v>
                </c:pt>
                <c:pt idx="265">
                  <c:v>50</c:v>
                </c:pt>
                <c:pt idx="266">
                  <c:v>73</c:v>
                </c:pt>
                <c:pt idx="267">
                  <c:v>59</c:v>
                </c:pt>
                <c:pt idx="268">
                  <c:v>50</c:v>
                </c:pt>
                <c:pt idx="269">
                  <c:v>65</c:v>
                </c:pt>
                <c:pt idx="270">
                  <c:v>89</c:v>
                </c:pt>
                <c:pt idx="271">
                  <c:v>31</c:v>
                </c:pt>
                <c:pt idx="272">
                  <c:v>36</c:v>
                </c:pt>
                <c:pt idx="273">
                  <c:v>27</c:v>
                </c:pt>
                <c:pt idx="274">
                  <c:v>34</c:v>
                </c:pt>
                <c:pt idx="275">
                  <c:v>94</c:v>
                </c:pt>
                <c:pt idx="276">
                  <c:v>63</c:v>
                </c:pt>
                <c:pt idx="277">
                  <c:v>60</c:v>
                </c:pt>
                <c:pt idx="278">
                  <c:v>105</c:v>
                </c:pt>
                <c:pt idx="279">
                  <c:v>80</c:v>
                </c:pt>
                <c:pt idx="280">
                  <c:v>77</c:v>
                </c:pt>
                <c:pt idx="281">
                  <c:v>88</c:v>
                </c:pt>
                <c:pt idx="282">
                  <c:v>81</c:v>
                </c:pt>
                <c:pt idx="283">
                  <c:v>79</c:v>
                </c:pt>
                <c:pt idx="284">
                  <c:v>79</c:v>
                </c:pt>
                <c:pt idx="285">
                  <c:v>87</c:v>
                </c:pt>
                <c:pt idx="286">
                  <c:v>92</c:v>
                </c:pt>
                <c:pt idx="287">
                  <c:v>74</c:v>
                </c:pt>
                <c:pt idx="288">
                  <c:v>98</c:v>
                </c:pt>
                <c:pt idx="289">
                  <c:v>97</c:v>
                </c:pt>
                <c:pt idx="290">
                  <c:v>76</c:v>
                </c:pt>
                <c:pt idx="291">
                  <c:v>104</c:v>
                </c:pt>
                <c:pt idx="292">
                  <c:v>163</c:v>
                </c:pt>
                <c:pt idx="293">
                  <c:v>141</c:v>
                </c:pt>
                <c:pt idx="294">
                  <c:v>138</c:v>
                </c:pt>
                <c:pt idx="295">
                  <c:v>147</c:v>
                </c:pt>
                <c:pt idx="296">
                  <c:v>177</c:v>
                </c:pt>
                <c:pt idx="297">
                  <c:v>209</c:v>
                </c:pt>
                <c:pt idx="298">
                  <c:v>118</c:v>
                </c:pt>
                <c:pt idx="299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E1-4EF8-99CC-6FA19327E94E}"/>
            </c:ext>
          </c:extLst>
        </c:ser>
        <c:ser>
          <c:idx val="1"/>
          <c:order val="1"/>
          <c:tx>
            <c:strRef>
              <c:f>HYBOX2_Particle_SPC!$H$9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HYBOX2_Particle_SPC!$H$10:$H$309</c:f>
              <c:numCache>
                <c:formatCode>General</c:formatCode>
                <c:ptCount val="300"/>
                <c:pt idx="0">
                  <c:v>98.458735026921886</c:v>
                </c:pt>
                <c:pt idx="1">
                  <c:v>98.458735026921886</c:v>
                </c:pt>
                <c:pt idx="2">
                  <c:v>98.458735026921886</c:v>
                </c:pt>
                <c:pt idx="3">
                  <c:v>98.458735026921886</c:v>
                </c:pt>
                <c:pt idx="4">
                  <c:v>98.458735026921886</c:v>
                </c:pt>
                <c:pt idx="5">
                  <c:v>98.458735026921886</c:v>
                </c:pt>
                <c:pt idx="6">
                  <c:v>98.458735026921886</c:v>
                </c:pt>
                <c:pt idx="7">
                  <c:v>98.458735026921886</c:v>
                </c:pt>
                <c:pt idx="8">
                  <c:v>98.458735026921886</c:v>
                </c:pt>
                <c:pt idx="9">
                  <c:v>98.458735026921886</c:v>
                </c:pt>
                <c:pt idx="10">
                  <c:v>98.458735026921886</c:v>
                </c:pt>
                <c:pt idx="11">
                  <c:v>98.458735026921886</c:v>
                </c:pt>
                <c:pt idx="12">
                  <c:v>98.458735026921886</c:v>
                </c:pt>
                <c:pt idx="13">
                  <c:v>98.458735026921886</c:v>
                </c:pt>
                <c:pt idx="14">
                  <c:v>98.458735026921886</c:v>
                </c:pt>
                <c:pt idx="15">
                  <c:v>98.458735026921886</c:v>
                </c:pt>
                <c:pt idx="16">
                  <c:v>98.458735026921886</c:v>
                </c:pt>
                <c:pt idx="17">
                  <c:v>98.458735026921886</c:v>
                </c:pt>
                <c:pt idx="18">
                  <c:v>98.458735026921886</c:v>
                </c:pt>
                <c:pt idx="19">
                  <c:v>98.458735026921886</c:v>
                </c:pt>
                <c:pt idx="20">
                  <c:v>98.458735026921886</c:v>
                </c:pt>
                <c:pt idx="21">
                  <c:v>98.458735026921886</c:v>
                </c:pt>
                <c:pt idx="22">
                  <c:v>98.458735026921886</c:v>
                </c:pt>
                <c:pt idx="23">
                  <c:v>98.458735026921886</c:v>
                </c:pt>
                <c:pt idx="24">
                  <c:v>98.458735026921886</c:v>
                </c:pt>
                <c:pt idx="25">
                  <c:v>98.458735026921886</c:v>
                </c:pt>
                <c:pt idx="26">
                  <c:v>98.458735026921886</c:v>
                </c:pt>
                <c:pt idx="27">
                  <c:v>98.458735026921886</c:v>
                </c:pt>
                <c:pt idx="28">
                  <c:v>98.458735026921886</c:v>
                </c:pt>
                <c:pt idx="29">
                  <c:v>98.458735026921886</c:v>
                </c:pt>
                <c:pt idx="30">
                  <c:v>98.458735026921886</c:v>
                </c:pt>
                <c:pt idx="31">
                  <c:v>98.458735026921886</c:v>
                </c:pt>
                <c:pt idx="32">
                  <c:v>98.458735026921886</c:v>
                </c:pt>
                <c:pt idx="33">
                  <c:v>98.458735026921886</c:v>
                </c:pt>
                <c:pt idx="34">
                  <c:v>98.458735026921886</c:v>
                </c:pt>
                <c:pt idx="35">
                  <c:v>98.458735026921886</c:v>
                </c:pt>
                <c:pt idx="36">
                  <c:v>98.458735026921886</c:v>
                </c:pt>
                <c:pt idx="37">
                  <c:v>98.458735026921886</c:v>
                </c:pt>
                <c:pt idx="38">
                  <c:v>98.458735026921886</c:v>
                </c:pt>
                <c:pt idx="39">
                  <c:v>98.458735026921886</c:v>
                </c:pt>
                <c:pt idx="40">
                  <c:v>98.458735026921886</c:v>
                </c:pt>
                <c:pt idx="41">
                  <c:v>98.458735026921886</c:v>
                </c:pt>
                <c:pt idx="42">
                  <c:v>98.458735026921886</c:v>
                </c:pt>
                <c:pt idx="43">
                  <c:v>98.458735026921886</c:v>
                </c:pt>
                <c:pt idx="44">
                  <c:v>98.458735026921886</c:v>
                </c:pt>
                <c:pt idx="45">
                  <c:v>98.458735026921886</c:v>
                </c:pt>
                <c:pt idx="46">
                  <c:v>98.458735026921886</c:v>
                </c:pt>
                <c:pt idx="47">
                  <c:v>98.458735026921886</c:v>
                </c:pt>
                <c:pt idx="48">
                  <c:v>98.458735026921886</c:v>
                </c:pt>
                <c:pt idx="49">
                  <c:v>98.458735026921886</c:v>
                </c:pt>
                <c:pt idx="50">
                  <c:v>98.458735026921886</c:v>
                </c:pt>
                <c:pt idx="51">
                  <c:v>98.458735026921886</c:v>
                </c:pt>
                <c:pt idx="52">
                  <c:v>98.458735026921886</c:v>
                </c:pt>
                <c:pt idx="53">
                  <c:v>98.458735026921886</c:v>
                </c:pt>
                <c:pt idx="54">
                  <c:v>98.458735026921886</c:v>
                </c:pt>
                <c:pt idx="55">
                  <c:v>98.458735026921886</c:v>
                </c:pt>
                <c:pt idx="56">
                  <c:v>98.458735026921886</c:v>
                </c:pt>
                <c:pt idx="57">
                  <c:v>98.458735026921886</c:v>
                </c:pt>
                <c:pt idx="58">
                  <c:v>98.458735026921886</c:v>
                </c:pt>
                <c:pt idx="59">
                  <c:v>98.458735026921886</c:v>
                </c:pt>
                <c:pt idx="60">
                  <c:v>98.458735026921886</c:v>
                </c:pt>
                <c:pt idx="61">
                  <c:v>98.458735026921886</c:v>
                </c:pt>
                <c:pt idx="62">
                  <c:v>98.458735026921886</c:v>
                </c:pt>
                <c:pt idx="63">
                  <c:v>98.458735026921886</c:v>
                </c:pt>
                <c:pt idx="64">
                  <c:v>98.458735026921886</c:v>
                </c:pt>
                <c:pt idx="65">
                  <c:v>98.458735026921886</c:v>
                </c:pt>
                <c:pt idx="66">
                  <c:v>98.458735026921886</c:v>
                </c:pt>
                <c:pt idx="67">
                  <c:v>98.458735026921886</c:v>
                </c:pt>
                <c:pt idx="68">
                  <c:v>98.458735026921886</c:v>
                </c:pt>
                <c:pt idx="69">
                  <c:v>98.458735026921886</c:v>
                </c:pt>
                <c:pt idx="70">
                  <c:v>98.458735026921886</c:v>
                </c:pt>
                <c:pt idx="71">
                  <c:v>98.458735026921886</c:v>
                </c:pt>
                <c:pt idx="72">
                  <c:v>98.458735026921886</c:v>
                </c:pt>
                <c:pt idx="73">
                  <c:v>98.458735026921886</c:v>
                </c:pt>
                <c:pt idx="74">
                  <c:v>98.458735026921886</c:v>
                </c:pt>
                <c:pt idx="75">
                  <c:v>98.458735026921886</c:v>
                </c:pt>
                <c:pt idx="76">
                  <c:v>98.458735026921886</c:v>
                </c:pt>
                <c:pt idx="77">
                  <c:v>98.458735026921886</c:v>
                </c:pt>
                <c:pt idx="78">
                  <c:v>98.458735026921886</c:v>
                </c:pt>
                <c:pt idx="79">
                  <c:v>98.458735026921886</c:v>
                </c:pt>
                <c:pt idx="80">
                  <c:v>98.458735026921886</c:v>
                </c:pt>
                <c:pt idx="81">
                  <c:v>98.458735026921886</c:v>
                </c:pt>
                <c:pt idx="82">
                  <c:v>98.458735026921886</c:v>
                </c:pt>
                <c:pt idx="83">
                  <c:v>98.458735026921886</c:v>
                </c:pt>
                <c:pt idx="84">
                  <c:v>98.458735026921886</c:v>
                </c:pt>
                <c:pt idx="85">
                  <c:v>98.458735026921886</c:v>
                </c:pt>
                <c:pt idx="86">
                  <c:v>98.458735026921886</c:v>
                </c:pt>
                <c:pt idx="87">
                  <c:v>98.458735026921886</c:v>
                </c:pt>
                <c:pt idx="88">
                  <c:v>98.458735026921886</c:v>
                </c:pt>
                <c:pt idx="89">
                  <c:v>98.458735026921886</c:v>
                </c:pt>
                <c:pt idx="90">
                  <c:v>98.458735026921886</c:v>
                </c:pt>
                <c:pt idx="91">
                  <c:v>98.458735026921886</c:v>
                </c:pt>
                <c:pt idx="92">
                  <c:v>98.458735026921886</c:v>
                </c:pt>
                <c:pt idx="93">
                  <c:v>98.458735026921886</c:v>
                </c:pt>
                <c:pt idx="94">
                  <c:v>98.458735026921886</c:v>
                </c:pt>
                <c:pt idx="95">
                  <c:v>98.458735026921886</c:v>
                </c:pt>
                <c:pt idx="96">
                  <c:v>98.458735026921886</c:v>
                </c:pt>
                <c:pt idx="97">
                  <c:v>98.458735026921886</c:v>
                </c:pt>
                <c:pt idx="98">
                  <c:v>98.458735026921886</c:v>
                </c:pt>
                <c:pt idx="99">
                  <c:v>98.458735026921886</c:v>
                </c:pt>
                <c:pt idx="100">
                  <c:v>98.458735026921886</c:v>
                </c:pt>
                <c:pt idx="101">
                  <c:v>98.458735026921886</c:v>
                </c:pt>
                <c:pt idx="102">
                  <c:v>98.458735026921886</c:v>
                </c:pt>
                <c:pt idx="103">
                  <c:v>98.458735026921886</c:v>
                </c:pt>
                <c:pt idx="104">
                  <c:v>98.458735026921886</c:v>
                </c:pt>
                <c:pt idx="105">
                  <c:v>98.458735026921886</c:v>
                </c:pt>
                <c:pt idx="106">
                  <c:v>98.458735026921886</c:v>
                </c:pt>
                <c:pt idx="107">
                  <c:v>98.458735026921886</c:v>
                </c:pt>
                <c:pt idx="108">
                  <c:v>98.458735026921886</c:v>
                </c:pt>
                <c:pt idx="109">
                  <c:v>98.458735026921886</c:v>
                </c:pt>
                <c:pt idx="110">
                  <c:v>98.458735026921886</c:v>
                </c:pt>
                <c:pt idx="111">
                  <c:v>98.458735026921886</c:v>
                </c:pt>
                <c:pt idx="112">
                  <c:v>98.458735026921886</c:v>
                </c:pt>
                <c:pt idx="113">
                  <c:v>98.458735026921886</c:v>
                </c:pt>
                <c:pt idx="114">
                  <c:v>98.458735026921886</c:v>
                </c:pt>
                <c:pt idx="115">
                  <c:v>98.458735026921886</c:v>
                </c:pt>
                <c:pt idx="116">
                  <c:v>98.458735026921886</c:v>
                </c:pt>
                <c:pt idx="117">
                  <c:v>98.458735026921886</c:v>
                </c:pt>
                <c:pt idx="118">
                  <c:v>98.458735026921886</c:v>
                </c:pt>
                <c:pt idx="119">
                  <c:v>98.458735026921886</c:v>
                </c:pt>
                <c:pt idx="120">
                  <c:v>98.458735026921886</c:v>
                </c:pt>
                <c:pt idx="121">
                  <c:v>98.458735026921886</c:v>
                </c:pt>
                <c:pt idx="122">
                  <c:v>98.458735026921886</c:v>
                </c:pt>
                <c:pt idx="123">
                  <c:v>98.458735026921886</c:v>
                </c:pt>
                <c:pt idx="124">
                  <c:v>98.458735026921886</c:v>
                </c:pt>
                <c:pt idx="125">
                  <c:v>98.458735026921886</c:v>
                </c:pt>
                <c:pt idx="126">
                  <c:v>98.458735026921886</c:v>
                </c:pt>
                <c:pt idx="127">
                  <c:v>98.458735026921886</c:v>
                </c:pt>
                <c:pt idx="128">
                  <c:v>98.458735026921886</c:v>
                </c:pt>
                <c:pt idx="129">
                  <c:v>98.458735026921886</c:v>
                </c:pt>
                <c:pt idx="130">
                  <c:v>98.458735026921886</c:v>
                </c:pt>
                <c:pt idx="131">
                  <c:v>98.458735026921886</c:v>
                </c:pt>
                <c:pt idx="132">
                  <c:v>98.458735026921886</c:v>
                </c:pt>
                <c:pt idx="133">
                  <c:v>98.458735026921886</c:v>
                </c:pt>
                <c:pt idx="134">
                  <c:v>98.458735026921886</c:v>
                </c:pt>
                <c:pt idx="135">
                  <c:v>98.458735026921886</c:v>
                </c:pt>
                <c:pt idx="136">
                  <c:v>98.458735026921886</c:v>
                </c:pt>
                <c:pt idx="137">
                  <c:v>98.458735026921886</c:v>
                </c:pt>
                <c:pt idx="138">
                  <c:v>98.458735026921886</c:v>
                </c:pt>
                <c:pt idx="139">
                  <c:v>98.458735026921886</c:v>
                </c:pt>
                <c:pt idx="140">
                  <c:v>98.458735026921886</c:v>
                </c:pt>
                <c:pt idx="141">
                  <c:v>98.458735026921886</c:v>
                </c:pt>
                <c:pt idx="142">
                  <c:v>98.458735026921886</c:v>
                </c:pt>
                <c:pt idx="143">
                  <c:v>98.458735026921886</c:v>
                </c:pt>
                <c:pt idx="144">
                  <c:v>98.458735026921886</c:v>
                </c:pt>
                <c:pt idx="145">
                  <c:v>98.458735026921886</c:v>
                </c:pt>
                <c:pt idx="146">
                  <c:v>98.458735026921886</c:v>
                </c:pt>
                <c:pt idx="147">
                  <c:v>98.458735026921886</c:v>
                </c:pt>
                <c:pt idx="148">
                  <c:v>98.458735026921886</c:v>
                </c:pt>
                <c:pt idx="149">
                  <c:v>98.458735026921886</c:v>
                </c:pt>
                <c:pt idx="150">
                  <c:v>98.458735026921886</c:v>
                </c:pt>
                <c:pt idx="151">
                  <c:v>98.458735026921886</c:v>
                </c:pt>
                <c:pt idx="152">
                  <c:v>98.458735026921886</c:v>
                </c:pt>
                <c:pt idx="153">
                  <c:v>98.458735026921886</c:v>
                </c:pt>
                <c:pt idx="154">
                  <c:v>98.458735026921886</c:v>
                </c:pt>
                <c:pt idx="155">
                  <c:v>98.458735026921886</c:v>
                </c:pt>
                <c:pt idx="156">
                  <c:v>98.458735026921886</c:v>
                </c:pt>
                <c:pt idx="157">
                  <c:v>98.458735026921886</c:v>
                </c:pt>
                <c:pt idx="158">
                  <c:v>98.458735026921886</c:v>
                </c:pt>
                <c:pt idx="159">
                  <c:v>98.458735026921886</c:v>
                </c:pt>
                <c:pt idx="160">
                  <c:v>98.458735026921886</c:v>
                </c:pt>
                <c:pt idx="161">
                  <c:v>98.458735026921886</c:v>
                </c:pt>
                <c:pt idx="162">
                  <c:v>98.458735026921886</c:v>
                </c:pt>
                <c:pt idx="163">
                  <c:v>98.458735026921886</c:v>
                </c:pt>
                <c:pt idx="164">
                  <c:v>98.458735026921886</c:v>
                </c:pt>
                <c:pt idx="165">
                  <c:v>98.458735026921886</c:v>
                </c:pt>
                <c:pt idx="166">
                  <c:v>98.458735026921886</c:v>
                </c:pt>
                <c:pt idx="167">
                  <c:v>98.458735026921886</c:v>
                </c:pt>
                <c:pt idx="168">
                  <c:v>98.458735026921886</c:v>
                </c:pt>
                <c:pt idx="169">
                  <c:v>98.458735026921886</c:v>
                </c:pt>
                <c:pt idx="170">
                  <c:v>98.458735026921886</c:v>
                </c:pt>
                <c:pt idx="171">
                  <c:v>98.458735026921886</c:v>
                </c:pt>
                <c:pt idx="172">
                  <c:v>98.458735026921886</c:v>
                </c:pt>
                <c:pt idx="173">
                  <c:v>98.458735026921886</c:v>
                </c:pt>
                <c:pt idx="174">
                  <c:v>98.458735026921886</c:v>
                </c:pt>
                <c:pt idx="175">
                  <c:v>98.458735026921886</c:v>
                </c:pt>
                <c:pt idx="176">
                  <c:v>98.458735026921886</c:v>
                </c:pt>
                <c:pt idx="177">
                  <c:v>98.458735026921886</c:v>
                </c:pt>
                <c:pt idx="178">
                  <c:v>98.458735026921886</c:v>
                </c:pt>
                <c:pt idx="179">
                  <c:v>98.458735026921886</c:v>
                </c:pt>
                <c:pt idx="180">
                  <c:v>98.458735026921886</c:v>
                </c:pt>
                <c:pt idx="181">
                  <c:v>98.458735026921886</c:v>
                </c:pt>
                <c:pt idx="182">
                  <c:v>98.458735026921886</c:v>
                </c:pt>
                <c:pt idx="183">
                  <c:v>98.458735026921886</c:v>
                </c:pt>
                <c:pt idx="184">
                  <c:v>98.458735026921886</c:v>
                </c:pt>
                <c:pt idx="185">
                  <c:v>98.458735026921886</c:v>
                </c:pt>
                <c:pt idx="186">
                  <c:v>98.458735026921886</c:v>
                </c:pt>
                <c:pt idx="187">
                  <c:v>98.458735026921886</c:v>
                </c:pt>
                <c:pt idx="188">
                  <c:v>98.458735026921886</c:v>
                </c:pt>
                <c:pt idx="189">
                  <c:v>98.458735026921886</c:v>
                </c:pt>
                <c:pt idx="190">
                  <c:v>98.458735026921886</c:v>
                </c:pt>
                <c:pt idx="191">
                  <c:v>98.458735026921886</c:v>
                </c:pt>
                <c:pt idx="192">
                  <c:v>98.458735026921886</c:v>
                </c:pt>
                <c:pt idx="193">
                  <c:v>98.458735026921886</c:v>
                </c:pt>
                <c:pt idx="194">
                  <c:v>98.458735026921886</c:v>
                </c:pt>
                <c:pt idx="195">
                  <c:v>98.458735026921886</c:v>
                </c:pt>
                <c:pt idx="196">
                  <c:v>98.458735026921886</c:v>
                </c:pt>
                <c:pt idx="197">
                  <c:v>98.458735026921886</c:v>
                </c:pt>
                <c:pt idx="198">
                  <c:v>98.458735026921886</c:v>
                </c:pt>
                <c:pt idx="199">
                  <c:v>98.458735026921886</c:v>
                </c:pt>
                <c:pt idx="200">
                  <c:v>98.458735026921886</c:v>
                </c:pt>
                <c:pt idx="201">
                  <c:v>98.458735026921886</c:v>
                </c:pt>
                <c:pt idx="202">
                  <c:v>98.458735026921886</c:v>
                </c:pt>
                <c:pt idx="203">
                  <c:v>98.458735026921886</c:v>
                </c:pt>
                <c:pt idx="204">
                  <c:v>98.458735026921886</c:v>
                </c:pt>
                <c:pt idx="205">
                  <c:v>98.458735026921886</c:v>
                </c:pt>
                <c:pt idx="206">
                  <c:v>98.458735026921886</c:v>
                </c:pt>
                <c:pt idx="207">
                  <c:v>98.458735026921886</c:v>
                </c:pt>
                <c:pt idx="208">
                  <c:v>98.458735026921886</c:v>
                </c:pt>
                <c:pt idx="209">
                  <c:v>98.458735026921886</c:v>
                </c:pt>
                <c:pt idx="210">
                  <c:v>98.458735026921886</c:v>
                </c:pt>
                <c:pt idx="211">
                  <c:v>98.458735026921886</c:v>
                </c:pt>
                <c:pt idx="212">
                  <c:v>98.458735026921886</c:v>
                </c:pt>
                <c:pt idx="213">
                  <c:v>98.458735026921886</c:v>
                </c:pt>
                <c:pt idx="214">
                  <c:v>98.458735026921886</c:v>
                </c:pt>
                <c:pt idx="215">
                  <c:v>98.458735026921886</c:v>
                </c:pt>
                <c:pt idx="216">
                  <c:v>98.458735026921886</c:v>
                </c:pt>
                <c:pt idx="217">
                  <c:v>98.458735026921886</c:v>
                </c:pt>
                <c:pt idx="218">
                  <c:v>98.458735026921886</c:v>
                </c:pt>
                <c:pt idx="219">
                  <c:v>98.458735026921886</c:v>
                </c:pt>
                <c:pt idx="220">
                  <c:v>98.458735026921886</c:v>
                </c:pt>
                <c:pt idx="221">
                  <c:v>98.458735026921886</c:v>
                </c:pt>
                <c:pt idx="222">
                  <c:v>98.458735026921886</c:v>
                </c:pt>
                <c:pt idx="223">
                  <c:v>98.458735026921886</c:v>
                </c:pt>
                <c:pt idx="224">
                  <c:v>98.458735026921886</c:v>
                </c:pt>
                <c:pt idx="225">
                  <c:v>98.458735026921886</c:v>
                </c:pt>
                <c:pt idx="226">
                  <c:v>98.458735026921886</c:v>
                </c:pt>
                <c:pt idx="227">
                  <c:v>98.458735026921886</c:v>
                </c:pt>
                <c:pt idx="228">
                  <c:v>98.458735026921886</c:v>
                </c:pt>
                <c:pt idx="229">
                  <c:v>98.458735026921886</c:v>
                </c:pt>
                <c:pt idx="230">
                  <c:v>98.458735026921886</c:v>
                </c:pt>
                <c:pt idx="231">
                  <c:v>98.458735026921886</c:v>
                </c:pt>
                <c:pt idx="232">
                  <c:v>98.458735026921886</c:v>
                </c:pt>
                <c:pt idx="233">
                  <c:v>98.458735026921886</c:v>
                </c:pt>
                <c:pt idx="234">
                  <c:v>98.458735026921886</c:v>
                </c:pt>
                <c:pt idx="235">
                  <c:v>98.458735026921886</c:v>
                </c:pt>
                <c:pt idx="236">
                  <c:v>98.458735026921886</c:v>
                </c:pt>
                <c:pt idx="237">
                  <c:v>98.458735026921886</c:v>
                </c:pt>
                <c:pt idx="238">
                  <c:v>98.458735026921886</c:v>
                </c:pt>
                <c:pt idx="239">
                  <c:v>98.458735026921886</c:v>
                </c:pt>
                <c:pt idx="240">
                  <c:v>98.458735026921886</c:v>
                </c:pt>
                <c:pt idx="241">
                  <c:v>98.458735026921886</c:v>
                </c:pt>
                <c:pt idx="242">
                  <c:v>98.458735026921886</c:v>
                </c:pt>
                <c:pt idx="243">
                  <c:v>98.458735026921886</c:v>
                </c:pt>
                <c:pt idx="244">
                  <c:v>98.458735026921886</c:v>
                </c:pt>
                <c:pt idx="245">
                  <c:v>98.458735026921886</c:v>
                </c:pt>
                <c:pt idx="246">
                  <c:v>98.458735026921886</c:v>
                </c:pt>
                <c:pt idx="247">
                  <c:v>98.458735026921886</c:v>
                </c:pt>
                <c:pt idx="248">
                  <c:v>98.458735026921886</c:v>
                </c:pt>
                <c:pt idx="249">
                  <c:v>98.458735026921886</c:v>
                </c:pt>
                <c:pt idx="250">
                  <c:v>98.458735026921886</c:v>
                </c:pt>
                <c:pt idx="251">
                  <c:v>98.458735026921886</c:v>
                </c:pt>
                <c:pt idx="252">
                  <c:v>98.458735026921886</c:v>
                </c:pt>
                <c:pt idx="253">
                  <c:v>98.458735026921886</c:v>
                </c:pt>
                <c:pt idx="254">
                  <c:v>98.458735026921886</c:v>
                </c:pt>
                <c:pt idx="255">
                  <c:v>98.458735026921886</c:v>
                </c:pt>
                <c:pt idx="256">
                  <c:v>98.458735026921886</c:v>
                </c:pt>
                <c:pt idx="257">
                  <c:v>98.458735026921886</c:v>
                </c:pt>
                <c:pt idx="258">
                  <c:v>98.458735026921886</c:v>
                </c:pt>
                <c:pt idx="259">
                  <c:v>98.458735026921886</c:v>
                </c:pt>
                <c:pt idx="260">
                  <c:v>98.458735026921886</c:v>
                </c:pt>
                <c:pt idx="261">
                  <c:v>98.458735026921886</c:v>
                </c:pt>
                <c:pt idx="262">
                  <c:v>98.458735026921886</c:v>
                </c:pt>
                <c:pt idx="263">
                  <c:v>98.458735026921886</c:v>
                </c:pt>
                <c:pt idx="264">
                  <c:v>98.458735026921886</c:v>
                </c:pt>
                <c:pt idx="265">
                  <c:v>98.458735026921886</c:v>
                </c:pt>
                <c:pt idx="266">
                  <c:v>98.458735026921886</c:v>
                </c:pt>
                <c:pt idx="267">
                  <c:v>98.458735026921886</c:v>
                </c:pt>
                <c:pt idx="268">
                  <c:v>98.458735026921886</c:v>
                </c:pt>
                <c:pt idx="269">
                  <c:v>98.458735026921886</c:v>
                </c:pt>
                <c:pt idx="270">
                  <c:v>98.458735026921886</c:v>
                </c:pt>
                <c:pt idx="271">
                  <c:v>98.458735026921886</c:v>
                </c:pt>
                <c:pt idx="272">
                  <c:v>98.458735026921886</c:v>
                </c:pt>
                <c:pt idx="273">
                  <c:v>98.458735026921886</c:v>
                </c:pt>
                <c:pt idx="274">
                  <c:v>98.458735026921886</c:v>
                </c:pt>
                <c:pt idx="275">
                  <c:v>98.458735026921886</c:v>
                </c:pt>
                <c:pt idx="276">
                  <c:v>98.458735026921886</c:v>
                </c:pt>
                <c:pt idx="277">
                  <c:v>98.458735026921886</c:v>
                </c:pt>
                <c:pt idx="278">
                  <c:v>98.458735026921886</c:v>
                </c:pt>
                <c:pt idx="279">
                  <c:v>98.458735026921886</c:v>
                </c:pt>
                <c:pt idx="280">
                  <c:v>98.458735026921886</c:v>
                </c:pt>
                <c:pt idx="281">
                  <c:v>98.458735026921886</c:v>
                </c:pt>
                <c:pt idx="282">
                  <c:v>98.458735026921886</c:v>
                </c:pt>
                <c:pt idx="283">
                  <c:v>98.458735026921886</c:v>
                </c:pt>
                <c:pt idx="284">
                  <c:v>98.458735026921886</c:v>
                </c:pt>
                <c:pt idx="285">
                  <c:v>98.458735026921886</c:v>
                </c:pt>
                <c:pt idx="286">
                  <c:v>98.458735026921886</c:v>
                </c:pt>
                <c:pt idx="287">
                  <c:v>98.458735026921886</c:v>
                </c:pt>
                <c:pt idx="288">
                  <c:v>98.458735026921886</c:v>
                </c:pt>
                <c:pt idx="289">
                  <c:v>98.458735026921886</c:v>
                </c:pt>
                <c:pt idx="290">
                  <c:v>98.458735026921886</c:v>
                </c:pt>
                <c:pt idx="291">
                  <c:v>98.458735026921886</c:v>
                </c:pt>
                <c:pt idx="292">
                  <c:v>98.458735026921886</c:v>
                </c:pt>
                <c:pt idx="293">
                  <c:v>98.458735026921886</c:v>
                </c:pt>
                <c:pt idx="294">
                  <c:v>98.458735026921886</c:v>
                </c:pt>
                <c:pt idx="295">
                  <c:v>98.458735026921886</c:v>
                </c:pt>
                <c:pt idx="296">
                  <c:v>98.458735026921886</c:v>
                </c:pt>
                <c:pt idx="297">
                  <c:v>98.458735026921886</c:v>
                </c:pt>
                <c:pt idx="298">
                  <c:v>98.458735026921886</c:v>
                </c:pt>
                <c:pt idx="299">
                  <c:v>98.458735026921886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E1-4EF8-99CC-6FA19327E94E}"/>
            </c:ext>
          </c:extLst>
        </c:ser>
        <c:ser>
          <c:idx val="2"/>
          <c:order val="2"/>
          <c:tx>
            <c:strRef>
              <c:f>HYBOX2_Particle_SPC!$G$9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HYBOX2_Particle_SPC!$G$10:$G$309</c:f>
              <c:numCache>
                <c:formatCode>General</c:formatCode>
                <c:ptCount val="300"/>
                <c:pt idx="0">
                  <c:v>55.923333333333332</c:v>
                </c:pt>
                <c:pt idx="1">
                  <c:v>55.923333333333332</c:v>
                </c:pt>
                <c:pt idx="2">
                  <c:v>55.923333333333332</c:v>
                </c:pt>
                <c:pt idx="3">
                  <c:v>55.923333333333332</c:v>
                </c:pt>
                <c:pt idx="4">
                  <c:v>55.923333333333332</c:v>
                </c:pt>
                <c:pt idx="5">
                  <c:v>55.923333333333332</c:v>
                </c:pt>
                <c:pt idx="6">
                  <c:v>55.923333333333332</c:v>
                </c:pt>
                <c:pt idx="7">
                  <c:v>55.923333333333332</c:v>
                </c:pt>
                <c:pt idx="8">
                  <c:v>55.923333333333332</c:v>
                </c:pt>
                <c:pt idx="9">
                  <c:v>55.923333333333332</c:v>
                </c:pt>
                <c:pt idx="10">
                  <c:v>55.923333333333332</c:v>
                </c:pt>
                <c:pt idx="11">
                  <c:v>55.923333333333332</c:v>
                </c:pt>
                <c:pt idx="12">
                  <c:v>55.923333333333332</c:v>
                </c:pt>
                <c:pt idx="13">
                  <c:v>55.923333333333332</c:v>
                </c:pt>
                <c:pt idx="14">
                  <c:v>55.923333333333332</c:v>
                </c:pt>
                <c:pt idx="15">
                  <c:v>55.923333333333332</c:v>
                </c:pt>
                <c:pt idx="16">
                  <c:v>55.923333333333332</c:v>
                </c:pt>
                <c:pt idx="17">
                  <c:v>55.923333333333332</c:v>
                </c:pt>
                <c:pt idx="18">
                  <c:v>55.923333333333332</c:v>
                </c:pt>
                <c:pt idx="19">
                  <c:v>55.923333333333332</c:v>
                </c:pt>
                <c:pt idx="20">
                  <c:v>55.923333333333332</c:v>
                </c:pt>
                <c:pt idx="21">
                  <c:v>55.923333333333332</c:v>
                </c:pt>
                <c:pt idx="22">
                  <c:v>55.923333333333332</c:v>
                </c:pt>
                <c:pt idx="23">
                  <c:v>55.923333333333332</c:v>
                </c:pt>
                <c:pt idx="24">
                  <c:v>55.923333333333332</c:v>
                </c:pt>
                <c:pt idx="25">
                  <c:v>55.923333333333332</c:v>
                </c:pt>
                <c:pt idx="26">
                  <c:v>55.923333333333332</c:v>
                </c:pt>
                <c:pt idx="27">
                  <c:v>55.923333333333332</c:v>
                </c:pt>
                <c:pt idx="28">
                  <c:v>55.923333333333332</c:v>
                </c:pt>
                <c:pt idx="29">
                  <c:v>55.923333333333332</c:v>
                </c:pt>
                <c:pt idx="30">
                  <c:v>55.923333333333332</c:v>
                </c:pt>
                <c:pt idx="31">
                  <c:v>55.923333333333332</c:v>
                </c:pt>
                <c:pt idx="32">
                  <c:v>55.923333333333332</c:v>
                </c:pt>
                <c:pt idx="33">
                  <c:v>55.923333333333332</c:v>
                </c:pt>
                <c:pt idx="34">
                  <c:v>55.923333333333332</c:v>
                </c:pt>
                <c:pt idx="35">
                  <c:v>55.923333333333332</c:v>
                </c:pt>
                <c:pt idx="36">
                  <c:v>55.923333333333332</c:v>
                </c:pt>
                <c:pt idx="37">
                  <c:v>55.923333333333332</c:v>
                </c:pt>
                <c:pt idx="38">
                  <c:v>55.923333333333332</c:v>
                </c:pt>
                <c:pt idx="39">
                  <c:v>55.923333333333332</c:v>
                </c:pt>
                <c:pt idx="40">
                  <c:v>55.923333333333332</c:v>
                </c:pt>
                <c:pt idx="41">
                  <c:v>55.923333333333332</c:v>
                </c:pt>
                <c:pt idx="42">
                  <c:v>55.923333333333332</c:v>
                </c:pt>
                <c:pt idx="43">
                  <c:v>55.923333333333332</c:v>
                </c:pt>
                <c:pt idx="44">
                  <c:v>55.923333333333332</c:v>
                </c:pt>
                <c:pt idx="45">
                  <c:v>55.923333333333332</c:v>
                </c:pt>
                <c:pt idx="46">
                  <c:v>55.923333333333332</c:v>
                </c:pt>
                <c:pt idx="47">
                  <c:v>55.923333333333332</c:v>
                </c:pt>
                <c:pt idx="48">
                  <c:v>55.923333333333332</c:v>
                </c:pt>
                <c:pt idx="49">
                  <c:v>55.923333333333332</c:v>
                </c:pt>
                <c:pt idx="50">
                  <c:v>55.923333333333332</c:v>
                </c:pt>
                <c:pt idx="51">
                  <c:v>55.923333333333332</c:v>
                </c:pt>
                <c:pt idx="52">
                  <c:v>55.923333333333332</c:v>
                </c:pt>
                <c:pt idx="53">
                  <c:v>55.923333333333332</c:v>
                </c:pt>
                <c:pt idx="54">
                  <c:v>55.923333333333332</c:v>
                </c:pt>
                <c:pt idx="55">
                  <c:v>55.923333333333332</c:v>
                </c:pt>
                <c:pt idx="56">
                  <c:v>55.923333333333332</c:v>
                </c:pt>
                <c:pt idx="57">
                  <c:v>55.923333333333332</c:v>
                </c:pt>
                <c:pt idx="58">
                  <c:v>55.923333333333332</c:v>
                </c:pt>
                <c:pt idx="59">
                  <c:v>55.923333333333332</c:v>
                </c:pt>
                <c:pt idx="60">
                  <c:v>55.923333333333332</c:v>
                </c:pt>
                <c:pt idx="61">
                  <c:v>55.923333333333332</c:v>
                </c:pt>
                <c:pt idx="62">
                  <c:v>55.923333333333332</c:v>
                </c:pt>
                <c:pt idx="63">
                  <c:v>55.923333333333332</c:v>
                </c:pt>
                <c:pt idx="64">
                  <c:v>55.923333333333332</c:v>
                </c:pt>
                <c:pt idx="65">
                  <c:v>55.923333333333332</c:v>
                </c:pt>
                <c:pt idx="66">
                  <c:v>55.923333333333332</c:v>
                </c:pt>
                <c:pt idx="67">
                  <c:v>55.923333333333332</c:v>
                </c:pt>
                <c:pt idx="68">
                  <c:v>55.923333333333332</c:v>
                </c:pt>
                <c:pt idx="69">
                  <c:v>55.923333333333332</c:v>
                </c:pt>
                <c:pt idx="70">
                  <c:v>55.923333333333332</c:v>
                </c:pt>
                <c:pt idx="71">
                  <c:v>55.923333333333332</c:v>
                </c:pt>
                <c:pt idx="72">
                  <c:v>55.923333333333332</c:v>
                </c:pt>
                <c:pt idx="73">
                  <c:v>55.923333333333332</c:v>
                </c:pt>
                <c:pt idx="74">
                  <c:v>55.923333333333332</c:v>
                </c:pt>
                <c:pt idx="75">
                  <c:v>55.923333333333332</c:v>
                </c:pt>
                <c:pt idx="76">
                  <c:v>55.923333333333332</c:v>
                </c:pt>
                <c:pt idx="77">
                  <c:v>55.923333333333332</c:v>
                </c:pt>
                <c:pt idx="78">
                  <c:v>55.923333333333332</c:v>
                </c:pt>
                <c:pt idx="79">
                  <c:v>55.923333333333332</c:v>
                </c:pt>
                <c:pt idx="80">
                  <c:v>55.923333333333332</c:v>
                </c:pt>
                <c:pt idx="81">
                  <c:v>55.923333333333332</c:v>
                </c:pt>
                <c:pt idx="82">
                  <c:v>55.923333333333332</c:v>
                </c:pt>
                <c:pt idx="83">
                  <c:v>55.923333333333332</c:v>
                </c:pt>
                <c:pt idx="84">
                  <c:v>55.923333333333332</c:v>
                </c:pt>
                <c:pt idx="85">
                  <c:v>55.923333333333332</c:v>
                </c:pt>
                <c:pt idx="86">
                  <c:v>55.923333333333332</c:v>
                </c:pt>
                <c:pt idx="87">
                  <c:v>55.923333333333332</c:v>
                </c:pt>
                <c:pt idx="88">
                  <c:v>55.923333333333332</c:v>
                </c:pt>
                <c:pt idx="89">
                  <c:v>55.923333333333332</c:v>
                </c:pt>
                <c:pt idx="90">
                  <c:v>55.923333333333332</c:v>
                </c:pt>
                <c:pt idx="91">
                  <c:v>55.923333333333332</c:v>
                </c:pt>
                <c:pt idx="92">
                  <c:v>55.923333333333332</c:v>
                </c:pt>
                <c:pt idx="93">
                  <c:v>55.923333333333332</c:v>
                </c:pt>
                <c:pt idx="94">
                  <c:v>55.923333333333332</c:v>
                </c:pt>
                <c:pt idx="95">
                  <c:v>55.923333333333332</c:v>
                </c:pt>
                <c:pt idx="96">
                  <c:v>55.923333333333332</c:v>
                </c:pt>
                <c:pt idx="97">
                  <c:v>55.923333333333332</c:v>
                </c:pt>
                <c:pt idx="98">
                  <c:v>55.923333333333332</c:v>
                </c:pt>
                <c:pt idx="99">
                  <c:v>55.923333333333332</c:v>
                </c:pt>
                <c:pt idx="100">
                  <c:v>55.923333333333332</c:v>
                </c:pt>
                <c:pt idx="101">
                  <c:v>55.923333333333332</c:v>
                </c:pt>
                <c:pt idx="102">
                  <c:v>55.923333333333332</c:v>
                </c:pt>
                <c:pt idx="103">
                  <c:v>55.923333333333332</c:v>
                </c:pt>
                <c:pt idx="104">
                  <c:v>55.923333333333332</c:v>
                </c:pt>
                <c:pt idx="105">
                  <c:v>55.923333333333332</c:v>
                </c:pt>
                <c:pt idx="106">
                  <c:v>55.923333333333332</c:v>
                </c:pt>
                <c:pt idx="107">
                  <c:v>55.923333333333332</c:v>
                </c:pt>
                <c:pt idx="108">
                  <c:v>55.923333333333332</c:v>
                </c:pt>
                <c:pt idx="109">
                  <c:v>55.923333333333332</c:v>
                </c:pt>
                <c:pt idx="110">
                  <c:v>55.923333333333332</c:v>
                </c:pt>
                <c:pt idx="111">
                  <c:v>55.923333333333332</c:v>
                </c:pt>
                <c:pt idx="112">
                  <c:v>55.923333333333332</c:v>
                </c:pt>
                <c:pt idx="113">
                  <c:v>55.923333333333332</c:v>
                </c:pt>
                <c:pt idx="114">
                  <c:v>55.923333333333332</c:v>
                </c:pt>
                <c:pt idx="115">
                  <c:v>55.923333333333332</c:v>
                </c:pt>
                <c:pt idx="116">
                  <c:v>55.923333333333332</c:v>
                </c:pt>
                <c:pt idx="117">
                  <c:v>55.923333333333332</c:v>
                </c:pt>
                <c:pt idx="118">
                  <c:v>55.923333333333332</c:v>
                </c:pt>
                <c:pt idx="119">
                  <c:v>55.923333333333332</c:v>
                </c:pt>
                <c:pt idx="120">
                  <c:v>55.923333333333332</c:v>
                </c:pt>
                <c:pt idx="121">
                  <c:v>55.923333333333332</c:v>
                </c:pt>
                <c:pt idx="122">
                  <c:v>55.923333333333332</c:v>
                </c:pt>
                <c:pt idx="123">
                  <c:v>55.923333333333332</c:v>
                </c:pt>
                <c:pt idx="124">
                  <c:v>55.923333333333332</c:v>
                </c:pt>
                <c:pt idx="125">
                  <c:v>55.923333333333332</c:v>
                </c:pt>
                <c:pt idx="126">
                  <c:v>55.923333333333332</c:v>
                </c:pt>
                <c:pt idx="127">
                  <c:v>55.923333333333332</c:v>
                </c:pt>
                <c:pt idx="128">
                  <c:v>55.923333333333332</c:v>
                </c:pt>
                <c:pt idx="129">
                  <c:v>55.923333333333332</c:v>
                </c:pt>
                <c:pt idx="130">
                  <c:v>55.923333333333332</c:v>
                </c:pt>
                <c:pt idx="131">
                  <c:v>55.923333333333332</c:v>
                </c:pt>
                <c:pt idx="132">
                  <c:v>55.923333333333332</c:v>
                </c:pt>
                <c:pt idx="133">
                  <c:v>55.923333333333332</c:v>
                </c:pt>
                <c:pt idx="134">
                  <c:v>55.923333333333332</c:v>
                </c:pt>
                <c:pt idx="135">
                  <c:v>55.923333333333332</c:v>
                </c:pt>
                <c:pt idx="136">
                  <c:v>55.923333333333332</c:v>
                </c:pt>
                <c:pt idx="137">
                  <c:v>55.923333333333332</c:v>
                </c:pt>
                <c:pt idx="138">
                  <c:v>55.923333333333332</c:v>
                </c:pt>
                <c:pt idx="139">
                  <c:v>55.923333333333332</c:v>
                </c:pt>
                <c:pt idx="140">
                  <c:v>55.923333333333332</c:v>
                </c:pt>
                <c:pt idx="141">
                  <c:v>55.923333333333332</c:v>
                </c:pt>
                <c:pt idx="142">
                  <c:v>55.923333333333332</c:v>
                </c:pt>
                <c:pt idx="143">
                  <c:v>55.923333333333332</c:v>
                </c:pt>
                <c:pt idx="144">
                  <c:v>55.923333333333332</c:v>
                </c:pt>
                <c:pt idx="145">
                  <c:v>55.923333333333332</c:v>
                </c:pt>
                <c:pt idx="146">
                  <c:v>55.923333333333332</c:v>
                </c:pt>
                <c:pt idx="147">
                  <c:v>55.923333333333332</c:v>
                </c:pt>
                <c:pt idx="148">
                  <c:v>55.923333333333332</c:v>
                </c:pt>
                <c:pt idx="149">
                  <c:v>55.923333333333332</c:v>
                </c:pt>
                <c:pt idx="150">
                  <c:v>55.923333333333332</c:v>
                </c:pt>
                <c:pt idx="151">
                  <c:v>55.923333333333332</c:v>
                </c:pt>
                <c:pt idx="152">
                  <c:v>55.923333333333332</c:v>
                </c:pt>
                <c:pt idx="153">
                  <c:v>55.923333333333332</c:v>
                </c:pt>
                <c:pt idx="154">
                  <c:v>55.923333333333332</c:v>
                </c:pt>
                <c:pt idx="155">
                  <c:v>55.923333333333332</c:v>
                </c:pt>
                <c:pt idx="156">
                  <c:v>55.923333333333332</c:v>
                </c:pt>
                <c:pt idx="157">
                  <c:v>55.923333333333332</c:v>
                </c:pt>
                <c:pt idx="158">
                  <c:v>55.923333333333332</c:v>
                </c:pt>
                <c:pt idx="159">
                  <c:v>55.923333333333332</c:v>
                </c:pt>
                <c:pt idx="160">
                  <c:v>55.923333333333332</c:v>
                </c:pt>
                <c:pt idx="161">
                  <c:v>55.923333333333332</c:v>
                </c:pt>
                <c:pt idx="162">
                  <c:v>55.923333333333332</c:v>
                </c:pt>
                <c:pt idx="163">
                  <c:v>55.923333333333332</c:v>
                </c:pt>
                <c:pt idx="164">
                  <c:v>55.923333333333332</c:v>
                </c:pt>
                <c:pt idx="165">
                  <c:v>55.923333333333332</c:v>
                </c:pt>
                <c:pt idx="166">
                  <c:v>55.923333333333332</c:v>
                </c:pt>
                <c:pt idx="167">
                  <c:v>55.923333333333332</c:v>
                </c:pt>
                <c:pt idx="168">
                  <c:v>55.923333333333332</c:v>
                </c:pt>
                <c:pt idx="169">
                  <c:v>55.923333333333332</c:v>
                </c:pt>
                <c:pt idx="170">
                  <c:v>55.923333333333332</c:v>
                </c:pt>
                <c:pt idx="171">
                  <c:v>55.923333333333332</c:v>
                </c:pt>
                <c:pt idx="172">
                  <c:v>55.923333333333332</c:v>
                </c:pt>
                <c:pt idx="173">
                  <c:v>55.923333333333332</c:v>
                </c:pt>
                <c:pt idx="174">
                  <c:v>55.923333333333332</c:v>
                </c:pt>
                <c:pt idx="175">
                  <c:v>55.923333333333332</c:v>
                </c:pt>
                <c:pt idx="176">
                  <c:v>55.923333333333332</c:v>
                </c:pt>
                <c:pt idx="177">
                  <c:v>55.923333333333332</c:v>
                </c:pt>
                <c:pt idx="178">
                  <c:v>55.923333333333332</c:v>
                </c:pt>
                <c:pt idx="179">
                  <c:v>55.923333333333332</c:v>
                </c:pt>
                <c:pt idx="180">
                  <c:v>55.923333333333332</c:v>
                </c:pt>
                <c:pt idx="181">
                  <c:v>55.923333333333332</c:v>
                </c:pt>
                <c:pt idx="182">
                  <c:v>55.923333333333332</c:v>
                </c:pt>
                <c:pt idx="183">
                  <c:v>55.923333333333332</c:v>
                </c:pt>
                <c:pt idx="184">
                  <c:v>55.923333333333332</c:v>
                </c:pt>
                <c:pt idx="185">
                  <c:v>55.923333333333332</c:v>
                </c:pt>
                <c:pt idx="186">
                  <c:v>55.923333333333332</c:v>
                </c:pt>
                <c:pt idx="187">
                  <c:v>55.923333333333332</c:v>
                </c:pt>
                <c:pt idx="188">
                  <c:v>55.923333333333332</c:v>
                </c:pt>
                <c:pt idx="189">
                  <c:v>55.923333333333332</c:v>
                </c:pt>
                <c:pt idx="190">
                  <c:v>55.923333333333332</c:v>
                </c:pt>
                <c:pt idx="191">
                  <c:v>55.923333333333332</c:v>
                </c:pt>
                <c:pt idx="192">
                  <c:v>55.923333333333332</c:v>
                </c:pt>
                <c:pt idx="193">
                  <c:v>55.923333333333332</c:v>
                </c:pt>
                <c:pt idx="194">
                  <c:v>55.923333333333332</c:v>
                </c:pt>
                <c:pt idx="195">
                  <c:v>55.923333333333332</c:v>
                </c:pt>
                <c:pt idx="196">
                  <c:v>55.923333333333332</c:v>
                </c:pt>
                <c:pt idx="197">
                  <c:v>55.923333333333332</c:v>
                </c:pt>
                <c:pt idx="198">
                  <c:v>55.923333333333332</c:v>
                </c:pt>
                <c:pt idx="199">
                  <c:v>55.923333333333332</c:v>
                </c:pt>
                <c:pt idx="200">
                  <c:v>55.923333333333332</c:v>
                </c:pt>
                <c:pt idx="201">
                  <c:v>55.923333333333332</c:v>
                </c:pt>
                <c:pt idx="202">
                  <c:v>55.923333333333332</c:v>
                </c:pt>
                <c:pt idx="203">
                  <c:v>55.923333333333332</c:v>
                </c:pt>
                <c:pt idx="204">
                  <c:v>55.923333333333332</c:v>
                </c:pt>
                <c:pt idx="205">
                  <c:v>55.923333333333332</c:v>
                </c:pt>
                <c:pt idx="206">
                  <c:v>55.923333333333332</c:v>
                </c:pt>
                <c:pt idx="207">
                  <c:v>55.923333333333332</c:v>
                </c:pt>
                <c:pt idx="208">
                  <c:v>55.923333333333332</c:v>
                </c:pt>
                <c:pt idx="209">
                  <c:v>55.923333333333332</c:v>
                </c:pt>
                <c:pt idx="210">
                  <c:v>55.923333333333332</c:v>
                </c:pt>
                <c:pt idx="211">
                  <c:v>55.923333333333332</c:v>
                </c:pt>
                <c:pt idx="212">
                  <c:v>55.923333333333332</c:v>
                </c:pt>
                <c:pt idx="213">
                  <c:v>55.923333333333332</c:v>
                </c:pt>
                <c:pt idx="214">
                  <c:v>55.923333333333332</c:v>
                </c:pt>
                <c:pt idx="215">
                  <c:v>55.923333333333332</c:v>
                </c:pt>
                <c:pt idx="216">
                  <c:v>55.923333333333332</c:v>
                </c:pt>
                <c:pt idx="217">
                  <c:v>55.923333333333332</c:v>
                </c:pt>
                <c:pt idx="218">
                  <c:v>55.923333333333332</c:v>
                </c:pt>
                <c:pt idx="219">
                  <c:v>55.923333333333332</c:v>
                </c:pt>
                <c:pt idx="220">
                  <c:v>55.923333333333332</c:v>
                </c:pt>
                <c:pt idx="221">
                  <c:v>55.923333333333332</c:v>
                </c:pt>
                <c:pt idx="222">
                  <c:v>55.923333333333332</c:v>
                </c:pt>
                <c:pt idx="223">
                  <c:v>55.923333333333332</c:v>
                </c:pt>
                <c:pt idx="224">
                  <c:v>55.923333333333332</c:v>
                </c:pt>
                <c:pt idx="225">
                  <c:v>55.923333333333332</c:v>
                </c:pt>
                <c:pt idx="226">
                  <c:v>55.923333333333332</c:v>
                </c:pt>
                <c:pt idx="227">
                  <c:v>55.923333333333332</c:v>
                </c:pt>
                <c:pt idx="228">
                  <c:v>55.923333333333332</c:v>
                </c:pt>
                <c:pt idx="229">
                  <c:v>55.923333333333332</c:v>
                </c:pt>
                <c:pt idx="230">
                  <c:v>55.923333333333332</c:v>
                </c:pt>
                <c:pt idx="231">
                  <c:v>55.923333333333332</c:v>
                </c:pt>
                <c:pt idx="232">
                  <c:v>55.923333333333332</c:v>
                </c:pt>
                <c:pt idx="233">
                  <c:v>55.923333333333332</c:v>
                </c:pt>
                <c:pt idx="234">
                  <c:v>55.923333333333332</c:v>
                </c:pt>
                <c:pt idx="235">
                  <c:v>55.923333333333332</c:v>
                </c:pt>
                <c:pt idx="236">
                  <c:v>55.923333333333332</c:v>
                </c:pt>
                <c:pt idx="237">
                  <c:v>55.923333333333332</c:v>
                </c:pt>
                <c:pt idx="238">
                  <c:v>55.923333333333332</c:v>
                </c:pt>
                <c:pt idx="239">
                  <c:v>55.923333333333332</c:v>
                </c:pt>
                <c:pt idx="240">
                  <c:v>55.923333333333332</c:v>
                </c:pt>
                <c:pt idx="241">
                  <c:v>55.923333333333332</c:v>
                </c:pt>
                <c:pt idx="242">
                  <c:v>55.923333333333332</c:v>
                </c:pt>
                <c:pt idx="243">
                  <c:v>55.923333333333332</c:v>
                </c:pt>
                <c:pt idx="244">
                  <c:v>55.923333333333332</c:v>
                </c:pt>
                <c:pt idx="245">
                  <c:v>55.923333333333332</c:v>
                </c:pt>
                <c:pt idx="246">
                  <c:v>55.923333333333332</c:v>
                </c:pt>
                <c:pt idx="247">
                  <c:v>55.923333333333332</c:v>
                </c:pt>
                <c:pt idx="248">
                  <c:v>55.923333333333332</c:v>
                </c:pt>
                <c:pt idx="249">
                  <c:v>55.923333333333332</c:v>
                </c:pt>
                <c:pt idx="250">
                  <c:v>55.923333333333332</c:v>
                </c:pt>
                <c:pt idx="251">
                  <c:v>55.923333333333332</c:v>
                </c:pt>
                <c:pt idx="252">
                  <c:v>55.923333333333332</c:v>
                </c:pt>
                <c:pt idx="253">
                  <c:v>55.923333333333332</c:v>
                </c:pt>
                <c:pt idx="254">
                  <c:v>55.923333333333332</c:v>
                </c:pt>
                <c:pt idx="255">
                  <c:v>55.923333333333332</c:v>
                </c:pt>
                <c:pt idx="256">
                  <c:v>55.923333333333332</c:v>
                </c:pt>
                <c:pt idx="257">
                  <c:v>55.923333333333332</c:v>
                </c:pt>
                <c:pt idx="258">
                  <c:v>55.923333333333332</c:v>
                </c:pt>
                <c:pt idx="259">
                  <c:v>55.923333333333332</c:v>
                </c:pt>
                <c:pt idx="260">
                  <c:v>55.923333333333332</c:v>
                </c:pt>
                <c:pt idx="261">
                  <c:v>55.923333333333332</c:v>
                </c:pt>
                <c:pt idx="262">
                  <c:v>55.923333333333332</c:v>
                </c:pt>
                <c:pt idx="263">
                  <c:v>55.923333333333332</c:v>
                </c:pt>
                <c:pt idx="264">
                  <c:v>55.923333333333332</c:v>
                </c:pt>
                <c:pt idx="265">
                  <c:v>55.923333333333332</c:v>
                </c:pt>
                <c:pt idx="266">
                  <c:v>55.923333333333332</c:v>
                </c:pt>
                <c:pt idx="267">
                  <c:v>55.923333333333332</c:v>
                </c:pt>
                <c:pt idx="268">
                  <c:v>55.923333333333332</c:v>
                </c:pt>
                <c:pt idx="269">
                  <c:v>55.923333333333332</c:v>
                </c:pt>
                <c:pt idx="270">
                  <c:v>55.923333333333332</c:v>
                </c:pt>
                <c:pt idx="271">
                  <c:v>55.923333333333332</c:v>
                </c:pt>
                <c:pt idx="272">
                  <c:v>55.923333333333332</c:v>
                </c:pt>
                <c:pt idx="273">
                  <c:v>55.923333333333332</c:v>
                </c:pt>
                <c:pt idx="274">
                  <c:v>55.923333333333332</c:v>
                </c:pt>
                <c:pt idx="275">
                  <c:v>55.923333333333332</c:v>
                </c:pt>
                <c:pt idx="276">
                  <c:v>55.923333333333332</c:v>
                </c:pt>
                <c:pt idx="277">
                  <c:v>55.923333333333332</c:v>
                </c:pt>
                <c:pt idx="278">
                  <c:v>55.923333333333332</c:v>
                </c:pt>
                <c:pt idx="279">
                  <c:v>55.923333333333332</c:v>
                </c:pt>
                <c:pt idx="280">
                  <c:v>55.923333333333332</c:v>
                </c:pt>
                <c:pt idx="281">
                  <c:v>55.923333333333332</c:v>
                </c:pt>
                <c:pt idx="282">
                  <c:v>55.923333333333332</c:v>
                </c:pt>
                <c:pt idx="283">
                  <c:v>55.923333333333332</c:v>
                </c:pt>
                <c:pt idx="284">
                  <c:v>55.923333333333332</c:v>
                </c:pt>
                <c:pt idx="285">
                  <c:v>55.923333333333332</c:v>
                </c:pt>
                <c:pt idx="286">
                  <c:v>55.923333333333332</c:v>
                </c:pt>
                <c:pt idx="287">
                  <c:v>55.923333333333332</c:v>
                </c:pt>
                <c:pt idx="288">
                  <c:v>55.923333333333332</c:v>
                </c:pt>
                <c:pt idx="289">
                  <c:v>55.923333333333332</c:v>
                </c:pt>
                <c:pt idx="290">
                  <c:v>55.923333333333332</c:v>
                </c:pt>
                <c:pt idx="291">
                  <c:v>55.923333333333332</c:v>
                </c:pt>
                <c:pt idx="292">
                  <c:v>55.923333333333332</c:v>
                </c:pt>
                <c:pt idx="293">
                  <c:v>55.923333333333332</c:v>
                </c:pt>
                <c:pt idx="294">
                  <c:v>55.923333333333332</c:v>
                </c:pt>
                <c:pt idx="295">
                  <c:v>55.923333333333332</c:v>
                </c:pt>
                <c:pt idx="296">
                  <c:v>55.923333333333332</c:v>
                </c:pt>
                <c:pt idx="297">
                  <c:v>55.923333333333332</c:v>
                </c:pt>
                <c:pt idx="298">
                  <c:v>55.923333333333332</c:v>
                </c:pt>
                <c:pt idx="299">
                  <c:v>55.923333333333332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6E1-4EF8-99CC-6FA19327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Particle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HYBOX2_Particle_SPC!$F$9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HYBOX2_Particle_SPC!$F$10:$F$309</c:f>
              <c:numCache>
                <c:formatCode>General</c:formatCode>
                <c:ptCount val="300"/>
                <c:pt idx="1">
                  <c:v>16</c:v>
                </c:pt>
                <c:pt idx="2">
                  <c:v>23</c:v>
                </c:pt>
                <c:pt idx="3">
                  <c:v>19</c:v>
                </c:pt>
                <c:pt idx="4">
                  <c:v>5</c:v>
                </c:pt>
                <c:pt idx="5">
                  <c:v>28</c:v>
                </c:pt>
                <c:pt idx="6">
                  <c:v>12</c:v>
                </c:pt>
                <c:pt idx="7">
                  <c:v>37</c:v>
                </c:pt>
                <c:pt idx="8">
                  <c:v>22</c:v>
                </c:pt>
                <c:pt idx="9">
                  <c:v>14</c:v>
                </c:pt>
                <c:pt idx="10">
                  <c:v>19</c:v>
                </c:pt>
                <c:pt idx="11">
                  <c:v>10</c:v>
                </c:pt>
                <c:pt idx="12">
                  <c:v>10</c:v>
                </c:pt>
                <c:pt idx="13">
                  <c:v>55</c:v>
                </c:pt>
                <c:pt idx="14">
                  <c:v>5</c:v>
                </c:pt>
                <c:pt idx="15">
                  <c:v>19</c:v>
                </c:pt>
                <c:pt idx="16">
                  <c:v>29</c:v>
                </c:pt>
                <c:pt idx="17">
                  <c:v>16</c:v>
                </c:pt>
                <c:pt idx="18">
                  <c:v>22</c:v>
                </c:pt>
                <c:pt idx="19">
                  <c:v>20</c:v>
                </c:pt>
                <c:pt idx="20">
                  <c:v>3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7</c:v>
                </c:pt>
                <c:pt idx="25">
                  <c:v>21</c:v>
                </c:pt>
                <c:pt idx="26">
                  <c:v>25</c:v>
                </c:pt>
                <c:pt idx="27">
                  <c:v>2</c:v>
                </c:pt>
                <c:pt idx="28">
                  <c:v>7</c:v>
                </c:pt>
                <c:pt idx="29">
                  <c:v>8</c:v>
                </c:pt>
                <c:pt idx="30">
                  <c:v>1</c:v>
                </c:pt>
                <c:pt idx="31">
                  <c:v>13</c:v>
                </c:pt>
                <c:pt idx="32">
                  <c:v>9</c:v>
                </c:pt>
                <c:pt idx="33">
                  <c:v>14</c:v>
                </c:pt>
                <c:pt idx="34">
                  <c:v>8</c:v>
                </c:pt>
                <c:pt idx="35">
                  <c:v>2</c:v>
                </c:pt>
                <c:pt idx="36">
                  <c:v>21</c:v>
                </c:pt>
                <c:pt idx="37">
                  <c:v>9</c:v>
                </c:pt>
                <c:pt idx="38">
                  <c:v>20</c:v>
                </c:pt>
                <c:pt idx="39">
                  <c:v>59</c:v>
                </c:pt>
                <c:pt idx="40">
                  <c:v>29</c:v>
                </c:pt>
                <c:pt idx="41">
                  <c:v>10</c:v>
                </c:pt>
                <c:pt idx="42">
                  <c:v>8</c:v>
                </c:pt>
                <c:pt idx="43">
                  <c:v>0</c:v>
                </c:pt>
                <c:pt idx="44">
                  <c:v>1</c:v>
                </c:pt>
                <c:pt idx="45">
                  <c:v>4</c:v>
                </c:pt>
                <c:pt idx="46">
                  <c:v>6</c:v>
                </c:pt>
                <c:pt idx="47">
                  <c:v>9</c:v>
                </c:pt>
                <c:pt idx="48">
                  <c:v>8</c:v>
                </c:pt>
                <c:pt idx="49">
                  <c:v>5</c:v>
                </c:pt>
                <c:pt idx="50">
                  <c:v>40</c:v>
                </c:pt>
                <c:pt idx="51">
                  <c:v>42</c:v>
                </c:pt>
                <c:pt idx="52">
                  <c:v>35</c:v>
                </c:pt>
                <c:pt idx="53">
                  <c:v>39</c:v>
                </c:pt>
                <c:pt idx="54">
                  <c:v>20</c:v>
                </c:pt>
                <c:pt idx="55">
                  <c:v>5</c:v>
                </c:pt>
                <c:pt idx="56">
                  <c:v>12</c:v>
                </c:pt>
                <c:pt idx="57">
                  <c:v>21</c:v>
                </c:pt>
                <c:pt idx="58">
                  <c:v>56</c:v>
                </c:pt>
                <c:pt idx="59">
                  <c:v>10</c:v>
                </c:pt>
                <c:pt idx="60">
                  <c:v>4</c:v>
                </c:pt>
                <c:pt idx="61">
                  <c:v>3</c:v>
                </c:pt>
                <c:pt idx="62">
                  <c:v>5</c:v>
                </c:pt>
                <c:pt idx="63">
                  <c:v>7</c:v>
                </c:pt>
                <c:pt idx="64">
                  <c:v>2</c:v>
                </c:pt>
                <c:pt idx="65">
                  <c:v>15</c:v>
                </c:pt>
                <c:pt idx="66">
                  <c:v>1</c:v>
                </c:pt>
                <c:pt idx="67">
                  <c:v>23</c:v>
                </c:pt>
                <c:pt idx="68">
                  <c:v>30</c:v>
                </c:pt>
                <c:pt idx="69">
                  <c:v>17</c:v>
                </c:pt>
                <c:pt idx="70">
                  <c:v>5</c:v>
                </c:pt>
                <c:pt idx="71">
                  <c:v>30</c:v>
                </c:pt>
                <c:pt idx="72">
                  <c:v>18</c:v>
                </c:pt>
                <c:pt idx="73">
                  <c:v>11</c:v>
                </c:pt>
                <c:pt idx="74">
                  <c:v>5</c:v>
                </c:pt>
                <c:pt idx="75">
                  <c:v>1</c:v>
                </c:pt>
                <c:pt idx="76">
                  <c:v>2</c:v>
                </c:pt>
                <c:pt idx="77">
                  <c:v>7</c:v>
                </c:pt>
                <c:pt idx="78">
                  <c:v>2</c:v>
                </c:pt>
                <c:pt idx="79">
                  <c:v>5</c:v>
                </c:pt>
                <c:pt idx="80">
                  <c:v>8</c:v>
                </c:pt>
                <c:pt idx="81">
                  <c:v>5</c:v>
                </c:pt>
                <c:pt idx="82">
                  <c:v>0</c:v>
                </c:pt>
                <c:pt idx="83">
                  <c:v>19</c:v>
                </c:pt>
                <c:pt idx="84">
                  <c:v>16</c:v>
                </c:pt>
                <c:pt idx="85">
                  <c:v>22</c:v>
                </c:pt>
                <c:pt idx="86">
                  <c:v>12</c:v>
                </c:pt>
                <c:pt idx="87">
                  <c:v>20</c:v>
                </c:pt>
                <c:pt idx="88">
                  <c:v>78</c:v>
                </c:pt>
                <c:pt idx="89">
                  <c:v>4</c:v>
                </c:pt>
                <c:pt idx="90">
                  <c:v>24</c:v>
                </c:pt>
                <c:pt idx="91">
                  <c:v>19</c:v>
                </c:pt>
                <c:pt idx="92">
                  <c:v>10</c:v>
                </c:pt>
                <c:pt idx="93">
                  <c:v>15</c:v>
                </c:pt>
                <c:pt idx="94">
                  <c:v>10</c:v>
                </c:pt>
                <c:pt idx="95">
                  <c:v>7</c:v>
                </c:pt>
                <c:pt idx="96">
                  <c:v>10</c:v>
                </c:pt>
                <c:pt idx="97">
                  <c:v>7</c:v>
                </c:pt>
                <c:pt idx="98">
                  <c:v>13</c:v>
                </c:pt>
                <c:pt idx="99">
                  <c:v>7</c:v>
                </c:pt>
                <c:pt idx="100">
                  <c:v>11</c:v>
                </c:pt>
                <c:pt idx="101">
                  <c:v>10</c:v>
                </c:pt>
                <c:pt idx="102">
                  <c:v>6</c:v>
                </c:pt>
                <c:pt idx="103">
                  <c:v>20</c:v>
                </c:pt>
                <c:pt idx="104">
                  <c:v>28</c:v>
                </c:pt>
                <c:pt idx="105">
                  <c:v>11</c:v>
                </c:pt>
                <c:pt idx="106">
                  <c:v>72</c:v>
                </c:pt>
                <c:pt idx="107">
                  <c:v>5</c:v>
                </c:pt>
                <c:pt idx="108">
                  <c:v>9</c:v>
                </c:pt>
                <c:pt idx="109">
                  <c:v>5</c:v>
                </c:pt>
                <c:pt idx="110">
                  <c:v>8</c:v>
                </c:pt>
                <c:pt idx="111">
                  <c:v>7</c:v>
                </c:pt>
                <c:pt idx="112">
                  <c:v>4</c:v>
                </c:pt>
                <c:pt idx="113">
                  <c:v>20</c:v>
                </c:pt>
                <c:pt idx="114">
                  <c:v>14</c:v>
                </c:pt>
                <c:pt idx="115">
                  <c:v>21</c:v>
                </c:pt>
                <c:pt idx="116">
                  <c:v>8</c:v>
                </c:pt>
                <c:pt idx="117">
                  <c:v>9</c:v>
                </c:pt>
                <c:pt idx="118">
                  <c:v>27</c:v>
                </c:pt>
                <c:pt idx="119">
                  <c:v>3</c:v>
                </c:pt>
                <c:pt idx="120">
                  <c:v>4</c:v>
                </c:pt>
                <c:pt idx="121">
                  <c:v>7</c:v>
                </c:pt>
                <c:pt idx="122">
                  <c:v>8</c:v>
                </c:pt>
                <c:pt idx="123">
                  <c:v>2</c:v>
                </c:pt>
                <c:pt idx="124">
                  <c:v>6</c:v>
                </c:pt>
                <c:pt idx="125">
                  <c:v>8</c:v>
                </c:pt>
                <c:pt idx="126">
                  <c:v>3</c:v>
                </c:pt>
                <c:pt idx="127">
                  <c:v>46</c:v>
                </c:pt>
                <c:pt idx="128">
                  <c:v>17</c:v>
                </c:pt>
                <c:pt idx="129">
                  <c:v>2</c:v>
                </c:pt>
                <c:pt idx="130">
                  <c:v>8</c:v>
                </c:pt>
                <c:pt idx="131">
                  <c:v>1</c:v>
                </c:pt>
                <c:pt idx="132">
                  <c:v>0</c:v>
                </c:pt>
                <c:pt idx="133">
                  <c:v>36</c:v>
                </c:pt>
                <c:pt idx="134">
                  <c:v>12</c:v>
                </c:pt>
                <c:pt idx="135">
                  <c:v>93</c:v>
                </c:pt>
                <c:pt idx="136">
                  <c:v>3</c:v>
                </c:pt>
                <c:pt idx="137">
                  <c:v>17</c:v>
                </c:pt>
                <c:pt idx="138">
                  <c:v>13</c:v>
                </c:pt>
                <c:pt idx="139">
                  <c:v>17</c:v>
                </c:pt>
                <c:pt idx="140">
                  <c:v>7</c:v>
                </c:pt>
                <c:pt idx="141">
                  <c:v>0</c:v>
                </c:pt>
                <c:pt idx="142">
                  <c:v>13</c:v>
                </c:pt>
                <c:pt idx="143">
                  <c:v>26</c:v>
                </c:pt>
                <c:pt idx="144">
                  <c:v>13</c:v>
                </c:pt>
                <c:pt idx="145">
                  <c:v>19</c:v>
                </c:pt>
                <c:pt idx="146">
                  <c:v>8</c:v>
                </c:pt>
                <c:pt idx="147">
                  <c:v>8</c:v>
                </c:pt>
                <c:pt idx="148">
                  <c:v>26</c:v>
                </c:pt>
                <c:pt idx="149">
                  <c:v>20</c:v>
                </c:pt>
                <c:pt idx="150">
                  <c:v>43</c:v>
                </c:pt>
                <c:pt idx="151">
                  <c:v>78</c:v>
                </c:pt>
                <c:pt idx="152">
                  <c:v>73</c:v>
                </c:pt>
                <c:pt idx="153">
                  <c:v>2</c:v>
                </c:pt>
                <c:pt idx="154">
                  <c:v>32</c:v>
                </c:pt>
                <c:pt idx="155">
                  <c:v>35</c:v>
                </c:pt>
                <c:pt idx="156">
                  <c:v>12</c:v>
                </c:pt>
                <c:pt idx="157">
                  <c:v>4</c:v>
                </c:pt>
                <c:pt idx="158">
                  <c:v>16</c:v>
                </c:pt>
                <c:pt idx="159">
                  <c:v>9</c:v>
                </c:pt>
                <c:pt idx="160">
                  <c:v>2</c:v>
                </c:pt>
                <c:pt idx="161">
                  <c:v>14</c:v>
                </c:pt>
                <c:pt idx="162">
                  <c:v>6</c:v>
                </c:pt>
                <c:pt idx="163">
                  <c:v>11</c:v>
                </c:pt>
                <c:pt idx="164">
                  <c:v>5</c:v>
                </c:pt>
                <c:pt idx="165">
                  <c:v>3</c:v>
                </c:pt>
                <c:pt idx="166">
                  <c:v>9</c:v>
                </c:pt>
                <c:pt idx="167">
                  <c:v>0</c:v>
                </c:pt>
                <c:pt idx="168">
                  <c:v>20</c:v>
                </c:pt>
                <c:pt idx="169">
                  <c:v>32</c:v>
                </c:pt>
                <c:pt idx="170">
                  <c:v>7</c:v>
                </c:pt>
                <c:pt idx="171">
                  <c:v>15</c:v>
                </c:pt>
                <c:pt idx="172">
                  <c:v>3</c:v>
                </c:pt>
                <c:pt idx="173">
                  <c:v>18</c:v>
                </c:pt>
                <c:pt idx="174">
                  <c:v>2</c:v>
                </c:pt>
                <c:pt idx="175">
                  <c:v>49</c:v>
                </c:pt>
                <c:pt idx="176">
                  <c:v>7</c:v>
                </c:pt>
                <c:pt idx="177">
                  <c:v>2</c:v>
                </c:pt>
                <c:pt idx="178">
                  <c:v>16</c:v>
                </c:pt>
                <c:pt idx="179">
                  <c:v>15</c:v>
                </c:pt>
                <c:pt idx="180">
                  <c:v>81</c:v>
                </c:pt>
                <c:pt idx="181">
                  <c:v>1</c:v>
                </c:pt>
                <c:pt idx="182">
                  <c:v>16</c:v>
                </c:pt>
                <c:pt idx="183">
                  <c:v>3</c:v>
                </c:pt>
                <c:pt idx="184">
                  <c:v>23</c:v>
                </c:pt>
                <c:pt idx="185">
                  <c:v>17</c:v>
                </c:pt>
                <c:pt idx="186">
                  <c:v>15</c:v>
                </c:pt>
                <c:pt idx="187">
                  <c:v>13</c:v>
                </c:pt>
                <c:pt idx="188">
                  <c:v>9</c:v>
                </c:pt>
                <c:pt idx="189">
                  <c:v>2</c:v>
                </c:pt>
                <c:pt idx="190">
                  <c:v>10</c:v>
                </c:pt>
                <c:pt idx="191">
                  <c:v>6</c:v>
                </c:pt>
                <c:pt idx="192">
                  <c:v>5</c:v>
                </c:pt>
                <c:pt idx="193">
                  <c:v>1</c:v>
                </c:pt>
                <c:pt idx="194">
                  <c:v>3</c:v>
                </c:pt>
                <c:pt idx="195">
                  <c:v>6</c:v>
                </c:pt>
                <c:pt idx="196">
                  <c:v>3</c:v>
                </c:pt>
                <c:pt idx="197">
                  <c:v>3</c:v>
                </c:pt>
                <c:pt idx="198">
                  <c:v>7</c:v>
                </c:pt>
                <c:pt idx="199">
                  <c:v>1</c:v>
                </c:pt>
                <c:pt idx="200">
                  <c:v>3</c:v>
                </c:pt>
                <c:pt idx="201">
                  <c:v>38</c:v>
                </c:pt>
                <c:pt idx="202">
                  <c:v>5</c:v>
                </c:pt>
                <c:pt idx="203">
                  <c:v>12</c:v>
                </c:pt>
                <c:pt idx="204">
                  <c:v>1</c:v>
                </c:pt>
                <c:pt idx="205">
                  <c:v>4</c:v>
                </c:pt>
                <c:pt idx="206">
                  <c:v>8</c:v>
                </c:pt>
                <c:pt idx="207">
                  <c:v>31</c:v>
                </c:pt>
                <c:pt idx="208">
                  <c:v>26</c:v>
                </c:pt>
                <c:pt idx="209">
                  <c:v>6</c:v>
                </c:pt>
                <c:pt idx="210">
                  <c:v>14</c:v>
                </c:pt>
                <c:pt idx="211">
                  <c:v>4</c:v>
                </c:pt>
                <c:pt idx="212">
                  <c:v>0</c:v>
                </c:pt>
                <c:pt idx="213">
                  <c:v>15</c:v>
                </c:pt>
                <c:pt idx="214">
                  <c:v>10</c:v>
                </c:pt>
                <c:pt idx="215">
                  <c:v>8</c:v>
                </c:pt>
                <c:pt idx="216">
                  <c:v>7</c:v>
                </c:pt>
                <c:pt idx="217">
                  <c:v>4</c:v>
                </c:pt>
                <c:pt idx="218">
                  <c:v>11</c:v>
                </c:pt>
                <c:pt idx="219">
                  <c:v>22</c:v>
                </c:pt>
                <c:pt idx="220">
                  <c:v>12</c:v>
                </c:pt>
                <c:pt idx="221">
                  <c:v>0</c:v>
                </c:pt>
                <c:pt idx="222">
                  <c:v>10</c:v>
                </c:pt>
                <c:pt idx="223">
                  <c:v>6</c:v>
                </c:pt>
                <c:pt idx="224">
                  <c:v>0</c:v>
                </c:pt>
                <c:pt idx="225">
                  <c:v>47</c:v>
                </c:pt>
                <c:pt idx="226">
                  <c:v>11</c:v>
                </c:pt>
                <c:pt idx="227">
                  <c:v>14</c:v>
                </c:pt>
                <c:pt idx="228">
                  <c:v>40</c:v>
                </c:pt>
                <c:pt idx="229">
                  <c:v>3</c:v>
                </c:pt>
                <c:pt idx="230">
                  <c:v>13</c:v>
                </c:pt>
                <c:pt idx="231">
                  <c:v>13</c:v>
                </c:pt>
                <c:pt idx="232">
                  <c:v>8</c:v>
                </c:pt>
                <c:pt idx="233">
                  <c:v>10</c:v>
                </c:pt>
                <c:pt idx="234">
                  <c:v>8</c:v>
                </c:pt>
                <c:pt idx="235">
                  <c:v>13</c:v>
                </c:pt>
                <c:pt idx="236">
                  <c:v>26</c:v>
                </c:pt>
                <c:pt idx="237">
                  <c:v>12</c:v>
                </c:pt>
                <c:pt idx="238">
                  <c:v>28</c:v>
                </c:pt>
                <c:pt idx="239">
                  <c:v>14</c:v>
                </c:pt>
                <c:pt idx="240">
                  <c:v>16</c:v>
                </c:pt>
                <c:pt idx="241">
                  <c:v>26</c:v>
                </c:pt>
                <c:pt idx="242">
                  <c:v>19</c:v>
                </c:pt>
                <c:pt idx="243">
                  <c:v>35</c:v>
                </c:pt>
                <c:pt idx="244">
                  <c:v>14</c:v>
                </c:pt>
                <c:pt idx="245">
                  <c:v>15</c:v>
                </c:pt>
                <c:pt idx="246">
                  <c:v>29</c:v>
                </c:pt>
                <c:pt idx="247">
                  <c:v>49</c:v>
                </c:pt>
                <c:pt idx="248">
                  <c:v>26</c:v>
                </c:pt>
                <c:pt idx="249">
                  <c:v>10</c:v>
                </c:pt>
                <c:pt idx="250">
                  <c:v>76</c:v>
                </c:pt>
                <c:pt idx="251">
                  <c:v>14</c:v>
                </c:pt>
                <c:pt idx="252">
                  <c:v>19</c:v>
                </c:pt>
                <c:pt idx="253">
                  <c:v>5</c:v>
                </c:pt>
                <c:pt idx="254">
                  <c:v>1</c:v>
                </c:pt>
                <c:pt idx="255">
                  <c:v>2</c:v>
                </c:pt>
                <c:pt idx="256">
                  <c:v>40</c:v>
                </c:pt>
                <c:pt idx="257">
                  <c:v>26</c:v>
                </c:pt>
                <c:pt idx="258">
                  <c:v>27</c:v>
                </c:pt>
                <c:pt idx="259">
                  <c:v>2</c:v>
                </c:pt>
                <c:pt idx="260">
                  <c:v>8</c:v>
                </c:pt>
                <c:pt idx="261">
                  <c:v>2</c:v>
                </c:pt>
                <c:pt idx="262">
                  <c:v>5</c:v>
                </c:pt>
                <c:pt idx="263">
                  <c:v>14</c:v>
                </c:pt>
                <c:pt idx="264">
                  <c:v>26</c:v>
                </c:pt>
                <c:pt idx="265">
                  <c:v>19</c:v>
                </c:pt>
                <c:pt idx="266">
                  <c:v>23</c:v>
                </c:pt>
                <c:pt idx="267">
                  <c:v>14</c:v>
                </c:pt>
                <c:pt idx="268">
                  <c:v>9</c:v>
                </c:pt>
                <c:pt idx="269">
                  <c:v>15</c:v>
                </c:pt>
                <c:pt idx="270">
                  <c:v>24</c:v>
                </c:pt>
                <c:pt idx="271">
                  <c:v>58</c:v>
                </c:pt>
                <c:pt idx="272">
                  <c:v>5</c:v>
                </c:pt>
                <c:pt idx="273">
                  <c:v>9</c:v>
                </c:pt>
                <c:pt idx="274">
                  <c:v>7</c:v>
                </c:pt>
                <c:pt idx="275">
                  <c:v>60</c:v>
                </c:pt>
                <c:pt idx="276">
                  <c:v>31</c:v>
                </c:pt>
                <c:pt idx="277">
                  <c:v>3</c:v>
                </c:pt>
                <c:pt idx="278">
                  <c:v>45</c:v>
                </c:pt>
                <c:pt idx="279">
                  <c:v>25</c:v>
                </c:pt>
                <c:pt idx="280">
                  <c:v>3</c:v>
                </c:pt>
                <c:pt idx="281">
                  <c:v>11</c:v>
                </c:pt>
                <c:pt idx="282">
                  <c:v>7</c:v>
                </c:pt>
                <c:pt idx="283">
                  <c:v>2</c:v>
                </c:pt>
                <c:pt idx="284">
                  <c:v>0</c:v>
                </c:pt>
                <c:pt idx="285">
                  <c:v>8</c:v>
                </c:pt>
                <c:pt idx="286">
                  <c:v>5</c:v>
                </c:pt>
                <c:pt idx="287">
                  <c:v>18</c:v>
                </c:pt>
                <c:pt idx="288">
                  <c:v>24</c:v>
                </c:pt>
                <c:pt idx="289">
                  <c:v>1</c:v>
                </c:pt>
                <c:pt idx="290">
                  <c:v>21</c:v>
                </c:pt>
                <c:pt idx="291">
                  <c:v>28</c:v>
                </c:pt>
                <c:pt idx="292">
                  <c:v>59</c:v>
                </c:pt>
                <c:pt idx="293">
                  <c:v>22</c:v>
                </c:pt>
                <c:pt idx="294">
                  <c:v>3</c:v>
                </c:pt>
                <c:pt idx="295">
                  <c:v>9</c:v>
                </c:pt>
                <c:pt idx="296">
                  <c:v>30</c:v>
                </c:pt>
                <c:pt idx="297">
                  <c:v>32</c:v>
                </c:pt>
                <c:pt idx="298">
                  <c:v>91</c:v>
                </c:pt>
                <c:pt idx="299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D2-4051-9D43-9D28CD3616F2}"/>
            </c:ext>
          </c:extLst>
        </c:ser>
        <c:ser>
          <c:idx val="1"/>
          <c:order val="1"/>
          <c:tx>
            <c:strRef>
              <c:f>HYBOX2_Particle_SPC!$I$9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HYBOX2_Particle_SPC!$I$10:$I$309</c:f>
              <c:numCache>
                <c:formatCode>General</c:formatCode>
                <c:ptCount val="300"/>
                <c:pt idx="0">
                  <c:v>52.250147157190632</c:v>
                </c:pt>
                <c:pt idx="1">
                  <c:v>52.250147157190632</c:v>
                </c:pt>
                <c:pt idx="2">
                  <c:v>52.250147157190632</c:v>
                </c:pt>
                <c:pt idx="3">
                  <c:v>52.250147157190632</c:v>
                </c:pt>
                <c:pt idx="4">
                  <c:v>52.250147157190632</c:v>
                </c:pt>
                <c:pt idx="5">
                  <c:v>52.250147157190632</c:v>
                </c:pt>
                <c:pt idx="6">
                  <c:v>52.250147157190632</c:v>
                </c:pt>
                <c:pt idx="7">
                  <c:v>52.250147157190632</c:v>
                </c:pt>
                <c:pt idx="8">
                  <c:v>52.250147157190632</c:v>
                </c:pt>
                <c:pt idx="9">
                  <c:v>52.250147157190632</c:v>
                </c:pt>
                <c:pt idx="10">
                  <c:v>52.250147157190632</c:v>
                </c:pt>
                <c:pt idx="11">
                  <c:v>52.250147157190632</c:v>
                </c:pt>
                <c:pt idx="12">
                  <c:v>52.250147157190632</c:v>
                </c:pt>
                <c:pt idx="13">
                  <c:v>52.250147157190632</c:v>
                </c:pt>
                <c:pt idx="14">
                  <c:v>52.250147157190632</c:v>
                </c:pt>
                <c:pt idx="15">
                  <c:v>52.250147157190632</c:v>
                </c:pt>
                <c:pt idx="16">
                  <c:v>52.250147157190632</c:v>
                </c:pt>
                <c:pt idx="17">
                  <c:v>52.250147157190632</c:v>
                </c:pt>
                <c:pt idx="18">
                  <c:v>52.250147157190632</c:v>
                </c:pt>
                <c:pt idx="19">
                  <c:v>52.250147157190632</c:v>
                </c:pt>
                <c:pt idx="20">
                  <c:v>52.250147157190632</c:v>
                </c:pt>
                <c:pt idx="21">
                  <c:v>52.250147157190632</c:v>
                </c:pt>
                <c:pt idx="22">
                  <c:v>52.250147157190632</c:v>
                </c:pt>
                <c:pt idx="23">
                  <c:v>52.250147157190632</c:v>
                </c:pt>
                <c:pt idx="24">
                  <c:v>52.250147157190632</c:v>
                </c:pt>
                <c:pt idx="25">
                  <c:v>52.250147157190632</c:v>
                </c:pt>
                <c:pt idx="26">
                  <c:v>52.250147157190632</c:v>
                </c:pt>
                <c:pt idx="27">
                  <c:v>52.250147157190632</c:v>
                </c:pt>
                <c:pt idx="28">
                  <c:v>52.250147157190632</c:v>
                </c:pt>
                <c:pt idx="29">
                  <c:v>52.250147157190632</c:v>
                </c:pt>
                <c:pt idx="30">
                  <c:v>52.250147157190632</c:v>
                </c:pt>
                <c:pt idx="31">
                  <c:v>52.250147157190632</c:v>
                </c:pt>
                <c:pt idx="32">
                  <c:v>52.250147157190632</c:v>
                </c:pt>
                <c:pt idx="33">
                  <c:v>52.250147157190632</c:v>
                </c:pt>
                <c:pt idx="34">
                  <c:v>52.250147157190632</c:v>
                </c:pt>
                <c:pt idx="35">
                  <c:v>52.250147157190632</c:v>
                </c:pt>
                <c:pt idx="36">
                  <c:v>52.250147157190632</c:v>
                </c:pt>
                <c:pt idx="37">
                  <c:v>52.250147157190632</c:v>
                </c:pt>
                <c:pt idx="38">
                  <c:v>52.250147157190632</c:v>
                </c:pt>
                <c:pt idx="39">
                  <c:v>52.250147157190632</c:v>
                </c:pt>
                <c:pt idx="40">
                  <c:v>52.250147157190632</c:v>
                </c:pt>
                <c:pt idx="41">
                  <c:v>52.250147157190632</c:v>
                </c:pt>
                <c:pt idx="42">
                  <c:v>52.250147157190632</c:v>
                </c:pt>
                <c:pt idx="43">
                  <c:v>52.250147157190632</c:v>
                </c:pt>
                <c:pt idx="44">
                  <c:v>52.250147157190632</c:v>
                </c:pt>
                <c:pt idx="45">
                  <c:v>52.250147157190632</c:v>
                </c:pt>
                <c:pt idx="46">
                  <c:v>52.250147157190632</c:v>
                </c:pt>
                <c:pt idx="47">
                  <c:v>52.250147157190632</c:v>
                </c:pt>
                <c:pt idx="48">
                  <c:v>52.250147157190632</c:v>
                </c:pt>
                <c:pt idx="49">
                  <c:v>52.250147157190632</c:v>
                </c:pt>
                <c:pt idx="50">
                  <c:v>52.250147157190632</c:v>
                </c:pt>
                <c:pt idx="51">
                  <c:v>52.250147157190632</c:v>
                </c:pt>
                <c:pt idx="52">
                  <c:v>52.250147157190632</c:v>
                </c:pt>
                <c:pt idx="53">
                  <c:v>52.250147157190632</c:v>
                </c:pt>
                <c:pt idx="54">
                  <c:v>52.250147157190632</c:v>
                </c:pt>
                <c:pt idx="55">
                  <c:v>52.250147157190632</c:v>
                </c:pt>
                <c:pt idx="56">
                  <c:v>52.250147157190632</c:v>
                </c:pt>
                <c:pt idx="57">
                  <c:v>52.250147157190632</c:v>
                </c:pt>
                <c:pt idx="58">
                  <c:v>52.250147157190632</c:v>
                </c:pt>
                <c:pt idx="59">
                  <c:v>52.250147157190632</c:v>
                </c:pt>
                <c:pt idx="60">
                  <c:v>52.250147157190632</c:v>
                </c:pt>
                <c:pt idx="61">
                  <c:v>52.250147157190632</c:v>
                </c:pt>
                <c:pt idx="62">
                  <c:v>52.250147157190632</c:v>
                </c:pt>
                <c:pt idx="63">
                  <c:v>52.250147157190632</c:v>
                </c:pt>
                <c:pt idx="64">
                  <c:v>52.250147157190632</c:v>
                </c:pt>
                <c:pt idx="65">
                  <c:v>52.250147157190632</c:v>
                </c:pt>
                <c:pt idx="66">
                  <c:v>52.250147157190632</c:v>
                </c:pt>
                <c:pt idx="67">
                  <c:v>52.250147157190632</c:v>
                </c:pt>
                <c:pt idx="68">
                  <c:v>52.250147157190632</c:v>
                </c:pt>
                <c:pt idx="69">
                  <c:v>52.250147157190632</c:v>
                </c:pt>
                <c:pt idx="70">
                  <c:v>52.250147157190632</c:v>
                </c:pt>
                <c:pt idx="71">
                  <c:v>52.250147157190632</c:v>
                </c:pt>
                <c:pt idx="72">
                  <c:v>52.250147157190632</c:v>
                </c:pt>
                <c:pt idx="73">
                  <c:v>52.250147157190632</c:v>
                </c:pt>
                <c:pt idx="74">
                  <c:v>52.250147157190632</c:v>
                </c:pt>
                <c:pt idx="75">
                  <c:v>52.250147157190632</c:v>
                </c:pt>
                <c:pt idx="76">
                  <c:v>52.250147157190632</c:v>
                </c:pt>
                <c:pt idx="77">
                  <c:v>52.250147157190632</c:v>
                </c:pt>
                <c:pt idx="78">
                  <c:v>52.250147157190632</c:v>
                </c:pt>
                <c:pt idx="79">
                  <c:v>52.250147157190632</c:v>
                </c:pt>
                <c:pt idx="80">
                  <c:v>52.250147157190632</c:v>
                </c:pt>
                <c:pt idx="81">
                  <c:v>52.250147157190632</c:v>
                </c:pt>
                <c:pt idx="82">
                  <c:v>52.250147157190632</c:v>
                </c:pt>
                <c:pt idx="83">
                  <c:v>52.250147157190632</c:v>
                </c:pt>
                <c:pt idx="84">
                  <c:v>52.250147157190632</c:v>
                </c:pt>
                <c:pt idx="85">
                  <c:v>52.250147157190632</c:v>
                </c:pt>
                <c:pt idx="86">
                  <c:v>52.250147157190632</c:v>
                </c:pt>
                <c:pt idx="87">
                  <c:v>52.250147157190632</c:v>
                </c:pt>
                <c:pt idx="88">
                  <c:v>52.250147157190632</c:v>
                </c:pt>
                <c:pt idx="89">
                  <c:v>52.250147157190632</c:v>
                </c:pt>
                <c:pt idx="90">
                  <c:v>52.250147157190632</c:v>
                </c:pt>
                <c:pt idx="91">
                  <c:v>52.250147157190632</c:v>
                </c:pt>
                <c:pt idx="92">
                  <c:v>52.250147157190632</c:v>
                </c:pt>
                <c:pt idx="93">
                  <c:v>52.250147157190632</c:v>
                </c:pt>
                <c:pt idx="94">
                  <c:v>52.250147157190632</c:v>
                </c:pt>
                <c:pt idx="95">
                  <c:v>52.250147157190632</c:v>
                </c:pt>
                <c:pt idx="96">
                  <c:v>52.250147157190632</c:v>
                </c:pt>
                <c:pt idx="97">
                  <c:v>52.250147157190632</c:v>
                </c:pt>
                <c:pt idx="98">
                  <c:v>52.250147157190632</c:v>
                </c:pt>
                <c:pt idx="99">
                  <c:v>52.250147157190632</c:v>
                </c:pt>
                <c:pt idx="100">
                  <c:v>52.250147157190632</c:v>
                </c:pt>
                <c:pt idx="101">
                  <c:v>52.250147157190632</c:v>
                </c:pt>
                <c:pt idx="102">
                  <c:v>52.250147157190632</c:v>
                </c:pt>
                <c:pt idx="103">
                  <c:v>52.250147157190632</c:v>
                </c:pt>
                <c:pt idx="104">
                  <c:v>52.250147157190632</c:v>
                </c:pt>
                <c:pt idx="105">
                  <c:v>52.250147157190632</c:v>
                </c:pt>
                <c:pt idx="106">
                  <c:v>52.250147157190632</c:v>
                </c:pt>
                <c:pt idx="107">
                  <c:v>52.250147157190632</c:v>
                </c:pt>
                <c:pt idx="108">
                  <c:v>52.250147157190632</c:v>
                </c:pt>
                <c:pt idx="109">
                  <c:v>52.250147157190632</c:v>
                </c:pt>
                <c:pt idx="110">
                  <c:v>52.250147157190632</c:v>
                </c:pt>
                <c:pt idx="111">
                  <c:v>52.250147157190632</c:v>
                </c:pt>
                <c:pt idx="112">
                  <c:v>52.250147157190632</c:v>
                </c:pt>
                <c:pt idx="113">
                  <c:v>52.250147157190632</c:v>
                </c:pt>
                <c:pt idx="114">
                  <c:v>52.250147157190632</c:v>
                </c:pt>
                <c:pt idx="115">
                  <c:v>52.250147157190632</c:v>
                </c:pt>
                <c:pt idx="116">
                  <c:v>52.250147157190632</c:v>
                </c:pt>
                <c:pt idx="117">
                  <c:v>52.250147157190632</c:v>
                </c:pt>
                <c:pt idx="118">
                  <c:v>52.250147157190632</c:v>
                </c:pt>
                <c:pt idx="119">
                  <c:v>52.250147157190632</c:v>
                </c:pt>
                <c:pt idx="120">
                  <c:v>52.250147157190632</c:v>
                </c:pt>
                <c:pt idx="121">
                  <c:v>52.250147157190632</c:v>
                </c:pt>
                <c:pt idx="122">
                  <c:v>52.250147157190632</c:v>
                </c:pt>
                <c:pt idx="123">
                  <c:v>52.250147157190632</c:v>
                </c:pt>
                <c:pt idx="124">
                  <c:v>52.250147157190632</c:v>
                </c:pt>
                <c:pt idx="125">
                  <c:v>52.250147157190632</c:v>
                </c:pt>
                <c:pt idx="126">
                  <c:v>52.250147157190632</c:v>
                </c:pt>
                <c:pt idx="127">
                  <c:v>52.250147157190632</c:v>
                </c:pt>
                <c:pt idx="128">
                  <c:v>52.250147157190632</c:v>
                </c:pt>
                <c:pt idx="129">
                  <c:v>52.250147157190632</c:v>
                </c:pt>
                <c:pt idx="130">
                  <c:v>52.250147157190632</c:v>
                </c:pt>
                <c:pt idx="131">
                  <c:v>52.250147157190632</c:v>
                </c:pt>
                <c:pt idx="132">
                  <c:v>52.250147157190632</c:v>
                </c:pt>
                <c:pt idx="133">
                  <c:v>52.250147157190632</c:v>
                </c:pt>
                <c:pt idx="134">
                  <c:v>52.250147157190632</c:v>
                </c:pt>
                <c:pt idx="135">
                  <c:v>52.250147157190632</c:v>
                </c:pt>
                <c:pt idx="136">
                  <c:v>52.250147157190632</c:v>
                </c:pt>
                <c:pt idx="137">
                  <c:v>52.250147157190632</c:v>
                </c:pt>
                <c:pt idx="138">
                  <c:v>52.250147157190632</c:v>
                </c:pt>
                <c:pt idx="139">
                  <c:v>52.250147157190632</c:v>
                </c:pt>
                <c:pt idx="140">
                  <c:v>52.250147157190632</c:v>
                </c:pt>
                <c:pt idx="141">
                  <c:v>52.250147157190632</c:v>
                </c:pt>
                <c:pt idx="142">
                  <c:v>52.250147157190632</c:v>
                </c:pt>
                <c:pt idx="143">
                  <c:v>52.250147157190632</c:v>
                </c:pt>
                <c:pt idx="144">
                  <c:v>52.250147157190632</c:v>
                </c:pt>
                <c:pt idx="145">
                  <c:v>52.250147157190632</c:v>
                </c:pt>
                <c:pt idx="146">
                  <c:v>52.250147157190632</c:v>
                </c:pt>
                <c:pt idx="147">
                  <c:v>52.250147157190632</c:v>
                </c:pt>
                <c:pt idx="148">
                  <c:v>52.250147157190632</c:v>
                </c:pt>
                <c:pt idx="149">
                  <c:v>52.250147157190632</c:v>
                </c:pt>
                <c:pt idx="150">
                  <c:v>52.250147157190632</c:v>
                </c:pt>
                <c:pt idx="151">
                  <c:v>52.250147157190632</c:v>
                </c:pt>
                <c:pt idx="152">
                  <c:v>52.250147157190632</c:v>
                </c:pt>
                <c:pt idx="153">
                  <c:v>52.250147157190632</c:v>
                </c:pt>
                <c:pt idx="154">
                  <c:v>52.250147157190632</c:v>
                </c:pt>
                <c:pt idx="155">
                  <c:v>52.250147157190632</c:v>
                </c:pt>
                <c:pt idx="156">
                  <c:v>52.250147157190632</c:v>
                </c:pt>
                <c:pt idx="157">
                  <c:v>52.250147157190632</c:v>
                </c:pt>
                <c:pt idx="158">
                  <c:v>52.250147157190632</c:v>
                </c:pt>
                <c:pt idx="159">
                  <c:v>52.250147157190632</c:v>
                </c:pt>
                <c:pt idx="160">
                  <c:v>52.250147157190632</c:v>
                </c:pt>
                <c:pt idx="161">
                  <c:v>52.250147157190632</c:v>
                </c:pt>
                <c:pt idx="162">
                  <c:v>52.250147157190632</c:v>
                </c:pt>
                <c:pt idx="163">
                  <c:v>52.250147157190632</c:v>
                </c:pt>
                <c:pt idx="164">
                  <c:v>52.250147157190632</c:v>
                </c:pt>
                <c:pt idx="165">
                  <c:v>52.250147157190632</c:v>
                </c:pt>
                <c:pt idx="166">
                  <c:v>52.250147157190632</c:v>
                </c:pt>
                <c:pt idx="167">
                  <c:v>52.250147157190632</c:v>
                </c:pt>
                <c:pt idx="168">
                  <c:v>52.250147157190632</c:v>
                </c:pt>
                <c:pt idx="169">
                  <c:v>52.250147157190632</c:v>
                </c:pt>
                <c:pt idx="170">
                  <c:v>52.250147157190632</c:v>
                </c:pt>
                <c:pt idx="171">
                  <c:v>52.250147157190632</c:v>
                </c:pt>
                <c:pt idx="172">
                  <c:v>52.250147157190632</c:v>
                </c:pt>
                <c:pt idx="173">
                  <c:v>52.250147157190632</c:v>
                </c:pt>
                <c:pt idx="174">
                  <c:v>52.250147157190632</c:v>
                </c:pt>
                <c:pt idx="175">
                  <c:v>52.250147157190632</c:v>
                </c:pt>
                <c:pt idx="176">
                  <c:v>52.250147157190632</c:v>
                </c:pt>
                <c:pt idx="177">
                  <c:v>52.250147157190632</c:v>
                </c:pt>
                <c:pt idx="178">
                  <c:v>52.250147157190632</c:v>
                </c:pt>
                <c:pt idx="179">
                  <c:v>52.250147157190632</c:v>
                </c:pt>
                <c:pt idx="180">
                  <c:v>52.250147157190632</c:v>
                </c:pt>
                <c:pt idx="181">
                  <c:v>52.250147157190632</c:v>
                </c:pt>
                <c:pt idx="182">
                  <c:v>52.250147157190632</c:v>
                </c:pt>
                <c:pt idx="183">
                  <c:v>52.250147157190632</c:v>
                </c:pt>
                <c:pt idx="184">
                  <c:v>52.250147157190632</c:v>
                </c:pt>
                <c:pt idx="185">
                  <c:v>52.250147157190632</c:v>
                </c:pt>
                <c:pt idx="186">
                  <c:v>52.250147157190632</c:v>
                </c:pt>
                <c:pt idx="187">
                  <c:v>52.250147157190632</c:v>
                </c:pt>
                <c:pt idx="188">
                  <c:v>52.250147157190632</c:v>
                </c:pt>
                <c:pt idx="189">
                  <c:v>52.250147157190632</c:v>
                </c:pt>
                <c:pt idx="190">
                  <c:v>52.250147157190632</c:v>
                </c:pt>
                <c:pt idx="191">
                  <c:v>52.250147157190632</c:v>
                </c:pt>
                <c:pt idx="192">
                  <c:v>52.250147157190632</c:v>
                </c:pt>
                <c:pt idx="193">
                  <c:v>52.250147157190632</c:v>
                </c:pt>
                <c:pt idx="194">
                  <c:v>52.250147157190632</c:v>
                </c:pt>
                <c:pt idx="195">
                  <c:v>52.250147157190632</c:v>
                </c:pt>
                <c:pt idx="196">
                  <c:v>52.250147157190632</c:v>
                </c:pt>
                <c:pt idx="197">
                  <c:v>52.250147157190632</c:v>
                </c:pt>
                <c:pt idx="198">
                  <c:v>52.250147157190632</c:v>
                </c:pt>
                <c:pt idx="199">
                  <c:v>52.250147157190632</c:v>
                </c:pt>
                <c:pt idx="200">
                  <c:v>52.250147157190632</c:v>
                </c:pt>
                <c:pt idx="201">
                  <c:v>52.250147157190632</c:v>
                </c:pt>
                <c:pt idx="202">
                  <c:v>52.250147157190632</c:v>
                </c:pt>
                <c:pt idx="203">
                  <c:v>52.250147157190632</c:v>
                </c:pt>
                <c:pt idx="204">
                  <c:v>52.250147157190632</c:v>
                </c:pt>
                <c:pt idx="205">
                  <c:v>52.250147157190632</c:v>
                </c:pt>
                <c:pt idx="206">
                  <c:v>52.250147157190632</c:v>
                </c:pt>
                <c:pt idx="207">
                  <c:v>52.250147157190632</c:v>
                </c:pt>
                <c:pt idx="208">
                  <c:v>52.250147157190632</c:v>
                </c:pt>
                <c:pt idx="209">
                  <c:v>52.250147157190632</c:v>
                </c:pt>
                <c:pt idx="210">
                  <c:v>52.250147157190632</c:v>
                </c:pt>
                <c:pt idx="211">
                  <c:v>52.250147157190632</c:v>
                </c:pt>
                <c:pt idx="212">
                  <c:v>52.250147157190632</c:v>
                </c:pt>
                <c:pt idx="213">
                  <c:v>52.250147157190632</c:v>
                </c:pt>
                <c:pt idx="214">
                  <c:v>52.250147157190632</c:v>
                </c:pt>
                <c:pt idx="215">
                  <c:v>52.250147157190632</c:v>
                </c:pt>
                <c:pt idx="216">
                  <c:v>52.250147157190632</c:v>
                </c:pt>
                <c:pt idx="217">
                  <c:v>52.250147157190632</c:v>
                </c:pt>
                <c:pt idx="218">
                  <c:v>52.250147157190632</c:v>
                </c:pt>
                <c:pt idx="219">
                  <c:v>52.250147157190632</c:v>
                </c:pt>
                <c:pt idx="220">
                  <c:v>52.250147157190632</c:v>
                </c:pt>
                <c:pt idx="221">
                  <c:v>52.250147157190632</c:v>
                </c:pt>
                <c:pt idx="222">
                  <c:v>52.250147157190632</c:v>
                </c:pt>
                <c:pt idx="223">
                  <c:v>52.250147157190632</c:v>
                </c:pt>
                <c:pt idx="224">
                  <c:v>52.250147157190632</c:v>
                </c:pt>
                <c:pt idx="225">
                  <c:v>52.250147157190632</c:v>
                </c:pt>
                <c:pt idx="226">
                  <c:v>52.250147157190632</c:v>
                </c:pt>
                <c:pt idx="227">
                  <c:v>52.250147157190632</c:v>
                </c:pt>
                <c:pt idx="228">
                  <c:v>52.250147157190632</c:v>
                </c:pt>
                <c:pt idx="229">
                  <c:v>52.250147157190632</c:v>
                </c:pt>
                <c:pt idx="230">
                  <c:v>52.250147157190632</c:v>
                </c:pt>
                <c:pt idx="231">
                  <c:v>52.250147157190632</c:v>
                </c:pt>
                <c:pt idx="232">
                  <c:v>52.250147157190632</c:v>
                </c:pt>
                <c:pt idx="233">
                  <c:v>52.250147157190632</c:v>
                </c:pt>
                <c:pt idx="234">
                  <c:v>52.250147157190632</c:v>
                </c:pt>
                <c:pt idx="235">
                  <c:v>52.250147157190632</c:v>
                </c:pt>
                <c:pt idx="236">
                  <c:v>52.250147157190632</c:v>
                </c:pt>
                <c:pt idx="237">
                  <c:v>52.250147157190632</c:v>
                </c:pt>
                <c:pt idx="238">
                  <c:v>52.250147157190632</c:v>
                </c:pt>
                <c:pt idx="239">
                  <c:v>52.250147157190632</c:v>
                </c:pt>
                <c:pt idx="240">
                  <c:v>52.250147157190632</c:v>
                </c:pt>
                <c:pt idx="241">
                  <c:v>52.250147157190632</c:v>
                </c:pt>
                <c:pt idx="242">
                  <c:v>52.250147157190632</c:v>
                </c:pt>
                <c:pt idx="243">
                  <c:v>52.250147157190632</c:v>
                </c:pt>
                <c:pt idx="244">
                  <c:v>52.250147157190632</c:v>
                </c:pt>
                <c:pt idx="245">
                  <c:v>52.250147157190632</c:v>
                </c:pt>
                <c:pt idx="246">
                  <c:v>52.250147157190632</c:v>
                </c:pt>
                <c:pt idx="247">
                  <c:v>52.250147157190632</c:v>
                </c:pt>
                <c:pt idx="248">
                  <c:v>52.250147157190632</c:v>
                </c:pt>
                <c:pt idx="249">
                  <c:v>52.250147157190632</c:v>
                </c:pt>
                <c:pt idx="250">
                  <c:v>52.250147157190632</c:v>
                </c:pt>
                <c:pt idx="251">
                  <c:v>52.250147157190632</c:v>
                </c:pt>
                <c:pt idx="252">
                  <c:v>52.250147157190632</c:v>
                </c:pt>
                <c:pt idx="253">
                  <c:v>52.250147157190632</c:v>
                </c:pt>
                <c:pt idx="254">
                  <c:v>52.250147157190632</c:v>
                </c:pt>
                <c:pt idx="255">
                  <c:v>52.250147157190632</c:v>
                </c:pt>
                <c:pt idx="256">
                  <c:v>52.250147157190632</c:v>
                </c:pt>
                <c:pt idx="257">
                  <c:v>52.250147157190632</c:v>
                </c:pt>
                <c:pt idx="258">
                  <c:v>52.250147157190632</c:v>
                </c:pt>
                <c:pt idx="259">
                  <c:v>52.250147157190632</c:v>
                </c:pt>
                <c:pt idx="260">
                  <c:v>52.250147157190632</c:v>
                </c:pt>
                <c:pt idx="261">
                  <c:v>52.250147157190632</c:v>
                </c:pt>
                <c:pt idx="262">
                  <c:v>52.250147157190632</c:v>
                </c:pt>
                <c:pt idx="263">
                  <c:v>52.250147157190632</c:v>
                </c:pt>
                <c:pt idx="264">
                  <c:v>52.250147157190632</c:v>
                </c:pt>
                <c:pt idx="265">
                  <c:v>52.250147157190632</c:v>
                </c:pt>
                <c:pt idx="266">
                  <c:v>52.250147157190632</c:v>
                </c:pt>
                <c:pt idx="267">
                  <c:v>52.250147157190632</c:v>
                </c:pt>
                <c:pt idx="268">
                  <c:v>52.250147157190632</c:v>
                </c:pt>
                <c:pt idx="269">
                  <c:v>52.250147157190632</c:v>
                </c:pt>
                <c:pt idx="270">
                  <c:v>52.250147157190632</c:v>
                </c:pt>
                <c:pt idx="271">
                  <c:v>52.250147157190632</c:v>
                </c:pt>
                <c:pt idx="272">
                  <c:v>52.250147157190632</c:v>
                </c:pt>
                <c:pt idx="273">
                  <c:v>52.250147157190632</c:v>
                </c:pt>
                <c:pt idx="274">
                  <c:v>52.250147157190632</c:v>
                </c:pt>
                <c:pt idx="275">
                  <c:v>52.250147157190632</c:v>
                </c:pt>
                <c:pt idx="276">
                  <c:v>52.250147157190632</c:v>
                </c:pt>
                <c:pt idx="277">
                  <c:v>52.250147157190632</c:v>
                </c:pt>
                <c:pt idx="278">
                  <c:v>52.250147157190632</c:v>
                </c:pt>
                <c:pt idx="279">
                  <c:v>52.250147157190632</c:v>
                </c:pt>
                <c:pt idx="280">
                  <c:v>52.250147157190632</c:v>
                </c:pt>
                <c:pt idx="281">
                  <c:v>52.250147157190632</c:v>
                </c:pt>
                <c:pt idx="282">
                  <c:v>52.250147157190632</c:v>
                </c:pt>
                <c:pt idx="283">
                  <c:v>52.250147157190632</c:v>
                </c:pt>
                <c:pt idx="284">
                  <c:v>52.250147157190632</c:v>
                </c:pt>
                <c:pt idx="285">
                  <c:v>52.250147157190632</c:v>
                </c:pt>
                <c:pt idx="286">
                  <c:v>52.250147157190632</c:v>
                </c:pt>
                <c:pt idx="287">
                  <c:v>52.250147157190632</c:v>
                </c:pt>
                <c:pt idx="288">
                  <c:v>52.250147157190632</c:v>
                </c:pt>
                <c:pt idx="289">
                  <c:v>52.250147157190632</c:v>
                </c:pt>
                <c:pt idx="290">
                  <c:v>52.250147157190632</c:v>
                </c:pt>
                <c:pt idx="291">
                  <c:v>52.250147157190632</c:v>
                </c:pt>
                <c:pt idx="292">
                  <c:v>52.250147157190632</c:v>
                </c:pt>
                <c:pt idx="293">
                  <c:v>52.250147157190632</c:v>
                </c:pt>
                <c:pt idx="294">
                  <c:v>52.250147157190632</c:v>
                </c:pt>
                <c:pt idx="295">
                  <c:v>52.250147157190632</c:v>
                </c:pt>
                <c:pt idx="296">
                  <c:v>52.250147157190632</c:v>
                </c:pt>
                <c:pt idx="297">
                  <c:v>52.250147157190632</c:v>
                </c:pt>
                <c:pt idx="298">
                  <c:v>52.250147157190632</c:v>
                </c:pt>
                <c:pt idx="299">
                  <c:v>52.250147157190632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D2-4051-9D43-9D28CD3616F2}"/>
            </c:ext>
          </c:extLst>
        </c:ser>
        <c:ser>
          <c:idx val="2"/>
          <c:order val="2"/>
          <c:tx>
            <c:strRef>
              <c:f>HYBOX2_Particle_SPC!$J$9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HYBOX2_Particle_SPC!$A$10:$A$309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HYBOX2_Particle_SPC!$J$10:$J$309</c:f>
              <c:numCache>
                <c:formatCode>General</c:formatCode>
                <c:ptCount val="300"/>
                <c:pt idx="0">
                  <c:v>15.993311036789297</c:v>
                </c:pt>
                <c:pt idx="1">
                  <c:v>15.993311036789297</c:v>
                </c:pt>
                <c:pt idx="2">
                  <c:v>15.993311036789297</c:v>
                </c:pt>
                <c:pt idx="3">
                  <c:v>15.993311036789297</c:v>
                </c:pt>
                <c:pt idx="4">
                  <c:v>15.993311036789297</c:v>
                </c:pt>
                <c:pt idx="5">
                  <c:v>15.993311036789297</c:v>
                </c:pt>
                <c:pt idx="6">
                  <c:v>15.993311036789297</c:v>
                </c:pt>
                <c:pt idx="7">
                  <c:v>15.993311036789297</c:v>
                </c:pt>
                <c:pt idx="8">
                  <c:v>15.993311036789297</c:v>
                </c:pt>
                <c:pt idx="9">
                  <c:v>15.993311036789297</c:v>
                </c:pt>
                <c:pt idx="10">
                  <c:v>15.993311036789297</c:v>
                </c:pt>
                <c:pt idx="11">
                  <c:v>15.993311036789297</c:v>
                </c:pt>
                <c:pt idx="12">
                  <c:v>15.993311036789297</c:v>
                </c:pt>
                <c:pt idx="13">
                  <c:v>15.993311036789297</c:v>
                </c:pt>
                <c:pt idx="14">
                  <c:v>15.993311036789297</c:v>
                </c:pt>
                <c:pt idx="15">
                  <c:v>15.993311036789297</c:v>
                </c:pt>
                <c:pt idx="16">
                  <c:v>15.993311036789297</c:v>
                </c:pt>
                <c:pt idx="17">
                  <c:v>15.993311036789297</c:v>
                </c:pt>
                <c:pt idx="18">
                  <c:v>15.993311036789297</c:v>
                </c:pt>
                <c:pt idx="19">
                  <c:v>15.993311036789297</c:v>
                </c:pt>
                <c:pt idx="20">
                  <c:v>15.993311036789297</c:v>
                </c:pt>
                <c:pt idx="21">
                  <c:v>15.993311036789297</c:v>
                </c:pt>
                <c:pt idx="22">
                  <c:v>15.993311036789297</c:v>
                </c:pt>
                <c:pt idx="23">
                  <c:v>15.993311036789297</c:v>
                </c:pt>
                <c:pt idx="24">
                  <c:v>15.993311036789297</c:v>
                </c:pt>
                <c:pt idx="25">
                  <c:v>15.993311036789297</c:v>
                </c:pt>
                <c:pt idx="26">
                  <c:v>15.993311036789297</c:v>
                </c:pt>
                <c:pt idx="27">
                  <c:v>15.993311036789297</c:v>
                </c:pt>
                <c:pt idx="28">
                  <c:v>15.993311036789297</c:v>
                </c:pt>
                <c:pt idx="29">
                  <c:v>15.993311036789297</c:v>
                </c:pt>
                <c:pt idx="30">
                  <c:v>15.993311036789297</c:v>
                </c:pt>
                <c:pt idx="31">
                  <c:v>15.993311036789297</c:v>
                </c:pt>
                <c:pt idx="32">
                  <c:v>15.993311036789297</c:v>
                </c:pt>
                <c:pt idx="33">
                  <c:v>15.993311036789297</c:v>
                </c:pt>
                <c:pt idx="34">
                  <c:v>15.993311036789297</c:v>
                </c:pt>
                <c:pt idx="35">
                  <c:v>15.993311036789297</c:v>
                </c:pt>
                <c:pt idx="36">
                  <c:v>15.993311036789297</c:v>
                </c:pt>
                <c:pt idx="37">
                  <c:v>15.993311036789297</c:v>
                </c:pt>
                <c:pt idx="38">
                  <c:v>15.993311036789297</c:v>
                </c:pt>
                <c:pt idx="39">
                  <c:v>15.993311036789297</c:v>
                </c:pt>
                <c:pt idx="40">
                  <c:v>15.993311036789297</c:v>
                </c:pt>
                <c:pt idx="41">
                  <c:v>15.993311036789297</c:v>
                </c:pt>
                <c:pt idx="42">
                  <c:v>15.993311036789297</c:v>
                </c:pt>
                <c:pt idx="43">
                  <c:v>15.993311036789297</c:v>
                </c:pt>
                <c:pt idx="44">
                  <c:v>15.993311036789297</c:v>
                </c:pt>
                <c:pt idx="45">
                  <c:v>15.993311036789297</c:v>
                </c:pt>
                <c:pt idx="46">
                  <c:v>15.993311036789297</c:v>
                </c:pt>
                <c:pt idx="47">
                  <c:v>15.993311036789297</c:v>
                </c:pt>
                <c:pt idx="48">
                  <c:v>15.993311036789297</c:v>
                </c:pt>
                <c:pt idx="49">
                  <c:v>15.993311036789297</c:v>
                </c:pt>
                <c:pt idx="50">
                  <c:v>15.993311036789297</c:v>
                </c:pt>
                <c:pt idx="51">
                  <c:v>15.993311036789297</c:v>
                </c:pt>
                <c:pt idx="52">
                  <c:v>15.993311036789297</c:v>
                </c:pt>
                <c:pt idx="53">
                  <c:v>15.993311036789297</c:v>
                </c:pt>
                <c:pt idx="54">
                  <c:v>15.993311036789297</c:v>
                </c:pt>
                <c:pt idx="55">
                  <c:v>15.993311036789297</c:v>
                </c:pt>
                <c:pt idx="56">
                  <c:v>15.993311036789297</c:v>
                </c:pt>
                <c:pt idx="57">
                  <c:v>15.993311036789297</c:v>
                </c:pt>
                <c:pt idx="58">
                  <c:v>15.993311036789297</c:v>
                </c:pt>
                <c:pt idx="59">
                  <c:v>15.993311036789297</c:v>
                </c:pt>
                <c:pt idx="60">
                  <c:v>15.993311036789297</c:v>
                </c:pt>
                <c:pt idx="61">
                  <c:v>15.993311036789297</c:v>
                </c:pt>
                <c:pt idx="62">
                  <c:v>15.993311036789297</c:v>
                </c:pt>
                <c:pt idx="63">
                  <c:v>15.993311036789297</c:v>
                </c:pt>
                <c:pt idx="64">
                  <c:v>15.993311036789297</c:v>
                </c:pt>
                <c:pt idx="65">
                  <c:v>15.993311036789297</c:v>
                </c:pt>
                <c:pt idx="66">
                  <c:v>15.993311036789297</c:v>
                </c:pt>
                <c:pt idx="67">
                  <c:v>15.993311036789297</c:v>
                </c:pt>
                <c:pt idx="68">
                  <c:v>15.993311036789297</c:v>
                </c:pt>
                <c:pt idx="69">
                  <c:v>15.993311036789297</c:v>
                </c:pt>
                <c:pt idx="70">
                  <c:v>15.993311036789297</c:v>
                </c:pt>
                <c:pt idx="71">
                  <c:v>15.993311036789297</c:v>
                </c:pt>
                <c:pt idx="72">
                  <c:v>15.993311036789297</c:v>
                </c:pt>
                <c:pt idx="73">
                  <c:v>15.993311036789297</c:v>
                </c:pt>
                <c:pt idx="74">
                  <c:v>15.993311036789297</c:v>
                </c:pt>
                <c:pt idx="75">
                  <c:v>15.993311036789297</c:v>
                </c:pt>
                <c:pt idx="76">
                  <c:v>15.993311036789297</c:v>
                </c:pt>
                <c:pt idx="77">
                  <c:v>15.993311036789297</c:v>
                </c:pt>
                <c:pt idx="78">
                  <c:v>15.993311036789297</c:v>
                </c:pt>
                <c:pt idx="79">
                  <c:v>15.993311036789297</c:v>
                </c:pt>
                <c:pt idx="80">
                  <c:v>15.993311036789297</c:v>
                </c:pt>
                <c:pt idx="81">
                  <c:v>15.993311036789297</c:v>
                </c:pt>
                <c:pt idx="82">
                  <c:v>15.993311036789297</c:v>
                </c:pt>
                <c:pt idx="83">
                  <c:v>15.993311036789297</c:v>
                </c:pt>
                <c:pt idx="84">
                  <c:v>15.993311036789297</c:v>
                </c:pt>
                <c:pt idx="85">
                  <c:v>15.993311036789297</c:v>
                </c:pt>
                <c:pt idx="86">
                  <c:v>15.993311036789297</c:v>
                </c:pt>
                <c:pt idx="87">
                  <c:v>15.993311036789297</c:v>
                </c:pt>
                <c:pt idx="88">
                  <c:v>15.993311036789297</c:v>
                </c:pt>
                <c:pt idx="89">
                  <c:v>15.993311036789297</c:v>
                </c:pt>
                <c:pt idx="90">
                  <c:v>15.993311036789297</c:v>
                </c:pt>
                <c:pt idx="91">
                  <c:v>15.993311036789297</c:v>
                </c:pt>
                <c:pt idx="92">
                  <c:v>15.993311036789297</c:v>
                </c:pt>
                <c:pt idx="93">
                  <c:v>15.993311036789297</c:v>
                </c:pt>
                <c:pt idx="94">
                  <c:v>15.993311036789297</c:v>
                </c:pt>
                <c:pt idx="95">
                  <c:v>15.993311036789297</c:v>
                </c:pt>
                <c:pt idx="96">
                  <c:v>15.993311036789297</c:v>
                </c:pt>
                <c:pt idx="97">
                  <c:v>15.993311036789297</c:v>
                </c:pt>
                <c:pt idx="98">
                  <c:v>15.993311036789297</c:v>
                </c:pt>
                <c:pt idx="99">
                  <c:v>15.993311036789297</c:v>
                </c:pt>
                <c:pt idx="100">
                  <c:v>15.993311036789297</c:v>
                </c:pt>
                <c:pt idx="101">
                  <c:v>15.993311036789297</c:v>
                </c:pt>
                <c:pt idx="102">
                  <c:v>15.993311036789297</c:v>
                </c:pt>
                <c:pt idx="103">
                  <c:v>15.993311036789297</c:v>
                </c:pt>
                <c:pt idx="104">
                  <c:v>15.993311036789297</c:v>
                </c:pt>
                <c:pt idx="105">
                  <c:v>15.993311036789297</c:v>
                </c:pt>
                <c:pt idx="106">
                  <c:v>15.993311036789297</c:v>
                </c:pt>
                <c:pt idx="107">
                  <c:v>15.993311036789297</c:v>
                </c:pt>
                <c:pt idx="108">
                  <c:v>15.993311036789297</c:v>
                </c:pt>
                <c:pt idx="109">
                  <c:v>15.993311036789297</c:v>
                </c:pt>
                <c:pt idx="110">
                  <c:v>15.993311036789297</c:v>
                </c:pt>
                <c:pt idx="111">
                  <c:v>15.993311036789297</c:v>
                </c:pt>
                <c:pt idx="112">
                  <c:v>15.993311036789297</c:v>
                </c:pt>
                <c:pt idx="113">
                  <c:v>15.993311036789297</c:v>
                </c:pt>
                <c:pt idx="114">
                  <c:v>15.993311036789297</c:v>
                </c:pt>
                <c:pt idx="115">
                  <c:v>15.993311036789297</c:v>
                </c:pt>
                <c:pt idx="116">
                  <c:v>15.993311036789297</c:v>
                </c:pt>
                <c:pt idx="117">
                  <c:v>15.993311036789297</c:v>
                </c:pt>
                <c:pt idx="118">
                  <c:v>15.993311036789297</c:v>
                </c:pt>
                <c:pt idx="119">
                  <c:v>15.993311036789297</c:v>
                </c:pt>
                <c:pt idx="120">
                  <c:v>15.993311036789297</c:v>
                </c:pt>
                <c:pt idx="121">
                  <c:v>15.993311036789297</c:v>
                </c:pt>
                <c:pt idx="122">
                  <c:v>15.993311036789297</c:v>
                </c:pt>
                <c:pt idx="123">
                  <c:v>15.993311036789297</c:v>
                </c:pt>
                <c:pt idx="124">
                  <c:v>15.993311036789297</c:v>
                </c:pt>
                <c:pt idx="125">
                  <c:v>15.993311036789297</c:v>
                </c:pt>
                <c:pt idx="126">
                  <c:v>15.993311036789297</c:v>
                </c:pt>
                <c:pt idx="127">
                  <c:v>15.993311036789297</c:v>
                </c:pt>
                <c:pt idx="128">
                  <c:v>15.993311036789297</c:v>
                </c:pt>
                <c:pt idx="129">
                  <c:v>15.993311036789297</c:v>
                </c:pt>
                <c:pt idx="130">
                  <c:v>15.993311036789297</c:v>
                </c:pt>
                <c:pt idx="131">
                  <c:v>15.993311036789297</c:v>
                </c:pt>
                <c:pt idx="132">
                  <c:v>15.993311036789297</c:v>
                </c:pt>
                <c:pt idx="133">
                  <c:v>15.993311036789297</c:v>
                </c:pt>
                <c:pt idx="134">
                  <c:v>15.993311036789297</c:v>
                </c:pt>
                <c:pt idx="135">
                  <c:v>15.993311036789297</c:v>
                </c:pt>
                <c:pt idx="136">
                  <c:v>15.993311036789297</c:v>
                </c:pt>
                <c:pt idx="137">
                  <c:v>15.993311036789297</c:v>
                </c:pt>
                <c:pt idx="138">
                  <c:v>15.993311036789297</c:v>
                </c:pt>
                <c:pt idx="139">
                  <c:v>15.993311036789297</c:v>
                </c:pt>
                <c:pt idx="140">
                  <c:v>15.993311036789297</c:v>
                </c:pt>
                <c:pt idx="141">
                  <c:v>15.993311036789297</c:v>
                </c:pt>
                <c:pt idx="142">
                  <c:v>15.993311036789297</c:v>
                </c:pt>
                <c:pt idx="143">
                  <c:v>15.993311036789297</c:v>
                </c:pt>
                <c:pt idx="144">
                  <c:v>15.993311036789297</c:v>
                </c:pt>
                <c:pt idx="145">
                  <c:v>15.993311036789297</c:v>
                </c:pt>
                <c:pt idx="146">
                  <c:v>15.993311036789297</c:v>
                </c:pt>
                <c:pt idx="147">
                  <c:v>15.993311036789297</c:v>
                </c:pt>
                <c:pt idx="148">
                  <c:v>15.993311036789297</c:v>
                </c:pt>
                <c:pt idx="149">
                  <c:v>15.993311036789297</c:v>
                </c:pt>
                <c:pt idx="150">
                  <c:v>15.993311036789297</c:v>
                </c:pt>
                <c:pt idx="151">
                  <c:v>15.993311036789297</c:v>
                </c:pt>
                <c:pt idx="152">
                  <c:v>15.993311036789297</c:v>
                </c:pt>
                <c:pt idx="153">
                  <c:v>15.993311036789297</c:v>
                </c:pt>
                <c:pt idx="154">
                  <c:v>15.993311036789297</c:v>
                </c:pt>
                <c:pt idx="155">
                  <c:v>15.993311036789297</c:v>
                </c:pt>
                <c:pt idx="156">
                  <c:v>15.993311036789297</c:v>
                </c:pt>
                <c:pt idx="157">
                  <c:v>15.993311036789297</c:v>
                </c:pt>
                <c:pt idx="158">
                  <c:v>15.993311036789297</c:v>
                </c:pt>
                <c:pt idx="159">
                  <c:v>15.993311036789297</c:v>
                </c:pt>
                <c:pt idx="160">
                  <c:v>15.993311036789297</c:v>
                </c:pt>
                <c:pt idx="161">
                  <c:v>15.993311036789297</c:v>
                </c:pt>
                <c:pt idx="162">
                  <c:v>15.993311036789297</c:v>
                </c:pt>
                <c:pt idx="163">
                  <c:v>15.993311036789297</c:v>
                </c:pt>
                <c:pt idx="164">
                  <c:v>15.993311036789297</c:v>
                </c:pt>
                <c:pt idx="165">
                  <c:v>15.993311036789297</c:v>
                </c:pt>
                <c:pt idx="166">
                  <c:v>15.993311036789297</c:v>
                </c:pt>
                <c:pt idx="167">
                  <c:v>15.993311036789297</c:v>
                </c:pt>
                <c:pt idx="168">
                  <c:v>15.993311036789297</c:v>
                </c:pt>
                <c:pt idx="169">
                  <c:v>15.993311036789297</c:v>
                </c:pt>
                <c:pt idx="170">
                  <c:v>15.993311036789297</c:v>
                </c:pt>
                <c:pt idx="171">
                  <c:v>15.993311036789297</c:v>
                </c:pt>
                <c:pt idx="172">
                  <c:v>15.993311036789297</c:v>
                </c:pt>
                <c:pt idx="173">
                  <c:v>15.993311036789297</c:v>
                </c:pt>
                <c:pt idx="174">
                  <c:v>15.993311036789297</c:v>
                </c:pt>
                <c:pt idx="175">
                  <c:v>15.993311036789297</c:v>
                </c:pt>
                <c:pt idx="176">
                  <c:v>15.993311036789297</c:v>
                </c:pt>
                <c:pt idx="177">
                  <c:v>15.993311036789297</c:v>
                </c:pt>
                <c:pt idx="178">
                  <c:v>15.993311036789297</c:v>
                </c:pt>
                <c:pt idx="179">
                  <c:v>15.993311036789297</c:v>
                </c:pt>
                <c:pt idx="180">
                  <c:v>15.993311036789297</c:v>
                </c:pt>
                <c:pt idx="181">
                  <c:v>15.993311036789297</c:v>
                </c:pt>
                <c:pt idx="182">
                  <c:v>15.993311036789297</c:v>
                </c:pt>
                <c:pt idx="183">
                  <c:v>15.993311036789297</c:v>
                </c:pt>
                <c:pt idx="184">
                  <c:v>15.993311036789297</c:v>
                </c:pt>
                <c:pt idx="185">
                  <c:v>15.993311036789297</c:v>
                </c:pt>
                <c:pt idx="186">
                  <c:v>15.993311036789297</c:v>
                </c:pt>
                <c:pt idx="187">
                  <c:v>15.993311036789297</c:v>
                </c:pt>
                <c:pt idx="188">
                  <c:v>15.993311036789297</c:v>
                </c:pt>
                <c:pt idx="189">
                  <c:v>15.993311036789297</c:v>
                </c:pt>
                <c:pt idx="190">
                  <c:v>15.993311036789297</c:v>
                </c:pt>
                <c:pt idx="191">
                  <c:v>15.993311036789297</c:v>
                </c:pt>
                <c:pt idx="192">
                  <c:v>15.993311036789297</c:v>
                </c:pt>
                <c:pt idx="193">
                  <c:v>15.993311036789297</c:v>
                </c:pt>
                <c:pt idx="194">
                  <c:v>15.993311036789297</c:v>
                </c:pt>
                <c:pt idx="195">
                  <c:v>15.993311036789297</c:v>
                </c:pt>
                <c:pt idx="196">
                  <c:v>15.993311036789297</c:v>
                </c:pt>
                <c:pt idx="197">
                  <c:v>15.993311036789297</c:v>
                </c:pt>
                <c:pt idx="198">
                  <c:v>15.993311036789297</c:v>
                </c:pt>
                <c:pt idx="199">
                  <c:v>15.993311036789297</c:v>
                </c:pt>
                <c:pt idx="200">
                  <c:v>15.993311036789297</c:v>
                </c:pt>
                <c:pt idx="201">
                  <c:v>15.993311036789297</c:v>
                </c:pt>
                <c:pt idx="202">
                  <c:v>15.993311036789297</c:v>
                </c:pt>
                <c:pt idx="203">
                  <c:v>15.993311036789297</c:v>
                </c:pt>
                <c:pt idx="204">
                  <c:v>15.993311036789297</c:v>
                </c:pt>
                <c:pt idx="205">
                  <c:v>15.993311036789297</c:v>
                </c:pt>
                <c:pt idx="206">
                  <c:v>15.993311036789297</c:v>
                </c:pt>
                <c:pt idx="207">
                  <c:v>15.993311036789297</c:v>
                </c:pt>
                <c:pt idx="208">
                  <c:v>15.993311036789297</c:v>
                </c:pt>
                <c:pt idx="209">
                  <c:v>15.993311036789297</c:v>
                </c:pt>
                <c:pt idx="210">
                  <c:v>15.993311036789297</c:v>
                </c:pt>
                <c:pt idx="211">
                  <c:v>15.993311036789297</c:v>
                </c:pt>
                <c:pt idx="212">
                  <c:v>15.993311036789297</c:v>
                </c:pt>
                <c:pt idx="213">
                  <c:v>15.993311036789297</c:v>
                </c:pt>
                <c:pt idx="214">
                  <c:v>15.993311036789297</c:v>
                </c:pt>
                <c:pt idx="215">
                  <c:v>15.993311036789297</c:v>
                </c:pt>
                <c:pt idx="216">
                  <c:v>15.993311036789297</c:v>
                </c:pt>
                <c:pt idx="217">
                  <c:v>15.993311036789297</c:v>
                </c:pt>
                <c:pt idx="218">
                  <c:v>15.993311036789297</c:v>
                </c:pt>
                <c:pt idx="219">
                  <c:v>15.993311036789297</c:v>
                </c:pt>
                <c:pt idx="220">
                  <c:v>15.993311036789297</c:v>
                </c:pt>
                <c:pt idx="221">
                  <c:v>15.993311036789297</c:v>
                </c:pt>
                <c:pt idx="222">
                  <c:v>15.993311036789297</c:v>
                </c:pt>
                <c:pt idx="223">
                  <c:v>15.993311036789297</c:v>
                </c:pt>
                <c:pt idx="224">
                  <c:v>15.993311036789297</c:v>
                </c:pt>
                <c:pt idx="225">
                  <c:v>15.993311036789297</c:v>
                </c:pt>
                <c:pt idx="226">
                  <c:v>15.993311036789297</c:v>
                </c:pt>
                <c:pt idx="227">
                  <c:v>15.993311036789297</c:v>
                </c:pt>
                <c:pt idx="228">
                  <c:v>15.993311036789297</c:v>
                </c:pt>
                <c:pt idx="229">
                  <c:v>15.993311036789297</c:v>
                </c:pt>
                <c:pt idx="230">
                  <c:v>15.993311036789297</c:v>
                </c:pt>
                <c:pt idx="231">
                  <c:v>15.993311036789297</c:v>
                </c:pt>
                <c:pt idx="232">
                  <c:v>15.993311036789297</c:v>
                </c:pt>
                <c:pt idx="233">
                  <c:v>15.993311036789297</c:v>
                </c:pt>
                <c:pt idx="234">
                  <c:v>15.993311036789297</c:v>
                </c:pt>
                <c:pt idx="235">
                  <c:v>15.993311036789297</c:v>
                </c:pt>
                <c:pt idx="236">
                  <c:v>15.993311036789297</c:v>
                </c:pt>
                <c:pt idx="237">
                  <c:v>15.993311036789297</c:v>
                </c:pt>
                <c:pt idx="238">
                  <c:v>15.993311036789297</c:v>
                </c:pt>
                <c:pt idx="239">
                  <c:v>15.993311036789297</c:v>
                </c:pt>
                <c:pt idx="240">
                  <c:v>15.993311036789297</c:v>
                </c:pt>
                <c:pt idx="241">
                  <c:v>15.993311036789297</c:v>
                </c:pt>
                <c:pt idx="242">
                  <c:v>15.993311036789297</c:v>
                </c:pt>
                <c:pt idx="243">
                  <c:v>15.993311036789297</c:v>
                </c:pt>
                <c:pt idx="244">
                  <c:v>15.993311036789297</c:v>
                </c:pt>
                <c:pt idx="245">
                  <c:v>15.993311036789297</c:v>
                </c:pt>
                <c:pt idx="246">
                  <c:v>15.993311036789297</c:v>
                </c:pt>
                <c:pt idx="247">
                  <c:v>15.993311036789297</c:v>
                </c:pt>
                <c:pt idx="248">
                  <c:v>15.993311036789297</c:v>
                </c:pt>
                <c:pt idx="249">
                  <c:v>15.993311036789297</c:v>
                </c:pt>
                <c:pt idx="250">
                  <c:v>15.993311036789297</c:v>
                </c:pt>
                <c:pt idx="251">
                  <c:v>15.993311036789297</c:v>
                </c:pt>
                <c:pt idx="252">
                  <c:v>15.993311036789297</c:v>
                </c:pt>
                <c:pt idx="253">
                  <c:v>15.993311036789297</c:v>
                </c:pt>
                <c:pt idx="254">
                  <c:v>15.993311036789297</c:v>
                </c:pt>
                <c:pt idx="255">
                  <c:v>15.993311036789297</c:v>
                </c:pt>
                <c:pt idx="256">
                  <c:v>15.993311036789297</c:v>
                </c:pt>
                <c:pt idx="257">
                  <c:v>15.993311036789297</c:v>
                </c:pt>
                <c:pt idx="258">
                  <c:v>15.993311036789297</c:v>
                </c:pt>
                <c:pt idx="259">
                  <c:v>15.993311036789297</c:v>
                </c:pt>
                <c:pt idx="260">
                  <c:v>15.993311036789297</c:v>
                </c:pt>
                <c:pt idx="261">
                  <c:v>15.993311036789297</c:v>
                </c:pt>
                <c:pt idx="262">
                  <c:v>15.993311036789297</c:v>
                </c:pt>
                <c:pt idx="263">
                  <c:v>15.993311036789297</c:v>
                </c:pt>
                <c:pt idx="264">
                  <c:v>15.993311036789297</c:v>
                </c:pt>
                <c:pt idx="265">
                  <c:v>15.993311036789297</c:v>
                </c:pt>
                <c:pt idx="266">
                  <c:v>15.993311036789297</c:v>
                </c:pt>
                <c:pt idx="267">
                  <c:v>15.993311036789297</c:v>
                </c:pt>
                <c:pt idx="268">
                  <c:v>15.993311036789297</c:v>
                </c:pt>
                <c:pt idx="269">
                  <c:v>15.993311036789297</c:v>
                </c:pt>
                <c:pt idx="270">
                  <c:v>15.993311036789297</c:v>
                </c:pt>
                <c:pt idx="271">
                  <c:v>15.993311036789297</c:v>
                </c:pt>
                <c:pt idx="272">
                  <c:v>15.993311036789297</c:v>
                </c:pt>
                <c:pt idx="273">
                  <c:v>15.993311036789297</c:v>
                </c:pt>
                <c:pt idx="274">
                  <c:v>15.993311036789297</c:v>
                </c:pt>
                <c:pt idx="275">
                  <c:v>15.993311036789297</c:v>
                </c:pt>
                <c:pt idx="276">
                  <c:v>15.993311036789297</c:v>
                </c:pt>
                <c:pt idx="277">
                  <c:v>15.993311036789297</c:v>
                </c:pt>
                <c:pt idx="278">
                  <c:v>15.993311036789297</c:v>
                </c:pt>
                <c:pt idx="279">
                  <c:v>15.993311036789297</c:v>
                </c:pt>
                <c:pt idx="280">
                  <c:v>15.993311036789297</c:v>
                </c:pt>
                <c:pt idx="281">
                  <c:v>15.993311036789297</c:v>
                </c:pt>
                <c:pt idx="282">
                  <c:v>15.993311036789297</c:v>
                </c:pt>
                <c:pt idx="283">
                  <c:v>15.993311036789297</c:v>
                </c:pt>
                <c:pt idx="284">
                  <c:v>15.993311036789297</c:v>
                </c:pt>
                <c:pt idx="285">
                  <c:v>15.993311036789297</c:v>
                </c:pt>
                <c:pt idx="286">
                  <c:v>15.993311036789297</c:v>
                </c:pt>
                <c:pt idx="287">
                  <c:v>15.993311036789297</c:v>
                </c:pt>
                <c:pt idx="288">
                  <c:v>15.993311036789297</c:v>
                </c:pt>
                <c:pt idx="289">
                  <c:v>15.993311036789297</c:v>
                </c:pt>
                <c:pt idx="290">
                  <c:v>15.993311036789297</c:v>
                </c:pt>
                <c:pt idx="291">
                  <c:v>15.993311036789297</c:v>
                </c:pt>
                <c:pt idx="292">
                  <c:v>15.993311036789297</c:v>
                </c:pt>
                <c:pt idx="293">
                  <c:v>15.993311036789297</c:v>
                </c:pt>
                <c:pt idx="294">
                  <c:v>15.993311036789297</c:v>
                </c:pt>
                <c:pt idx="295">
                  <c:v>15.993311036789297</c:v>
                </c:pt>
                <c:pt idx="296">
                  <c:v>15.993311036789297</c:v>
                </c:pt>
                <c:pt idx="297">
                  <c:v>15.993311036789297</c:v>
                </c:pt>
                <c:pt idx="298">
                  <c:v>15.993311036789297</c:v>
                </c:pt>
                <c:pt idx="299">
                  <c:v>15.993311036789297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7D2-4051-9D43-9D28CD361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Thickness_SPC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Thickness_SPC!$F$9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Thickness_SPC!$F$10:$F$606</c:f>
              <c:numCache>
                <c:formatCode>0.000</c:formatCode>
                <c:ptCount val="597"/>
                <c:pt idx="0">
                  <c:v>701.13300000000004</c:v>
                </c:pt>
                <c:pt idx="1">
                  <c:v>702.01700000000005</c:v>
                </c:pt>
                <c:pt idx="2">
                  <c:v>701.52</c:v>
                </c:pt>
                <c:pt idx="3">
                  <c:v>702.60500000000002</c:v>
                </c:pt>
                <c:pt idx="4">
                  <c:v>700.69</c:v>
                </c:pt>
                <c:pt idx="5">
                  <c:v>702.31700000000001</c:v>
                </c:pt>
                <c:pt idx="6">
                  <c:v>702.18100000000004</c:v>
                </c:pt>
                <c:pt idx="7">
                  <c:v>702.471</c:v>
                </c:pt>
                <c:pt idx="8">
                  <c:v>702.06100000000004</c:v>
                </c:pt>
                <c:pt idx="9">
                  <c:v>702.64200000000005</c:v>
                </c:pt>
                <c:pt idx="10">
                  <c:v>701.79200000000003</c:v>
                </c:pt>
                <c:pt idx="11">
                  <c:v>701.70299999999997</c:v>
                </c:pt>
                <c:pt idx="12">
                  <c:v>702.45299999999997</c:v>
                </c:pt>
                <c:pt idx="13">
                  <c:v>704.29</c:v>
                </c:pt>
                <c:pt idx="14">
                  <c:v>701.53200000000004</c:v>
                </c:pt>
                <c:pt idx="15">
                  <c:v>702.375</c:v>
                </c:pt>
                <c:pt idx="16">
                  <c:v>701.55499999999995</c:v>
                </c:pt>
                <c:pt idx="17">
                  <c:v>702.11</c:v>
                </c:pt>
                <c:pt idx="18">
                  <c:v>701.48199999999997</c:v>
                </c:pt>
                <c:pt idx="19">
                  <c:v>702.97900000000004</c:v>
                </c:pt>
                <c:pt idx="20">
                  <c:v>701.66099999999994</c:v>
                </c:pt>
                <c:pt idx="21">
                  <c:v>702.726</c:v>
                </c:pt>
                <c:pt idx="22">
                  <c:v>700.65700000000004</c:v>
                </c:pt>
                <c:pt idx="23">
                  <c:v>702.29200000000003</c:v>
                </c:pt>
                <c:pt idx="24">
                  <c:v>700.31700000000001</c:v>
                </c:pt>
                <c:pt idx="25">
                  <c:v>700.06399999999996</c:v>
                </c:pt>
                <c:pt idx="26">
                  <c:v>700.50699999999995</c:v>
                </c:pt>
                <c:pt idx="27">
                  <c:v>700.90499999999997</c:v>
                </c:pt>
                <c:pt idx="28">
                  <c:v>699.89</c:v>
                </c:pt>
                <c:pt idx="29">
                  <c:v>700.00300000000004</c:v>
                </c:pt>
                <c:pt idx="30">
                  <c:v>700.29399999999998</c:v>
                </c:pt>
                <c:pt idx="31">
                  <c:v>700.81100000000004</c:v>
                </c:pt>
                <c:pt idx="32">
                  <c:v>700.06200000000001</c:v>
                </c:pt>
                <c:pt idx="33">
                  <c:v>701.46900000000005</c:v>
                </c:pt>
                <c:pt idx="34">
                  <c:v>701.33100000000002</c:v>
                </c:pt>
                <c:pt idx="35">
                  <c:v>700.89800000000002</c:v>
                </c:pt>
                <c:pt idx="36">
                  <c:v>700.79399999999998</c:v>
                </c:pt>
                <c:pt idx="37">
                  <c:v>702.32</c:v>
                </c:pt>
                <c:pt idx="38">
                  <c:v>700.74199999999996</c:v>
                </c:pt>
                <c:pt idx="39">
                  <c:v>701.16</c:v>
                </c:pt>
                <c:pt idx="40">
                  <c:v>700.71</c:v>
                </c:pt>
                <c:pt idx="41">
                  <c:v>700.14</c:v>
                </c:pt>
                <c:pt idx="42">
                  <c:v>702.11900000000003</c:v>
                </c:pt>
                <c:pt idx="43">
                  <c:v>702.29600000000005</c:v>
                </c:pt>
                <c:pt idx="44">
                  <c:v>700.73199999999997</c:v>
                </c:pt>
                <c:pt idx="45">
                  <c:v>700.64099999999996</c:v>
                </c:pt>
                <c:pt idx="46">
                  <c:v>700.77</c:v>
                </c:pt>
                <c:pt idx="47">
                  <c:v>700.48199999999997</c:v>
                </c:pt>
                <c:pt idx="48">
                  <c:v>701.96600000000001</c:v>
                </c:pt>
                <c:pt idx="49">
                  <c:v>702.35199999999998</c:v>
                </c:pt>
                <c:pt idx="50">
                  <c:v>700.39700000000005</c:v>
                </c:pt>
                <c:pt idx="51">
                  <c:v>702.48</c:v>
                </c:pt>
                <c:pt idx="52">
                  <c:v>702.87199999999996</c:v>
                </c:pt>
                <c:pt idx="53">
                  <c:v>703.53700000000003</c:v>
                </c:pt>
                <c:pt idx="54">
                  <c:v>703.57500000000005</c:v>
                </c:pt>
                <c:pt idx="55">
                  <c:v>700.62800000000004</c:v>
                </c:pt>
                <c:pt idx="56">
                  <c:v>701.47400000000005</c:v>
                </c:pt>
                <c:pt idx="57">
                  <c:v>703.125</c:v>
                </c:pt>
                <c:pt idx="58">
                  <c:v>701.42499999999995</c:v>
                </c:pt>
                <c:pt idx="59">
                  <c:v>702.64300000000003</c:v>
                </c:pt>
                <c:pt idx="60">
                  <c:v>702.07899999999995</c:v>
                </c:pt>
                <c:pt idx="61">
                  <c:v>701.07399999999996</c:v>
                </c:pt>
                <c:pt idx="62">
                  <c:v>701.56899999999996</c:v>
                </c:pt>
                <c:pt idx="63">
                  <c:v>703.54899999999998</c:v>
                </c:pt>
                <c:pt idx="64">
                  <c:v>703.048</c:v>
                </c:pt>
                <c:pt idx="65">
                  <c:v>702.71400000000006</c:v>
                </c:pt>
                <c:pt idx="66">
                  <c:v>701.18299999999999</c:v>
                </c:pt>
                <c:pt idx="67">
                  <c:v>700.98699999999997</c:v>
                </c:pt>
                <c:pt idx="68">
                  <c:v>704.69399999999996</c:v>
                </c:pt>
                <c:pt idx="69">
                  <c:v>702.21299999999997</c:v>
                </c:pt>
                <c:pt idx="70">
                  <c:v>701.18299999999999</c:v>
                </c:pt>
                <c:pt idx="71">
                  <c:v>699.81299999999999</c:v>
                </c:pt>
                <c:pt idx="72">
                  <c:v>700.87099999999998</c:v>
                </c:pt>
                <c:pt idx="73">
                  <c:v>702.30499999999995</c:v>
                </c:pt>
                <c:pt idx="74">
                  <c:v>701.09400000000005</c:v>
                </c:pt>
                <c:pt idx="75">
                  <c:v>700.16800000000001</c:v>
                </c:pt>
                <c:pt idx="76">
                  <c:v>700.43499999999995</c:v>
                </c:pt>
                <c:pt idx="77">
                  <c:v>700.18299999999999</c:v>
                </c:pt>
                <c:pt idx="78">
                  <c:v>701.15300000000002</c:v>
                </c:pt>
                <c:pt idx="79">
                  <c:v>701.1</c:v>
                </c:pt>
                <c:pt idx="80">
                  <c:v>700.15899999999999</c:v>
                </c:pt>
                <c:pt idx="81">
                  <c:v>700.53</c:v>
                </c:pt>
                <c:pt idx="82">
                  <c:v>701.88699999999994</c:v>
                </c:pt>
                <c:pt idx="83">
                  <c:v>700.44</c:v>
                </c:pt>
                <c:pt idx="84">
                  <c:v>701.08699999999999</c:v>
                </c:pt>
                <c:pt idx="85">
                  <c:v>700.12</c:v>
                </c:pt>
                <c:pt idx="86">
                  <c:v>700.10299999999995</c:v>
                </c:pt>
                <c:pt idx="87">
                  <c:v>702.596</c:v>
                </c:pt>
                <c:pt idx="88">
                  <c:v>700.32100000000003</c:v>
                </c:pt>
                <c:pt idx="89">
                  <c:v>700.31799999999998</c:v>
                </c:pt>
                <c:pt idx="90">
                  <c:v>699.86400000000003</c:v>
                </c:pt>
                <c:pt idx="91">
                  <c:v>700.19799999999998</c:v>
                </c:pt>
                <c:pt idx="92">
                  <c:v>701.09</c:v>
                </c:pt>
                <c:pt idx="93">
                  <c:v>702.21600000000001</c:v>
                </c:pt>
                <c:pt idx="94">
                  <c:v>700.66800000000001</c:v>
                </c:pt>
                <c:pt idx="95">
                  <c:v>701.24300000000005</c:v>
                </c:pt>
                <c:pt idx="96">
                  <c:v>702.04200000000003</c:v>
                </c:pt>
                <c:pt idx="97">
                  <c:v>700.75400000000002</c:v>
                </c:pt>
                <c:pt idx="98">
                  <c:v>702.64200000000005</c:v>
                </c:pt>
                <c:pt idx="99">
                  <c:v>701.61900000000003</c:v>
                </c:pt>
                <c:pt idx="100">
                  <c:v>701.38099999999997</c:v>
                </c:pt>
                <c:pt idx="101">
                  <c:v>702.67</c:v>
                </c:pt>
                <c:pt idx="102">
                  <c:v>702.572</c:v>
                </c:pt>
                <c:pt idx="103">
                  <c:v>703.17</c:v>
                </c:pt>
                <c:pt idx="104">
                  <c:v>701.74699999999996</c:v>
                </c:pt>
                <c:pt idx="105">
                  <c:v>702.15899999999999</c:v>
                </c:pt>
                <c:pt idx="106">
                  <c:v>702.27599999999995</c:v>
                </c:pt>
                <c:pt idx="107">
                  <c:v>698.22500000000002</c:v>
                </c:pt>
                <c:pt idx="108">
                  <c:v>702.31200000000001</c:v>
                </c:pt>
                <c:pt idx="109">
                  <c:v>703.35400000000004</c:v>
                </c:pt>
                <c:pt idx="110">
                  <c:v>702.14800000000002</c:v>
                </c:pt>
                <c:pt idx="111">
                  <c:v>701.80799999999999</c:v>
                </c:pt>
                <c:pt idx="112">
                  <c:v>700.57399999999996</c:v>
                </c:pt>
                <c:pt idx="113">
                  <c:v>700.03200000000004</c:v>
                </c:pt>
                <c:pt idx="114">
                  <c:v>703.14300000000003</c:v>
                </c:pt>
                <c:pt idx="115">
                  <c:v>702.47900000000004</c:v>
                </c:pt>
                <c:pt idx="116">
                  <c:v>701.81100000000004</c:v>
                </c:pt>
                <c:pt idx="117">
                  <c:v>701.43499999999995</c:v>
                </c:pt>
                <c:pt idx="118">
                  <c:v>702.41300000000001</c:v>
                </c:pt>
                <c:pt idx="119">
                  <c:v>702.41899999999998</c:v>
                </c:pt>
                <c:pt idx="120">
                  <c:v>702.22500000000002</c:v>
                </c:pt>
                <c:pt idx="121">
                  <c:v>702.48699999999997</c:v>
                </c:pt>
                <c:pt idx="122">
                  <c:v>702.33600000000001</c:v>
                </c:pt>
                <c:pt idx="123">
                  <c:v>702.10599999999999</c:v>
                </c:pt>
                <c:pt idx="124">
                  <c:v>701.57</c:v>
                </c:pt>
                <c:pt idx="125">
                  <c:v>700.649</c:v>
                </c:pt>
                <c:pt idx="126">
                  <c:v>703.19299999999998</c:v>
                </c:pt>
                <c:pt idx="127">
                  <c:v>702.42399999999998</c:v>
                </c:pt>
                <c:pt idx="128">
                  <c:v>703.19600000000003</c:v>
                </c:pt>
                <c:pt idx="129">
                  <c:v>701.61800000000005</c:v>
                </c:pt>
                <c:pt idx="130">
                  <c:v>700.65300000000002</c:v>
                </c:pt>
                <c:pt idx="131">
                  <c:v>701.75599999999997</c:v>
                </c:pt>
                <c:pt idx="132">
                  <c:v>699.55200000000002</c:v>
                </c:pt>
                <c:pt idx="133">
                  <c:v>700.80600000000004</c:v>
                </c:pt>
                <c:pt idx="134">
                  <c:v>698.69200000000001</c:v>
                </c:pt>
                <c:pt idx="135">
                  <c:v>698.58799999999997</c:v>
                </c:pt>
                <c:pt idx="136">
                  <c:v>700.75199999999995</c:v>
                </c:pt>
                <c:pt idx="137">
                  <c:v>701.59</c:v>
                </c:pt>
                <c:pt idx="138">
                  <c:v>700.81700000000001</c:v>
                </c:pt>
                <c:pt idx="139">
                  <c:v>701.95100000000002</c:v>
                </c:pt>
                <c:pt idx="140">
                  <c:v>698.86099999999999</c:v>
                </c:pt>
                <c:pt idx="141">
                  <c:v>698.61599999999999</c:v>
                </c:pt>
                <c:pt idx="142">
                  <c:v>700.32</c:v>
                </c:pt>
                <c:pt idx="143">
                  <c:v>700.95</c:v>
                </c:pt>
                <c:pt idx="144">
                  <c:v>700.59799999999996</c:v>
                </c:pt>
                <c:pt idx="145">
                  <c:v>701.03599999999994</c:v>
                </c:pt>
                <c:pt idx="146">
                  <c:v>700.57799999999997</c:v>
                </c:pt>
                <c:pt idx="147">
                  <c:v>700.33100000000002</c:v>
                </c:pt>
                <c:pt idx="148">
                  <c:v>699.95100000000002</c:v>
                </c:pt>
                <c:pt idx="149">
                  <c:v>703.66</c:v>
                </c:pt>
                <c:pt idx="150">
                  <c:v>702.49699999999996</c:v>
                </c:pt>
                <c:pt idx="151">
                  <c:v>702.70699999999999</c:v>
                </c:pt>
                <c:pt idx="152">
                  <c:v>701.64800000000002</c:v>
                </c:pt>
                <c:pt idx="153">
                  <c:v>702.67399999999998</c:v>
                </c:pt>
                <c:pt idx="154">
                  <c:v>702.68899999999996</c:v>
                </c:pt>
                <c:pt idx="155">
                  <c:v>702.85799999999995</c:v>
                </c:pt>
                <c:pt idx="156">
                  <c:v>702.33500000000004</c:v>
                </c:pt>
                <c:pt idx="157">
                  <c:v>701.62300000000005</c:v>
                </c:pt>
                <c:pt idx="158">
                  <c:v>702.71100000000001</c:v>
                </c:pt>
                <c:pt idx="159">
                  <c:v>701.61500000000001</c:v>
                </c:pt>
                <c:pt idx="160">
                  <c:v>702.47199999999998</c:v>
                </c:pt>
                <c:pt idx="161">
                  <c:v>702.495</c:v>
                </c:pt>
                <c:pt idx="162">
                  <c:v>701.97500000000002</c:v>
                </c:pt>
                <c:pt idx="163">
                  <c:v>702.24699999999996</c:v>
                </c:pt>
                <c:pt idx="164">
                  <c:v>701.14700000000005</c:v>
                </c:pt>
                <c:pt idx="165">
                  <c:v>701.30200000000002</c:v>
                </c:pt>
                <c:pt idx="166">
                  <c:v>703.63599999999997</c:v>
                </c:pt>
                <c:pt idx="167">
                  <c:v>699.33900000000006</c:v>
                </c:pt>
                <c:pt idx="168">
                  <c:v>701.78800000000001</c:v>
                </c:pt>
                <c:pt idx="169">
                  <c:v>702.3</c:v>
                </c:pt>
                <c:pt idx="170">
                  <c:v>700.44</c:v>
                </c:pt>
                <c:pt idx="171">
                  <c:v>701.75400000000002</c:v>
                </c:pt>
                <c:pt idx="172">
                  <c:v>702.33199999999999</c:v>
                </c:pt>
                <c:pt idx="173">
                  <c:v>703.68100000000004</c:v>
                </c:pt>
                <c:pt idx="174">
                  <c:v>701.54899999999998</c:v>
                </c:pt>
                <c:pt idx="175">
                  <c:v>700.68799999999999</c:v>
                </c:pt>
                <c:pt idx="176">
                  <c:v>702.81899999999996</c:v>
                </c:pt>
                <c:pt idx="177">
                  <c:v>699.88099999999997</c:v>
                </c:pt>
                <c:pt idx="178">
                  <c:v>700.80200000000002</c:v>
                </c:pt>
                <c:pt idx="179">
                  <c:v>700.94200000000001</c:v>
                </c:pt>
                <c:pt idx="180">
                  <c:v>703.77599999999995</c:v>
                </c:pt>
                <c:pt idx="181">
                  <c:v>700.81100000000004</c:v>
                </c:pt>
                <c:pt idx="182">
                  <c:v>701.28899999999999</c:v>
                </c:pt>
                <c:pt idx="183">
                  <c:v>700.95899999999995</c:v>
                </c:pt>
                <c:pt idx="184">
                  <c:v>699.89700000000005</c:v>
                </c:pt>
                <c:pt idx="185">
                  <c:v>702.23800000000006</c:v>
                </c:pt>
                <c:pt idx="186">
                  <c:v>702.33</c:v>
                </c:pt>
                <c:pt idx="187">
                  <c:v>701.851</c:v>
                </c:pt>
                <c:pt idx="188">
                  <c:v>699.904</c:v>
                </c:pt>
                <c:pt idx="189">
                  <c:v>700.63</c:v>
                </c:pt>
                <c:pt idx="190">
                  <c:v>700.49199999999996</c:v>
                </c:pt>
                <c:pt idx="191">
                  <c:v>700.68100000000004</c:v>
                </c:pt>
                <c:pt idx="192">
                  <c:v>702.23400000000004</c:v>
                </c:pt>
                <c:pt idx="193">
                  <c:v>699.30899999999997</c:v>
                </c:pt>
                <c:pt idx="194">
                  <c:v>702.40599999999995</c:v>
                </c:pt>
                <c:pt idx="195">
                  <c:v>702.38599999999997</c:v>
                </c:pt>
                <c:pt idx="196">
                  <c:v>701.33399999999995</c:v>
                </c:pt>
                <c:pt idx="197">
                  <c:v>701.24699999999996</c:v>
                </c:pt>
                <c:pt idx="198">
                  <c:v>701.09299999999996</c:v>
                </c:pt>
                <c:pt idx="199">
                  <c:v>701.46600000000001</c:v>
                </c:pt>
                <c:pt idx="200">
                  <c:v>700.45899999999995</c:v>
                </c:pt>
                <c:pt idx="201">
                  <c:v>701.49800000000005</c:v>
                </c:pt>
                <c:pt idx="202">
                  <c:v>701.10799999999995</c:v>
                </c:pt>
                <c:pt idx="203">
                  <c:v>701.96199999999999</c:v>
                </c:pt>
                <c:pt idx="204">
                  <c:v>701.07</c:v>
                </c:pt>
                <c:pt idx="205">
                  <c:v>701.12199999999996</c:v>
                </c:pt>
                <c:pt idx="206">
                  <c:v>700.57899999999995</c:v>
                </c:pt>
                <c:pt idx="207">
                  <c:v>701.053</c:v>
                </c:pt>
                <c:pt idx="208">
                  <c:v>702.64099999999996</c:v>
                </c:pt>
                <c:pt idx="209">
                  <c:v>702.23900000000003</c:v>
                </c:pt>
                <c:pt idx="210">
                  <c:v>702.59900000000005</c:v>
                </c:pt>
                <c:pt idx="211">
                  <c:v>700.97199999999998</c:v>
                </c:pt>
                <c:pt idx="212">
                  <c:v>700.65200000000004</c:v>
                </c:pt>
                <c:pt idx="213">
                  <c:v>701.51300000000003</c:v>
                </c:pt>
                <c:pt idx="214">
                  <c:v>700.74900000000002</c:v>
                </c:pt>
                <c:pt idx="215">
                  <c:v>700.78599999999994</c:v>
                </c:pt>
                <c:pt idx="216">
                  <c:v>700.05</c:v>
                </c:pt>
                <c:pt idx="217">
                  <c:v>701.15599999999995</c:v>
                </c:pt>
                <c:pt idx="218">
                  <c:v>699.78200000000004</c:v>
                </c:pt>
                <c:pt idx="219">
                  <c:v>701.48599999999999</c:v>
                </c:pt>
                <c:pt idx="220">
                  <c:v>701.11800000000005</c:v>
                </c:pt>
                <c:pt idx="221">
                  <c:v>701.923</c:v>
                </c:pt>
                <c:pt idx="222">
                  <c:v>701.47199999999998</c:v>
                </c:pt>
                <c:pt idx="223">
                  <c:v>701.92200000000003</c:v>
                </c:pt>
                <c:pt idx="224">
                  <c:v>700.75800000000004</c:v>
                </c:pt>
                <c:pt idx="225">
                  <c:v>699.13499999999999</c:v>
                </c:pt>
                <c:pt idx="226">
                  <c:v>701.34799999999996</c:v>
                </c:pt>
                <c:pt idx="227">
                  <c:v>699.48299999999995</c:v>
                </c:pt>
                <c:pt idx="228">
                  <c:v>701.19799999999998</c:v>
                </c:pt>
                <c:pt idx="229">
                  <c:v>701.05600000000004</c:v>
                </c:pt>
                <c:pt idx="230">
                  <c:v>700.95500000000004</c:v>
                </c:pt>
                <c:pt idx="231">
                  <c:v>700.51800000000003</c:v>
                </c:pt>
                <c:pt idx="232">
                  <c:v>699.80399999999997</c:v>
                </c:pt>
                <c:pt idx="233">
                  <c:v>700.40200000000004</c:v>
                </c:pt>
                <c:pt idx="234">
                  <c:v>699.88900000000001</c:v>
                </c:pt>
                <c:pt idx="235">
                  <c:v>701.37199999999996</c:v>
                </c:pt>
                <c:pt idx="236">
                  <c:v>700.07</c:v>
                </c:pt>
                <c:pt idx="237">
                  <c:v>701.95799999999997</c:v>
                </c:pt>
                <c:pt idx="238">
                  <c:v>702.03599999999994</c:v>
                </c:pt>
                <c:pt idx="239">
                  <c:v>700.44600000000003</c:v>
                </c:pt>
                <c:pt idx="240">
                  <c:v>701.86500000000001</c:v>
                </c:pt>
                <c:pt idx="241">
                  <c:v>701.95399999999995</c:v>
                </c:pt>
                <c:pt idx="242">
                  <c:v>702.78399999999999</c:v>
                </c:pt>
                <c:pt idx="243">
                  <c:v>700.61599999999999</c:v>
                </c:pt>
                <c:pt idx="244">
                  <c:v>701.03700000000003</c:v>
                </c:pt>
                <c:pt idx="245">
                  <c:v>701.20799999999997</c:v>
                </c:pt>
                <c:pt idx="246">
                  <c:v>701.85299999999995</c:v>
                </c:pt>
                <c:pt idx="247">
                  <c:v>701.25099999999998</c:v>
                </c:pt>
                <c:pt idx="248">
                  <c:v>701.04899999999998</c:v>
                </c:pt>
                <c:pt idx="249">
                  <c:v>700.72900000000004</c:v>
                </c:pt>
                <c:pt idx="250">
                  <c:v>701.21199999999999</c:v>
                </c:pt>
                <c:pt idx="251">
                  <c:v>700.52800000000002</c:v>
                </c:pt>
                <c:pt idx="252">
                  <c:v>702.33199999999999</c:v>
                </c:pt>
                <c:pt idx="253">
                  <c:v>700.73900000000003</c:v>
                </c:pt>
                <c:pt idx="254">
                  <c:v>700.75599999999997</c:v>
                </c:pt>
                <c:pt idx="255">
                  <c:v>700.73900000000003</c:v>
                </c:pt>
                <c:pt idx="256">
                  <c:v>699.66499999999996</c:v>
                </c:pt>
                <c:pt idx="257">
                  <c:v>700.66200000000003</c:v>
                </c:pt>
                <c:pt idx="258">
                  <c:v>699.63199999999995</c:v>
                </c:pt>
                <c:pt idx="259">
                  <c:v>700.77300000000002</c:v>
                </c:pt>
                <c:pt idx="260">
                  <c:v>699.70299999999997</c:v>
                </c:pt>
                <c:pt idx="261">
                  <c:v>699.71199999999999</c:v>
                </c:pt>
                <c:pt idx="262">
                  <c:v>701.32899999999995</c:v>
                </c:pt>
                <c:pt idx="263">
                  <c:v>700.72900000000004</c:v>
                </c:pt>
                <c:pt idx="264">
                  <c:v>700.97500000000002</c:v>
                </c:pt>
                <c:pt idx="265">
                  <c:v>700.899</c:v>
                </c:pt>
                <c:pt idx="266">
                  <c:v>702.61199999999997</c:v>
                </c:pt>
                <c:pt idx="267">
                  <c:v>701.51400000000001</c:v>
                </c:pt>
                <c:pt idx="268">
                  <c:v>702.447</c:v>
                </c:pt>
                <c:pt idx="269">
                  <c:v>701.43200000000002</c:v>
                </c:pt>
                <c:pt idx="270">
                  <c:v>701.76199999999994</c:v>
                </c:pt>
                <c:pt idx="271">
                  <c:v>700.06200000000001</c:v>
                </c:pt>
                <c:pt idx="272">
                  <c:v>700.11400000000003</c:v>
                </c:pt>
                <c:pt idx="273">
                  <c:v>699.64800000000002</c:v>
                </c:pt>
                <c:pt idx="274">
                  <c:v>701.54100000000005</c:v>
                </c:pt>
                <c:pt idx="275">
                  <c:v>701.08500000000004</c:v>
                </c:pt>
                <c:pt idx="276">
                  <c:v>701.23500000000001</c:v>
                </c:pt>
                <c:pt idx="277">
                  <c:v>701.19</c:v>
                </c:pt>
                <c:pt idx="278">
                  <c:v>702.14099999999996</c:v>
                </c:pt>
                <c:pt idx="279">
                  <c:v>702.048</c:v>
                </c:pt>
                <c:pt idx="280">
                  <c:v>700.26</c:v>
                </c:pt>
                <c:pt idx="281">
                  <c:v>700.99800000000005</c:v>
                </c:pt>
                <c:pt idx="282">
                  <c:v>701.048</c:v>
                </c:pt>
                <c:pt idx="283">
                  <c:v>702.65700000000004</c:v>
                </c:pt>
                <c:pt idx="284">
                  <c:v>701.12300000000005</c:v>
                </c:pt>
                <c:pt idx="285">
                  <c:v>701.18</c:v>
                </c:pt>
                <c:pt idx="286">
                  <c:v>700.56299999999999</c:v>
                </c:pt>
                <c:pt idx="287">
                  <c:v>700.52300000000002</c:v>
                </c:pt>
                <c:pt idx="288">
                  <c:v>700.69299999999998</c:v>
                </c:pt>
                <c:pt idx="289">
                  <c:v>700.72299999999996</c:v>
                </c:pt>
                <c:pt idx="290">
                  <c:v>701.17499999999995</c:v>
                </c:pt>
                <c:pt idx="291">
                  <c:v>701.21699999999998</c:v>
                </c:pt>
                <c:pt idx="292">
                  <c:v>699.67600000000004</c:v>
                </c:pt>
                <c:pt idx="293">
                  <c:v>701.85400000000004</c:v>
                </c:pt>
                <c:pt idx="294">
                  <c:v>701.87199999999996</c:v>
                </c:pt>
                <c:pt idx="295">
                  <c:v>701.53700000000003</c:v>
                </c:pt>
                <c:pt idx="296">
                  <c:v>701.71</c:v>
                </c:pt>
                <c:pt idx="297">
                  <c:v>702.05499999999995</c:v>
                </c:pt>
                <c:pt idx="298">
                  <c:v>701.7</c:v>
                </c:pt>
                <c:pt idx="299">
                  <c:v>701.64499999999998</c:v>
                </c:pt>
                <c:pt idx="300">
                  <c:v>701.82600000000002</c:v>
                </c:pt>
                <c:pt idx="301">
                  <c:v>701.83799999999997</c:v>
                </c:pt>
                <c:pt idx="302">
                  <c:v>701.66</c:v>
                </c:pt>
                <c:pt idx="303">
                  <c:v>701.928</c:v>
                </c:pt>
                <c:pt idx="304">
                  <c:v>703.053</c:v>
                </c:pt>
                <c:pt idx="305">
                  <c:v>699.31899999999996</c:v>
                </c:pt>
                <c:pt idx="306">
                  <c:v>699.55799999999999</c:v>
                </c:pt>
                <c:pt idx="307">
                  <c:v>702.31500000000005</c:v>
                </c:pt>
                <c:pt idx="308">
                  <c:v>701.48699999999997</c:v>
                </c:pt>
                <c:pt idx="309">
                  <c:v>703.02800000000002</c:v>
                </c:pt>
                <c:pt idx="310">
                  <c:v>701.10400000000004</c:v>
                </c:pt>
                <c:pt idx="311">
                  <c:v>700.70600000000002</c:v>
                </c:pt>
                <c:pt idx="312">
                  <c:v>700.61400000000003</c:v>
                </c:pt>
                <c:pt idx="313">
                  <c:v>700.48199999999997</c:v>
                </c:pt>
                <c:pt idx="314">
                  <c:v>701.80100000000004</c:v>
                </c:pt>
                <c:pt idx="315">
                  <c:v>700.88199999999995</c:v>
                </c:pt>
                <c:pt idx="316">
                  <c:v>700.77599999999995</c:v>
                </c:pt>
                <c:pt idx="317">
                  <c:v>700.84400000000005</c:v>
                </c:pt>
                <c:pt idx="318">
                  <c:v>700.48599999999999</c:v>
                </c:pt>
                <c:pt idx="319">
                  <c:v>700.69500000000005</c:v>
                </c:pt>
                <c:pt idx="320">
                  <c:v>700.85</c:v>
                </c:pt>
                <c:pt idx="321">
                  <c:v>700.82100000000003</c:v>
                </c:pt>
                <c:pt idx="322">
                  <c:v>701.51599999999996</c:v>
                </c:pt>
                <c:pt idx="323">
                  <c:v>700.01700000000005</c:v>
                </c:pt>
                <c:pt idx="324">
                  <c:v>701.31500000000005</c:v>
                </c:pt>
                <c:pt idx="325">
                  <c:v>700.52800000000002</c:v>
                </c:pt>
                <c:pt idx="326">
                  <c:v>700.096</c:v>
                </c:pt>
                <c:pt idx="327">
                  <c:v>700.94299999999998</c:v>
                </c:pt>
                <c:pt idx="328">
                  <c:v>701.02800000000002</c:v>
                </c:pt>
                <c:pt idx="329">
                  <c:v>702.70500000000004</c:v>
                </c:pt>
                <c:pt idx="330">
                  <c:v>702.20500000000004</c:v>
                </c:pt>
                <c:pt idx="331">
                  <c:v>702.20899999999995</c:v>
                </c:pt>
                <c:pt idx="332">
                  <c:v>701.14099999999996</c:v>
                </c:pt>
                <c:pt idx="333">
                  <c:v>699.81600000000003</c:v>
                </c:pt>
                <c:pt idx="334">
                  <c:v>699.85599999999999</c:v>
                </c:pt>
                <c:pt idx="335">
                  <c:v>701.12800000000004</c:v>
                </c:pt>
                <c:pt idx="336">
                  <c:v>700.21100000000001</c:v>
                </c:pt>
                <c:pt idx="337">
                  <c:v>703.67</c:v>
                </c:pt>
                <c:pt idx="338">
                  <c:v>700.48500000000001</c:v>
                </c:pt>
                <c:pt idx="339">
                  <c:v>701.30799999999999</c:v>
                </c:pt>
                <c:pt idx="340">
                  <c:v>700.15200000000004</c:v>
                </c:pt>
                <c:pt idx="341">
                  <c:v>700.38099999999997</c:v>
                </c:pt>
                <c:pt idx="342">
                  <c:v>701.02200000000005</c:v>
                </c:pt>
                <c:pt idx="343">
                  <c:v>701.25699999999995</c:v>
                </c:pt>
                <c:pt idx="344">
                  <c:v>701.947</c:v>
                </c:pt>
                <c:pt idx="345">
                  <c:v>700.05799999999999</c:v>
                </c:pt>
                <c:pt idx="346">
                  <c:v>701.20600000000002</c:v>
                </c:pt>
                <c:pt idx="347">
                  <c:v>701.48400000000004</c:v>
                </c:pt>
                <c:pt idx="348">
                  <c:v>702.93200000000002</c:v>
                </c:pt>
                <c:pt idx="349">
                  <c:v>702.56899999999996</c:v>
                </c:pt>
                <c:pt idx="350">
                  <c:v>701.79300000000001</c:v>
                </c:pt>
                <c:pt idx="351">
                  <c:v>701.73099999999999</c:v>
                </c:pt>
                <c:pt idx="352">
                  <c:v>698.32299999999998</c:v>
                </c:pt>
                <c:pt idx="353">
                  <c:v>701.98199999999997</c:v>
                </c:pt>
                <c:pt idx="354">
                  <c:v>701.06399999999996</c:v>
                </c:pt>
                <c:pt idx="355">
                  <c:v>702.83100000000002</c:v>
                </c:pt>
                <c:pt idx="356">
                  <c:v>702.21799999999996</c:v>
                </c:pt>
                <c:pt idx="357">
                  <c:v>699.79200000000003</c:v>
                </c:pt>
                <c:pt idx="358">
                  <c:v>701.64700000000005</c:v>
                </c:pt>
                <c:pt idx="359">
                  <c:v>702.16800000000001</c:v>
                </c:pt>
                <c:pt idx="360">
                  <c:v>699.65599999999995</c:v>
                </c:pt>
                <c:pt idx="361">
                  <c:v>702.99199999999996</c:v>
                </c:pt>
                <c:pt idx="362">
                  <c:v>701.70799999999997</c:v>
                </c:pt>
                <c:pt idx="363">
                  <c:v>700.93</c:v>
                </c:pt>
                <c:pt idx="364">
                  <c:v>701.36800000000005</c:v>
                </c:pt>
                <c:pt idx="365">
                  <c:v>699.846</c:v>
                </c:pt>
                <c:pt idx="366">
                  <c:v>702.98500000000001</c:v>
                </c:pt>
                <c:pt idx="367">
                  <c:v>700.22</c:v>
                </c:pt>
                <c:pt idx="368">
                  <c:v>701.61300000000006</c:v>
                </c:pt>
                <c:pt idx="369">
                  <c:v>701.97699999999998</c:v>
                </c:pt>
                <c:pt idx="370">
                  <c:v>701.54300000000001</c:v>
                </c:pt>
                <c:pt idx="371">
                  <c:v>702.37199999999996</c:v>
                </c:pt>
                <c:pt idx="372">
                  <c:v>701.27300000000002</c:v>
                </c:pt>
                <c:pt idx="373">
                  <c:v>699.60699999999997</c:v>
                </c:pt>
                <c:pt idx="374">
                  <c:v>700.68499999999995</c:v>
                </c:pt>
                <c:pt idx="375">
                  <c:v>700.85699999999997</c:v>
                </c:pt>
                <c:pt idx="376">
                  <c:v>699.43100000000004</c:v>
                </c:pt>
                <c:pt idx="377">
                  <c:v>700.99800000000005</c:v>
                </c:pt>
                <c:pt idx="378">
                  <c:v>699.89499999999998</c:v>
                </c:pt>
                <c:pt idx="379">
                  <c:v>700.63</c:v>
                </c:pt>
                <c:pt idx="380">
                  <c:v>700.82600000000002</c:v>
                </c:pt>
                <c:pt idx="381">
                  <c:v>699.18</c:v>
                </c:pt>
                <c:pt idx="382">
                  <c:v>699.51099999999997</c:v>
                </c:pt>
                <c:pt idx="383">
                  <c:v>700.56200000000001</c:v>
                </c:pt>
                <c:pt idx="384">
                  <c:v>699.69500000000005</c:v>
                </c:pt>
                <c:pt idx="385">
                  <c:v>699.46299999999997</c:v>
                </c:pt>
                <c:pt idx="386">
                  <c:v>699.68799999999999</c:v>
                </c:pt>
                <c:pt idx="387">
                  <c:v>701.18899999999996</c:v>
                </c:pt>
                <c:pt idx="388">
                  <c:v>701.42100000000005</c:v>
                </c:pt>
                <c:pt idx="389">
                  <c:v>700.90700000000004</c:v>
                </c:pt>
                <c:pt idx="390">
                  <c:v>700.21600000000001</c:v>
                </c:pt>
                <c:pt idx="391">
                  <c:v>700.21900000000005</c:v>
                </c:pt>
                <c:pt idx="392">
                  <c:v>702.15800000000002</c:v>
                </c:pt>
                <c:pt idx="393">
                  <c:v>700.54899999999998</c:v>
                </c:pt>
                <c:pt idx="394">
                  <c:v>701.71400000000006</c:v>
                </c:pt>
                <c:pt idx="395">
                  <c:v>701.02599999999995</c:v>
                </c:pt>
                <c:pt idx="396">
                  <c:v>700.18100000000004</c:v>
                </c:pt>
                <c:pt idx="397">
                  <c:v>701.02800000000002</c:v>
                </c:pt>
                <c:pt idx="398">
                  <c:v>701.10599999999999</c:v>
                </c:pt>
                <c:pt idx="399">
                  <c:v>700.00900000000001</c:v>
                </c:pt>
                <c:pt idx="400">
                  <c:v>699.89200000000005</c:v>
                </c:pt>
                <c:pt idx="401">
                  <c:v>701.33900000000006</c:v>
                </c:pt>
                <c:pt idx="402">
                  <c:v>701.19600000000003</c:v>
                </c:pt>
                <c:pt idx="403">
                  <c:v>701.53099999999995</c:v>
                </c:pt>
                <c:pt idx="404">
                  <c:v>701.84699999999998</c:v>
                </c:pt>
                <c:pt idx="405">
                  <c:v>701.64499999999998</c:v>
                </c:pt>
                <c:pt idx="406">
                  <c:v>701.93799999999999</c:v>
                </c:pt>
                <c:pt idx="407">
                  <c:v>702.30799999999999</c:v>
                </c:pt>
                <c:pt idx="408">
                  <c:v>702.19500000000005</c:v>
                </c:pt>
                <c:pt idx="409">
                  <c:v>701.63800000000003</c:v>
                </c:pt>
                <c:pt idx="410">
                  <c:v>702.76800000000003</c:v>
                </c:pt>
                <c:pt idx="411">
                  <c:v>702.87599999999998</c:v>
                </c:pt>
                <c:pt idx="412">
                  <c:v>702.625</c:v>
                </c:pt>
                <c:pt idx="413">
                  <c:v>699.02</c:v>
                </c:pt>
                <c:pt idx="414">
                  <c:v>699.18899999999996</c:v>
                </c:pt>
                <c:pt idx="415">
                  <c:v>698.79600000000005</c:v>
                </c:pt>
                <c:pt idx="416">
                  <c:v>701</c:v>
                </c:pt>
                <c:pt idx="417">
                  <c:v>701.25</c:v>
                </c:pt>
                <c:pt idx="418">
                  <c:v>701.15099999999995</c:v>
                </c:pt>
                <c:pt idx="419">
                  <c:v>700.63599999999997</c:v>
                </c:pt>
                <c:pt idx="420">
                  <c:v>701.11500000000001</c:v>
                </c:pt>
                <c:pt idx="421">
                  <c:v>701.29499999999996</c:v>
                </c:pt>
                <c:pt idx="422">
                  <c:v>701.16700000000003</c:v>
                </c:pt>
                <c:pt idx="423">
                  <c:v>700.37800000000004</c:v>
                </c:pt>
                <c:pt idx="424">
                  <c:v>700.76900000000001</c:v>
                </c:pt>
                <c:pt idx="425">
                  <c:v>700.37599999999998</c:v>
                </c:pt>
                <c:pt idx="426">
                  <c:v>702.27800000000002</c:v>
                </c:pt>
                <c:pt idx="427">
                  <c:v>700.63900000000001</c:v>
                </c:pt>
                <c:pt idx="428">
                  <c:v>702.32399999999996</c:v>
                </c:pt>
                <c:pt idx="429">
                  <c:v>700.65800000000002</c:v>
                </c:pt>
                <c:pt idx="430">
                  <c:v>702.29700000000003</c:v>
                </c:pt>
                <c:pt idx="431">
                  <c:v>701.48500000000001</c:v>
                </c:pt>
                <c:pt idx="432">
                  <c:v>700.97400000000005</c:v>
                </c:pt>
                <c:pt idx="433">
                  <c:v>700.95299999999997</c:v>
                </c:pt>
                <c:pt idx="434">
                  <c:v>701.476</c:v>
                </c:pt>
                <c:pt idx="435">
                  <c:v>701.84199999999998</c:v>
                </c:pt>
                <c:pt idx="436">
                  <c:v>701.25099999999998</c:v>
                </c:pt>
                <c:pt idx="437">
                  <c:v>700.76400000000001</c:v>
                </c:pt>
                <c:pt idx="438">
                  <c:v>699.90599999999995</c:v>
                </c:pt>
                <c:pt idx="439">
                  <c:v>700.5</c:v>
                </c:pt>
                <c:pt idx="440">
                  <c:v>701.41</c:v>
                </c:pt>
                <c:pt idx="441">
                  <c:v>701.77200000000005</c:v>
                </c:pt>
                <c:pt idx="442">
                  <c:v>699.73400000000004</c:v>
                </c:pt>
                <c:pt idx="443">
                  <c:v>701.81399999999996</c:v>
                </c:pt>
                <c:pt idx="444">
                  <c:v>702.23800000000006</c:v>
                </c:pt>
                <c:pt idx="445">
                  <c:v>701.34500000000003</c:v>
                </c:pt>
                <c:pt idx="446">
                  <c:v>700.51499999999999</c:v>
                </c:pt>
                <c:pt idx="447">
                  <c:v>700.77099999999996</c:v>
                </c:pt>
                <c:pt idx="448">
                  <c:v>701.19899999999996</c:v>
                </c:pt>
                <c:pt idx="449">
                  <c:v>701.41700000000003</c:v>
                </c:pt>
                <c:pt idx="450">
                  <c:v>699.23900000000003</c:v>
                </c:pt>
                <c:pt idx="451">
                  <c:v>698.36300000000006</c:v>
                </c:pt>
                <c:pt idx="452">
                  <c:v>699.99300000000005</c:v>
                </c:pt>
                <c:pt idx="453">
                  <c:v>700.56299999999999</c:v>
                </c:pt>
                <c:pt idx="454">
                  <c:v>700.65300000000002</c:v>
                </c:pt>
                <c:pt idx="455">
                  <c:v>702.21199999999999</c:v>
                </c:pt>
                <c:pt idx="456">
                  <c:v>701.60400000000004</c:v>
                </c:pt>
                <c:pt idx="457">
                  <c:v>702.18399999999997</c:v>
                </c:pt>
                <c:pt idx="458">
                  <c:v>702.37199999999996</c:v>
                </c:pt>
                <c:pt idx="459">
                  <c:v>701.101</c:v>
                </c:pt>
                <c:pt idx="460">
                  <c:v>701.68600000000004</c:v>
                </c:pt>
                <c:pt idx="461">
                  <c:v>703.01599999999996</c:v>
                </c:pt>
                <c:pt idx="462">
                  <c:v>701.14599999999996</c:v>
                </c:pt>
                <c:pt idx="463">
                  <c:v>701.17200000000003</c:v>
                </c:pt>
                <c:pt idx="464">
                  <c:v>701.61500000000001</c:v>
                </c:pt>
                <c:pt idx="465">
                  <c:v>702.97</c:v>
                </c:pt>
                <c:pt idx="466">
                  <c:v>701.50400000000002</c:v>
                </c:pt>
                <c:pt idx="467">
                  <c:v>701.54100000000005</c:v>
                </c:pt>
                <c:pt idx="468">
                  <c:v>702.44799999999998</c:v>
                </c:pt>
                <c:pt idx="469">
                  <c:v>702.06600000000003</c:v>
                </c:pt>
                <c:pt idx="470">
                  <c:v>701.36300000000006</c:v>
                </c:pt>
                <c:pt idx="471">
                  <c:v>700.74400000000003</c:v>
                </c:pt>
                <c:pt idx="472">
                  <c:v>701.37599999999998</c:v>
                </c:pt>
                <c:pt idx="473">
                  <c:v>700.04600000000005</c:v>
                </c:pt>
                <c:pt idx="474">
                  <c:v>699.98199999999997</c:v>
                </c:pt>
                <c:pt idx="475">
                  <c:v>700.78899999999999</c:v>
                </c:pt>
                <c:pt idx="476">
                  <c:v>699.97699999999998</c:v>
                </c:pt>
                <c:pt idx="477">
                  <c:v>701.11900000000003</c:v>
                </c:pt>
                <c:pt idx="478">
                  <c:v>703.29700000000003</c:v>
                </c:pt>
                <c:pt idx="479">
                  <c:v>701.56899999999996</c:v>
                </c:pt>
                <c:pt idx="480">
                  <c:v>701.20500000000004</c:v>
                </c:pt>
                <c:pt idx="481">
                  <c:v>702.48900000000003</c:v>
                </c:pt>
                <c:pt idx="482">
                  <c:v>702.48099999999999</c:v>
                </c:pt>
                <c:pt idx="483">
                  <c:v>701.04</c:v>
                </c:pt>
                <c:pt idx="484">
                  <c:v>702.02</c:v>
                </c:pt>
                <c:pt idx="485">
                  <c:v>700.90200000000004</c:v>
                </c:pt>
                <c:pt idx="486">
                  <c:v>703.00900000000001</c:v>
                </c:pt>
                <c:pt idx="487">
                  <c:v>700.20399999999995</c:v>
                </c:pt>
                <c:pt idx="488">
                  <c:v>701.399</c:v>
                </c:pt>
                <c:pt idx="489">
                  <c:v>701.10400000000004</c:v>
                </c:pt>
                <c:pt idx="490">
                  <c:v>701.70399999999995</c:v>
                </c:pt>
                <c:pt idx="491">
                  <c:v>700.03899999999999</c:v>
                </c:pt>
                <c:pt idx="492">
                  <c:v>699.61</c:v>
                </c:pt>
                <c:pt idx="493">
                  <c:v>703.66899999999998</c:v>
                </c:pt>
                <c:pt idx="494">
                  <c:v>703.03499999999997</c:v>
                </c:pt>
                <c:pt idx="495">
                  <c:v>703.64099999999996</c:v>
                </c:pt>
                <c:pt idx="496">
                  <c:v>702.86500000000001</c:v>
                </c:pt>
                <c:pt idx="497">
                  <c:v>700.846</c:v>
                </c:pt>
                <c:pt idx="498">
                  <c:v>701.22400000000005</c:v>
                </c:pt>
                <c:pt idx="499">
                  <c:v>703.40499999999997</c:v>
                </c:pt>
                <c:pt idx="500">
                  <c:v>702.28899999999999</c:v>
                </c:pt>
                <c:pt idx="501">
                  <c:v>700.85599999999999</c:v>
                </c:pt>
                <c:pt idx="502">
                  <c:v>700.75900000000001</c:v>
                </c:pt>
                <c:pt idx="503">
                  <c:v>701.41099999999994</c:v>
                </c:pt>
                <c:pt idx="504">
                  <c:v>700.428</c:v>
                </c:pt>
                <c:pt idx="505">
                  <c:v>701.28399999999999</c:v>
                </c:pt>
                <c:pt idx="506">
                  <c:v>703.02300000000002</c:v>
                </c:pt>
                <c:pt idx="507">
                  <c:v>700.65700000000004</c:v>
                </c:pt>
                <c:pt idx="508">
                  <c:v>700.49300000000005</c:v>
                </c:pt>
                <c:pt idx="509">
                  <c:v>701.83900000000006</c:v>
                </c:pt>
                <c:pt idx="510">
                  <c:v>702.20399999999995</c:v>
                </c:pt>
                <c:pt idx="511">
                  <c:v>701.31500000000005</c:v>
                </c:pt>
                <c:pt idx="512">
                  <c:v>701.72</c:v>
                </c:pt>
                <c:pt idx="513">
                  <c:v>702.88499999999999</c:v>
                </c:pt>
                <c:pt idx="514">
                  <c:v>700.89800000000002</c:v>
                </c:pt>
                <c:pt idx="515">
                  <c:v>701.06600000000003</c:v>
                </c:pt>
                <c:pt idx="516">
                  <c:v>703.28300000000002</c:v>
                </c:pt>
                <c:pt idx="517">
                  <c:v>701.79</c:v>
                </c:pt>
                <c:pt idx="518">
                  <c:v>700.85500000000002</c:v>
                </c:pt>
                <c:pt idx="519">
                  <c:v>701.14200000000005</c:v>
                </c:pt>
                <c:pt idx="520">
                  <c:v>700.01</c:v>
                </c:pt>
                <c:pt idx="521">
                  <c:v>701.62300000000005</c:v>
                </c:pt>
                <c:pt idx="522">
                  <c:v>700.55200000000002</c:v>
                </c:pt>
                <c:pt idx="523">
                  <c:v>701.221</c:v>
                </c:pt>
                <c:pt idx="524">
                  <c:v>700.98500000000001</c:v>
                </c:pt>
                <c:pt idx="525">
                  <c:v>701.26199999999994</c:v>
                </c:pt>
                <c:pt idx="526">
                  <c:v>701.61300000000006</c:v>
                </c:pt>
                <c:pt idx="527">
                  <c:v>701.39099999999996</c:v>
                </c:pt>
                <c:pt idx="528">
                  <c:v>701.63</c:v>
                </c:pt>
                <c:pt idx="529">
                  <c:v>700.09299999999996</c:v>
                </c:pt>
                <c:pt idx="530">
                  <c:v>703.41700000000003</c:v>
                </c:pt>
                <c:pt idx="531">
                  <c:v>701.55</c:v>
                </c:pt>
                <c:pt idx="532">
                  <c:v>701.62400000000002</c:v>
                </c:pt>
                <c:pt idx="533">
                  <c:v>701.15599999999995</c:v>
                </c:pt>
                <c:pt idx="534">
                  <c:v>701.22500000000002</c:v>
                </c:pt>
                <c:pt idx="535">
                  <c:v>701.47400000000005</c:v>
                </c:pt>
                <c:pt idx="536">
                  <c:v>700.08500000000004</c:v>
                </c:pt>
                <c:pt idx="537">
                  <c:v>701.46299999999997</c:v>
                </c:pt>
                <c:pt idx="538">
                  <c:v>701.505</c:v>
                </c:pt>
                <c:pt idx="539">
                  <c:v>701.49599999999998</c:v>
                </c:pt>
                <c:pt idx="540">
                  <c:v>702.57899999999995</c:v>
                </c:pt>
                <c:pt idx="541">
                  <c:v>699.76599999999996</c:v>
                </c:pt>
                <c:pt idx="542">
                  <c:v>701.255</c:v>
                </c:pt>
                <c:pt idx="543">
                  <c:v>700.42200000000003</c:v>
                </c:pt>
                <c:pt idx="544">
                  <c:v>702.26</c:v>
                </c:pt>
                <c:pt idx="545">
                  <c:v>700.58699999999999</c:v>
                </c:pt>
                <c:pt idx="546">
                  <c:v>701.95</c:v>
                </c:pt>
                <c:pt idx="547">
                  <c:v>701.52700000000004</c:v>
                </c:pt>
                <c:pt idx="548">
                  <c:v>700.024</c:v>
                </c:pt>
                <c:pt idx="549">
                  <c:v>700.92</c:v>
                </c:pt>
                <c:pt idx="550">
                  <c:v>699.72500000000002</c:v>
                </c:pt>
                <c:pt idx="551">
                  <c:v>700.19</c:v>
                </c:pt>
                <c:pt idx="552">
                  <c:v>700.35799999999995</c:v>
                </c:pt>
                <c:pt idx="553">
                  <c:v>700.19500000000005</c:v>
                </c:pt>
                <c:pt idx="554">
                  <c:v>699.29700000000003</c:v>
                </c:pt>
                <c:pt idx="555">
                  <c:v>700.70799999999997</c:v>
                </c:pt>
                <c:pt idx="556">
                  <c:v>701.33</c:v>
                </c:pt>
                <c:pt idx="557">
                  <c:v>702.06899999999996</c:v>
                </c:pt>
                <c:pt idx="558">
                  <c:v>699.21</c:v>
                </c:pt>
                <c:pt idx="559">
                  <c:v>699.15599999999995</c:v>
                </c:pt>
                <c:pt idx="560">
                  <c:v>701.51099999999997</c:v>
                </c:pt>
                <c:pt idx="561">
                  <c:v>699.64599999999996</c:v>
                </c:pt>
                <c:pt idx="562">
                  <c:v>699.00599999999997</c:v>
                </c:pt>
                <c:pt idx="563">
                  <c:v>699.47400000000005</c:v>
                </c:pt>
                <c:pt idx="564">
                  <c:v>699.65800000000002</c:v>
                </c:pt>
                <c:pt idx="565">
                  <c:v>699.67200000000003</c:v>
                </c:pt>
                <c:pt idx="566">
                  <c:v>700.36</c:v>
                </c:pt>
                <c:pt idx="567">
                  <c:v>700.12800000000004</c:v>
                </c:pt>
                <c:pt idx="568">
                  <c:v>700.39499999999998</c:v>
                </c:pt>
                <c:pt idx="569">
                  <c:v>700.85</c:v>
                </c:pt>
                <c:pt idx="570">
                  <c:v>699.53700000000003</c:v>
                </c:pt>
                <c:pt idx="571">
                  <c:v>701.90800000000002</c:v>
                </c:pt>
                <c:pt idx="572">
                  <c:v>701.67200000000003</c:v>
                </c:pt>
                <c:pt idx="573">
                  <c:v>701.03399999999999</c:v>
                </c:pt>
                <c:pt idx="574">
                  <c:v>701.95600000000002</c:v>
                </c:pt>
                <c:pt idx="575">
                  <c:v>701.904</c:v>
                </c:pt>
                <c:pt idx="576">
                  <c:v>701.08699999999999</c:v>
                </c:pt>
                <c:pt idx="577">
                  <c:v>701.44200000000001</c:v>
                </c:pt>
                <c:pt idx="578">
                  <c:v>702.54</c:v>
                </c:pt>
                <c:pt idx="579">
                  <c:v>702.31799999999998</c:v>
                </c:pt>
                <c:pt idx="580">
                  <c:v>702.43899999999996</c:v>
                </c:pt>
                <c:pt idx="581">
                  <c:v>702.875</c:v>
                </c:pt>
                <c:pt idx="582">
                  <c:v>702.423</c:v>
                </c:pt>
                <c:pt idx="583">
                  <c:v>702.87800000000004</c:v>
                </c:pt>
                <c:pt idx="584">
                  <c:v>702.34500000000003</c:v>
                </c:pt>
                <c:pt idx="585">
                  <c:v>702.24400000000003</c:v>
                </c:pt>
                <c:pt idx="586">
                  <c:v>700.91399999999999</c:v>
                </c:pt>
                <c:pt idx="587">
                  <c:v>701.38800000000003</c:v>
                </c:pt>
                <c:pt idx="588">
                  <c:v>699.63800000000003</c:v>
                </c:pt>
                <c:pt idx="589">
                  <c:v>699.92399999999998</c:v>
                </c:pt>
                <c:pt idx="590">
                  <c:v>703.28399999999999</c:v>
                </c:pt>
                <c:pt idx="591">
                  <c:v>700.46</c:v>
                </c:pt>
                <c:pt idx="592">
                  <c:v>700.46199999999999</c:v>
                </c:pt>
                <c:pt idx="593">
                  <c:v>699.64700000000005</c:v>
                </c:pt>
                <c:pt idx="594">
                  <c:v>700.56700000000001</c:v>
                </c:pt>
                <c:pt idx="595">
                  <c:v>701.49699999999996</c:v>
                </c:pt>
                <c:pt idx="596">
                  <c:v>701.11699999999996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2F-4122-B1BC-6713C4DAF84F}"/>
            </c:ext>
          </c:extLst>
        </c:ser>
        <c:ser>
          <c:idx val="1"/>
          <c:order val="1"/>
          <c:tx>
            <c:strRef>
              <c:f>Thickness_SPC!$I$9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Thickness_SPC!$I$10:$I$606</c:f>
              <c:numCache>
                <c:formatCode>0.000</c:formatCode>
                <c:ptCount val="597"/>
                <c:pt idx="0">
                  <c:v>703.80793715053017</c:v>
                </c:pt>
                <c:pt idx="1">
                  <c:v>703.80793715053017</c:v>
                </c:pt>
                <c:pt idx="2">
                  <c:v>703.80793715053017</c:v>
                </c:pt>
                <c:pt idx="3">
                  <c:v>703.80793715053017</c:v>
                </c:pt>
                <c:pt idx="4">
                  <c:v>703.80793715053017</c:v>
                </c:pt>
                <c:pt idx="5">
                  <c:v>703.80793715053017</c:v>
                </c:pt>
                <c:pt idx="6">
                  <c:v>703.80793715053017</c:v>
                </c:pt>
                <c:pt idx="7">
                  <c:v>703.80793715053017</c:v>
                </c:pt>
                <c:pt idx="8">
                  <c:v>703.80793715053017</c:v>
                </c:pt>
                <c:pt idx="9">
                  <c:v>703.80793715053017</c:v>
                </c:pt>
                <c:pt idx="10">
                  <c:v>703.80793715053017</c:v>
                </c:pt>
                <c:pt idx="11">
                  <c:v>703.80793715053017</c:v>
                </c:pt>
                <c:pt idx="12">
                  <c:v>703.80793715053017</c:v>
                </c:pt>
                <c:pt idx="13">
                  <c:v>703.80793715053017</c:v>
                </c:pt>
                <c:pt idx="14">
                  <c:v>703.80793715053017</c:v>
                </c:pt>
                <c:pt idx="15">
                  <c:v>703.80793715053017</c:v>
                </c:pt>
                <c:pt idx="16">
                  <c:v>703.80793715053017</c:v>
                </c:pt>
                <c:pt idx="17">
                  <c:v>703.80793715053017</c:v>
                </c:pt>
                <c:pt idx="18">
                  <c:v>703.80793715053017</c:v>
                </c:pt>
                <c:pt idx="19">
                  <c:v>703.80793715053017</c:v>
                </c:pt>
                <c:pt idx="20">
                  <c:v>703.80793715053017</c:v>
                </c:pt>
                <c:pt idx="21">
                  <c:v>703.80793715053017</c:v>
                </c:pt>
                <c:pt idx="22">
                  <c:v>703.80793715053017</c:v>
                </c:pt>
                <c:pt idx="23">
                  <c:v>703.80793715053017</c:v>
                </c:pt>
                <c:pt idx="24">
                  <c:v>703.80793715053017</c:v>
                </c:pt>
                <c:pt idx="25">
                  <c:v>703.80793715053017</c:v>
                </c:pt>
                <c:pt idx="26">
                  <c:v>703.80793715053017</c:v>
                </c:pt>
                <c:pt idx="27">
                  <c:v>703.80793715053017</c:v>
                </c:pt>
                <c:pt idx="28">
                  <c:v>703.80793715053017</c:v>
                </c:pt>
                <c:pt idx="29">
                  <c:v>703.80793715053017</c:v>
                </c:pt>
                <c:pt idx="30">
                  <c:v>703.80793715053017</c:v>
                </c:pt>
                <c:pt idx="31">
                  <c:v>703.80793715053017</c:v>
                </c:pt>
                <c:pt idx="32">
                  <c:v>703.80793715053017</c:v>
                </c:pt>
                <c:pt idx="33">
                  <c:v>703.80793715053017</c:v>
                </c:pt>
                <c:pt idx="34">
                  <c:v>703.80793715053017</c:v>
                </c:pt>
                <c:pt idx="35">
                  <c:v>703.80793715053017</c:v>
                </c:pt>
                <c:pt idx="36">
                  <c:v>703.80793715053017</c:v>
                </c:pt>
                <c:pt idx="37">
                  <c:v>703.80793715053017</c:v>
                </c:pt>
                <c:pt idx="38">
                  <c:v>703.80793715053017</c:v>
                </c:pt>
                <c:pt idx="39">
                  <c:v>703.80793715053017</c:v>
                </c:pt>
                <c:pt idx="40">
                  <c:v>703.80793715053017</c:v>
                </c:pt>
                <c:pt idx="41">
                  <c:v>703.80793715053017</c:v>
                </c:pt>
                <c:pt idx="42">
                  <c:v>703.80793715053017</c:v>
                </c:pt>
                <c:pt idx="43">
                  <c:v>703.80793715053017</c:v>
                </c:pt>
                <c:pt idx="44">
                  <c:v>703.80793715053017</c:v>
                </c:pt>
                <c:pt idx="45">
                  <c:v>703.80793715053017</c:v>
                </c:pt>
                <c:pt idx="46">
                  <c:v>703.80793715053017</c:v>
                </c:pt>
                <c:pt idx="47">
                  <c:v>703.80793715053017</c:v>
                </c:pt>
                <c:pt idx="48">
                  <c:v>703.80793715053017</c:v>
                </c:pt>
                <c:pt idx="49">
                  <c:v>703.80793715053017</c:v>
                </c:pt>
                <c:pt idx="50">
                  <c:v>703.80793715053017</c:v>
                </c:pt>
                <c:pt idx="51">
                  <c:v>703.80793715053017</c:v>
                </c:pt>
                <c:pt idx="52">
                  <c:v>703.80793715053017</c:v>
                </c:pt>
                <c:pt idx="53">
                  <c:v>703.80793715053017</c:v>
                </c:pt>
                <c:pt idx="54">
                  <c:v>703.80793715053017</c:v>
                </c:pt>
                <c:pt idx="55">
                  <c:v>703.80793715053017</c:v>
                </c:pt>
                <c:pt idx="56">
                  <c:v>703.80793715053017</c:v>
                </c:pt>
                <c:pt idx="57">
                  <c:v>703.80793715053017</c:v>
                </c:pt>
                <c:pt idx="58">
                  <c:v>703.80793715053017</c:v>
                </c:pt>
                <c:pt idx="59">
                  <c:v>703.80793715053017</c:v>
                </c:pt>
                <c:pt idx="60">
                  <c:v>703.80793715053017</c:v>
                </c:pt>
                <c:pt idx="61">
                  <c:v>703.80793715053017</c:v>
                </c:pt>
                <c:pt idx="62">
                  <c:v>703.80793715053017</c:v>
                </c:pt>
                <c:pt idx="63">
                  <c:v>703.80793715053017</c:v>
                </c:pt>
                <c:pt idx="64">
                  <c:v>703.80793715053017</c:v>
                </c:pt>
                <c:pt idx="65">
                  <c:v>703.80793715053017</c:v>
                </c:pt>
                <c:pt idx="66">
                  <c:v>703.80793715053017</c:v>
                </c:pt>
                <c:pt idx="67">
                  <c:v>703.80793715053017</c:v>
                </c:pt>
                <c:pt idx="68">
                  <c:v>703.80793715053017</c:v>
                </c:pt>
                <c:pt idx="69">
                  <c:v>703.80793715053017</c:v>
                </c:pt>
                <c:pt idx="70">
                  <c:v>703.80793715053017</c:v>
                </c:pt>
                <c:pt idx="71">
                  <c:v>703.80793715053017</c:v>
                </c:pt>
                <c:pt idx="72">
                  <c:v>703.80793715053017</c:v>
                </c:pt>
                <c:pt idx="73">
                  <c:v>703.80793715053017</c:v>
                </c:pt>
                <c:pt idx="74">
                  <c:v>703.80793715053017</c:v>
                </c:pt>
                <c:pt idx="75">
                  <c:v>703.80793715053017</c:v>
                </c:pt>
                <c:pt idx="76">
                  <c:v>703.80793715053017</c:v>
                </c:pt>
                <c:pt idx="77">
                  <c:v>703.80793715053017</c:v>
                </c:pt>
                <c:pt idx="78">
                  <c:v>703.80793715053017</c:v>
                </c:pt>
                <c:pt idx="79">
                  <c:v>703.80793715053017</c:v>
                </c:pt>
                <c:pt idx="80">
                  <c:v>703.80793715053017</c:v>
                </c:pt>
                <c:pt idx="81">
                  <c:v>703.80793715053017</c:v>
                </c:pt>
                <c:pt idx="82">
                  <c:v>703.80793715053017</c:v>
                </c:pt>
                <c:pt idx="83">
                  <c:v>703.80793715053017</c:v>
                </c:pt>
                <c:pt idx="84">
                  <c:v>703.80793715053017</c:v>
                </c:pt>
                <c:pt idx="85">
                  <c:v>703.80793715053017</c:v>
                </c:pt>
                <c:pt idx="86">
                  <c:v>703.80793715053017</c:v>
                </c:pt>
                <c:pt idx="87">
                  <c:v>703.80793715053017</c:v>
                </c:pt>
                <c:pt idx="88">
                  <c:v>703.80793715053017</c:v>
                </c:pt>
                <c:pt idx="89">
                  <c:v>703.80793715053017</c:v>
                </c:pt>
                <c:pt idx="90">
                  <c:v>703.80793715053017</c:v>
                </c:pt>
                <c:pt idx="91">
                  <c:v>703.80793715053017</c:v>
                </c:pt>
                <c:pt idx="92">
                  <c:v>703.80793715053017</c:v>
                </c:pt>
                <c:pt idx="93">
                  <c:v>703.80793715053017</c:v>
                </c:pt>
                <c:pt idx="94">
                  <c:v>703.80793715053017</c:v>
                </c:pt>
                <c:pt idx="95">
                  <c:v>703.80793715053017</c:v>
                </c:pt>
                <c:pt idx="96">
                  <c:v>703.80793715053017</c:v>
                </c:pt>
                <c:pt idx="97">
                  <c:v>703.80793715053017</c:v>
                </c:pt>
                <c:pt idx="98">
                  <c:v>703.80793715053017</c:v>
                </c:pt>
                <c:pt idx="99">
                  <c:v>703.80793715053017</c:v>
                </c:pt>
                <c:pt idx="100">
                  <c:v>703.80793715053017</c:v>
                </c:pt>
                <c:pt idx="101">
                  <c:v>703.80793715053017</c:v>
                </c:pt>
                <c:pt idx="102">
                  <c:v>703.80793715053017</c:v>
                </c:pt>
                <c:pt idx="103">
                  <c:v>703.80793715053017</c:v>
                </c:pt>
                <c:pt idx="104">
                  <c:v>703.80793715053017</c:v>
                </c:pt>
                <c:pt idx="105">
                  <c:v>703.80793715053017</c:v>
                </c:pt>
                <c:pt idx="106">
                  <c:v>703.80793715053017</c:v>
                </c:pt>
                <c:pt idx="107">
                  <c:v>703.80793715053017</c:v>
                </c:pt>
                <c:pt idx="108">
                  <c:v>703.80793715053017</c:v>
                </c:pt>
                <c:pt idx="109">
                  <c:v>703.80793715053017</c:v>
                </c:pt>
                <c:pt idx="110">
                  <c:v>703.80793715053017</c:v>
                </c:pt>
                <c:pt idx="111">
                  <c:v>703.80793715053017</c:v>
                </c:pt>
                <c:pt idx="112">
                  <c:v>703.80793715053017</c:v>
                </c:pt>
                <c:pt idx="113">
                  <c:v>703.80793715053017</c:v>
                </c:pt>
                <c:pt idx="114">
                  <c:v>703.80793715053017</c:v>
                </c:pt>
                <c:pt idx="115">
                  <c:v>703.80793715053017</c:v>
                </c:pt>
                <c:pt idx="116">
                  <c:v>703.80793715053017</c:v>
                </c:pt>
                <c:pt idx="117">
                  <c:v>703.80793715053017</c:v>
                </c:pt>
                <c:pt idx="118">
                  <c:v>703.80793715053017</c:v>
                </c:pt>
                <c:pt idx="119">
                  <c:v>703.80793715053017</c:v>
                </c:pt>
                <c:pt idx="120">
                  <c:v>703.80793715053017</c:v>
                </c:pt>
                <c:pt idx="121">
                  <c:v>703.80793715053017</c:v>
                </c:pt>
                <c:pt idx="122">
                  <c:v>703.80793715053017</c:v>
                </c:pt>
                <c:pt idx="123">
                  <c:v>703.80793715053017</c:v>
                </c:pt>
                <c:pt idx="124">
                  <c:v>703.80793715053017</c:v>
                </c:pt>
                <c:pt idx="125">
                  <c:v>703.80793715053017</c:v>
                </c:pt>
                <c:pt idx="126">
                  <c:v>703.80793715053017</c:v>
                </c:pt>
                <c:pt idx="127">
                  <c:v>703.80793715053017</c:v>
                </c:pt>
                <c:pt idx="128">
                  <c:v>703.80793715053017</c:v>
                </c:pt>
                <c:pt idx="129">
                  <c:v>703.80793715053017</c:v>
                </c:pt>
                <c:pt idx="130">
                  <c:v>703.80793715053017</c:v>
                </c:pt>
                <c:pt idx="131">
                  <c:v>703.80793715053017</c:v>
                </c:pt>
                <c:pt idx="132">
                  <c:v>703.80793715053017</c:v>
                </c:pt>
                <c:pt idx="133">
                  <c:v>703.80793715053017</c:v>
                </c:pt>
                <c:pt idx="134">
                  <c:v>703.80793715053017</c:v>
                </c:pt>
                <c:pt idx="135">
                  <c:v>703.80793715053017</c:v>
                </c:pt>
                <c:pt idx="136">
                  <c:v>703.80793715053017</c:v>
                </c:pt>
                <c:pt idx="137">
                  <c:v>703.80793715053017</c:v>
                </c:pt>
                <c:pt idx="138">
                  <c:v>703.80793715053017</c:v>
                </c:pt>
                <c:pt idx="139">
                  <c:v>703.80793715053017</c:v>
                </c:pt>
                <c:pt idx="140">
                  <c:v>703.80793715053017</c:v>
                </c:pt>
                <c:pt idx="141">
                  <c:v>703.80793715053017</c:v>
                </c:pt>
                <c:pt idx="142">
                  <c:v>703.80793715053017</c:v>
                </c:pt>
                <c:pt idx="143">
                  <c:v>703.80793715053017</c:v>
                </c:pt>
                <c:pt idx="144">
                  <c:v>703.80793715053017</c:v>
                </c:pt>
                <c:pt idx="145">
                  <c:v>703.80793715053017</c:v>
                </c:pt>
                <c:pt idx="146">
                  <c:v>703.80793715053017</c:v>
                </c:pt>
                <c:pt idx="147">
                  <c:v>703.80793715053017</c:v>
                </c:pt>
                <c:pt idx="148">
                  <c:v>703.80793715053017</c:v>
                </c:pt>
                <c:pt idx="149">
                  <c:v>703.80793715053017</c:v>
                </c:pt>
                <c:pt idx="150">
                  <c:v>703.80793715053017</c:v>
                </c:pt>
                <c:pt idx="151">
                  <c:v>703.80793715053017</c:v>
                </c:pt>
                <c:pt idx="152">
                  <c:v>703.80793715053017</c:v>
                </c:pt>
                <c:pt idx="153">
                  <c:v>703.80793715053017</c:v>
                </c:pt>
                <c:pt idx="154">
                  <c:v>703.80793715053017</c:v>
                </c:pt>
                <c:pt idx="155">
                  <c:v>703.80793715053017</c:v>
                </c:pt>
                <c:pt idx="156">
                  <c:v>703.80793715053017</c:v>
                </c:pt>
                <c:pt idx="157">
                  <c:v>703.80793715053017</c:v>
                </c:pt>
                <c:pt idx="158">
                  <c:v>703.80793715053017</c:v>
                </c:pt>
                <c:pt idx="159">
                  <c:v>703.80793715053017</c:v>
                </c:pt>
                <c:pt idx="160">
                  <c:v>703.80793715053017</c:v>
                </c:pt>
                <c:pt idx="161">
                  <c:v>703.80793715053017</c:v>
                </c:pt>
                <c:pt idx="162">
                  <c:v>703.80793715053017</c:v>
                </c:pt>
                <c:pt idx="163">
                  <c:v>703.80793715053017</c:v>
                </c:pt>
                <c:pt idx="164">
                  <c:v>703.80793715053017</c:v>
                </c:pt>
                <c:pt idx="165">
                  <c:v>703.80793715053017</c:v>
                </c:pt>
                <c:pt idx="166">
                  <c:v>703.80793715053017</c:v>
                </c:pt>
                <c:pt idx="167">
                  <c:v>703.80793715053017</c:v>
                </c:pt>
                <c:pt idx="168">
                  <c:v>703.80793715053017</c:v>
                </c:pt>
                <c:pt idx="169">
                  <c:v>703.80793715053017</c:v>
                </c:pt>
                <c:pt idx="170">
                  <c:v>703.80793715053017</c:v>
                </c:pt>
                <c:pt idx="171">
                  <c:v>703.80793715053017</c:v>
                </c:pt>
                <c:pt idx="172">
                  <c:v>703.80793715053017</c:v>
                </c:pt>
                <c:pt idx="173">
                  <c:v>703.80793715053017</c:v>
                </c:pt>
                <c:pt idx="174">
                  <c:v>703.80793715053017</c:v>
                </c:pt>
                <c:pt idx="175">
                  <c:v>703.80793715053017</c:v>
                </c:pt>
                <c:pt idx="176">
                  <c:v>703.80793715053017</c:v>
                </c:pt>
                <c:pt idx="177">
                  <c:v>703.80793715053017</c:v>
                </c:pt>
                <c:pt idx="178">
                  <c:v>703.80793715053017</c:v>
                </c:pt>
                <c:pt idx="179">
                  <c:v>703.80793715053017</c:v>
                </c:pt>
                <c:pt idx="180">
                  <c:v>703.80793715053017</c:v>
                </c:pt>
                <c:pt idx="181">
                  <c:v>703.80793715053017</c:v>
                </c:pt>
                <c:pt idx="182">
                  <c:v>703.80793715053017</c:v>
                </c:pt>
                <c:pt idx="183">
                  <c:v>703.80793715053017</c:v>
                </c:pt>
                <c:pt idx="184">
                  <c:v>703.80793715053017</c:v>
                </c:pt>
                <c:pt idx="185">
                  <c:v>703.80793715053017</c:v>
                </c:pt>
                <c:pt idx="186">
                  <c:v>703.80793715053017</c:v>
                </c:pt>
                <c:pt idx="187">
                  <c:v>703.80793715053017</c:v>
                </c:pt>
                <c:pt idx="188">
                  <c:v>703.80793715053017</c:v>
                </c:pt>
                <c:pt idx="189">
                  <c:v>703.80793715053017</c:v>
                </c:pt>
                <c:pt idx="190">
                  <c:v>703.80793715053017</c:v>
                </c:pt>
                <c:pt idx="191">
                  <c:v>703.80793715053017</c:v>
                </c:pt>
                <c:pt idx="192">
                  <c:v>703.80793715053017</c:v>
                </c:pt>
                <c:pt idx="193">
                  <c:v>703.80793715053017</c:v>
                </c:pt>
                <c:pt idx="194">
                  <c:v>703.80793715053017</c:v>
                </c:pt>
                <c:pt idx="195">
                  <c:v>703.80793715053017</c:v>
                </c:pt>
                <c:pt idx="196">
                  <c:v>703.80793715053017</c:v>
                </c:pt>
                <c:pt idx="197">
                  <c:v>703.80793715053017</c:v>
                </c:pt>
                <c:pt idx="198">
                  <c:v>703.80793715053017</c:v>
                </c:pt>
                <c:pt idx="199">
                  <c:v>703.80793715053017</c:v>
                </c:pt>
                <c:pt idx="200">
                  <c:v>703.80793715053017</c:v>
                </c:pt>
                <c:pt idx="201">
                  <c:v>703.80793715053017</c:v>
                </c:pt>
                <c:pt idx="202">
                  <c:v>703.80793715053017</c:v>
                </c:pt>
                <c:pt idx="203">
                  <c:v>703.80793715053017</c:v>
                </c:pt>
                <c:pt idx="204">
                  <c:v>703.80793715053017</c:v>
                </c:pt>
                <c:pt idx="205">
                  <c:v>703.80793715053017</c:v>
                </c:pt>
                <c:pt idx="206">
                  <c:v>703.80793715053017</c:v>
                </c:pt>
                <c:pt idx="207">
                  <c:v>703.80793715053017</c:v>
                </c:pt>
                <c:pt idx="208">
                  <c:v>703.80793715053017</c:v>
                </c:pt>
                <c:pt idx="209">
                  <c:v>703.80793715053017</c:v>
                </c:pt>
                <c:pt idx="210">
                  <c:v>703.80793715053017</c:v>
                </c:pt>
                <c:pt idx="211">
                  <c:v>703.80793715053017</c:v>
                </c:pt>
                <c:pt idx="212">
                  <c:v>703.80793715053017</c:v>
                </c:pt>
                <c:pt idx="213">
                  <c:v>703.80793715053017</c:v>
                </c:pt>
                <c:pt idx="214">
                  <c:v>703.80793715053017</c:v>
                </c:pt>
                <c:pt idx="215">
                  <c:v>703.80793715053017</c:v>
                </c:pt>
                <c:pt idx="216">
                  <c:v>703.80793715053017</c:v>
                </c:pt>
                <c:pt idx="217">
                  <c:v>703.80793715053017</c:v>
                </c:pt>
                <c:pt idx="218">
                  <c:v>703.80793715053017</c:v>
                </c:pt>
                <c:pt idx="219">
                  <c:v>703.80793715053017</c:v>
                </c:pt>
                <c:pt idx="220">
                  <c:v>703.80793715053017</c:v>
                </c:pt>
                <c:pt idx="221">
                  <c:v>703.80793715053017</c:v>
                </c:pt>
                <c:pt idx="222">
                  <c:v>703.80793715053017</c:v>
                </c:pt>
                <c:pt idx="223">
                  <c:v>703.80793715053017</c:v>
                </c:pt>
                <c:pt idx="224">
                  <c:v>703.80793715053017</c:v>
                </c:pt>
                <c:pt idx="225">
                  <c:v>703.80793715053017</c:v>
                </c:pt>
                <c:pt idx="226">
                  <c:v>703.80793715053017</c:v>
                </c:pt>
                <c:pt idx="227">
                  <c:v>703.80793715053017</c:v>
                </c:pt>
                <c:pt idx="228">
                  <c:v>703.80793715053017</c:v>
                </c:pt>
                <c:pt idx="229">
                  <c:v>703.80793715053017</c:v>
                </c:pt>
                <c:pt idx="230">
                  <c:v>703.80793715053017</c:v>
                </c:pt>
                <c:pt idx="231">
                  <c:v>703.80793715053017</c:v>
                </c:pt>
                <c:pt idx="232">
                  <c:v>703.80793715053017</c:v>
                </c:pt>
                <c:pt idx="233">
                  <c:v>703.80793715053017</c:v>
                </c:pt>
                <c:pt idx="234">
                  <c:v>703.80793715053017</c:v>
                </c:pt>
                <c:pt idx="235">
                  <c:v>703.80793715053017</c:v>
                </c:pt>
                <c:pt idx="236">
                  <c:v>703.80793715053017</c:v>
                </c:pt>
                <c:pt idx="237">
                  <c:v>703.80793715053017</c:v>
                </c:pt>
                <c:pt idx="238">
                  <c:v>703.80793715053017</c:v>
                </c:pt>
                <c:pt idx="239">
                  <c:v>703.80793715053017</c:v>
                </c:pt>
                <c:pt idx="240">
                  <c:v>703.80793715053017</c:v>
                </c:pt>
                <c:pt idx="241">
                  <c:v>703.80793715053017</c:v>
                </c:pt>
                <c:pt idx="242">
                  <c:v>703.80793715053017</c:v>
                </c:pt>
                <c:pt idx="243">
                  <c:v>703.80793715053017</c:v>
                </c:pt>
                <c:pt idx="244">
                  <c:v>703.80793715053017</c:v>
                </c:pt>
                <c:pt idx="245">
                  <c:v>703.80793715053017</c:v>
                </c:pt>
                <c:pt idx="246">
                  <c:v>703.80793715053017</c:v>
                </c:pt>
                <c:pt idx="247">
                  <c:v>703.80793715053017</c:v>
                </c:pt>
                <c:pt idx="248">
                  <c:v>703.80793715053017</c:v>
                </c:pt>
                <c:pt idx="249">
                  <c:v>703.80793715053017</c:v>
                </c:pt>
                <c:pt idx="250">
                  <c:v>703.80793715053017</c:v>
                </c:pt>
                <c:pt idx="251">
                  <c:v>703.80793715053017</c:v>
                </c:pt>
                <c:pt idx="252">
                  <c:v>703.80793715053017</c:v>
                </c:pt>
                <c:pt idx="253">
                  <c:v>703.80793715053017</c:v>
                </c:pt>
                <c:pt idx="254">
                  <c:v>703.80793715053017</c:v>
                </c:pt>
                <c:pt idx="255">
                  <c:v>703.80793715053017</c:v>
                </c:pt>
                <c:pt idx="256">
                  <c:v>703.80793715053017</c:v>
                </c:pt>
                <c:pt idx="257">
                  <c:v>703.80793715053017</c:v>
                </c:pt>
                <c:pt idx="258">
                  <c:v>703.80793715053017</c:v>
                </c:pt>
                <c:pt idx="259">
                  <c:v>703.80793715053017</c:v>
                </c:pt>
                <c:pt idx="260">
                  <c:v>703.80793715053017</c:v>
                </c:pt>
                <c:pt idx="261">
                  <c:v>703.80793715053017</c:v>
                </c:pt>
                <c:pt idx="262">
                  <c:v>703.80793715053017</c:v>
                </c:pt>
                <c:pt idx="263">
                  <c:v>703.80793715053017</c:v>
                </c:pt>
                <c:pt idx="264">
                  <c:v>703.80793715053017</c:v>
                </c:pt>
                <c:pt idx="265">
                  <c:v>703.80793715053017</c:v>
                </c:pt>
                <c:pt idx="266">
                  <c:v>703.80793715053017</c:v>
                </c:pt>
                <c:pt idx="267">
                  <c:v>703.80793715053017</c:v>
                </c:pt>
                <c:pt idx="268">
                  <c:v>703.80793715053017</c:v>
                </c:pt>
                <c:pt idx="269">
                  <c:v>703.80793715053017</c:v>
                </c:pt>
                <c:pt idx="270">
                  <c:v>703.80793715053017</c:v>
                </c:pt>
                <c:pt idx="271">
                  <c:v>703.80793715053017</c:v>
                </c:pt>
                <c:pt idx="272">
                  <c:v>703.80793715053017</c:v>
                </c:pt>
                <c:pt idx="273">
                  <c:v>703.80793715053017</c:v>
                </c:pt>
                <c:pt idx="274">
                  <c:v>703.80793715053017</c:v>
                </c:pt>
                <c:pt idx="275">
                  <c:v>703.80793715053017</c:v>
                </c:pt>
                <c:pt idx="276">
                  <c:v>703.80793715053017</c:v>
                </c:pt>
                <c:pt idx="277">
                  <c:v>703.80793715053017</c:v>
                </c:pt>
                <c:pt idx="278">
                  <c:v>703.80793715053017</c:v>
                </c:pt>
                <c:pt idx="279">
                  <c:v>703.80793715053017</c:v>
                </c:pt>
                <c:pt idx="280">
                  <c:v>703.80793715053017</c:v>
                </c:pt>
                <c:pt idx="281">
                  <c:v>703.80793715053017</c:v>
                </c:pt>
                <c:pt idx="282">
                  <c:v>703.80793715053017</c:v>
                </c:pt>
                <c:pt idx="283">
                  <c:v>703.80793715053017</c:v>
                </c:pt>
                <c:pt idx="284">
                  <c:v>703.80793715053017</c:v>
                </c:pt>
                <c:pt idx="285">
                  <c:v>703.80793715053017</c:v>
                </c:pt>
                <c:pt idx="286">
                  <c:v>703.80793715053017</c:v>
                </c:pt>
                <c:pt idx="287">
                  <c:v>703.80793715053017</c:v>
                </c:pt>
                <c:pt idx="288">
                  <c:v>703.80793715053017</c:v>
                </c:pt>
                <c:pt idx="289">
                  <c:v>703.80793715053017</c:v>
                </c:pt>
                <c:pt idx="290">
                  <c:v>703.80793715053017</c:v>
                </c:pt>
                <c:pt idx="291">
                  <c:v>703.80793715053017</c:v>
                </c:pt>
                <c:pt idx="292">
                  <c:v>703.80793715053017</c:v>
                </c:pt>
                <c:pt idx="293">
                  <c:v>703.80793715053017</c:v>
                </c:pt>
                <c:pt idx="294">
                  <c:v>703.80793715053017</c:v>
                </c:pt>
                <c:pt idx="295">
                  <c:v>703.80793715053017</c:v>
                </c:pt>
                <c:pt idx="296">
                  <c:v>703.80793715053017</c:v>
                </c:pt>
                <c:pt idx="297">
                  <c:v>703.80793715053017</c:v>
                </c:pt>
                <c:pt idx="298">
                  <c:v>703.80793715053017</c:v>
                </c:pt>
                <c:pt idx="299">
                  <c:v>703.80793715053017</c:v>
                </c:pt>
                <c:pt idx="300">
                  <c:v>703.80793715053017</c:v>
                </c:pt>
                <c:pt idx="301">
                  <c:v>703.80793715053017</c:v>
                </c:pt>
                <c:pt idx="302">
                  <c:v>703.80793715053017</c:v>
                </c:pt>
                <c:pt idx="303">
                  <c:v>703.80793715053017</c:v>
                </c:pt>
                <c:pt idx="304">
                  <c:v>703.80793715053017</c:v>
                </c:pt>
                <c:pt idx="305">
                  <c:v>703.80793715053017</c:v>
                </c:pt>
                <c:pt idx="306">
                  <c:v>703.80793715053017</c:v>
                </c:pt>
                <c:pt idx="307">
                  <c:v>703.80793715053017</c:v>
                </c:pt>
                <c:pt idx="308">
                  <c:v>703.80793715053017</c:v>
                </c:pt>
                <c:pt idx="309">
                  <c:v>703.80793715053017</c:v>
                </c:pt>
                <c:pt idx="310">
                  <c:v>703.80793715053017</c:v>
                </c:pt>
                <c:pt idx="311">
                  <c:v>703.80793715053017</c:v>
                </c:pt>
                <c:pt idx="312">
                  <c:v>703.80793715053017</c:v>
                </c:pt>
                <c:pt idx="313">
                  <c:v>703.80793715053017</c:v>
                </c:pt>
                <c:pt idx="314">
                  <c:v>703.80793715053017</c:v>
                </c:pt>
                <c:pt idx="315">
                  <c:v>703.80793715053017</c:v>
                </c:pt>
                <c:pt idx="316">
                  <c:v>703.80793715053017</c:v>
                </c:pt>
                <c:pt idx="317">
                  <c:v>703.80793715053017</c:v>
                </c:pt>
                <c:pt idx="318">
                  <c:v>703.80793715053017</c:v>
                </c:pt>
                <c:pt idx="319">
                  <c:v>703.80793715053017</c:v>
                </c:pt>
                <c:pt idx="320">
                  <c:v>703.80793715053017</c:v>
                </c:pt>
                <c:pt idx="321">
                  <c:v>703.80793715053017</c:v>
                </c:pt>
                <c:pt idx="322">
                  <c:v>703.80793715053017</c:v>
                </c:pt>
                <c:pt idx="323">
                  <c:v>703.80793715053017</c:v>
                </c:pt>
                <c:pt idx="324">
                  <c:v>703.80793715053017</c:v>
                </c:pt>
                <c:pt idx="325">
                  <c:v>703.80793715053017</c:v>
                </c:pt>
                <c:pt idx="326">
                  <c:v>703.80793715053017</c:v>
                </c:pt>
                <c:pt idx="327">
                  <c:v>703.80793715053017</c:v>
                </c:pt>
                <c:pt idx="328">
                  <c:v>703.80793715053017</c:v>
                </c:pt>
                <c:pt idx="329">
                  <c:v>703.80793715053017</c:v>
                </c:pt>
                <c:pt idx="330">
                  <c:v>703.80793715053017</c:v>
                </c:pt>
                <c:pt idx="331">
                  <c:v>703.80793715053017</c:v>
                </c:pt>
                <c:pt idx="332">
                  <c:v>703.80793715053017</c:v>
                </c:pt>
                <c:pt idx="333">
                  <c:v>703.80793715053017</c:v>
                </c:pt>
                <c:pt idx="334">
                  <c:v>703.80793715053017</c:v>
                </c:pt>
                <c:pt idx="335">
                  <c:v>703.80793715053017</c:v>
                </c:pt>
                <c:pt idx="336">
                  <c:v>703.80793715053017</c:v>
                </c:pt>
                <c:pt idx="337">
                  <c:v>703.80793715053017</c:v>
                </c:pt>
                <c:pt idx="338">
                  <c:v>703.80793715053017</c:v>
                </c:pt>
                <c:pt idx="339">
                  <c:v>703.80793715053017</c:v>
                </c:pt>
                <c:pt idx="340">
                  <c:v>703.80793715053017</c:v>
                </c:pt>
                <c:pt idx="341">
                  <c:v>703.80793715053017</c:v>
                </c:pt>
                <c:pt idx="342">
                  <c:v>703.80793715053017</c:v>
                </c:pt>
                <c:pt idx="343">
                  <c:v>703.80793715053017</c:v>
                </c:pt>
                <c:pt idx="344">
                  <c:v>703.80793715053017</c:v>
                </c:pt>
                <c:pt idx="345">
                  <c:v>703.80793715053017</c:v>
                </c:pt>
                <c:pt idx="346">
                  <c:v>703.80793715053017</c:v>
                </c:pt>
                <c:pt idx="347">
                  <c:v>703.80793715053017</c:v>
                </c:pt>
                <c:pt idx="348">
                  <c:v>703.80793715053017</c:v>
                </c:pt>
                <c:pt idx="349">
                  <c:v>703.80793715053017</c:v>
                </c:pt>
                <c:pt idx="350">
                  <c:v>703.80793715053017</c:v>
                </c:pt>
                <c:pt idx="351">
                  <c:v>703.80793715053017</c:v>
                </c:pt>
                <c:pt idx="352">
                  <c:v>703.80793715053017</c:v>
                </c:pt>
                <c:pt idx="353">
                  <c:v>703.80793715053017</c:v>
                </c:pt>
                <c:pt idx="354">
                  <c:v>703.80793715053017</c:v>
                </c:pt>
                <c:pt idx="355">
                  <c:v>703.80793715053017</c:v>
                </c:pt>
                <c:pt idx="356">
                  <c:v>703.80793715053017</c:v>
                </c:pt>
                <c:pt idx="357">
                  <c:v>703.80793715053017</c:v>
                </c:pt>
                <c:pt idx="358">
                  <c:v>703.80793715053017</c:v>
                </c:pt>
                <c:pt idx="359">
                  <c:v>703.80793715053017</c:v>
                </c:pt>
                <c:pt idx="360">
                  <c:v>703.80793715053017</c:v>
                </c:pt>
                <c:pt idx="361">
                  <c:v>703.80793715053017</c:v>
                </c:pt>
                <c:pt idx="362">
                  <c:v>703.80793715053017</c:v>
                </c:pt>
                <c:pt idx="363">
                  <c:v>703.80793715053017</c:v>
                </c:pt>
                <c:pt idx="364">
                  <c:v>703.80793715053017</c:v>
                </c:pt>
                <c:pt idx="365">
                  <c:v>703.80793715053017</c:v>
                </c:pt>
                <c:pt idx="366">
                  <c:v>703.80793715053017</c:v>
                </c:pt>
                <c:pt idx="367">
                  <c:v>703.80793715053017</c:v>
                </c:pt>
                <c:pt idx="368">
                  <c:v>703.80793715053017</c:v>
                </c:pt>
                <c:pt idx="369">
                  <c:v>703.80793715053017</c:v>
                </c:pt>
                <c:pt idx="370">
                  <c:v>703.80793715053017</c:v>
                </c:pt>
                <c:pt idx="371">
                  <c:v>703.80793715053017</c:v>
                </c:pt>
                <c:pt idx="372">
                  <c:v>703.80793715053017</c:v>
                </c:pt>
                <c:pt idx="373">
                  <c:v>703.80793715053017</c:v>
                </c:pt>
                <c:pt idx="374">
                  <c:v>703.80793715053017</c:v>
                </c:pt>
                <c:pt idx="375">
                  <c:v>703.80793715053017</c:v>
                </c:pt>
                <c:pt idx="376">
                  <c:v>703.80793715053017</c:v>
                </c:pt>
                <c:pt idx="377">
                  <c:v>703.80793715053017</c:v>
                </c:pt>
                <c:pt idx="378">
                  <c:v>703.80793715053017</c:v>
                </c:pt>
                <c:pt idx="379">
                  <c:v>703.80793715053017</c:v>
                </c:pt>
                <c:pt idx="380">
                  <c:v>703.80793715053017</c:v>
                </c:pt>
                <c:pt idx="381">
                  <c:v>703.80793715053017</c:v>
                </c:pt>
                <c:pt idx="382">
                  <c:v>703.80793715053017</c:v>
                </c:pt>
                <c:pt idx="383">
                  <c:v>703.80793715053017</c:v>
                </c:pt>
                <c:pt idx="384">
                  <c:v>703.80793715053017</c:v>
                </c:pt>
                <c:pt idx="385">
                  <c:v>703.80793715053017</c:v>
                </c:pt>
                <c:pt idx="386">
                  <c:v>703.80793715053017</c:v>
                </c:pt>
                <c:pt idx="387">
                  <c:v>703.80793715053017</c:v>
                </c:pt>
                <c:pt idx="388">
                  <c:v>703.80793715053017</c:v>
                </c:pt>
                <c:pt idx="389">
                  <c:v>703.80793715053017</c:v>
                </c:pt>
                <c:pt idx="390">
                  <c:v>703.80793715053017</c:v>
                </c:pt>
                <c:pt idx="391">
                  <c:v>703.80793715053017</c:v>
                </c:pt>
                <c:pt idx="392">
                  <c:v>703.80793715053017</c:v>
                </c:pt>
                <c:pt idx="393">
                  <c:v>703.80793715053017</c:v>
                </c:pt>
                <c:pt idx="394">
                  <c:v>703.80793715053017</c:v>
                </c:pt>
                <c:pt idx="395">
                  <c:v>703.80793715053017</c:v>
                </c:pt>
                <c:pt idx="396">
                  <c:v>703.80793715053017</c:v>
                </c:pt>
                <c:pt idx="397">
                  <c:v>703.80793715053017</c:v>
                </c:pt>
                <c:pt idx="398">
                  <c:v>703.80793715053017</c:v>
                </c:pt>
                <c:pt idx="399">
                  <c:v>703.80793715053017</c:v>
                </c:pt>
                <c:pt idx="400">
                  <c:v>703.80793715053017</c:v>
                </c:pt>
                <c:pt idx="401">
                  <c:v>703.80793715053017</c:v>
                </c:pt>
                <c:pt idx="402">
                  <c:v>703.80793715053017</c:v>
                </c:pt>
                <c:pt idx="403">
                  <c:v>703.80793715053017</c:v>
                </c:pt>
                <c:pt idx="404">
                  <c:v>703.80793715053017</c:v>
                </c:pt>
                <c:pt idx="405">
                  <c:v>703.80793715053017</c:v>
                </c:pt>
                <c:pt idx="406">
                  <c:v>703.80793715053017</c:v>
                </c:pt>
                <c:pt idx="407">
                  <c:v>703.80793715053017</c:v>
                </c:pt>
                <c:pt idx="408">
                  <c:v>703.80793715053017</c:v>
                </c:pt>
                <c:pt idx="409">
                  <c:v>703.80793715053017</c:v>
                </c:pt>
                <c:pt idx="410">
                  <c:v>703.80793715053017</c:v>
                </c:pt>
                <c:pt idx="411">
                  <c:v>703.80793715053017</c:v>
                </c:pt>
                <c:pt idx="412">
                  <c:v>703.80793715053017</c:v>
                </c:pt>
                <c:pt idx="413">
                  <c:v>703.80793715053017</c:v>
                </c:pt>
                <c:pt idx="414">
                  <c:v>703.80793715053017</c:v>
                </c:pt>
                <c:pt idx="415">
                  <c:v>703.80793715053017</c:v>
                </c:pt>
                <c:pt idx="416">
                  <c:v>703.80793715053017</c:v>
                </c:pt>
                <c:pt idx="417">
                  <c:v>703.80793715053017</c:v>
                </c:pt>
                <c:pt idx="418">
                  <c:v>703.80793715053017</c:v>
                </c:pt>
                <c:pt idx="419">
                  <c:v>703.80793715053017</c:v>
                </c:pt>
                <c:pt idx="420">
                  <c:v>703.80793715053017</c:v>
                </c:pt>
                <c:pt idx="421">
                  <c:v>703.80793715053017</c:v>
                </c:pt>
                <c:pt idx="422">
                  <c:v>703.80793715053017</c:v>
                </c:pt>
                <c:pt idx="423">
                  <c:v>703.80793715053017</c:v>
                </c:pt>
                <c:pt idx="424">
                  <c:v>703.80793715053017</c:v>
                </c:pt>
                <c:pt idx="425">
                  <c:v>703.80793715053017</c:v>
                </c:pt>
                <c:pt idx="426">
                  <c:v>703.80793715053017</c:v>
                </c:pt>
                <c:pt idx="427">
                  <c:v>703.80793715053017</c:v>
                </c:pt>
                <c:pt idx="428">
                  <c:v>703.80793715053017</c:v>
                </c:pt>
                <c:pt idx="429">
                  <c:v>703.80793715053017</c:v>
                </c:pt>
                <c:pt idx="430">
                  <c:v>703.80793715053017</c:v>
                </c:pt>
                <c:pt idx="431">
                  <c:v>703.80793715053017</c:v>
                </c:pt>
                <c:pt idx="432">
                  <c:v>703.80793715053017</c:v>
                </c:pt>
                <c:pt idx="433">
                  <c:v>703.80793715053017</c:v>
                </c:pt>
                <c:pt idx="434">
                  <c:v>703.80793715053017</c:v>
                </c:pt>
                <c:pt idx="435">
                  <c:v>703.80793715053017</c:v>
                </c:pt>
                <c:pt idx="436">
                  <c:v>703.80793715053017</c:v>
                </c:pt>
                <c:pt idx="437">
                  <c:v>703.80793715053017</c:v>
                </c:pt>
                <c:pt idx="438">
                  <c:v>703.80793715053017</c:v>
                </c:pt>
                <c:pt idx="439">
                  <c:v>703.80793715053017</c:v>
                </c:pt>
                <c:pt idx="440">
                  <c:v>703.80793715053017</c:v>
                </c:pt>
                <c:pt idx="441">
                  <c:v>703.80793715053017</c:v>
                </c:pt>
                <c:pt idx="442">
                  <c:v>703.80793715053017</c:v>
                </c:pt>
                <c:pt idx="443">
                  <c:v>703.80793715053017</c:v>
                </c:pt>
                <c:pt idx="444">
                  <c:v>703.80793715053017</c:v>
                </c:pt>
                <c:pt idx="445">
                  <c:v>703.80793715053017</c:v>
                </c:pt>
                <c:pt idx="446">
                  <c:v>703.80793715053017</c:v>
                </c:pt>
                <c:pt idx="447">
                  <c:v>703.80793715053017</c:v>
                </c:pt>
                <c:pt idx="448">
                  <c:v>703.80793715053017</c:v>
                </c:pt>
                <c:pt idx="449">
                  <c:v>703.80793715053017</c:v>
                </c:pt>
                <c:pt idx="450">
                  <c:v>703.80793715053017</c:v>
                </c:pt>
                <c:pt idx="451">
                  <c:v>703.80793715053017</c:v>
                </c:pt>
                <c:pt idx="452">
                  <c:v>703.80793715053017</c:v>
                </c:pt>
                <c:pt idx="453">
                  <c:v>703.80793715053017</c:v>
                </c:pt>
                <c:pt idx="454">
                  <c:v>703.80793715053017</c:v>
                </c:pt>
                <c:pt idx="455">
                  <c:v>703.80793715053017</c:v>
                </c:pt>
                <c:pt idx="456">
                  <c:v>703.80793715053017</c:v>
                </c:pt>
                <c:pt idx="457">
                  <c:v>703.80793715053017</c:v>
                </c:pt>
                <c:pt idx="458">
                  <c:v>703.80793715053017</c:v>
                </c:pt>
                <c:pt idx="459">
                  <c:v>703.80793715053017</c:v>
                </c:pt>
                <c:pt idx="460">
                  <c:v>703.80793715053017</c:v>
                </c:pt>
                <c:pt idx="461">
                  <c:v>703.80793715053017</c:v>
                </c:pt>
                <c:pt idx="462">
                  <c:v>703.80793715053017</c:v>
                </c:pt>
                <c:pt idx="463">
                  <c:v>703.80793715053017</c:v>
                </c:pt>
                <c:pt idx="464">
                  <c:v>703.80793715053017</c:v>
                </c:pt>
                <c:pt idx="465">
                  <c:v>703.80793715053017</c:v>
                </c:pt>
                <c:pt idx="466">
                  <c:v>703.80793715053017</c:v>
                </c:pt>
                <c:pt idx="467">
                  <c:v>703.80793715053017</c:v>
                </c:pt>
                <c:pt idx="468">
                  <c:v>703.80793715053017</c:v>
                </c:pt>
                <c:pt idx="469">
                  <c:v>703.80793715053017</c:v>
                </c:pt>
                <c:pt idx="470">
                  <c:v>703.80793715053017</c:v>
                </c:pt>
                <c:pt idx="471">
                  <c:v>703.80793715053017</c:v>
                </c:pt>
                <c:pt idx="472">
                  <c:v>703.80793715053017</c:v>
                </c:pt>
                <c:pt idx="473">
                  <c:v>703.80793715053017</c:v>
                </c:pt>
                <c:pt idx="474">
                  <c:v>703.80793715053017</c:v>
                </c:pt>
                <c:pt idx="475">
                  <c:v>703.80793715053017</c:v>
                </c:pt>
                <c:pt idx="476">
                  <c:v>703.80793715053017</c:v>
                </c:pt>
                <c:pt idx="477">
                  <c:v>703.80793715053017</c:v>
                </c:pt>
                <c:pt idx="478">
                  <c:v>703.80793715053017</c:v>
                </c:pt>
                <c:pt idx="479">
                  <c:v>703.80793715053017</c:v>
                </c:pt>
                <c:pt idx="480">
                  <c:v>703.80793715053017</c:v>
                </c:pt>
                <c:pt idx="481">
                  <c:v>703.80793715053017</c:v>
                </c:pt>
                <c:pt idx="482">
                  <c:v>703.80793715053017</c:v>
                </c:pt>
                <c:pt idx="483">
                  <c:v>703.80793715053017</c:v>
                </c:pt>
                <c:pt idx="484">
                  <c:v>703.80793715053017</c:v>
                </c:pt>
                <c:pt idx="485">
                  <c:v>703.80793715053017</c:v>
                </c:pt>
                <c:pt idx="486">
                  <c:v>703.80793715053017</c:v>
                </c:pt>
                <c:pt idx="487">
                  <c:v>703.80793715053017</c:v>
                </c:pt>
                <c:pt idx="488">
                  <c:v>703.80793715053017</c:v>
                </c:pt>
                <c:pt idx="489">
                  <c:v>703.80793715053017</c:v>
                </c:pt>
                <c:pt idx="490">
                  <c:v>703.80793715053017</c:v>
                </c:pt>
                <c:pt idx="491">
                  <c:v>703.80793715053017</c:v>
                </c:pt>
                <c:pt idx="492">
                  <c:v>703.80793715053017</c:v>
                </c:pt>
                <c:pt idx="493">
                  <c:v>703.80793715053017</c:v>
                </c:pt>
                <c:pt idx="494">
                  <c:v>703.80793715053017</c:v>
                </c:pt>
                <c:pt idx="495">
                  <c:v>703.80793715053017</c:v>
                </c:pt>
                <c:pt idx="496">
                  <c:v>703.80793715053017</c:v>
                </c:pt>
                <c:pt idx="497">
                  <c:v>703.80793715053017</c:v>
                </c:pt>
                <c:pt idx="498">
                  <c:v>703.80793715053017</c:v>
                </c:pt>
                <c:pt idx="499">
                  <c:v>703.80793715053017</c:v>
                </c:pt>
                <c:pt idx="500">
                  <c:v>703.80793715053017</c:v>
                </c:pt>
                <c:pt idx="501">
                  <c:v>703.80793715053017</c:v>
                </c:pt>
                <c:pt idx="502">
                  <c:v>703.80793715053017</c:v>
                </c:pt>
                <c:pt idx="503">
                  <c:v>703.80793715053017</c:v>
                </c:pt>
                <c:pt idx="504">
                  <c:v>703.80793715053017</c:v>
                </c:pt>
                <c:pt idx="505">
                  <c:v>703.80793715053017</c:v>
                </c:pt>
                <c:pt idx="506">
                  <c:v>703.80793715053017</c:v>
                </c:pt>
                <c:pt idx="507">
                  <c:v>703.80793715053017</c:v>
                </c:pt>
                <c:pt idx="508">
                  <c:v>703.80793715053017</c:v>
                </c:pt>
                <c:pt idx="509">
                  <c:v>703.80793715053017</c:v>
                </c:pt>
                <c:pt idx="510">
                  <c:v>703.80793715053017</c:v>
                </c:pt>
                <c:pt idx="511">
                  <c:v>703.80793715053017</c:v>
                </c:pt>
                <c:pt idx="512">
                  <c:v>703.80793715053017</c:v>
                </c:pt>
                <c:pt idx="513">
                  <c:v>703.80793715053017</c:v>
                </c:pt>
                <c:pt idx="514">
                  <c:v>703.80793715053017</c:v>
                </c:pt>
                <c:pt idx="515">
                  <c:v>703.80793715053017</c:v>
                </c:pt>
                <c:pt idx="516">
                  <c:v>703.80793715053017</c:v>
                </c:pt>
                <c:pt idx="517">
                  <c:v>703.80793715053017</c:v>
                </c:pt>
                <c:pt idx="518">
                  <c:v>703.80793715053017</c:v>
                </c:pt>
                <c:pt idx="519">
                  <c:v>703.80793715053017</c:v>
                </c:pt>
                <c:pt idx="520">
                  <c:v>703.80793715053017</c:v>
                </c:pt>
                <c:pt idx="521">
                  <c:v>703.80793715053017</c:v>
                </c:pt>
                <c:pt idx="522">
                  <c:v>703.80793715053017</c:v>
                </c:pt>
                <c:pt idx="523">
                  <c:v>703.80793715053017</c:v>
                </c:pt>
                <c:pt idx="524">
                  <c:v>703.80793715053017</c:v>
                </c:pt>
                <c:pt idx="525">
                  <c:v>703.80793715053017</c:v>
                </c:pt>
                <c:pt idx="526">
                  <c:v>703.80793715053017</c:v>
                </c:pt>
                <c:pt idx="527">
                  <c:v>703.80793715053017</c:v>
                </c:pt>
                <c:pt idx="528">
                  <c:v>703.80793715053017</c:v>
                </c:pt>
                <c:pt idx="529">
                  <c:v>703.80793715053017</c:v>
                </c:pt>
                <c:pt idx="530">
                  <c:v>703.80793715053017</c:v>
                </c:pt>
                <c:pt idx="531">
                  <c:v>703.80793715053017</c:v>
                </c:pt>
                <c:pt idx="532">
                  <c:v>703.80793715053017</c:v>
                </c:pt>
                <c:pt idx="533">
                  <c:v>703.80793715053017</c:v>
                </c:pt>
                <c:pt idx="534">
                  <c:v>703.80793715053017</c:v>
                </c:pt>
                <c:pt idx="535">
                  <c:v>703.80793715053017</c:v>
                </c:pt>
                <c:pt idx="536">
                  <c:v>703.80793715053017</c:v>
                </c:pt>
                <c:pt idx="537">
                  <c:v>703.80793715053017</c:v>
                </c:pt>
                <c:pt idx="538">
                  <c:v>703.80793715053017</c:v>
                </c:pt>
                <c:pt idx="539">
                  <c:v>703.80793715053017</c:v>
                </c:pt>
                <c:pt idx="540">
                  <c:v>703.80793715053017</c:v>
                </c:pt>
                <c:pt idx="541">
                  <c:v>703.80793715053017</c:v>
                </c:pt>
                <c:pt idx="542">
                  <c:v>703.80793715053017</c:v>
                </c:pt>
                <c:pt idx="543">
                  <c:v>703.80793715053017</c:v>
                </c:pt>
                <c:pt idx="544">
                  <c:v>703.80793715053017</c:v>
                </c:pt>
                <c:pt idx="545">
                  <c:v>703.80793715053017</c:v>
                </c:pt>
                <c:pt idx="546">
                  <c:v>703.80793715053017</c:v>
                </c:pt>
                <c:pt idx="547">
                  <c:v>703.80793715053017</c:v>
                </c:pt>
                <c:pt idx="548">
                  <c:v>703.80793715053017</c:v>
                </c:pt>
                <c:pt idx="549">
                  <c:v>703.80793715053017</c:v>
                </c:pt>
                <c:pt idx="550">
                  <c:v>703.80793715053017</c:v>
                </c:pt>
                <c:pt idx="551">
                  <c:v>703.80793715053017</c:v>
                </c:pt>
                <c:pt idx="552">
                  <c:v>703.80793715053017</c:v>
                </c:pt>
                <c:pt idx="553">
                  <c:v>703.80793715053017</c:v>
                </c:pt>
                <c:pt idx="554">
                  <c:v>703.80793715053017</c:v>
                </c:pt>
                <c:pt idx="555">
                  <c:v>703.80793715053017</c:v>
                </c:pt>
                <c:pt idx="556">
                  <c:v>703.80793715053017</c:v>
                </c:pt>
                <c:pt idx="557">
                  <c:v>703.80793715053017</c:v>
                </c:pt>
                <c:pt idx="558">
                  <c:v>703.80793715053017</c:v>
                </c:pt>
                <c:pt idx="559">
                  <c:v>703.80793715053017</c:v>
                </c:pt>
                <c:pt idx="560">
                  <c:v>703.80793715053017</c:v>
                </c:pt>
                <c:pt idx="561">
                  <c:v>703.80793715053017</c:v>
                </c:pt>
                <c:pt idx="562">
                  <c:v>703.80793715053017</c:v>
                </c:pt>
                <c:pt idx="563">
                  <c:v>703.80793715053017</c:v>
                </c:pt>
                <c:pt idx="564">
                  <c:v>703.80793715053017</c:v>
                </c:pt>
                <c:pt idx="565">
                  <c:v>703.80793715053017</c:v>
                </c:pt>
                <c:pt idx="566">
                  <c:v>703.80793715053017</c:v>
                </c:pt>
                <c:pt idx="567">
                  <c:v>703.80793715053017</c:v>
                </c:pt>
                <c:pt idx="568">
                  <c:v>703.80793715053017</c:v>
                </c:pt>
                <c:pt idx="569">
                  <c:v>703.80793715053017</c:v>
                </c:pt>
                <c:pt idx="570">
                  <c:v>703.80793715053017</c:v>
                </c:pt>
                <c:pt idx="571">
                  <c:v>703.80793715053017</c:v>
                </c:pt>
                <c:pt idx="572">
                  <c:v>703.80793715053017</c:v>
                </c:pt>
                <c:pt idx="573">
                  <c:v>703.80793715053017</c:v>
                </c:pt>
                <c:pt idx="574">
                  <c:v>703.80793715053017</c:v>
                </c:pt>
                <c:pt idx="575">
                  <c:v>703.80793715053017</c:v>
                </c:pt>
                <c:pt idx="576">
                  <c:v>703.80793715053017</c:v>
                </c:pt>
                <c:pt idx="577">
                  <c:v>703.80793715053017</c:v>
                </c:pt>
                <c:pt idx="578">
                  <c:v>703.80793715053017</c:v>
                </c:pt>
                <c:pt idx="579">
                  <c:v>703.80793715053017</c:v>
                </c:pt>
                <c:pt idx="580">
                  <c:v>703.80793715053017</c:v>
                </c:pt>
                <c:pt idx="581">
                  <c:v>703.80793715053017</c:v>
                </c:pt>
                <c:pt idx="582">
                  <c:v>703.80793715053017</c:v>
                </c:pt>
                <c:pt idx="583">
                  <c:v>703.80793715053017</c:v>
                </c:pt>
                <c:pt idx="584">
                  <c:v>703.80793715053017</c:v>
                </c:pt>
                <c:pt idx="585">
                  <c:v>703.80793715053017</c:v>
                </c:pt>
                <c:pt idx="586">
                  <c:v>703.80793715053017</c:v>
                </c:pt>
                <c:pt idx="587">
                  <c:v>703.80793715053017</c:v>
                </c:pt>
                <c:pt idx="588">
                  <c:v>703.80793715053017</c:v>
                </c:pt>
                <c:pt idx="589">
                  <c:v>703.80793715053017</c:v>
                </c:pt>
                <c:pt idx="590">
                  <c:v>703.80793715053017</c:v>
                </c:pt>
                <c:pt idx="591">
                  <c:v>703.80793715053017</c:v>
                </c:pt>
                <c:pt idx="592">
                  <c:v>703.80793715053017</c:v>
                </c:pt>
                <c:pt idx="593">
                  <c:v>703.80793715053017</c:v>
                </c:pt>
                <c:pt idx="594">
                  <c:v>703.80793715053017</c:v>
                </c:pt>
                <c:pt idx="595">
                  <c:v>703.80793715053017</c:v>
                </c:pt>
                <c:pt idx="596">
                  <c:v>703.80793715053017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2F-4122-B1BC-6713C4DAF84F}"/>
            </c:ext>
          </c:extLst>
        </c:ser>
        <c:ser>
          <c:idx val="2"/>
          <c:order val="2"/>
          <c:tx>
            <c:strRef>
              <c:f>Thickness_SPC!$H$9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Thickness_SPC!$H$10:$H$606</c:f>
              <c:numCache>
                <c:formatCode>0.000</c:formatCode>
                <c:ptCount val="597"/>
                <c:pt idx="0">
                  <c:v>701.26350083752141</c:v>
                </c:pt>
                <c:pt idx="1">
                  <c:v>701.26350083752141</c:v>
                </c:pt>
                <c:pt idx="2">
                  <c:v>701.26350083752141</c:v>
                </c:pt>
                <c:pt idx="3">
                  <c:v>701.26350083752141</c:v>
                </c:pt>
                <c:pt idx="4">
                  <c:v>701.26350083752141</c:v>
                </c:pt>
                <c:pt idx="5">
                  <c:v>701.26350083752141</c:v>
                </c:pt>
                <c:pt idx="6">
                  <c:v>701.26350083752141</c:v>
                </c:pt>
                <c:pt idx="7">
                  <c:v>701.26350083752141</c:v>
                </c:pt>
                <c:pt idx="8">
                  <c:v>701.26350083752141</c:v>
                </c:pt>
                <c:pt idx="9">
                  <c:v>701.26350083752141</c:v>
                </c:pt>
                <c:pt idx="10">
                  <c:v>701.26350083752141</c:v>
                </c:pt>
                <c:pt idx="11">
                  <c:v>701.26350083752141</c:v>
                </c:pt>
                <c:pt idx="12">
                  <c:v>701.26350083752141</c:v>
                </c:pt>
                <c:pt idx="13">
                  <c:v>701.26350083752141</c:v>
                </c:pt>
                <c:pt idx="14">
                  <c:v>701.26350083752141</c:v>
                </c:pt>
                <c:pt idx="15">
                  <c:v>701.26350083752141</c:v>
                </c:pt>
                <c:pt idx="16">
                  <c:v>701.26350083752141</c:v>
                </c:pt>
                <c:pt idx="17">
                  <c:v>701.26350083752141</c:v>
                </c:pt>
                <c:pt idx="18">
                  <c:v>701.26350083752141</c:v>
                </c:pt>
                <c:pt idx="19">
                  <c:v>701.26350083752141</c:v>
                </c:pt>
                <c:pt idx="20">
                  <c:v>701.26350083752141</c:v>
                </c:pt>
                <c:pt idx="21">
                  <c:v>701.26350083752141</c:v>
                </c:pt>
                <c:pt idx="22">
                  <c:v>701.26350083752141</c:v>
                </c:pt>
                <c:pt idx="23">
                  <c:v>701.26350083752141</c:v>
                </c:pt>
                <c:pt idx="24">
                  <c:v>701.26350083752141</c:v>
                </c:pt>
                <c:pt idx="25">
                  <c:v>701.26350083752141</c:v>
                </c:pt>
                <c:pt idx="26">
                  <c:v>701.26350083752141</c:v>
                </c:pt>
                <c:pt idx="27">
                  <c:v>701.26350083752141</c:v>
                </c:pt>
                <c:pt idx="28">
                  <c:v>701.26350083752141</c:v>
                </c:pt>
                <c:pt idx="29">
                  <c:v>701.26350083752141</c:v>
                </c:pt>
                <c:pt idx="30">
                  <c:v>701.26350083752141</c:v>
                </c:pt>
                <c:pt idx="31">
                  <c:v>701.26350083752141</c:v>
                </c:pt>
                <c:pt idx="32">
                  <c:v>701.26350083752141</c:v>
                </c:pt>
                <c:pt idx="33">
                  <c:v>701.26350083752141</c:v>
                </c:pt>
                <c:pt idx="34">
                  <c:v>701.26350083752141</c:v>
                </c:pt>
                <c:pt idx="35">
                  <c:v>701.26350083752141</c:v>
                </c:pt>
                <c:pt idx="36">
                  <c:v>701.26350083752141</c:v>
                </c:pt>
                <c:pt idx="37">
                  <c:v>701.26350083752141</c:v>
                </c:pt>
                <c:pt idx="38">
                  <c:v>701.26350083752141</c:v>
                </c:pt>
                <c:pt idx="39">
                  <c:v>701.26350083752141</c:v>
                </c:pt>
                <c:pt idx="40">
                  <c:v>701.26350083752141</c:v>
                </c:pt>
                <c:pt idx="41">
                  <c:v>701.26350083752141</c:v>
                </c:pt>
                <c:pt idx="42">
                  <c:v>701.26350083752141</c:v>
                </c:pt>
                <c:pt idx="43">
                  <c:v>701.26350083752141</c:v>
                </c:pt>
                <c:pt idx="44">
                  <c:v>701.26350083752141</c:v>
                </c:pt>
                <c:pt idx="45">
                  <c:v>701.26350083752141</c:v>
                </c:pt>
                <c:pt idx="46">
                  <c:v>701.26350083752141</c:v>
                </c:pt>
                <c:pt idx="47">
                  <c:v>701.26350083752141</c:v>
                </c:pt>
                <c:pt idx="48">
                  <c:v>701.26350083752141</c:v>
                </c:pt>
                <c:pt idx="49">
                  <c:v>701.26350083752141</c:v>
                </c:pt>
                <c:pt idx="50">
                  <c:v>701.26350083752141</c:v>
                </c:pt>
                <c:pt idx="51">
                  <c:v>701.26350083752141</c:v>
                </c:pt>
                <c:pt idx="52">
                  <c:v>701.26350083752141</c:v>
                </c:pt>
                <c:pt idx="53">
                  <c:v>701.26350083752141</c:v>
                </c:pt>
                <c:pt idx="54">
                  <c:v>701.26350083752141</c:v>
                </c:pt>
                <c:pt idx="55">
                  <c:v>701.26350083752141</c:v>
                </c:pt>
                <c:pt idx="56">
                  <c:v>701.26350083752141</c:v>
                </c:pt>
                <c:pt idx="57">
                  <c:v>701.26350083752141</c:v>
                </c:pt>
                <c:pt idx="58">
                  <c:v>701.26350083752141</c:v>
                </c:pt>
                <c:pt idx="59">
                  <c:v>701.26350083752141</c:v>
                </c:pt>
                <c:pt idx="60">
                  <c:v>701.26350083752141</c:v>
                </c:pt>
                <c:pt idx="61">
                  <c:v>701.26350083752141</c:v>
                </c:pt>
                <c:pt idx="62">
                  <c:v>701.26350083752141</c:v>
                </c:pt>
                <c:pt idx="63">
                  <c:v>701.26350083752141</c:v>
                </c:pt>
                <c:pt idx="64">
                  <c:v>701.26350083752141</c:v>
                </c:pt>
                <c:pt idx="65">
                  <c:v>701.26350083752141</c:v>
                </c:pt>
                <c:pt idx="66">
                  <c:v>701.26350083752141</c:v>
                </c:pt>
                <c:pt idx="67">
                  <c:v>701.26350083752141</c:v>
                </c:pt>
                <c:pt idx="68">
                  <c:v>701.26350083752141</c:v>
                </c:pt>
                <c:pt idx="69">
                  <c:v>701.26350083752141</c:v>
                </c:pt>
                <c:pt idx="70">
                  <c:v>701.26350083752141</c:v>
                </c:pt>
                <c:pt idx="71">
                  <c:v>701.26350083752141</c:v>
                </c:pt>
                <c:pt idx="72">
                  <c:v>701.26350083752141</c:v>
                </c:pt>
                <c:pt idx="73">
                  <c:v>701.26350083752141</c:v>
                </c:pt>
                <c:pt idx="74">
                  <c:v>701.26350083752141</c:v>
                </c:pt>
                <c:pt idx="75">
                  <c:v>701.26350083752141</c:v>
                </c:pt>
                <c:pt idx="76">
                  <c:v>701.26350083752141</c:v>
                </c:pt>
                <c:pt idx="77">
                  <c:v>701.26350083752141</c:v>
                </c:pt>
                <c:pt idx="78">
                  <c:v>701.26350083752141</c:v>
                </c:pt>
                <c:pt idx="79">
                  <c:v>701.26350083752141</c:v>
                </c:pt>
                <c:pt idx="80">
                  <c:v>701.26350083752141</c:v>
                </c:pt>
                <c:pt idx="81">
                  <c:v>701.26350083752141</c:v>
                </c:pt>
                <c:pt idx="82">
                  <c:v>701.26350083752141</c:v>
                </c:pt>
                <c:pt idx="83">
                  <c:v>701.26350083752141</c:v>
                </c:pt>
                <c:pt idx="84">
                  <c:v>701.26350083752141</c:v>
                </c:pt>
                <c:pt idx="85">
                  <c:v>701.26350083752141</c:v>
                </c:pt>
                <c:pt idx="86">
                  <c:v>701.26350083752141</c:v>
                </c:pt>
                <c:pt idx="87">
                  <c:v>701.26350083752141</c:v>
                </c:pt>
                <c:pt idx="88">
                  <c:v>701.26350083752141</c:v>
                </c:pt>
                <c:pt idx="89">
                  <c:v>701.26350083752141</c:v>
                </c:pt>
                <c:pt idx="90">
                  <c:v>701.26350083752141</c:v>
                </c:pt>
                <c:pt idx="91">
                  <c:v>701.26350083752141</c:v>
                </c:pt>
                <c:pt idx="92">
                  <c:v>701.26350083752141</c:v>
                </c:pt>
                <c:pt idx="93">
                  <c:v>701.26350083752141</c:v>
                </c:pt>
                <c:pt idx="94">
                  <c:v>701.26350083752141</c:v>
                </c:pt>
                <c:pt idx="95">
                  <c:v>701.26350083752141</c:v>
                </c:pt>
                <c:pt idx="96">
                  <c:v>701.26350083752141</c:v>
                </c:pt>
                <c:pt idx="97">
                  <c:v>701.26350083752141</c:v>
                </c:pt>
                <c:pt idx="98">
                  <c:v>701.26350083752141</c:v>
                </c:pt>
                <c:pt idx="99">
                  <c:v>701.26350083752141</c:v>
                </c:pt>
                <c:pt idx="100">
                  <c:v>701.26350083752141</c:v>
                </c:pt>
                <c:pt idx="101">
                  <c:v>701.26350083752141</c:v>
                </c:pt>
                <c:pt idx="102">
                  <c:v>701.26350083752141</c:v>
                </c:pt>
                <c:pt idx="103">
                  <c:v>701.26350083752141</c:v>
                </c:pt>
                <c:pt idx="104">
                  <c:v>701.26350083752141</c:v>
                </c:pt>
                <c:pt idx="105">
                  <c:v>701.26350083752141</c:v>
                </c:pt>
                <c:pt idx="106">
                  <c:v>701.26350083752141</c:v>
                </c:pt>
                <c:pt idx="107">
                  <c:v>701.26350083752141</c:v>
                </c:pt>
                <c:pt idx="108">
                  <c:v>701.26350083752141</c:v>
                </c:pt>
                <c:pt idx="109">
                  <c:v>701.26350083752141</c:v>
                </c:pt>
                <c:pt idx="110">
                  <c:v>701.26350083752141</c:v>
                </c:pt>
                <c:pt idx="111">
                  <c:v>701.26350083752141</c:v>
                </c:pt>
                <c:pt idx="112">
                  <c:v>701.26350083752141</c:v>
                </c:pt>
                <c:pt idx="113">
                  <c:v>701.26350083752141</c:v>
                </c:pt>
                <c:pt idx="114">
                  <c:v>701.26350083752141</c:v>
                </c:pt>
                <c:pt idx="115">
                  <c:v>701.26350083752141</c:v>
                </c:pt>
                <c:pt idx="116">
                  <c:v>701.26350083752141</c:v>
                </c:pt>
                <c:pt idx="117">
                  <c:v>701.26350083752141</c:v>
                </c:pt>
                <c:pt idx="118">
                  <c:v>701.26350083752141</c:v>
                </c:pt>
                <c:pt idx="119">
                  <c:v>701.26350083752141</c:v>
                </c:pt>
                <c:pt idx="120">
                  <c:v>701.26350083752141</c:v>
                </c:pt>
                <c:pt idx="121">
                  <c:v>701.26350083752141</c:v>
                </c:pt>
                <c:pt idx="122">
                  <c:v>701.26350083752141</c:v>
                </c:pt>
                <c:pt idx="123">
                  <c:v>701.26350083752141</c:v>
                </c:pt>
                <c:pt idx="124">
                  <c:v>701.26350083752141</c:v>
                </c:pt>
                <c:pt idx="125">
                  <c:v>701.26350083752141</c:v>
                </c:pt>
                <c:pt idx="126">
                  <c:v>701.26350083752141</c:v>
                </c:pt>
                <c:pt idx="127">
                  <c:v>701.26350083752141</c:v>
                </c:pt>
                <c:pt idx="128">
                  <c:v>701.26350083752141</c:v>
                </c:pt>
                <c:pt idx="129">
                  <c:v>701.26350083752141</c:v>
                </c:pt>
                <c:pt idx="130">
                  <c:v>701.26350083752141</c:v>
                </c:pt>
                <c:pt idx="131">
                  <c:v>701.26350083752141</c:v>
                </c:pt>
                <c:pt idx="132">
                  <c:v>701.26350083752141</c:v>
                </c:pt>
                <c:pt idx="133">
                  <c:v>701.26350083752141</c:v>
                </c:pt>
                <c:pt idx="134">
                  <c:v>701.26350083752141</c:v>
                </c:pt>
                <c:pt idx="135">
                  <c:v>701.26350083752141</c:v>
                </c:pt>
                <c:pt idx="136">
                  <c:v>701.26350083752141</c:v>
                </c:pt>
                <c:pt idx="137">
                  <c:v>701.26350083752141</c:v>
                </c:pt>
                <c:pt idx="138">
                  <c:v>701.26350083752141</c:v>
                </c:pt>
                <c:pt idx="139">
                  <c:v>701.26350083752141</c:v>
                </c:pt>
                <c:pt idx="140">
                  <c:v>701.26350083752141</c:v>
                </c:pt>
                <c:pt idx="141">
                  <c:v>701.26350083752141</c:v>
                </c:pt>
                <c:pt idx="142">
                  <c:v>701.26350083752141</c:v>
                </c:pt>
                <c:pt idx="143">
                  <c:v>701.26350083752141</c:v>
                </c:pt>
                <c:pt idx="144">
                  <c:v>701.26350083752141</c:v>
                </c:pt>
                <c:pt idx="145">
                  <c:v>701.26350083752141</c:v>
                </c:pt>
                <c:pt idx="146">
                  <c:v>701.26350083752141</c:v>
                </c:pt>
                <c:pt idx="147">
                  <c:v>701.26350083752141</c:v>
                </c:pt>
                <c:pt idx="148">
                  <c:v>701.26350083752141</c:v>
                </c:pt>
                <c:pt idx="149">
                  <c:v>701.26350083752141</c:v>
                </c:pt>
                <c:pt idx="150">
                  <c:v>701.26350083752141</c:v>
                </c:pt>
                <c:pt idx="151">
                  <c:v>701.26350083752141</c:v>
                </c:pt>
                <c:pt idx="152">
                  <c:v>701.26350083752141</c:v>
                </c:pt>
                <c:pt idx="153">
                  <c:v>701.26350083752141</c:v>
                </c:pt>
                <c:pt idx="154">
                  <c:v>701.26350083752141</c:v>
                </c:pt>
                <c:pt idx="155">
                  <c:v>701.26350083752141</c:v>
                </c:pt>
                <c:pt idx="156">
                  <c:v>701.26350083752141</c:v>
                </c:pt>
                <c:pt idx="157">
                  <c:v>701.26350083752141</c:v>
                </c:pt>
                <c:pt idx="158">
                  <c:v>701.26350083752141</c:v>
                </c:pt>
                <c:pt idx="159">
                  <c:v>701.26350083752141</c:v>
                </c:pt>
                <c:pt idx="160">
                  <c:v>701.26350083752141</c:v>
                </c:pt>
                <c:pt idx="161">
                  <c:v>701.26350083752141</c:v>
                </c:pt>
                <c:pt idx="162">
                  <c:v>701.26350083752141</c:v>
                </c:pt>
                <c:pt idx="163">
                  <c:v>701.26350083752141</c:v>
                </c:pt>
                <c:pt idx="164">
                  <c:v>701.26350083752141</c:v>
                </c:pt>
                <c:pt idx="165">
                  <c:v>701.26350083752141</c:v>
                </c:pt>
                <c:pt idx="166">
                  <c:v>701.26350083752141</c:v>
                </c:pt>
                <c:pt idx="167">
                  <c:v>701.26350083752141</c:v>
                </c:pt>
                <c:pt idx="168">
                  <c:v>701.26350083752141</c:v>
                </c:pt>
                <c:pt idx="169">
                  <c:v>701.26350083752141</c:v>
                </c:pt>
                <c:pt idx="170">
                  <c:v>701.26350083752141</c:v>
                </c:pt>
                <c:pt idx="171">
                  <c:v>701.26350083752141</c:v>
                </c:pt>
                <c:pt idx="172">
                  <c:v>701.26350083752141</c:v>
                </c:pt>
                <c:pt idx="173">
                  <c:v>701.26350083752141</c:v>
                </c:pt>
                <c:pt idx="174">
                  <c:v>701.26350083752141</c:v>
                </c:pt>
                <c:pt idx="175">
                  <c:v>701.26350083752141</c:v>
                </c:pt>
                <c:pt idx="176">
                  <c:v>701.26350083752141</c:v>
                </c:pt>
                <c:pt idx="177">
                  <c:v>701.26350083752141</c:v>
                </c:pt>
                <c:pt idx="178">
                  <c:v>701.26350083752141</c:v>
                </c:pt>
                <c:pt idx="179">
                  <c:v>701.26350083752141</c:v>
                </c:pt>
                <c:pt idx="180">
                  <c:v>701.26350083752141</c:v>
                </c:pt>
                <c:pt idx="181">
                  <c:v>701.26350083752141</c:v>
                </c:pt>
                <c:pt idx="182">
                  <c:v>701.26350083752141</c:v>
                </c:pt>
                <c:pt idx="183">
                  <c:v>701.26350083752141</c:v>
                </c:pt>
                <c:pt idx="184">
                  <c:v>701.26350083752141</c:v>
                </c:pt>
                <c:pt idx="185">
                  <c:v>701.26350083752141</c:v>
                </c:pt>
                <c:pt idx="186">
                  <c:v>701.26350083752141</c:v>
                </c:pt>
                <c:pt idx="187">
                  <c:v>701.26350083752141</c:v>
                </c:pt>
                <c:pt idx="188">
                  <c:v>701.26350083752141</c:v>
                </c:pt>
                <c:pt idx="189">
                  <c:v>701.26350083752141</c:v>
                </c:pt>
                <c:pt idx="190">
                  <c:v>701.26350083752141</c:v>
                </c:pt>
                <c:pt idx="191">
                  <c:v>701.26350083752141</c:v>
                </c:pt>
                <c:pt idx="192">
                  <c:v>701.26350083752141</c:v>
                </c:pt>
                <c:pt idx="193">
                  <c:v>701.26350083752141</c:v>
                </c:pt>
                <c:pt idx="194">
                  <c:v>701.26350083752141</c:v>
                </c:pt>
                <c:pt idx="195">
                  <c:v>701.26350083752141</c:v>
                </c:pt>
                <c:pt idx="196">
                  <c:v>701.26350083752141</c:v>
                </c:pt>
                <c:pt idx="197">
                  <c:v>701.26350083752141</c:v>
                </c:pt>
                <c:pt idx="198">
                  <c:v>701.26350083752141</c:v>
                </c:pt>
                <c:pt idx="199">
                  <c:v>701.26350083752141</c:v>
                </c:pt>
                <c:pt idx="200">
                  <c:v>701.26350083752141</c:v>
                </c:pt>
                <c:pt idx="201">
                  <c:v>701.26350083752141</c:v>
                </c:pt>
                <c:pt idx="202">
                  <c:v>701.26350083752141</c:v>
                </c:pt>
                <c:pt idx="203">
                  <c:v>701.26350083752141</c:v>
                </c:pt>
                <c:pt idx="204">
                  <c:v>701.26350083752141</c:v>
                </c:pt>
                <c:pt idx="205">
                  <c:v>701.26350083752141</c:v>
                </c:pt>
                <c:pt idx="206">
                  <c:v>701.26350083752141</c:v>
                </c:pt>
                <c:pt idx="207">
                  <c:v>701.26350083752141</c:v>
                </c:pt>
                <c:pt idx="208">
                  <c:v>701.26350083752141</c:v>
                </c:pt>
                <c:pt idx="209">
                  <c:v>701.26350083752141</c:v>
                </c:pt>
                <c:pt idx="210">
                  <c:v>701.26350083752141</c:v>
                </c:pt>
                <c:pt idx="211">
                  <c:v>701.26350083752141</c:v>
                </c:pt>
                <c:pt idx="212">
                  <c:v>701.26350083752141</c:v>
                </c:pt>
                <c:pt idx="213">
                  <c:v>701.26350083752141</c:v>
                </c:pt>
                <c:pt idx="214">
                  <c:v>701.26350083752141</c:v>
                </c:pt>
                <c:pt idx="215">
                  <c:v>701.26350083752141</c:v>
                </c:pt>
                <c:pt idx="216">
                  <c:v>701.26350083752141</c:v>
                </c:pt>
                <c:pt idx="217">
                  <c:v>701.26350083752141</c:v>
                </c:pt>
                <c:pt idx="218">
                  <c:v>701.26350083752141</c:v>
                </c:pt>
                <c:pt idx="219">
                  <c:v>701.26350083752141</c:v>
                </c:pt>
                <c:pt idx="220">
                  <c:v>701.26350083752141</c:v>
                </c:pt>
                <c:pt idx="221">
                  <c:v>701.26350083752141</c:v>
                </c:pt>
                <c:pt idx="222">
                  <c:v>701.26350083752141</c:v>
                </c:pt>
                <c:pt idx="223">
                  <c:v>701.26350083752141</c:v>
                </c:pt>
                <c:pt idx="224">
                  <c:v>701.26350083752141</c:v>
                </c:pt>
                <c:pt idx="225">
                  <c:v>701.26350083752141</c:v>
                </c:pt>
                <c:pt idx="226">
                  <c:v>701.26350083752141</c:v>
                </c:pt>
                <c:pt idx="227">
                  <c:v>701.26350083752141</c:v>
                </c:pt>
                <c:pt idx="228">
                  <c:v>701.26350083752141</c:v>
                </c:pt>
                <c:pt idx="229">
                  <c:v>701.26350083752141</c:v>
                </c:pt>
                <c:pt idx="230">
                  <c:v>701.26350083752141</c:v>
                </c:pt>
                <c:pt idx="231">
                  <c:v>701.26350083752141</c:v>
                </c:pt>
                <c:pt idx="232">
                  <c:v>701.26350083752141</c:v>
                </c:pt>
                <c:pt idx="233">
                  <c:v>701.26350083752141</c:v>
                </c:pt>
                <c:pt idx="234">
                  <c:v>701.26350083752141</c:v>
                </c:pt>
                <c:pt idx="235">
                  <c:v>701.26350083752141</c:v>
                </c:pt>
                <c:pt idx="236">
                  <c:v>701.26350083752141</c:v>
                </c:pt>
                <c:pt idx="237">
                  <c:v>701.26350083752141</c:v>
                </c:pt>
                <c:pt idx="238">
                  <c:v>701.26350083752141</c:v>
                </c:pt>
                <c:pt idx="239">
                  <c:v>701.26350083752141</c:v>
                </c:pt>
                <c:pt idx="240">
                  <c:v>701.26350083752141</c:v>
                </c:pt>
                <c:pt idx="241">
                  <c:v>701.26350083752141</c:v>
                </c:pt>
                <c:pt idx="242">
                  <c:v>701.26350083752141</c:v>
                </c:pt>
                <c:pt idx="243">
                  <c:v>701.26350083752141</c:v>
                </c:pt>
                <c:pt idx="244">
                  <c:v>701.26350083752141</c:v>
                </c:pt>
                <c:pt idx="245">
                  <c:v>701.26350083752141</c:v>
                </c:pt>
                <c:pt idx="246">
                  <c:v>701.26350083752141</c:v>
                </c:pt>
                <c:pt idx="247">
                  <c:v>701.26350083752141</c:v>
                </c:pt>
                <c:pt idx="248">
                  <c:v>701.26350083752141</c:v>
                </c:pt>
                <c:pt idx="249">
                  <c:v>701.26350083752141</c:v>
                </c:pt>
                <c:pt idx="250">
                  <c:v>701.26350083752141</c:v>
                </c:pt>
                <c:pt idx="251">
                  <c:v>701.26350083752141</c:v>
                </c:pt>
                <c:pt idx="252">
                  <c:v>701.26350083752141</c:v>
                </c:pt>
                <c:pt idx="253">
                  <c:v>701.26350083752141</c:v>
                </c:pt>
                <c:pt idx="254">
                  <c:v>701.26350083752141</c:v>
                </c:pt>
                <c:pt idx="255">
                  <c:v>701.26350083752141</c:v>
                </c:pt>
                <c:pt idx="256">
                  <c:v>701.26350083752141</c:v>
                </c:pt>
                <c:pt idx="257">
                  <c:v>701.26350083752141</c:v>
                </c:pt>
                <c:pt idx="258">
                  <c:v>701.26350083752141</c:v>
                </c:pt>
                <c:pt idx="259">
                  <c:v>701.26350083752141</c:v>
                </c:pt>
                <c:pt idx="260">
                  <c:v>701.26350083752141</c:v>
                </c:pt>
                <c:pt idx="261">
                  <c:v>701.26350083752141</c:v>
                </c:pt>
                <c:pt idx="262">
                  <c:v>701.26350083752141</c:v>
                </c:pt>
                <c:pt idx="263">
                  <c:v>701.26350083752141</c:v>
                </c:pt>
                <c:pt idx="264">
                  <c:v>701.26350083752141</c:v>
                </c:pt>
                <c:pt idx="265">
                  <c:v>701.26350083752141</c:v>
                </c:pt>
                <c:pt idx="266">
                  <c:v>701.26350083752141</c:v>
                </c:pt>
                <c:pt idx="267">
                  <c:v>701.26350083752141</c:v>
                </c:pt>
                <c:pt idx="268">
                  <c:v>701.26350083752141</c:v>
                </c:pt>
                <c:pt idx="269">
                  <c:v>701.26350083752141</c:v>
                </c:pt>
                <c:pt idx="270">
                  <c:v>701.26350083752141</c:v>
                </c:pt>
                <c:pt idx="271">
                  <c:v>701.26350083752141</c:v>
                </c:pt>
                <c:pt idx="272">
                  <c:v>701.26350083752141</c:v>
                </c:pt>
                <c:pt idx="273">
                  <c:v>701.26350083752141</c:v>
                </c:pt>
                <c:pt idx="274">
                  <c:v>701.26350083752141</c:v>
                </c:pt>
                <c:pt idx="275">
                  <c:v>701.26350083752141</c:v>
                </c:pt>
                <c:pt idx="276">
                  <c:v>701.26350083752141</c:v>
                </c:pt>
                <c:pt idx="277">
                  <c:v>701.26350083752141</c:v>
                </c:pt>
                <c:pt idx="278">
                  <c:v>701.26350083752141</c:v>
                </c:pt>
                <c:pt idx="279">
                  <c:v>701.26350083752141</c:v>
                </c:pt>
                <c:pt idx="280">
                  <c:v>701.26350083752141</c:v>
                </c:pt>
                <c:pt idx="281">
                  <c:v>701.26350083752141</c:v>
                </c:pt>
                <c:pt idx="282">
                  <c:v>701.26350083752141</c:v>
                </c:pt>
                <c:pt idx="283">
                  <c:v>701.26350083752141</c:v>
                </c:pt>
                <c:pt idx="284">
                  <c:v>701.26350083752141</c:v>
                </c:pt>
                <c:pt idx="285">
                  <c:v>701.26350083752141</c:v>
                </c:pt>
                <c:pt idx="286">
                  <c:v>701.26350083752141</c:v>
                </c:pt>
                <c:pt idx="287">
                  <c:v>701.26350083752141</c:v>
                </c:pt>
                <c:pt idx="288">
                  <c:v>701.26350083752141</c:v>
                </c:pt>
                <c:pt idx="289">
                  <c:v>701.26350083752141</c:v>
                </c:pt>
                <c:pt idx="290">
                  <c:v>701.26350083752141</c:v>
                </c:pt>
                <c:pt idx="291">
                  <c:v>701.26350083752141</c:v>
                </c:pt>
                <c:pt idx="292">
                  <c:v>701.26350083752141</c:v>
                </c:pt>
                <c:pt idx="293">
                  <c:v>701.26350083752141</c:v>
                </c:pt>
                <c:pt idx="294">
                  <c:v>701.26350083752141</c:v>
                </c:pt>
                <c:pt idx="295">
                  <c:v>701.26350083752141</c:v>
                </c:pt>
                <c:pt idx="296">
                  <c:v>701.26350083752141</c:v>
                </c:pt>
                <c:pt idx="297">
                  <c:v>701.26350083752141</c:v>
                </c:pt>
                <c:pt idx="298">
                  <c:v>701.26350083752141</c:v>
                </c:pt>
                <c:pt idx="299">
                  <c:v>701.26350083752141</c:v>
                </c:pt>
                <c:pt idx="300">
                  <c:v>701.26350083752141</c:v>
                </c:pt>
                <c:pt idx="301">
                  <c:v>701.26350083752141</c:v>
                </c:pt>
                <c:pt idx="302">
                  <c:v>701.26350083752141</c:v>
                </c:pt>
                <c:pt idx="303">
                  <c:v>701.26350083752141</c:v>
                </c:pt>
                <c:pt idx="304">
                  <c:v>701.26350083752141</c:v>
                </c:pt>
                <c:pt idx="305">
                  <c:v>701.26350083752141</c:v>
                </c:pt>
                <c:pt idx="306">
                  <c:v>701.26350083752141</c:v>
                </c:pt>
                <c:pt idx="307">
                  <c:v>701.26350083752141</c:v>
                </c:pt>
                <c:pt idx="308">
                  <c:v>701.26350083752141</c:v>
                </c:pt>
                <c:pt idx="309">
                  <c:v>701.26350083752141</c:v>
                </c:pt>
                <c:pt idx="310">
                  <c:v>701.26350083752141</c:v>
                </c:pt>
                <c:pt idx="311">
                  <c:v>701.26350083752141</c:v>
                </c:pt>
                <c:pt idx="312">
                  <c:v>701.26350083752141</c:v>
                </c:pt>
                <c:pt idx="313">
                  <c:v>701.26350083752141</c:v>
                </c:pt>
                <c:pt idx="314">
                  <c:v>701.26350083752141</c:v>
                </c:pt>
                <c:pt idx="315">
                  <c:v>701.26350083752141</c:v>
                </c:pt>
                <c:pt idx="316">
                  <c:v>701.26350083752141</c:v>
                </c:pt>
                <c:pt idx="317">
                  <c:v>701.26350083752141</c:v>
                </c:pt>
                <c:pt idx="318">
                  <c:v>701.26350083752141</c:v>
                </c:pt>
                <c:pt idx="319">
                  <c:v>701.26350083752141</c:v>
                </c:pt>
                <c:pt idx="320">
                  <c:v>701.26350083752141</c:v>
                </c:pt>
                <c:pt idx="321">
                  <c:v>701.26350083752141</c:v>
                </c:pt>
                <c:pt idx="322">
                  <c:v>701.26350083752141</c:v>
                </c:pt>
                <c:pt idx="323">
                  <c:v>701.26350083752141</c:v>
                </c:pt>
                <c:pt idx="324">
                  <c:v>701.26350083752141</c:v>
                </c:pt>
                <c:pt idx="325">
                  <c:v>701.26350083752141</c:v>
                </c:pt>
                <c:pt idx="326">
                  <c:v>701.26350083752141</c:v>
                </c:pt>
                <c:pt idx="327">
                  <c:v>701.26350083752141</c:v>
                </c:pt>
                <c:pt idx="328">
                  <c:v>701.26350083752141</c:v>
                </c:pt>
                <c:pt idx="329">
                  <c:v>701.26350083752141</c:v>
                </c:pt>
                <c:pt idx="330">
                  <c:v>701.26350083752141</c:v>
                </c:pt>
                <c:pt idx="331">
                  <c:v>701.26350083752141</c:v>
                </c:pt>
                <c:pt idx="332">
                  <c:v>701.26350083752141</c:v>
                </c:pt>
                <c:pt idx="333">
                  <c:v>701.26350083752141</c:v>
                </c:pt>
                <c:pt idx="334">
                  <c:v>701.26350083752141</c:v>
                </c:pt>
                <c:pt idx="335">
                  <c:v>701.26350083752141</c:v>
                </c:pt>
                <c:pt idx="336">
                  <c:v>701.26350083752141</c:v>
                </c:pt>
                <c:pt idx="337">
                  <c:v>701.26350083752141</c:v>
                </c:pt>
                <c:pt idx="338">
                  <c:v>701.26350083752141</c:v>
                </c:pt>
                <c:pt idx="339">
                  <c:v>701.26350083752141</c:v>
                </c:pt>
                <c:pt idx="340">
                  <c:v>701.26350083752141</c:v>
                </c:pt>
                <c:pt idx="341">
                  <c:v>701.26350083752141</c:v>
                </c:pt>
                <c:pt idx="342">
                  <c:v>701.26350083752141</c:v>
                </c:pt>
                <c:pt idx="343">
                  <c:v>701.26350083752141</c:v>
                </c:pt>
                <c:pt idx="344">
                  <c:v>701.26350083752141</c:v>
                </c:pt>
                <c:pt idx="345">
                  <c:v>701.26350083752141</c:v>
                </c:pt>
                <c:pt idx="346">
                  <c:v>701.26350083752141</c:v>
                </c:pt>
                <c:pt idx="347">
                  <c:v>701.26350083752141</c:v>
                </c:pt>
                <c:pt idx="348">
                  <c:v>701.26350083752141</c:v>
                </c:pt>
                <c:pt idx="349">
                  <c:v>701.26350083752141</c:v>
                </c:pt>
                <c:pt idx="350">
                  <c:v>701.26350083752141</c:v>
                </c:pt>
                <c:pt idx="351">
                  <c:v>701.26350083752141</c:v>
                </c:pt>
                <c:pt idx="352">
                  <c:v>701.26350083752141</c:v>
                </c:pt>
                <c:pt idx="353">
                  <c:v>701.26350083752141</c:v>
                </c:pt>
                <c:pt idx="354">
                  <c:v>701.26350083752141</c:v>
                </c:pt>
                <c:pt idx="355">
                  <c:v>701.26350083752141</c:v>
                </c:pt>
                <c:pt idx="356">
                  <c:v>701.26350083752141</c:v>
                </c:pt>
                <c:pt idx="357">
                  <c:v>701.26350083752141</c:v>
                </c:pt>
                <c:pt idx="358">
                  <c:v>701.26350083752141</c:v>
                </c:pt>
                <c:pt idx="359">
                  <c:v>701.26350083752141</c:v>
                </c:pt>
                <c:pt idx="360">
                  <c:v>701.26350083752141</c:v>
                </c:pt>
                <c:pt idx="361">
                  <c:v>701.26350083752141</c:v>
                </c:pt>
                <c:pt idx="362">
                  <c:v>701.26350083752141</c:v>
                </c:pt>
                <c:pt idx="363">
                  <c:v>701.26350083752141</c:v>
                </c:pt>
                <c:pt idx="364">
                  <c:v>701.26350083752141</c:v>
                </c:pt>
                <c:pt idx="365">
                  <c:v>701.26350083752141</c:v>
                </c:pt>
                <c:pt idx="366">
                  <c:v>701.26350083752141</c:v>
                </c:pt>
                <c:pt idx="367">
                  <c:v>701.26350083752141</c:v>
                </c:pt>
                <c:pt idx="368">
                  <c:v>701.26350083752141</c:v>
                </c:pt>
                <c:pt idx="369">
                  <c:v>701.26350083752141</c:v>
                </c:pt>
                <c:pt idx="370">
                  <c:v>701.26350083752141</c:v>
                </c:pt>
                <c:pt idx="371">
                  <c:v>701.26350083752141</c:v>
                </c:pt>
                <c:pt idx="372">
                  <c:v>701.26350083752141</c:v>
                </c:pt>
                <c:pt idx="373">
                  <c:v>701.26350083752141</c:v>
                </c:pt>
                <c:pt idx="374">
                  <c:v>701.26350083752141</c:v>
                </c:pt>
                <c:pt idx="375">
                  <c:v>701.26350083752141</c:v>
                </c:pt>
                <c:pt idx="376">
                  <c:v>701.26350083752141</c:v>
                </c:pt>
                <c:pt idx="377">
                  <c:v>701.26350083752141</c:v>
                </c:pt>
                <c:pt idx="378">
                  <c:v>701.26350083752141</c:v>
                </c:pt>
                <c:pt idx="379">
                  <c:v>701.26350083752141</c:v>
                </c:pt>
                <c:pt idx="380">
                  <c:v>701.26350083752141</c:v>
                </c:pt>
                <c:pt idx="381">
                  <c:v>701.26350083752141</c:v>
                </c:pt>
                <c:pt idx="382">
                  <c:v>701.26350083752141</c:v>
                </c:pt>
                <c:pt idx="383">
                  <c:v>701.26350083752141</c:v>
                </c:pt>
                <c:pt idx="384">
                  <c:v>701.26350083752141</c:v>
                </c:pt>
                <c:pt idx="385">
                  <c:v>701.26350083752141</c:v>
                </c:pt>
                <c:pt idx="386">
                  <c:v>701.26350083752141</c:v>
                </c:pt>
                <c:pt idx="387">
                  <c:v>701.26350083752141</c:v>
                </c:pt>
                <c:pt idx="388">
                  <c:v>701.26350083752141</c:v>
                </c:pt>
                <c:pt idx="389">
                  <c:v>701.26350083752141</c:v>
                </c:pt>
                <c:pt idx="390">
                  <c:v>701.26350083752141</c:v>
                </c:pt>
                <c:pt idx="391">
                  <c:v>701.26350083752141</c:v>
                </c:pt>
                <c:pt idx="392">
                  <c:v>701.26350083752141</c:v>
                </c:pt>
                <c:pt idx="393">
                  <c:v>701.26350083752141</c:v>
                </c:pt>
                <c:pt idx="394">
                  <c:v>701.26350083752141</c:v>
                </c:pt>
                <c:pt idx="395">
                  <c:v>701.26350083752141</c:v>
                </c:pt>
                <c:pt idx="396">
                  <c:v>701.26350083752141</c:v>
                </c:pt>
                <c:pt idx="397">
                  <c:v>701.26350083752141</c:v>
                </c:pt>
                <c:pt idx="398">
                  <c:v>701.26350083752141</c:v>
                </c:pt>
                <c:pt idx="399">
                  <c:v>701.26350083752141</c:v>
                </c:pt>
                <c:pt idx="400">
                  <c:v>701.26350083752141</c:v>
                </c:pt>
                <c:pt idx="401">
                  <c:v>701.26350083752141</c:v>
                </c:pt>
                <c:pt idx="402">
                  <c:v>701.26350083752141</c:v>
                </c:pt>
                <c:pt idx="403">
                  <c:v>701.26350083752141</c:v>
                </c:pt>
                <c:pt idx="404">
                  <c:v>701.26350083752141</c:v>
                </c:pt>
                <c:pt idx="405">
                  <c:v>701.26350083752141</c:v>
                </c:pt>
                <c:pt idx="406">
                  <c:v>701.26350083752141</c:v>
                </c:pt>
                <c:pt idx="407">
                  <c:v>701.26350083752141</c:v>
                </c:pt>
                <c:pt idx="408">
                  <c:v>701.26350083752141</c:v>
                </c:pt>
                <c:pt idx="409">
                  <c:v>701.26350083752141</c:v>
                </c:pt>
                <c:pt idx="410">
                  <c:v>701.26350083752141</c:v>
                </c:pt>
                <c:pt idx="411">
                  <c:v>701.26350083752141</c:v>
                </c:pt>
                <c:pt idx="412">
                  <c:v>701.26350083752141</c:v>
                </c:pt>
                <c:pt idx="413">
                  <c:v>701.26350083752141</c:v>
                </c:pt>
                <c:pt idx="414">
                  <c:v>701.26350083752141</c:v>
                </c:pt>
                <c:pt idx="415">
                  <c:v>701.26350083752141</c:v>
                </c:pt>
                <c:pt idx="416">
                  <c:v>701.26350083752141</c:v>
                </c:pt>
                <c:pt idx="417">
                  <c:v>701.26350083752141</c:v>
                </c:pt>
                <c:pt idx="418">
                  <c:v>701.26350083752141</c:v>
                </c:pt>
                <c:pt idx="419">
                  <c:v>701.26350083752141</c:v>
                </c:pt>
                <c:pt idx="420">
                  <c:v>701.26350083752141</c:v>
                </c:pt>
                <c:pt idx="421">
                  <c:v>701.26350083752141</c:v>
                </c:pt>
                <c:pt idx="422">
                  <c:v>701.26350083752141</c:v>
                </c:pt>
                <c:pt idx="423">
                  <c:v>701.26350083752141</c:v>
                </c:pt>
                <c:pt idx="424">
                  <c:v>701.26350083752141</c:v>
                </c:pt>
                <c:pt idx="425">
                  <c:v>701.26350083752141</c:v>
                </c:pt>
                <c:pt idx="426">
                  <c:v>701.26350083752141</c:v>
                </c:pt>
                <c:pt idx="427">
                  <c:v>701.26350083752141</c:v>
                </c:pt>
                <c:pt idx="428">
                  <c:v>701.26350083752141</c:v>
                </c:pt>
                <c:pt idx="429">
                  <c:v>701.26350083752141</c:v>
                </c:pt>
                <c:pt idx="430">
                  <c:v>701.26350083752141</c:v>
                </c:pt>
                <c:pt idx="431">
                  <c:v>701.26350083752141</c:v>
                </c:pt>
                <c:pt idx="432">
                  <c:v>701.26350083752141</c:v>
                </c:pt>
                <c:pt idx="433">
                  <c:v>701.26350083752141</c:v>
                </c:pt>
                <c:pt idx="434">
                  <c:v>701.26350083752141</c:v>
                </c:pt>
                <c:pt idx="435">
                  <c:v>701.26350083752141</c:v>
                </c:pt>
                <c:pt idx="436">
                  <c:v>701.26350083752141</c:v>
                </c:pt>
                <c:pt idx="437">
                  <c:v>701.26350083752141</c:v>
                </c:pt>
                <c:pt idx="438">
                  <c:v>701.26350083752141</c:v>
                </c:pt>
                <c:pt idx="439">
                  <c:v>701.26350083752141</c:v>
                </c:pt>
                <c:pt idx="440">
                  <c:v>701.26350083752141</c:v>
                </c:pt>
                <c:pt idx="441">
                  <c:v>701.26350083752141</c:v>
                </c:pt>
                <c:pt idx="442">
                  <c:v>701.26350083752141</c:v>
                </c:pt>
                <c:pt idx="443">
                  <c:v>701.26350083752141</c:v>
                </c:pt>
                <c:pt idx="444">
                  <c:v>701.26350083752141</c:v>
                </c:pt>
                <c:pt idx="445">
                  <c:v>701.26350083752141</c:v>
                </c:pt>
                <c:pt idx="446">
                  <c:v>701.26350083752141</c:v>
                </c:pt>
                <c:pt idx="447">
                  <c:v>701.26350083752141</c:v>
                </c:pt>
                <c:pt idx="448">
                  <c:v>701.26350083752141</c:v>
                </c:pt>
                <c:pt idx="449">
                  <c:v>701.26350083752141</c:v>
                </c:pt>
                <c:pt idx="450">
                  <c:v>701.26350083752141</c:v>
                </c:pt>
                <c:pt idx="451">
                  <c:v>701.26350083752141</c:v>
                </c:pt>
                <c:pt idx="452">
                  <c:v>701.26350083752141</c:v>
                </c:pt>
                <c:pt idx="453">
                  <c:v>701.26350083752141</c:v>
                </c:pt>
                <c:pt idx="454">
                  <c:v>701.26350083752141</c:v>
                </c:pt>
                <c:pt idx="455">
                  <c:v>701.26350083752141</c:v>
                </c:pt>
                <c:pt idx="456">
                  <c:v>701.26350083752141</c:v>
                </c:pt>
                <c:pt idx="457">
                  <c:v>701.26350083752141</c:v>
                </c:pt>
                <c:pt idx="458">
                  <c:v>701.26350083752141</c:v>
                </c:pt>
                <c:pt idx="459">
                  <c:v>701.26350083752141</c:v>
                </c:pt>
                <c:pt idx="460">
                  <c:v>701.26350083752141</c:v>
                </c:pt>
                <c:pt idx="461">
                  <c:v>701.26350083752141</c:v>
                </c:pt>
                <c:pt idx="462">
                  <c:v>701.26350083752141</c:v>
                </c:pt>
                <c:pt idx="463">
                  <c:v>701.26350083752141</c:v>
                </c:pt>
                <c:pt idx="464">
                  <c:v>701.26350083752141</c:v>
                </c:pt>
                <c:pt idx="465">
                  <c:v>701.26350083752141</c:v>
                </c:pt>
                <c:pt idx="466">
                  <c:v>701.26350083752141</c:v>
                </c:pt>
                <c:pt idx="467">
                  <c:v>701.26350083752141</c:v>
                </c:pt>
                <c:pt idx="468">
                  <c:v>701.26350083752141</c:v>
                </c:pt>
                <c:pt idx="469">
                  <c:v>701.26350083752141</c:v>
                </c:pt>
                <c:pt idx="470">
                  <c:v>701.26350083752141</c:v>
                </c:pt>
                <c:pt idx="471">
                  <c:v>701.26350083752141</c:v>
                </c:pt>
                <c:pt idx="472">
                  <c:v>701.26350083752141</c:v>
                </c:pt>
                <c:pt idx="473">
                  <c:v>701.26350083752141</c:v>
                </c:pt>
                <c:pt idx="474">
                  <c:v>701.26350083752141</c:v>
                </c:pt>
                <c:pt idx="475">
                  <c:v>701.26350083752141</c:v>
                </c:pt>
                <c:pt idx="476">
                  <c:v>701.26350083752141</c:v>
                </c:pt>
                <c:pt idx="477">
                  <c:v>701.26350083752141</c:v>
                </c:pt>
                <c:pt idx="478">
                  <c:v>701.26350083752141</c:v>
                </c:pt>
                <c:pt idx="479">
                  <c:v>701.26350083752141</c:v>
                </c:pt>
                <c:pt idx="480">
                  <c:v>701.26350083752141</c:v>
                </c:pt>
                <c:pt idx="481">
                  <c:v>701.26350083752141</c:v>
                </c:pt>
                <c:pt idx="482">
                  <c:v>701.26350083752141</c:v>
                </c:pt>
                <c:pt idx="483">
                  <c:v>701.26350083752141</c:v>
                </c:pt>
                <c:pt idx="484">
                  <c:v>701.26350083752141</c:v>
                </c:pt>
                <c:pt idx="485">
                  <c:v>701.26350083752141</c:v>
                </c:pt>
                <c:pt idx="486">
                  <c:v>701.26350083752141</c:v>
                </c:pt>
                <c:pt idx="487">
                  <c:v>701.26350083752141</c:v>
                </c:pt>
                <c:pt idx="488">
                  <c:v>701.26350083752141</c:v>
                </c:pt>
                <c:pt idx="489">
                  <c:v>701.26350083752141</c:v>
                </c:pt>
                <c:pt idx="490">
                  <c:v>701.26350083752141</c:v>
                </c:pt>
                <c:pt idx="491">
                  <c:v>701.26350083752141</c:v>
                </c:pt>
                <c:pt idx="492">
                  <c:v>701.26350083752141</c:v>
                </c:pt>
                <c:pt idx="493">
                  <c:v>701.26350083752141</c:v>
                </c:pt>
                <c:pt idx="494">
                  <c:v>701.26350083752141</c:v>
                </c:pt>
                <c:pt idx="495">
                  <c:v>701.26350083752141</c:v>
                </c:pt>
                <c:pt idx="496">
                  <c:v>701.26350083752141</c:v>
                </c:pt>
                <c:pt idx="497">
                  <c:v>701.26350083752141</c:v>
                </c:pt>
                <c:pt idx="498">
                  <c:v>701.26350083752141</c:v>
                </c:pt>
                <c:pt idx="499">
                  <c:v>701.26350083752141</c:v>
                </c:pt>
                <c:pt idx="500">
                  <c:v>701.26350083752141</c:v>
                </c:pt>
                <c:pt idx="501">
                  <c:v>701.26350083752141</c:v>
                </c:pt>
                <c:pt idx="502">
                  <c:v>701.26350083752141</c:v>
                </c:pt>
                <c:pt idx="503">
                  <c:v>701.26350083752141</c:v>
                </c:pt>
                <c:pt idx="504">
                  <c:v>701.26350083752141</c:v>
                </c:pt>
                <c:pt idx="505">
                  <c:v>701.26350083752141</c:v>
                </c:pt>
                <c:pt idx="506">
                  <c:v>701.26350083752141</c:v>
                </c:pt>
                <c:pt idx="507">
                  <c:v>701.26350083752141</c:v>
                </c:pt>
                <c:pt idx="508">
                  <c:v>701.26350083752141</c:v>
                </c:pt>
                <c:pt idx="509">
                  <c:v>701.26350083752141</c:v>
                </c:pt>
                <c:pt idx="510">
                  <c:v>701.26350083752141</c:v>
                </c:pt>
                <c:pt idx="511">
                  <c:v>701.26350083752141</c:v>
                </c:pt>
                <c:pt idx="512">
                  <c:v>701.26350083752141</c:v>
                </c:pt>
                <c:pt idx="513">
                  <c:v>701.26350083752141</c:v>
                </c:pt>
                <c:pt idx="514">
                  <c:v>701.26350083752141</c:v>
                </c:pt>
                <c:pt idx="515">
                  <c:v>701.26350083752141</c:v>
                </c:pt>
                <c:pt idx="516">
                  <c:v>701.26350083752141</c:v>
                </c:pt>
                <c:pt idx="517">
                  <c:v>701.26350083752141</c:v>
                </c:pt>
                <c:pt idx="518">
                  <c:v>701.26350083752141</c:v>
                </c:pt>
                <c:pt idx="519">
                  <c:v>701.26350083752141</c:v>
                </c:pt>
                <c:pt idx="520">
                  <c:v>701.26350083752141</c:v>
                </c:pt>
                <c:pt idx="521">
                  <c:v>701.26350083752141</c:v>
                </c:pt>
                <c:pt idx="522">
                  <c:v>701.26350083752141</c:v>
                </c:pt>
                <c:pt idx="523">
                  <c:v>701.26350083752141</c:v>
                </c:pt>
                <c:pt idx="524">
                  <c:v>701.26350083752141</c:v>
                </c:pt>
                <c:pt idx="525">
                  <c:v>701.26350083752141</c:v>
                </c:pt>
                <c:pt idx="526">
                  <c:v>701.26350083752141</c:v>
                </c:pt>
                <c:pt idx="527">
                  <c:v>701.26350083752141</c:v>
                </c:pt>
                <c:pt idx="528">
                  <c:v>701.26350083752141</c:v>
                </c:pt>
                <c:pt idx="529">
                  <c:v>701.26350083752141</c:v>
                </c:pt>
                <c:pt idx="530">
                  <c:v>701.26350083752141</c:v>
                </c:pt>
                <c:pt idx="531">
                  <c:v>701.26350083752141</c:v>
                </c:pt>
                <c:pt idx="532">
                  <c:v>701.26350083752141</c:v>
                </c:pt>
                <c:pt idx="533">
                  <c:v>701.26350083752141</c:v>
                </c:pt>
                <c:pt idx="534">
                  <c:v>701.26350083752141</c:v>
                </c:pt>
                <c:pt idx="535">
                  <c:v>701.26350083752141</c:v>
                </c:pt>
                <c:pt idx="536">
                  <c:v>701.26350083752141</c:v>
                </c:pt>
                <c:pt idx="537">
                  <c:v>701.26350083752141</c:v>
                </c:pt>
                <c:pt idx="538">
                  <c:v>701.26350083752141</c:v>
                </c:pt>
                <c:pt idx="539">
                  <c:v>701.26350083752141</c:v>
                </c:pt>
                <c:pt idx="540">
                  <c:v>701.26350083752141</c:v>
                </c:pt>
                <c:pt idx="541">
                  <c:v>701.26350083752141</c:v>
                </c:pt>
                <c:pt idx="542">
                  <c:v>701.26350083752141</c:v>
                </c:pt>
                <c:pt idx="543">
                  <c:v>701.26350083752141</c:v>
                </c:pt>
                <c:pt idx="544">
                  <c:v>701.26350083752141</c:v>
                </c:pt>
                <c:pt idx="545">
                  <c:v>701.26350083752141</c:v>
                </c:pt>
                <c:pt idx="546">
                  <c:v>701.26350083752141</c:v>
                </c:pt>
                <c:pt idx="547">
                  <c:v>701.26350083752141</c:v>
                </c:pt>
                <c:pt idx="548">
                  <c:v>701.26350083752141</c:v>
                </c:pt>
                <c:pt idx="549">
                  <c:v>701.26350083752141</c:v>
                </c:pt>
                <c:pt idx="550">
                  <c:v>701.26350083752141</c:v>
                </c:pt>
                <c:pt idx="551">
                  <c:v>701.26350083752141</c:v>
                </c:pt>
                <c:pt idx="552">
                  <c:v>701.26350083752141</c:v>
                </c:pt>
                <c:pt idx="553">
                  <c:v>701.26350083752141</c:v>
                </c:pt>
                <c:pt idx="554">
                  <c:v>701.26350083752141</c:v>
                </c:pt>
                <c:pt idx="555">
                  <c:v>701.26350083752141</c:v>
                </c:pt>
                <c:pt idx="556">
                  <c:v>701.26350083752141</c:v>
                </c:pt>
                <c:pt idx="557">
                  <c:v>701.26350083752141</c:v>
                </c:pt>
                <c:pt idx="558">
                  <c:v>701.26350083752141</c:v>
                </c:pt>
                <c:pt idx="559">
                  <c:v>701.26350083752141</c:v>
                </c:pt>
                <c:pt idx="560">
                  <c:v>701.26350083752141</c:v>
                </c:pt>
                <c:pt idx="561">
                  <c:v>701.26350083752141</c:v>
                </c:pt>
                <c:pt idx="562">
                  <c:v>701.26350083752141</c:v>
                </c:pt>
                <c:pt idx="563">
                  <c:v>701.26350083752141</c:v>
                </c:pt>
                <c:pt idx="564">
                  <c:v>701.26350083752141</c:v>
                </c:pt>
                <c:pt idx="565">
                  <c:v>701.26350083752141</c:v>
                </c:pt>
                <c:pt idx="566">
                  <c:v>701.26350083752141</c:v>
                </c:pt>
                <c:pt idx="567">
                  <c:v>701.26350083752141</c:v>
                </c:pt>
                <c:pt idx="568">
                  <c:v>701.26350083752141</c:v>
                </c:pt>
                <c:pt idx="569">
                  <c:v>701.26350083752141</c:v>
                </c:pt>
                <c:pt idx="570">
                  <c:v>701.26350083752141</c:v>
                </c:pt>
                <c:pt idx="571">
                  <c:v>701.26350083752141</c:v>
                </c:pt>
                <c:pt idx="572">
                  <c:v>701.26350083752141</c:v>
                </c:pt>
                <c:pt idx="573">
                  <c:v>701.26350083752141</c:v>
                </c:pt>
                <c:pt idx="574">
                  <c:v>701.26350083752141</c:v>
                </c:pt>
                <c:pt idx="575">
                  <c:v>701.26350083752141</c:v>
                </c:pt>
                <c:pt idx="576">
                  <c:v>701.26350083752141</c:v>
                </c:pt>
                <c:pt idx="577">
                  <c:v>701.26350083752141</c:v>
                </c:pt>
                <c:pt idx="578">
                  <c:v>701.26350083752141</c:v>
                </c:pt>
                <c:pt idx="579">
                  <c:v>701.26350083752141</c:v>
                </c:pt>
                <c:pt idx="580">
                  <c:v>701.26350083752141</c:v>
                </c:pt>
                <c:pt idx="581">
                  <c:v>701.26350083752141</c:v>
                </c:pt>
                <c:pt idx="582">
                  <c:v>701.26350083752141</c:v>
                </c:pt>
                <c:pt idx="583">
                  <c:v>701.26350083752141</c:v>
                </c:pt>
                <c:pt idx="584">
                  <c:v>701.26350083752141</c:v>
                </c:pt>
                <c:pt idx="585">
                  <c:v>701.26350083752141</c:v>
                </c:pt>
                <c:pt idx="586">
                  <c:v>701.26350083752141</c:v>
                </c:pt>
                <c:pt idx="587">
                  <c:v>701.26350083752141</c:v>
                </c:pt>
                <c:pt idx="588">
                  <c:v>701.26350083752141</c:v>
                </c:pt>
                <c:pt idx="589">
                  <c:v>701.26350083752141</c:v>
                </c:pt>
                <c:pt idx="590">
                  <c:v>701.26350083752141</c:v>
                </c:pt>
                <c:pt idx="591">
                  <c:v>701.26350083752141</c:v>
                </c:pt>
                <c:pt idx="592">
                  <c:v>701.26350083752141</c:v>
                </c:pt>
                <c:pt idx="593">
                  <c:v>701.26350083752141</c:v>
                </c:pt>
                <c:pt idx="594">
                  <c:v>701.26350083752141</c:v>
                </c:pt>
                <c:pt idx="595">
                  <c:v>701.26350083752141</c:v>
                </c:pt>
                <c:pt idx="596">
                  <c:v>701.26350083752141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2F-4122-B1BC-6713C4DAF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Thickness_SPC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Thickness_SPC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Thickness_SPC!$G$9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Thickness_SPC!$G$10:$G$606</c:f>
              <c:numCache>
                <c:formatCode>0.000</c:formatCode>
                <c:ptCount val="597"/>
                <c:pt idx="1">
                  <c:v>0.88400000000001455</c:v>
                </c:pt>
                <c:pt idx="2">
                  <c:v>0.49700000000007094</c:v>
                </c:pt>
                <c:pt idx="3">
                  <c:v>1.0850000000000364</c:v>
                </c:pt>
                <c:pt idx="4">
                  <c:v>1.9149999999999636</c:v>
                </c:pt>
                <c:pt idx="5">
                  <c:v>1.6269999999999527</c:v>
                </c:pt>
                <c:pt idx="6">
                  <c:v>0.13599999999996726</c:v>
                </c:pt>
                <c:pt idx="7">
                  <c:v>0.28999999999996362</c:v>
                </c:pt>
                <c:pt idx="8">
                  <c:v>0.40999999999996817</c:v>
                </c:pt>
                <c:pt idx="9">
                  <c:v>0.58100000000001728</c:v>
                </c:pt>
                <c:pt idx="10">
                  <c:v>0.85000000000002274</c:v>
                </c:pt>
                <c:pt idx="11">
                  <c:v>8.9000000000055479E-2</c:v>
                </c:pt>
                <c:pt idx="12">
                  <c:v>0.75</c:v>
                </c:pt>
                <c:pt idx="13">
                  <c:v>1.8369999999999891</c:v>
                </c:pt>
                <c:pt idx="14">
                  <c:v>2.7579999999999245</c:v>
                </c:pt>
                <c:pt idx="15">
                  <c:v>0.84299999999996089</c:v>
                </c:pt>
                <c:pt idx="16">
                  <c:v>0.82000000000005002</c:v>
                </c:pt>
                <c:pt idx="17">
                  <c:v>0.55500000000006366</c:v>
                </c:pt>
                <c:pt idx="18">
                  <c:v>0.62800000000004275</c:v>
                </c:pt>
                <c:pt idx="19">
                  <c:v>1.4970000000000709</c:v>
                </c:pt>
                <c:pt idx="20">
                  <c:v>1.3180000000000973</c:v>
                </c:pt>
                <c:pt idx="21">
                  <c:v>1.0650000000000546</c:v>
                </c:pt>
                <c:pt idx="22">
                  <c:v>2.06899999999996</c:v>
                </c:pt>
                <c:pt idx="23">
                  <c:v>1.6349999999999909</c:v>
                </c:pt>
                <c:pt idx="24">
                  <c:v>1.9750000000000227</c:v>
                </c:pt>
                <c:pt idx="25">
                  <c:v>0.25300000000004275</c:v>
                </c:pt>
                <c:pt idx="26">
                  <c:v>0.44299999999998363</c:v>
                </c:pt>
                <c:pt idx="27">
                  <c:v>0.39800000000002456</c:v>
                </c:pt>
                <c:pt idx="28">
                  <c:v>1.0149999999999864</c:v>
                </c:pt>
                <c:pt idx="29">
                  <c:v>0.11300000000005639</c:v>
                </c:pt>
                <c:pt idx="30">
                  <c:v>0.29099999999993997</c:v>
                </c:pt>
                <c:pt idx="31">
                  <c:v>0.51700000000005275</c:v>
                </c:pt>
                <c:pt idx="32">
                  <c:v>0.74900000000002365</c:v>
                </c:pt>
                <c:pt idx="33">
                  <c:v>1.4070000000000391</c:v>
                </c:pt>
                <c:pt idx="34">
                  <c:v>0.13800000000003365</c:v>
                </c:pt>
                <c:pt idx="35">
                  <c:v>0.43299999999999272</c:v>
                </c:pt>
                <c:pt idx="36">
                  <c:v>0.10400000000004184</c:v>
                </c:pt>
                <c:pt idx="37">
                  <c:v>1.5260000000000673</c:v>
                </c:pt>
                <c:pt idx="38">
                  <c:v>1.5780000000000882</c:v>
                </c:pt>
                <c:pt idx="39">
                  <c:v>0.41800000000000637</c:v>
                </c:pt>
                <c:pt idx="40">
                  <c:v>0.44999999999993179</c:v>
                </c:pt>
                <c:pt idx="41">
                  <c:v>0.57000000000005002</c:v>
                </c:pt>
                <c:pt idx="42">
                  <c:v>1.9790000000000418</c:v>
                </c:pt>
                <c:pt idx="43">
                  <c:v>0.17700000000002092</c:v>
                </c:pt>
                <c:pt idx="44">
                  <c:v>1.5640000000000782</c:v>
                </c:pt>
                <c:pt idx="45">
                  <c:v>9.1000000000008185E-2</c:v>
                </c:pt>
                <c:pt idx="46">
                  <c:v>0.1290000000000191</c:v>
                </c:pt>
                <c:pt idx="47">
                  <c:v>0.28800000000001091</c:v>
                </c:pt>
                <c:pt idx="48">
                  <c:v>1.4840000000000373</c:v>
                </c:pt>
                <c:pt idx="49">
                  <c:v>0.38599999999996726</c:v>
                </c:pt>
                <c:pt idx="50">
                  <c:v>1.9549999999999272</c:v>
                </c:pt>
                <c:pt idx="51">
                  <c:v>2.08299999999997</c:v>
                </c:pt>
                <c:pt idx="52">
                  <c:v>0.39199999999993906</c:v>
                </c:pt>
                <c:pt idx="53">
                  <c:v>0.66500000000007731</c:v>
                </c:pt>
                <c:pt idx="54">
                  <c:v>3.8000000000010914E-2</c:v>
                </c:pt>
                <c:pt idx="55">
                  <c:v>2.9470000000000027</c:v>
                </c:pt>
                <c:pt idx="56">
                  <c:v>0.84600000000000364</c:v>
                </c:pt>
                <c:pt idx="57">
                  <c:v>1.6509999999999536</c:v>
                </c:pt>
                <c:pt idx="58">
                  <c:v>1.7000000000000455</c:v>
                </c:pt>
                <c:pt idx="59">
                  <c:v>1.2180000000000746</c:v>
                </c:pt>
                <c:pt idx="60">
                  <c:v>0.56400000000007822</c:v>
                </c:pt>
                <c:pt idx="61">
                  <c:v>1.0049999999999955</c:v>
                </c:pt>
                <c:pt idx="62">
                  <c:v>0.49500000000000455</c:v>
                </c:pt>
                <c:pt idx="63">
                  <c:v>1.9800000000000182</c:v>
                </c:pt>
                <c:pt idx="64">
                  <c:v>0.50099999999997635</c:v>
                </c:pt>
                <c:pt idx="65">
                  <c:v>0.33399999999994634</c:v>
                </c:pt>
                <c:pt idx="66">
                  <c:v>1.5310000000000628</c:v>
                </c:pt>
                <c:pt idx="67">
                  <c:v>0.19600000000002638</c:v>
                </c:pt>
                <c:pt idx="68">
                  <c:v>3.7069999999999936</c:v>
                </c:pt>
                <c:pt idx="69">
                  <c:v>2.4809999999999945</c:v>
                </c:pt>
                <c:pt idx="70">
                  <c:v>1.0299999999999727</c:v>
                </c:pt>
                <c:pt idx="71">
                  <c:v>1.3700000000000045</c:v>
                </c:pt>
                <c:pt idx="72">
                  <c:v>1.0579999999999927</c:v>
                </c:pt>
                <c:pt idx="73">
                  <c:v>1.4339999999999691</c:v>
                </c:pt>
                <c:pt idx="74">
                  <c:v>1.210999999999899</c:v>
                </c:pt>
                <c:pt idx="75">
                  <c:v>0.92600000000004457</c:v>
                </c:pt>
                <c:pt idx="76">
                  <c:v>0.26699999999993906</c:v>
                </c:pt>
                <c:pt idx="77">
                  <c:v>0.25199999999995271</c:v>
                </c:pt>
                <c:pt idx="78">
                  <c:v>0.97000000000002728</c:v>
                </c:pt>
                <c:pt idx="79">
                  <c:v>5.2999999999997272E-2</c:v>
                </c:pt>
                <c:pt idx="80">
                  <c:v>0.94100000000003092</c:v>
                </c:pt>
                <c:pt idx="81">
                  <c:v>0.3709999999999809</c:v>
                </c:pt>
                <c:pt idx="82">
                  <c:v>1.3569999999999709</c:v>
                </c:pt>
                <c:pt idx="83">
                  <c:v>1.446999999999889</c:v>
                </c:pt>
                <c:pt idx="84">
                  <c:v>0.64699999999993452</c:v>
                </c:pt>
                <c:pt idx="85">
                  <c:v>0.96699999999998454</c:v>
                </c:pt>
                <c:pt idx="86">
                  <c:v>1.7000000000052751E-2</c:v>
                </c:pt>
                <c:pt idx="87">
                  <c:v>2.4930000000000518</c:v>
                </c:pt>
                <c:pt idx="88">
                  <c:v>2.2749999999999773</c:v>
                </c:pt>
                <c:pt idx="89">
                  <c:v>3.0000000000427463E-3</c:v>
                </c:pt>
                <c:pt idx="90">
                  <c:v>0.45399999999995089</c:v>
                </c:pt>
                <c:pt idx="91">
                  <c:v>0.33399999999994634</c:v>
                </c:pt>
                <c:pt idx="92">
                  <c:v>0.89200000000005275</c:v>
                </c:pt>
                <c:pt idx="93">
                  <c:v>1.1259999999999764</c:v>
                </c:pt>
                <c:pt idx="94">
                  <c:v>1.5480000000000018</c:v>
                </c:pt>
                <c:pt idx="95">
                  <c:v>0.57500000000004547</c:v>
                </c:pt>
                <c:pt idx="96">
                  <c:v>0.79899999999997817</c:v>
                </c:pt>
                <c:pt idx="97">
                  <c:v>1.2880000000000109</c:v>
                </c:pt>
                <c:pt idx="98">
                  <c:v>1.8880000000000337</c:v>
                </c:pt>
                <c:pt idx="99">
                  <c:v>1.0230000000000246</c:v>
                </c:pt>
                <c:pt idx="100">
                  <c:v>0.23800000000005639</c:v>
                </c:pt>
                <c:pt idx="101">
                  <c:v>1.2889999999999873</c:v>
                </c:pt>
                <c:pt idx="102">
                  <c:v>9.7999999999956344E-2</c:v>
                </c:pt>
                <c:pt idx="103">
                  <c:v>0.59799999999995634</c:v>
                </c:pt>
                <c:pt idx="104">
                  <c:v>1.4230000000000018</c:v>
                </c:pt>
                <c:pt idx="105">
                  <c:v>0.41200000000003456</c:v>
                </c:pt>
                <c:pt idx="106">
                  <c:v>0.1169999999999618</c:v>
                </c:pt>
                <c:pt idx="107">
                  <c:v>4.0509999999999309</c:v>
                </c:pt>
                <c:pt idx="108">
                  <c:v>4.0869999999999891</c:v>
                </c:pt>
                <c:pt idx="109">
                  <c:v>1.04200000000003</c:v>
                </c:pt>
                <c:pt idx="110">
                  <c:v>1.2060000000000173</c:v>
                </c:pt>
                <c:pt idx="111">
                  <c:v>0.34000000000003183</c:v>
                </c:pt>
                <c:pt idx="112">
                  <c:v>1.2340000000000373</c:v>
                </c:pt>
                <c:pt idx="113">
                  <c:v>0.54199999999991633</c:v>
                </c:pt>
                <c:pt idx="114">
                  <c:v>3.11099999999999</c:v>
                </c:pt>
                <c:pt idx="115">
                  <c:v>0.66399999999998727</c:v>
                </c:pt>
                <c:pt idx="116">
                  <c:v>0.66800000000000637</c:v>
                </c:pt>
                <c:pt idx="117">
                  <c:v>0.37600000000009004</c:v>
                </c:pt>
                <c:pt idx="118">
                  <c:v>0.97800000000006548</c:v>
                </c:pt>
                <c:pt idx="119">
                  <c:v>5.9999999999718057E-3</c:v>
                </c:pt>
                <c:pt idx="120">
                  <c:v>0.19399999999995998</c:v>
                </c:pt>
                <c:pt idx="121">
                  <c:v>0.26199999999994361</c:v>
                </c:pt>
                <c:pt idx="122">
                  <c:v>0.15099999999995362</c:v>
                </c:pt>
                <c:pt idx="123">
                  <c:v>0.23000000000001819</c:v>
                </c:pt>
                <c:pt idx="124">
                  <c:v>0.53599999999994452</c:v>
                </c:pt>
                <c:pt idx="125">
                  <c:v>0.92100000000004911</c:v>
                </c:pt>
                <c:pt idx="126">
                  <c:v>2.5439999999999827</c:v>
                </c:pt>
                <c:pt idx="127">
                  <c:v>0.76900000000000546</c:v>
                </c:pt>
                <c:pt idx="128">
                  <c:v>0.7720000000000482</c:v>
                </c:pt>
                <c:pt idx="129">
                  <c:v>1.5779999999999745</c:v>
                </c:pt>
                <c:pt idx="130">
                  <c:v>0.96500000000003183</c:v>
                </c:pt>
                <c:pt idx="131">
                  <c:v>1.1029999999999518</c:v>
                </c:pt>
                <c:pt idx="132">
                  <c:v>2.2039999999999509</c:v>
                </c:pt>
                <c:pt idx="133">
                  <c:v>1.2540000000000191</c:v>
                </c:pt>
                <c:pt idx="134">
                  <c:v>2.1140000000000327</c:v>
                </c:pt>
                <c:pt idx="135">
                  <c:v>0.10400000000004184</c:v>
                </c:pt>
                <c:pt idx="136">
                  <c:v>2.1639999999999873</c:v>
                </c:pt>
                <c:pt idx="137">
                  <c:v>0.83800000000007913</c:v>
                </c:pt>
                <c:pt idx="138">
                  <c:v>0.77300000000002456</c:v>
                </c:pt>
                <c:pt idx="139">
                  <c:v>1.1340000000000146</c:v>
                </c:pt>
                <c:pt idx="140">
                  <c:v>3.0900000000000318</c:v>
                </c:pt>
                <c:pt idx="141">
                  <c:v>0.24500000000000455</c:v>
                </c:pt>
                <c:pt idx="142">
                  <c:v>1.7040000000000646</c:v>
                </c:pt>
                <c:pt idx="143">
                  <c:v>0.62999999999999545</c:v>
                </c:pt>
                <c:pt idx="144">
                  <c:v>0.35200000000008913</c:v>
                </c:pt>
                <c:pt idx="145">
                  <c:v>0.43799999999998818</c:v>
                </c:pt>
                <c:pt idx="146">
                  <c:v>0.45799999999996999</c:v>
                </c:pt>
                <c:pt idx="147">
                  <c:v>0.24699999999995725</c:v>
                </c:pt>
                <c:pt idx="148">
                  <c:v>0.37999999999999545</c:v>
                </c:pt>
                <c:pt idx="149">
                  <c:v>3.7089999999999463</c:v>
                </c:pt>
                <c:pt idx="150">
                  <c:v>1.1630000000000109</c:v>
                </c:pt>
                <c:pt idx="151">
                  <c:v>0.21000000000003638</c:v>
                </c:pt>
                <c:pt idx="152">
                  <c:v>1.0589999999999691</c:v>
                </c:pt>
                <c:pt idx="153">
                  <c:v>1.0259999999999536</c:v>
                </c:pt>
                <c:pt idx="154">
                  <c:v>1.4999999999986358E-2</c:v>
                </c:pt>
                <c:pt idx="155">
                  <c:v>0.16899999999998272</c:v>
                </c:pt>
                <c:pt idx="156">
                  <c:v>0.52299999999991087</c:v>
                </c:pt>
                <c:pt idx="157">
                  <c:v>0.71199999999998909</c:v>
                </c:pt>
                <c:pt idx="158">
                  <c:v>1.0879999999999654</c:v>
                </c:pt>
                <c:pt idx="159">
                  <c:v>1.0960000000000036</c:v>
                </c:pt>
                <c:pt idx="160">
                  <c:v>0.8569999999999709</c:v>
                </c:pt>
                <c:pt idx="161">
                  <c:v>2.3000000000024556E-2</c:v>
                </c:pt>
                <c:pt idx="162">
                  <c:v>0.51999999999998181</c:v>
                </c:pt>
                <c:pt idx="163">
                  <c:v>0.27199999999993452</c:v>
                </c:pt>
                <c:pt idx="164">
                  <c:v>1.0999999999999091</c:v>
                </c:pt>
                <c:pt idx="165">
                  <c:v>0.15499999999997272</c:v>
                </c:pt>
                <c:pt idx="166">
                  <c:v>2.3339999999999463</c:v>
                </c:pt>
                <c:pt idx="167">
                  <c:v>4.2969999999999118</c:v>
                </c:pt>
                <c:pt idx="168">
                  <c:v>2.4489999999999554</c:v>
                </c:pt>
                <c:pt idx="169">
                  <c:v>0.51199999999994361</c:v>
                </c:pt>
                <c:pt idx="170">
                  <c:v>1.8599999999999</c:v>
                </c:pt>
                <c:pt idx="171">
                  <c:v>1.3139999999999645</c:v>
                </c:pt>
                <c:pt idx="172">
                  <c:v>0.57799999999997453</c:v>
                </c:pt>
                <c:pt idx="173">
                  <c:v>1.3490000000000464</c:v>
                </c:pt>
                <c:pt idx="174">
                  <c:v>2.1320000000000618</c:v>
                </c:pt>
                <c:pt idx="175">
                  <c:v>0.86099999999999</c:v>
                </c:pt>
                <c:pt idx="176">
                  <c:v>2.1309999999999718</c:v>
                </c:pt>
                <c:pt idx="177">
                  <c:v>2.9379999999999882</c:v>
                </c:pt>
                <c:pt idx="178">
                  <c:v>0.92100000000004911</c:v>
                </c:pt>
                <c:pt idx="179">
                  <c:v>0.13999999999998636</c:v>
                </c:pt>
                <c:pt idx="180">
                  <c:v>2.8339999999999463</c:v>
                </c:pt>
                <c:pt idx="181">
                  <c:v>2.9649999999999181</c:v>
                </c:pt>
                <c:pt idx="182">
                  <c:v>0.4779999999999518</c:v>
                </c:pt>
                <c:pt idx="183">
                  <c:v>0.33000000000004093</c:v>
                </c:pt>
                <c:pt idx="184">
                  <c:v>1.0619999999998981</c:v>
                </c:pt>
                <c:pt idx="185">
                  <c:v>2.3410000000000082</c:v>
                </c:pt>
                <c:pt idx="186">
                  <c:v>9.1999999999984539E-2</c:v>
                </c:pt>
                <c:pt idx="187">
                  <c:v>0.47900000000004184</c:v>
                </c:pt>
                <c:pt idx="188">
                  <c:v>1.9470000000000027</c:v>
                </c:pt>
                <c:pt idx="189">
                  <c:v>0.72599999999999909</c:v>
                </c:pt>
                <c:pt idx="190">
                  <c:v>0.13800000000003365</c:v>
                </c:pt>
                <c:pt idx="191">
                  <c:v>0.18900000000007822</c:v>
                </c:pt>
                <c:pt idx="192">
                  <c:v>1.5529999999999973</c:v>
                </c:pt>
                <c:pt idx="193">
                  <c:v>2.9250000000000682</c:v>
                </c:pt>
                <c:pt idx="194">
                  <c:v>3.09699999999998</c:v>
                </c:pt>
                <c:pt idx="195">
                  <c:v>1.999999999998181E-2</c:v>
                </c:pt>
                <c:pt idx="196">
                  <c:v>1.0520000000000209</c:v>
                </c:pt>
                <c:pt idx="197">
                  <c:v>8.6999999999989086E-2</c:v>
                </c:pt>
                <c:pt idx="198">
                  <c:v>0.15399999999999636</c:v>
                </c:pt>
                <c:pt idx="199">
                  <c:v>0.37300000000004729</c:v>
                </c:pt>
                <c:pt idx="200">
                  <c:v>1.0070000000000618</c:v>
                </c:pt>
                <c:pt idx="201">
                  <c:v>1.039000000000101</c:v>
                </c:pt>
                <c:pt idx="202">
                  <c:v>0.39000000000010004</c:v>
                </c:pt>
                <c:pt idx="203">
                  <c:v>0.85400000000004184</c:v>
                </c:pt>
                <c:pt idx="204">
                  <c:v>0.89199999999993906</c:v>
                </c:pt>
                <c:pt idx="205">
                  <c:v>5.1999999999907232E-2</c:v>
                </c:pt>
                <c:pt idx="206">
                  <c:v>0.54300000000000637</c:v>
                </c:pt>
                <c:pt idx="207">
                  <c:v>0.47400000000004638</c:v>
                </c:pt>
                <c:pt idx="208">
                  <c:v>1.5879999999999654</c:v>
                </c:pt>
                <c:pt idx="209">
                  <c:v>0.40199999999992997</c:v>
                </c:pt>
                <c:pt idx="210">
                  <c:v>0.36000000000001364</c:v>
                </c:pt>
                <c:pt idx="211">
                  <c:v>1.6270000000000664</c:v>
                </c:pt>
                <c:pt idx="212">
                  <c:v>0.31999999999993634</c:v>
                </c:pt>
                <c:pt idx="213">
                  <c:v>0.86099999999999</c:v>
                </c:pt>
                <c:pt idx="214">
                  <c:v>0.76400000000001</c:v>
                </c:pt>
                <c:pt idx="215">
                  <c:v>3.6999999999920874E-2</c:v>
                </c:pt>
                <c:pt idx="216">
                  <c:v>0.73599999999999</c:v>
                </c:pt>
                <c:pt idx="217">
                  <c:v>1.1059999999999945</c:v>
                </c:pt>
                <c:pt idx="218">
                  <c:v>1.37399999999991</c:v>
                </c:pt>
                <c:pt idx="219">
                  <c:v>1.7039999999999509</c:v>
                </c:pt>
                <c:pt idx="220">
                  <c:v>0.36799999999993815</c:v>
                </c:pt>
                <c:pt idx="221">
                  <c:v>0.80499999999994998</c:v>
                </c:pt>
                <c:pt idx="222">
                  <c:v>0.45100000000002183</c:v>
                </c:pt>
                <c:pt idx="223">
                  <c:v>0.45000000000004547</c:v>
                </c:pt>
                <c:pt idx="224">
                  <c:v>1.1639999999999873</c:v>
                </c:pt>
                <c:pt idx="225">
                  <c:v>1.6230000000000473</c:v>
                </c:pt>
                <c:pt idx="226">
                  <c:v>2.2129999999999654</c:v>
                </c:pt>
                <c:pt idx="227">
                  <c:v>1.8650000000000091</c:v>
                </c:pt>
                <c:pt idx="228">
                  <c:v>1.7150000000000318</c:v>
                </c:pt>
                <c:pt idx="229">
                  <c:v>0.14199999999993906</c:v>
                </c:pt>
                <c:pt idx="230">
                  <c:v>0.10099999999999909</c:v>
                </c:pt>
                <c:pt idx="231">
                  <c:v>0.43700000000001182</c:v>
                </c:pt>
                <c:pt idx="232">
                  <c:v>0.71400000000005548</c:v>
                </c:pt>
                <c:pt idx="233">
                  <c:v>0.59800000000007003</c:v>
                </c:pt>
                <c:pt idx="234">
                  <c:v>0.51300000000003365</c:v>
                </c:pt>
                <c:pt idx="235">
                  <c:v>1.4829999999999472</c:v>
                </c:pt>
                <c:pt idx="236">
                  <c:v>1.3019999999999072</c:v>
                </c:pt>
                <c:pt idx="237">
                  <c:v>1.88799999999992</c:v>
                </c:pt>
                <c:pt idx="238">
                  <c:v>7.7999999999974534E-2</c:v>
                </c:pt>
                <c:pt idx="239">
                  <c:v>1.5899999999999181</c:v>
                </c:pt>
                <c:pt idx="240">
                  <c:v>1.4189999999999827</c:v>
                </c:pt>
                <c:pt idx="241">
                  <c:v>8.8999999999941792E-2</c:v>
                </c:pt>
                <c:pt idx="242">
                  <c:v>0.83000000000004093</c:v>
                </c:pt>
                <c:pt idx="243">
                  <c:v>2.1680000000000064</c:v>
                </c:pt>
                <c:pt idx="244">
                  <c:v>0.42100000000004911</c:v>
                </c:pt>
                <c:pt idx="245">
                  <c:v>0.17099999999993543</c:v>
                </c:pt>
                <c:pt idx="246">
                  <c:v>0.64499999999998181</c:v>
                </c:pt>
                <c:pt idx="247">
                  <c:v>0.60199999999997544</c:v>
                </c:pt>
                <c:pt idx="248">
                  <c:v>0.20199999999999818</c:v>
                </c:pt>
                <c:pt idx="249">
                  <c:v>0.31999999999993634</c:v>
                </c:pt>
                <c:pt idx="250">
                  <c:v>0.48299999999994725</c:v>
                </c:pt>
                <c:pt idx="251">
                  <c:v>0.68399999999996908</c:v>
                </c:pt>
                <c:pt idx="252">
                  <c:v>1.8039999999999736</c:v>
                </c:pt>
                <c:pt idx="253">
                  <c:v>1.5929999999999609</c:v>
                </c:pt>
                <c:pt idx="254">
                  <c:v>1.6999999999939064E-2</c:v>
                </c:pt>
                <c:pt idx="255">
                  <c:v>1.6999999999939064E-2</c:v>
                </c:pt>
                <c:pt idx="256">
                  <c:v>1.0740000000000691</c:v>
                </c:pt>
                <c:pt idx="257">
                  <c:v>0.99700000000007094</c:v>
                </c:pt>
                <c:pt idx="258">
                  <c:v>1.0300000000000864</c:v>
                </c:pt>
                <c:pt idx="259">
                  <c:v>1.1410000000000764</c:v>
                </c:pt>
                <c:pt idx="260">
                  <c:v>1.07000000000005</c:v>
                </c:pt>
                <c:pt idx="261">
                  <c:v>9.0000000000145519E-3</c:v>
                </c:pt>
                <c:pt idx="262">
                  <c:v>1.6169999999999618</c:v>
                </c:pt>
                <c:pt idx="263">
                  <c:v>0.59999999999990905</c:v>
                </c:pt>
                <c:pt idx="264">
                  <c:v>0.2459999999999809</c:v>
                </c:pt>
                <c:pt idx="265">
                  <c:v>7.6000000000021828E-2</c:v>
                </c:pt>
                <c:pt idx="266">
                  <c:v>1.7129999999999654</c:v>
                </c:pt>
                <c:pt idx="267">
                  <c:v>1.0979999999999563</c:v>
                </c:pt>
                <c:pt idx="268">
                  <c:v>0.93299999999999272</c:v>
                </c:pt>
                <c:pt idx="269">
                  <c:v>1.0149999999999864</c:v>
                </c:pt>
                <c:pt idx="270">
                  <c:v>0.32999999999992724</c:v>
                </c:pt>
                <c:pt idx="271">
                  <c:v>1.6999999999999318</c:v>
                </c:pt>
                <c:pt idx="272">
                  <c:v>5.2000000000020918E-2</c:v>
                </c:pt>
                <c:pt idx="273">
                  <c:v>0.46600000000000819</c:v>
                </c:pt>
                <c:pt idx="274">
                  <c:v>1.8930000000000291</c:v>
                </c:pt>
                <c:pt idx="275">
                  <c:v>0.45600000000001728</c:v>
                </c:pt>
                <c:pt idx="276">
                  <c:v>0.14999999999997726</c:v>
                </c:pt>
                <c:pt idx="277">
                  <c:v>4.4999999999959073E-2</c:v>
                </c:pt>
                <c:pt idx="278">
                  <c:v>0.95099999999990814</c:v>
                </c:pt>
                <c:pt idx="279">
                  <c:v>9.2999999999960892E-2</c:v>
                </c:pt>
                <c:pt idx="280">
                  <c:v>1.7880000000000109</c:v>
                </c:pt>
                <c:pt idx="281">
                  <c:v>0.73800000000005639</c:v>
                </c:pt>
                <c:pt idx="282">
                  <c:v>4.9999999999954525E-2</c:v>
                </c:pt>
                <c:pt idx="283">
                  <c:v>1.6090000000000373</c:v>
                </c:pt>
                <c:pt idx="284">
                  <c:v>1.5339999999999918</c:v>
                </c:pt>
                <c:pt idx="285">
                  <c:v>5.6999999999902684E-2</c:v>
                </c:pt>
                <c:pt idx="286">
                  <c:v>0.6169999999999618</c:v>
                </c:pt>
                <c:pt idx="287">
                  <c:v>3.999999999996362E-2</c:v>
                </c:pt>
                <c:pt idx="288">
                  <c:v>0.16999999999995907</c:v>
                </c:pt>
                <c:pt idx="289">
                  <c:v>2.9999999999972715E-2</c:v>
                </c:pt>
                <c:pt idx="290">
                  <c:v>0.45199999999999818</c:v>
                </c:pt>
                <c:pt idx="291">
                  <c:v>4.2000000000030013E-2</c:v>
                </c:pt>
                <c:pt idx="292">
                  <c:v>1.54099999999994</c:v>
                </c:pt>
                <c:pt idx="293">
                  <c:v>2.1779999999999973</c:v>
                </c:pt>
                <c:pt idx="294">
                  <c:v>1.7999999999915417E-2</c:v>
                </c:pt>
                <c:pt idx="295">
                  <c:v>0.33499999999992269</c:v>
                </c:pt>
                <c:pt idx="296">
                  <c:v>0.17300000000000182</c:v>
                </c:pt>
                <c:pt idx="297">
                  <c:v>0.3449999999999136</c:v>
                </c:pt>
                <c:pt idx="298">
                  <c:v>0.3549999999999045</c:v>
                </c:pt>
                <c:pt idx="299">
                  <c:v>5.5000000000063665E-2</c:v>
                </c:pt>
                <c:pt idx="300">
                  <c:v>0.18100000000004002</c:v>
                </c:pt>
                <c:pt idx="301">
                  <c:v>1.1999999999943611E-2</c:v>
                </c:pt>
                <c:pt idx="302">
                  <c:v>0.17799999999999727</c:v>
                </c:pt>
                <c:pt idx="303">
                  <c:v>0.2680000000000291</c:v>
                </c:pt>
                <c:pt idx="304">
                  <c:v>1.125</c:v>
                </c:pt>
                <c:pt idx="305">
                  <c:v>3.7340000000000373</c:v>
                </c:pt>
                <c:pt idx="306">
                  <c:v>0.23900000000003274</c:v>
                </c:pt>
                <c:pt idx="307">
                  <c:v>2.7570000000000618</c:v>
                </c:pt>
                <c:pt idx="308">
                  <c:v>0.82800000000008822</c:v>
                </c:pt>
                <c:pt idx="309">
                  <c:v>1.5410000000000537</c:v>
                </c:pt>
                <c:pt idx="310">
                  <c:v>1.9239999999999782</c:v>
                </c:pt>
                <c:pt idx="311">
                  <c:v>0.39800000000002456</c:v>
                </c:pt>
                <c:pt idx="312">
                  <c:v>9.1999999999984539E-2</c:v>
                </c:pt>
                <c:pt idx="313">
                  <c:v>0.13200000000006185</c:v>
                </c:pt>
                <c:pt idx="314">
                  <c:v>1.3190000000000737</c:v>
                </c:pt>
                <c:pt idx="315">
                  <c:v>0.91900000000009641</c:v>
                </c:pt>
                <c:pt idx="316">
                  <c:v>0.10599999999999454</c:v>
                </c:pt>
                <c:pt idx="317">
                  <c:v>6.8000000000097316E-2</c:v>
                </c:pt>
                <c:pt idx="318">
                  <c:v>0.35800000000006094</c:v>
                </c:pt>
                <c:pt idx="319">
                  <c:v>0.20900000000006003</c:v>
                </c:pt>
                <c:pt idx="320">
                  <c:v>0.15499999999997272</c:v>
                </c:pt>
                <c:pt idx="321">
                  <c:v>2.8999999999996362E-2</c:v>
                </c:pt>
                <c:pt idx="322">
                  <c:v>0.69499999999993634</c:v>
                </c:pt>
                <c:pt idx="323">
                  <c:v>1.49899999999991</c:v>
                </c:pt>
                <c:pt idx="324">
                  <c:v>1.2980000000000018</c:v>
                </c:pt>
                <c:pt idx="325">
                  <c:v>0.78700000000003456</c:v>
                </c:pt>
                <c:pt idx="326">
                  <c:v>0.43200000000001637</c:v>
                </c:pt>
                <c:pt idx="327">
                  <c:v>0.84699999999997999</c:v>
                </c:pt>
                <c:pt idx="328">
                  <c:v>8.500000000003638E-2</c:v>
                </c:pt>
                <c:pt idx="329">
                  <c:v>1.6770000000000209</c:v>
                </c:pt>
                <c:pt idx="330">
                  <c:v>0.5</c:v>
                </c:pt>
                <c:pt idx="331">
                  <c:v>3.9999999999054126E-3</c:v>
                </c:pt>
                <c:pt idx="332">
                  <c:v>1.0679999999999836</c:v>
                </c:pt>
                <c:pt idx="333">
                  <c:v>1.3249999999999318</c:v>
                </c:pt>
                <c:pt idx="334">
                  <c:v>3.999999999996362E-2</c:v>
                </c:pt>
                <c:pt idx="335">
                  <c:v>1.2720000000000482</c:v>
                </c:pt>
                <c:pt idx="336">
                  <c:v>0.91700000000003001</c:v>
                </c:pt>
                <c:pt idx="337">
                  <c:v>3.4589999999999463</c:v>
                </c:pt>
                <c:pt idx="338">
                  <c:v>3.1849999999999454</c:v>
                </c:pt>
                <c:pt idx="339">
                  <c:v>0.82299999999997908</c:v>
                </c:pt>
                <c:pt idx="340">
                  <c:v>1.1559999999999491</c:v>
                </c:pt>
                <c:pt idx="341">
                  <c:v>0.22899999999992815</c:v>
                </c:pt>
                <c:pt idx="342">
                  <c:v>0.6410000000000764</c:v>
                </c:pt>
                <c:pt idx="343">
                  <c:v>0.23499999999989996</c:v>
                </c:pt>
                <c:pt idx="344">
                  <c:v>0.69000000000005457</c:v>
                </c:pt>
                <c:pt idx="345">
                  <c:v>1.88900000000001</c:v>
                </c:pt>
                <c:pt idx="346">
                  <c:v>1.1480000000000246</c:v>
                </c:pt>
                <c:pt idx="347">
                  <c:v>0.27800000000002001</c:v>
                </c:pt>
                <c:pt idx="348">
                  <c:v>1.4479999999999791</c:v>
                </c:pt>
                <c:pt idx="349">
                  <c:v>0.36300000000005639</c:v>
                </c:pt>
                <c:pt idx="350">
                  <c:v>0.77599999999995362</c:v>
                </c:pt>
                <c:pt idx="351">
                  <c:v>6.2000000000011823E-2</c:v>
                </c:pt>
                <c:pt idx="352">
                  <c:v>3.4080000000000155</c:v>
                </c:pt>
                <c:pt idx="353">
                  <c:v>3.6589999999999918</c:v>
                </c:pt>
                <c:pt idx="354">
                  <c:v>0.91800000000000637</c:v>
                </c:pt>
                <c:pt idx="355">
                  <c:v>1.7670000000000528</c:v>
                </c:pt>
                <c:pt idx="356">
                  <c:v>0.61300000000005639</c:v>
                </c:pt>
                <c:pt idx="357">
                  <c:v>2.4259999999999309</c:v>
                </c:pt>
                <c:pt idx="358">
                  <c:v>1.8550000000000182</c:v>
                </c:pt>
                <c:pt idx="359">
                  <c:v>0.52099999999995816</c:v>
                </c:pt>
                <c:pt idx="360">
                  <c:v>2.5120000000000573</c:v>
                </c:pt>
                <c:pt idx="361">
                  <c:v>3.3360000000000127</c:v>
                </c:pt>
                <c:pt idx="362">
                  <c:v>1.2839999999999918</c:v>
                </c:pt>
                <c:pt idx="363">
                  <c:v>0.77800000000002001</c:v>
                </c:pt>
                <c:pt idx="364">
                  <c:v>0.43800000000010186</c:v>
                </c:pt>
                <c:pt idx="365">
                  <c:v>1.5220000000000482</c:v>
                </c:pt>
                <c:pt idx="366">
                  <c:v>3.13900000000001</c:v>
                </c:pt>
                <c:pt idx="367">
                  <c:v>2.7649999999999864</c:v>
                </c:pt>
                <c:pt idx="368">
                  <c:v>1.3930000000000291</c:v>
                </c:pt>
                <c:pt idx="369">
                  <c:v>0.36399999999991905</c:v>
                </c:pt>
                <c:pt idx="370">
                  <c:v>0.43399999999996908</c:v>
                </c:pt>
                <c:pt idx="371">
                  <c:v>0.82899999999995089</c:v>
                </c:pt>
                <c:pt idx="372">
                  <c:v>1.0989999999999327</c:v>
                </c:pt>
                <c:pt idx="373">
                  <c:v>1.6660000000000537</c:v>
                </c:pt>
                <c:pt idx="374">
                  <c:v>1.0779999999999745</c:v>
                </c:pt>
                <c:pt idx="375">
                  <c:v>0.17200000000002547</c:v>
                </c:pt>
                <c:pt idx="376">
                  <c:v>1.4259999999999309</c:v>
                </c:pt>
                <c:pt idx="377">
                  <c:v>1.5670000000000073</c:v>
                </c:pt>
                <c:pt idx="378">
                  <c:v>1.1030000000000655</c:v>
                </c:pt>
                <c:pt idx="379">
                  <c:v>0.73500000000001364</c:v>
                </c:pt>
                <c:pt idx="380">
                  <c:v>0.19600000000002638</c:v>
                </c:pt>
                <c:pt idx="381">
                  <c:v>1.6460000000000719</c:v>
                </c:pt>
                <c:pt idx="382">
                  <c:v>0.33100000000001728</c:v>
                </c:pt>
                <c:pt idx="383">
                  <c:v>1.0510000000000446</c:v>
                </c:pt>
                <c:pt idx="384">
                  <c:v>0.8669999999999618</c:v>
                </c:pt>
                <c:pt idx="385">
                  <c:v>0.23200000000008458</c:v>
                </c:pt>
                <c:pt idx="386">
                  <c:v>0.22500000000002274</c:v>
                </c:pt>
                <c:pt idx="387">
                  <c:v>1.5009999999999764</c:v>
                </c:pt>
                <c:pt idx="388">
                  <c:v>0.23200000000008458</c:v>
                </c:pt>
                <c:pt idx="389">
                  <c:v>0.51400000000001</c:v>
                </c:pt>
                <c:pt idx="390">
                  <c:v>0.69100000000003092</c:v>
                </c:pt>
                <c:pt idx="391">
                  <c:v>3.0000000000427463E-3</c:v>
                </c:pt>
                <c:pt idx="392">
                  <c:v>1.9389999999999645</c:v>
                </c:pt>
                <c:pt idx="393">
                  <c:v>1.6090000000000373</c:v>
                </c:pt>
                <c:pt idx="394">
                  <c:v>1.1650000000000773</c:v>
                </c:pt>
                <c:pt idx="395">
                  <c:v>0.68800000000010186</c:v>
                </c:pt>
                <c:pt idx="396">
                  <c:v>0.8449999999999136</c:v>
                </c:pt>
                <c:pt idx="397">
                  <c:v>0.84699999999997999</c:v>
                </c:pt>
                <c:pt idx="398">
                  <c:v>7.7999999999974534E-2</c:v>
                </c:pt>
                <c:pt idx="399">
                  <c:v>1.09699999999998</c:v>
                </c:pt>
                <c:pt idx="400">
                  <c:v>0.1169999999999618</c:v>
                </c:pt>
                <c:pt idx="401">
                  <c:v>1.4470000000000027</c:v>
                </c:pt>
                <c:pt idx="402">
                  <c:v>0.1430000000000291</c:v>
                </c:pt>
                <c:pt idx="403">
                  <c:v>0.33499999999992269</c:v>
                </c:pt>
                <c:pt idx="404">
                  <c:v>0.31600000000003092</c:v>
                </c:pt>
                <c:pt idx="405">
                  <c:v>0.20199999999999818</c:v>
                </c:pt>
                <c:pt idx="406">
                  <c:v>0.29300000000000637</c:v>
                </c:pt>
                <c:pt idx="407">
                  <c:v>0.37000000000000455</c:v>
                </c:pt>
                <c:pt idx="408">
                  <c:v>0.1129999999999427</c:v>
                </c:pt>
                <c:pt idx="409">
                  <c:v>0.55700000000001637</c:v>
                </c:pt>
                <c:pt idx="410">
                  <c:v>1.1299999999999955</c:v>
                </c:pt>
                <c:pt idx="411">
                  <c:v>0.10799999999994725</c:v>
                </c:pt>
                <c:pt idx="412">
                  <c:v>0.25099999999997635</c:v>
                </c:pt>
                <c:pt idx="413">
                  <c:v>3.6050000000000182</c:v>
                </c:pt>
                <c:pt idx="414">
                  <c:v>0.16899999999998272</c:v>
                </c:pt>
                <c:pt idx="415">
                  <c:v>0.39299999999991542</c:v>
                </c:pt>
                <c:pt idx="416">
                  <c:v>2.2039999999999509</c:v>
                </c:pt>
                <c:pt idx="417">
                  <c:v>0.25</c:v>
                </c:pt>
                <c:pt idx="418">
                  <c:v>9.9000000000046384E-2</c:v>
                </c:pt>
                <c:pt idx="419">
                  <c:v>0.51499999999998636</c:v>
                </c:pt>
                <c:pt idx="420">
                  <c:v>0.47900000000004184</c:v>
                </c:pt>
                <c:pt idx="421">
                  <c:v>0.17999999999994998</c:v>
                </c:pt>
                <c:pt idx="422">
                  <c:v>0.12799999999992906</c:v>
                </c:pt>
                <c:pt idx="423">
                  <c:v>0.78899999999998727</c:v>
                </c:pt>
                <c:pt idx="424">
                  <c:v>0.39099999999996271</c:v>
                </c:pt>
                <c:pt idx="425">
                  <c:v>0.3930000000000291</c:v>
                </c:pt>
                <c:pt idx="426">
                  <c:v>1.9020000000000437</c:v>
                </c:pt>
                <c:pt idx="427">
                  <c:v>1.63900000000001</c:v>
                </c:pt>
                <c:pt idx="428">
                  <c:v>1.6849999999999454</c:v>
                </c:pt>
                <c:pt idx="429">
                  <c:v>1.66599999999994</c:v>
                </c:pt>
                <c:pt idx="430">
                  <c:v>1.63900000000001</c:v>
                </c:pt>
                <c:pt idx="431">
                  <c:v>0.81200000000001182</c:v>
                </c:pt>
                <c:pt idx="432">
                  <c:v>0.51099999999996726</c:v>
                </c:pt>
                <c:pt idx="433">
                  <c:v>2.100000000007185E-2</c:v>
                </c:pt>
                <c:pt idx="434">
                  <c:v>0.52300000000002456</c:v>
                </c:pt>
                <c:pt idx="435">
                  <c:v>0.36599999999998545</c:v>
                </c:pt>
                <c:pt idx="436">
                  <c:v>0.59100000000000819</c:v>
                </c:pt>
                <c:pt idx="437">
                  <c:v>0.48699999999996635</c:v>
                </c:pt>
                <c:pt idx="438">
                  <c:v>0.85800000000006094</c:v>
                </c:pt>
                <c:pt idx="439">
                  <c:v>0.59400000000005093</c:v>
                </c:pt>
                <c:pt idx="440">
                  <c:v>0.90999999999996817</c:v>
                </c:pt>
                <c:pt idx="441">
                  <c:v>0.36200000000008004</c:v>
                </c:pt>
                <c:pt idx="442">
                  <c:v>2.0380000000000109</c:v>
                </c:pt>
                <c:pt idx="443">
                  <c:v>2.0799999999999272</c:v>
                </c:pt>
                <c:pt idx="444">
                  <c:v>0.42400000000009186</c:v>
                </c:pt>
                <c:pt idx="445">
                  <c:v>0.8930000000000291</c:v>
                </c:pt>
                <c:pt idx="446">
                  <c:v>0.83000000000004093</c:v>
                </c:pt>
                <c:pt idx="447">
                  <c:v>0.25599999999997181</c:v>
                </c:pt>
                <c:pt idx="448">
                  <c:v>0.42799999999999727</c:v>
                </c:pt>
                <c:pt idx="449">
                  <c:v>0.21800000000007458</c:v>
                </c:pt>
                <c:pt idx="450">
                  <c:v>2.1779999999999973</c:v>
                </c:pt>
                <c:pt idx="451">
                  <c:v>0.87599999999997635</c:v>
                </c:pt>
                <c:pt idx="452">
                  <c:v>1.6299999999999955</c:v>
                </c:pt>
                <c:pt idx="453">
                  <c:v>0.56999999999993634</c:v>
                </c:pt>
                <c:pt idx="454">
                  <c:v>9.0000000000031832E-2</c:v>
                </c:pt>
                <c:pt idx="455">
                  <c:v>1.5589999999999691</c:v>
                </c:pt>
                <c:pt idx="456">
                  <c:v>0.60799999999994725</c:v>
                </c:pt>
                <c:pt idx="457">
                  <c:v>0.57999999999992724</c:v>
                </c:pt>
                <c:pt idx="458">
                  <c:v>0.18799999999998818</c:v>
                </c:pt>
                <c:pt idx="459">
                  <c:v>1.2709999999999582</c:v>
                </c:pt>
                <c:pt idx="460">
                  <c:v>0.58500000000003638</c:v>
                </c:pt>
                <c:pt idx="461">
                  <c:v>1.3299999999999272</c:v>
                </c:pt>
                <c:pt idx="462">
                  <c:v>1.8700000000000045</c:v>
                </c:pt>
                <c:pt idx="463">
                  <c:v>2.6000000000067303E-2</c:v>
                </c:pt>
                <c:pt idx="464">
                  <c:v>0.44299999999998363</c:v>
                </c:pt>
                <c:pt idx="465">
                  <c:v>1.3550000000000182</c:v>
                </c:pt>
                <c:pt idx="466">
                  <c:v>1.4660000000000082</c:v>
                </c:pt>
                <c:pt idx="467">
                  <c:v>3.7000000000034561E-2</c:v>
                </c:pt>
                <c:pt idx="468">
                  <c:v>0.90699999999992542</c:v>
                </c:pt>
                <c:pt idx="469">
                  <c:v>0.38199999999994816</c:v>
                </c:pt>
                <c:pt idx="470">
                  <c:v>0.70299999999997453</c:v>
                </c:pt>
                <c:pt idx="471">
                  <c:v>0.61900000000002819</c:v>
                </c:pt>
                <c:pt idx="472">
                  <c:v>0.63199999999994816</c:v>
                </c:pt>
                <c:pt idx="473">
                  <c:v>1.3299999999999272</c:v>
                </c:pt>
                <c:pt idx="474">
                  <c:v>6.4000000000078217E-2</c:v>
                </c:pt>
                <c:pt idx="475">
                  <c:v>0.80700000000001637</c:v>
                </c:pt>
                <c:pt idx="476">
                  <c:v>0.81200000000001182</c:v>
                </c:pt>
                <c:pt idx="477">
                  <c:v>1.1420000000000528</c:v>
                </c:pt>
                <c:pt idx="478">
                  <c:v>2.1779999999999973</c:v>
                </c:pt>
                <c:pt idx="479">
                  <c:v>1.7280000000000655</c:v>
                </c:pt>
                <c:pt idx="480">
                  <c:v>0.36399999999991905</c:v>
                </c:pt>
                <c:pt idx="481">
                  <c:v>1.2839999999999918</c:v>
                </c:pt>
                <c:pt idx="482">
                  <c:v>8.0000000000381988E-3</c:v>
                </c:pt>
                <c:pt idx="483">
                  <c:v>1.4410000000000309</c:v>
                </c:pt>
                <c:pt idx="484">
                  <c:v>0.98000000000001819</c:v>
                </c:pt>
                <c:pt idx="485">
                  <c:v>1.1179999999999382</c:v>
                </c:pt>
                <c:pt idx="486">
                  <c:v>2.1069999999999709</c:v>
                </c:pt>
                <c:pt idx="487">
                  <c:v>2.8050000000000637</c:v>
                </c:pt>
                <c:pt idx="488">
                  <c:v>1.19500000000005</c:v>
                </c:pt>
                <c:pt idx="489">
                  <c:v>0.29499999999995907</c:v>
                </c:pt>
                <c:pt idx="490">
                  <c:v>0.59999999999990905</c:v>
                </c:pt>
                <c:pt idx="491">
                  <c:v>1.6649999999999636</c:v>
                </c:pt>
                <c:pt idx="492">
                  <c:v>0.42899999999997362</c:v>
                </c:pt>
                <c:pt idx="493">
                  <c:v>4.0589999999999691</c:v>
                </c:pt>
                <c:pt idx="494">
                  <c:v>0.63400000000001455</c:v>
                </c:pt>
                <c:pt idx="495">
                  <c:v>0.60599999999999454</c:v>
                </c:pt>
                <c:pt idx="496">
                  <c:v>0.77599999999995362</c:v>
                </c:pt>
                <c:pt idx="497">
                  <c:v>2.0190000000000055</c:v>
                </c:pt>
                <c:pt idx="498">
                  <c:v>0.37800000000004275</c:v>
                </c:pt>
                <c:pt idx="499">
                  <c:v>2.1809999999999263</c:v>
                </c:pt>
                <c:pt idx="500">
                  <c:v>1.1159999999999854</c:v>
                </c:pt>
                <c:pt idx="501">
                  <c:v>1.4329999999999927</c:v>
                </c:pt>
                <c:pt idx="502">
                  <c:v>9.6999999999979991E-2</c:v>
                </c:pt>
                <c:pt idx="503">
                  <c:v>0.65199999999992997</c:v>
                </c:pt>
                <c:pt idx="504">
                  <c:v>0.98299999999994725</c:v>
                </c:pt>
                <c:pt idx="505">
                  <c:v>0.85599999999999454</c:v>
                </c:pt>
                <c:pt idx="506">
                  <c:v>1.7390000000000327</c:v>
                </c:pt>
                <c:pt idx="507">
                  <c:v>2.3659999999999854</c:v>
                </c:pt>
                <c:pt idx="508">
                  <c:v>0.16399999999998727</c:v>
                </c:pt>
                <c:pt idx="509">
                  <c:v>1.3460000000000036</c:v>
                </c:pt>
                <c:pt idx="510">
                  <c:v>0.36499999999989541</c:v>
                </c:pt>
                <c:pt idx="511">
                  <c:v>0.88899999999989632</c:v>
                </c:pt>
                <c:pt idx="512">
                  <c:v>0.40499999999997272</c:v>
                </c:pt>
                <c:pt idx="513">
                  <c:v>1.1649999999999636</c:v>
                </c:pt>
                <c:pt idx="514">
                  <c:v>1.9869999999999663</c:v>
                </c:pt>
                <c:pt idx="515">
                  <c:v>0.16800000000000637</c:v>
                </c:pt>
                <c:pt idx="516">
                  <c:v>2.2169999999999845</c:v>
                </c:pt>
                <c:pt idx="517">
                  <c:v>1.4930000000000518</c:v>
                </c:pt>
                <c:pt idx="518">
                  <c:v>0.93499999999994543</c:v>
                </c:pt>
                <c:pt idx="519">
                  <c:v>0.28700000000003456</c:v>
                </c:pt>
                <c:pt idx="520">
                  <c:v>1.1320000000000618</c:v>
                </c:pt>
                <c:pt idx="521">
                  <c:v>1.6130000000000564</c:v>
                </c:pt>
                <c:pt idx="522">
                  <c:v>1.0710000000000264</c:v>
                </c:pt>
                <c:pt idx="523">
                  <c:v>0.66899999999998272</c:v>
                </c:pt>
                <c:pt idx="524">
                  <c:v>0.23599999999999</c:v>
                </c:pt>
                <c:pt idx="525">
                  <c:v>0.27699999999992997</c:v>
                </c:pt>
                <c:pt idx="526">
                  <c:v>0.35100000000011278</c:v>
                </c:pt>
                <c:pt idx="527">
                  <c:v>0.22200000000009368</c:v>
                </c:pt>
                <c:pt idx="528">
                  <c:v>0.23900000000003274</c:v>
                </c:pt>
                <c:pt idx="529">
                  <c:v>1.5370000000000346</c:v>
                </c:pt>
                <c:pt idx="530">
                  <c:v>3.3240000000000691</c:v>
                </c:pt>
                <c:pt idx="531">
                  <c:v>1.8670000000000755</c:v>
                </c:pt>
                <c:pt idx="532">
                  <c:v>7.4000000000069122E-2</c:v>
                </c:pt>
                <c:pt idx="533">
                  <c:v>0.46800000000007458</c:v>
                </c:pt>
                <c:pt idx="534">
                  <c:v>6.9000000000073669E-2</c:v>
                </c:pt>
                <c:pt idx="535">
                  <c:v>0.24900000000002365</c:v>
                </c:pt>
                <c:pt idx="536">
                  <c:v>1.38900000000001</c:v>
                </c:pt>
                <c:pt idx="537">
                  <c:v>1.3779999999999291</c:v>
                </c:pt>
                <c:pt idx="538">
                  <c:v>4.2000000000030013E-2</c:v>
                </c:pt>
                <c:pt idx="539">
                  <c:v>9.0000000000145519E-3</c:v>
                </c:pt>
                <c:pt idx="540">
                  <c:v>1.08299999999997</c:v>
                </c:pt>
                <c:pt idx="541">
                  <c:v>2.8129999999999882</c:v>
                </c:pt>
                <c:pt idx="542">
                  <c:v>1.4890000000000327</c:v>
                </c:pt>
                <c:pt idx="543">
                  <c:v>0.83299999999996999</c:v>
                </c:pt>
                <c:pt idx="544">
                  <c:v>1.8379999999999654</c:v>
                </c:pt>
                <c:pt idx="545">
                  <c:v>1.6730000000000018</c:v>
                </c:pt>
                <c:pt idx="546">
                  <c:v>1.3630000000000564</c:v>
                </c:pt>
                <c:pt idx="547">
                  <c:v>0.42300000000000182</c:v>
                </c:pt>
                <c:pt idx="548">
                  <c:v>1.5030000000000427</c:v>
                </c:pt>
                <c:pt idx="549">
                  <c:v>0.89599999999995816</c:v>
                </c:pt>
                <c:pt idx="550">
                  <c:v>1.1949999999999363</c:v>
                </c:pt>
                <c:pt idx="551">
                  <c:v>0.46500000000003183</c:v>
                </c:pt>
                <c:pt idx="552">
                  <c:v>0.16799999999989268</c:v>
                </c:pt>
                <c:pt idx="553">
                  <c:v>0.16299999999989723</c:v>
                </c:pt>
                <c:pt idx="554">
                  <c:v>0.89800000000002456</c:v>
                </c:pt>
                <c:pt idx="555">
                  <c:v>1.4109999999999445</c:v>
                </c:pt>
                <c:pt idx="556">
                  <c:v>0.62200000000007094</c:v>
                </c:pt>
                <c:pt idx="557">
                  <c:v>0.73899999999991905</c:v>
                </c:pt>
                <c:pt idx="558">
                  <c:v>2.8589999999999236</c:v>
                </c:pt>
                <c:pt idx="559">
                  <c:v>5.4000000000087311E-2</c:v>
                </c:pt>
                <c:pt idx="560">
                  <c:v>2.3550000000000182</c:v>
                </c:pt>
                <c:pt idx="561">
                  <c:v>1.8650000000000091</c:v>
                </c:pt>
                <c:pt idx="562">
                  <c:v>0.63999999999998636</c:v>
                </c:pt>
                <c:pt idx="563">
                  <c:v>0.46800000000007458</c:v>
                </c:pt>
                <c:pt idx="564">
                  <c:v>0.18399999999996908</c:v>
                </c:pt>
                <c:pt idx="565">
                  <c:v>1.4000000000010004E-2</c:v>
                </c:pt>
                <c:pt idx="566">
                  <c:v>0.68799999999998818</c:v>
                </c:pt>
                <c:pt idx="567">
                  <c:v>0.2319999999999709</c:v>
                </c:pt>
                <c:pt idx="568">
                  <c:v>0.26699999999993906</c:v>
                </c:pt>
                <c:pt idx="569">
                  <c:v>0.45500000000004093</c:v>
                </c:pt>
                <c:pt idx="570">
                  <c:v>1.3129999999999882</c:v>
                </c:pt>
                <c:pt idx="571">
                  <c:v>2.3709999999999809</c:v>
                </c:pt>
                <c:pt idx="572">
                  <c:v>0.23599999999999</c:v>
                </c:pt>
                <c:pt idx="573">
                  <c:v>0.63800000000003365</c:v>
                </c:pt>
                <c:pt idx="574">
                  <c:v>0.92200000000002547</c:v>
                </c:pt>
                <c:pt idx="575">
                  <c:v>5.2000000000020918E-2</c:v>
                </c:pt>
                <c:pt idx="576">
                  <c:v>0.81700000000000728</c:v>
                </c:pt>
                <c:pt idx="577">
                  <c:v>0.35500000000001819</c:v>
                </c:pt>
                <c:pt idx="578">
                  <c:v>1.0979999999999563</c:v>
                </c:pt>
                <c:pt idx="579">
                  <c:v>0.22199999999997999</c:v>
                </c:pt>
                <c:pt idx="580">
                  <c:v>0.1209999999999809</c:v>
                </c:pt>
                <c:pt idx="581">
                  <c:v>0.43600000000003547</c:v>
                </c:pt>
                <c:pt idx="582">
                  <c:v>0.45199999999999818</c:v>
                </c:pt>
                <c:pt idx="583">
                  <c:v>0.45500000000004093</c:v>
                </c:pt>
                <c:pt idx="584">
                  <c:v>0.53300000000001546</c:v>
                </c:pt>
                <c:pt idx="585">
                  <c:v>0.10099999999999909</c:v>
                </c:pt>
                <c:pt idx="586">
                  <c:v>1.3300000000000409</c:v>
                </c:pt>
                <c:pt idx="587">
                  <c:v>0.47400000000004638</c:v>
                </c:pt>
                <c:pt idx="588">
                  <c:v>1.75</c:v>
                </c:pt>
                <c:pt idx="589">
                  <c:v>0.28599999999994452</c:v>
                </c:pt>
                <c:pt idx="590">
                  <c:v>3.3600000000000136</c:v>
                </c:pt>
                <c:pt idx="591">
                  <c:v>2.8239999999999554</c:v>
                </c:pt>
                <c:pt idx="592">
                  <c:v>1.9999999999527063E-3</c:v>
                </c:pt>
                <c:pt idx="593">
                  <c:v>0.81499999999994088</c:v>
                </c:pt>
                <c:pt idx="594">
                  <c:v>0.91999999999995907</c:v>
                </c:pt>
                <c:pt idx="595">
                  <c:v>0.92999999999994998</c:v>
                </c:pt>
                <c:pt idx="596">
                  <c:v>0.37999999999999545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98-4CD4-BE4B-4A6C51C72A45}"/>
            </c:ext>
          </c:extLst>
        </c:ser>
        <c:ser>
          <c:idx val="1"/>
          <c:order val="1"/>
          <c:tx>
            <c:strRef>
              <c:f>Thickness_SPC!$J$9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Thickness_SPC!$J$10:$J$606</c:f>
              <c:numCache>
                <c:formatCode>0.000</c:formatCode>
                <c:ptCount val="597"/>
                <c:pt idx="0">
                  <c:v>3.1255652114093886</c:v>
                </c:pt>
                <c:pt idx="1">
                  <c:v>3.1255652114093886</c:v>
                </c:pt>
                <c:pt idx="2">
                  <c:v>3.1255652114093886</c:v>
                </c:pt>
                <c:pt idx="3">
                  <c:v>3.1255652114093886</c:v>
                </c:pt>
                <c:pt idx="4">
                  <c:v>3.1255652114093886</c:v>
                </c:pt>
                <c:pt idx="5">
                  <c:v>3.1255652114093886</c:v>
                </c:pt>
                <c:pt idx="6">
                  <c:v>3.1255652114093886</c:v>
                </c:pt>
                <c:pt idx="7">
                  <c:v>3.1255652114093886</c:v>
                </c:pt>
                <c:pt idx="8">
                  <c:v>3.1255652114093886</c:v>
                </c:pt>
                <c:pt idx="9">
                  <c:v>3.1255652114093886</c:v>
                </c:pt>
                <c:pt idx="10">
                  <c:v>3.1255652114093886</c:v>
                </c:pt>
                <c:pt idx="11">
                  <c:v>3.1255652114093886</c:v>
                </c:pt>
                <c:pt idx="12">
                  <c:v>3.1255652114093886</c:v>
                </c:pt>
                <c:pt idx="13">
                  <c:v>3.1255652114093886</c:v>
                </c:pt>
                <c:pt idx="14">
                  <c:v>3.1255652114093886</c:v>
                </c:pt>
                <c:pt idx="15">
                  <c:v>3.1255652114093886</c:v>
                </c:pt>
                <c:pt idx="16">
                  <c:v>3.1255652114093886</c:v>
                </c:pt>
                <c:pt idx="17">
                  <c:v>3.1255652114093886</c:v>
                </c:pt>
                <c:pt idx="18">
                  <c:v>3.1255652114093886</c:v>
                </c:pt>
                <c:pt idx="19">
                  <c:v>3.1255652114093886</c:v>
                </c:pt>
                <c:pt idx="20">
                  <c:v>3.1255652114093886</c:v>
                </c:pt>
                <c:pt idx="21">
                  <c:v>3.1255652114093886</c:v>
                </c:pt>
                <c:pt idx="22">
                  <c:v>3.1255652114093886</c:v>
                </c:pt>
                <c:pt idx="23">
                  <c:v>3.1255652114093886</c:v>
                </c:pt>
                <c:pt idx="24">
                  <c:v>3.1255652114093886</c:v>
                </c:pt>
                <c:pt idx="25">
                  <c:v>3.1255652114093886</c:v>
                </c:pt>
                <c:pt idx="26">
                  <c:v>3.1255652114093886</c:v>
                </c:pt>
                <c:pt idx="27">
                  <c:v>3.1255652114093886</c:v>
                </c:pt>
                <c:pt idx="28">
                  <c:v>3.1255652114093886</c:v>
                </c:pt>
                <c:pt idx="29">
                  <c:v>3.1255652114093886</c:v>
                </c:pt>
                <c:pt idx="30">
                  <c:v>3.1255652114093886</c:v>
                </c:pt>
                <c:pt idx="31">
                  <c:v>3.1255652114093886</c:v>
                </c:pt>
                <c:pt idx="32">
                  <c:v>3.1255652114093886</c:v>
                </c:pt>
                <c:pt idx="33">
                  <c:v>3.1255652114093886</c:v>
                </c:pt>
                <c:pt idx="34">
                  <c:v>3.1255652114093886</c:v>
                </c:pt>
                <c:pt idx="35">
                  <c:v>3.1255652114093886</c:v>
                </c:pt>
                <c:pt idx="36">
                  <c:v>3.1255652114093886</c:v>
                </c:pt>
                <c:pt idx="37">
                  <c:v>3.1255652114093886</c:v>
                </c:pt>
                <c:pt idx="38">
                  <c:v>3.1255652114093886</c:v>
                </c:pt>
                <c:pt idx="39">
                  <c:v>3.1255652114093886</c:v>
                </c:pt>
                <c:pt idx="40">
                  <c:v>3.1255652114093886</c:v>
                </c:pt>
                <c:pt idx="41">
                  <c:v>3.1255652114093886</c:v>
                </c:pt>
                <c:pt idx="42">
                  <c:v>3.1255652114093886</c:v>
                </c:pt>
                <c:pt idx="43">
                  <c:v>3.1255652114093886</c:v>
                </c:pt>
                <c:pt idx="44">
                  <c:v>3.1255652114093886</c:v>
                </c:pt>
                <c:pt idx="45">
                  <c:v>3.1255652114093886</c:v>
                </c:pt>
                <c:pt idx="46">
                  <c:v>3.1255652114093886</c:v>
                </c:pt>
                <c:pt idx="47">
                  <c:v>3.1255652114093886</c:v>
                </c:pt>
                <c:pt idx="48">
                  <c:v>3.1255652114093886</c:v>
                </c:pt>
                <c:pt idx="49">
                  <c:v>3.1255652114093886</c:v>
                </c:pt>
                <c:pt idx="50">
                  <c:v>3.1255652114093886</c:v>
                </c:pt>
                <c:pt idx="51">
                  <c:v>3.1255652114093886</c:v>
                </c:pt>
                <c:pt idx="52">
                  <c:v>3.1255652114093886</c:v>
                </c:pt>
                <c:pt idx="53">
                  <c:v>3.1255652114093886</c:v>
                </c:pt>
                <c:pt idx="54">
                  <c:v>3.1255652114093886</c:v>
                </c:pt>
                <c:pt idx="55">
                  <c:v>3.1255652114093886</c:v>
                </c:pt>
                <c:pt idx="56">
                  <c:v>3.1255652114093886</c:v>
                </c:pt>
                <c:pt idx="57">
                  <c:v>3.1255652114093886</c:v>
                </c:pt>
                <c:pt idx="58">
                  <c:v>3.1255652114093886</c:v>
                </c:pt>
                <c:pt idx="59">
                  <c:v>3.1255652114093886</c:v>
                </c:pt>
                <c:pt idx="60">
                  <c:v>3.1255652114093886</c:v>
                </c:pt>
                <c:pt idx="61">
                  <c:v>3.1255652114093886</c:v>
                </c:pt>
                <c:pt idx="62">
                  <c:v>3.1255652114093886</c:v>
                </c:pt>
                <c:pt idx="63">
                  <c:v>3.1255652114093886</c:v>
                </c:pt>
                <c:pt idx="64">
                  <c:v>3.1255652114093886</c:v>
                </c:pt>
                <c:pt idx="65">
                  <c:v>3.1255652114093886</c:v>
                </c:pt>
                <c:pt idx="66">
                  <c:v>3.1255652114093886</c:v>
                </c:pt>
                <c:pt idx="67">
                  <c:v>3.1255652114093886</c:v>
                </c:pt>
                <c:pt idx="68">
                  <c:v>3.1255652114093886</c:v>
                </c:pt>
                <c:pt idx="69">
                  <c:v>3.1255652114093886</c:v>
                </c:pt>
                <c:pt idx="70">
                  <c:v>3.1255652114093886</c:v>
                </c:pt>
                <c:pt idx="71">
                  <c:v>3.1255652114093886</c:v>
                </c:pt>
                <c:pt idx="72">
                  <c:v>3.1255652114093886</c:v>
                </c:pt>
                <c:pt idx="73">
                  <c:v>3.1255652114093886</c:v>
                </c:pt>
                <c:pt idx="74">
                  <c:v>3.1255652114093886</c:v>
                </c:pt>
                <c:pt idx="75">
                  <c:v>3.1255652114093886</c:v>
                </c:pt>
                <c:pt idx="76">
                  <c:v>3.1255652114093886</c:v>
                </c:pt>
                <c:pt idx="77">
                  <c:v>3.1255652114093886</c:v>
                </c:pt>
                <c:pt idx="78">
                  <c:v>3.1255652114093886</c:v>
                </c:pt>
                <c:pt idx="79">
                  <c:v>3.1255652114093886</c:v>
                </c:pt>
                <c:pt idx="80">
                  <c:v>3.1255652114093886</c:v>
                </c:pt>
                <c:pt idx="81">
                  <c:v>3.1255652114093886</c:v>
                </c:pt>
                <c:pt idx="82">
                  <c:v>3.1255652114093886</c:v>
                </c:pt>
                <c:pt idx="83">
                  <c:v>3.1255652114093886</c:v>
                </c:pt>
                <c:pt idx="84">
                  <c:v>3.1255652114093886</c:v>
                </c:pt>
                <c:pt idx="85">
                  <c:v>3.1255652114093886</c:v>
                </c:pt>
                <c:pt idx="86">
                  <c:v>3.1255652114093886</c:v>
                </c:pt>
                <c:pt idx="87">
                  <c:v>3.1255652114093886</c:v>
                </c:pt>
                <c:pt idx="88">
                  <c:v>3.1255652114093886</c:v>
                </c:pt>
                <c:pt idx="89">
                  <c:v>3.1255652114093886</c:v>
                </c:pt>
                <c:pt idx="90">
                  <c:v>3.1255652114093886</c:v>
                </c:pt>
                <c:pt idx="91">
                  <c:v>3.1255652114093886</c:v>
                </c:pt>
                <c:pt idx="92">
                  <c:v>3.1255652114093886</c:v>
                </c:pt>
                <c:pt idx="93">
                  <c:v>3.1255652114093886</c:v>
                </c:pt>
                <c:pt idx="94">
                  <c:v>3.1255652114093886</c:v>
                </c:pt>
                <c:pt idx="95">
                  <c:v>3.1255652114093886</c:v>
                </c:pt>
                <c:pt idx="96">
                  <c:v>3.1255652114093886</c:v>
                </c:pt>
                <c:pt idx="97">
                  <c:v>3.1255652114093886</c:v>
                </c:pt>
                <c:pt idx="98">
                  <c:v>3.1255652114093886</c:v>
                </c:pt>
                <c:pt idx="99">
                  <c:v>3.1255652114093886</c:v>
                </c:pt>
                <c:pt idx="100">
                  <c:v>3.1255652114093886</c:v>
                </c:pt>
                <c:pt idx="101">
                  <c:v>3.1255652114093886</c:v>
                </c:pt>
                <c:pt idx="102">
                  <c:v>3.1255652114093886</c:v>
                </c:pt>
                <c:pt idx="103">
                  <c:v>3.1255652114093886</c:v>
                </c:pt>
                <c:pt idx="104">
                  <c:v>3.1255652114093886</c:v>
                </c:pt>
                <c:pt idx="105">
                  <c:v>3.1255652114093886</c:v>
                </c:pt>
                <c:pt idx="106">
                  <c:v>3.1255652114093886</c:v>
                </c:pt>
                <c:pt idx="107">
                  <c:v>3.1255652114093886</c:v>
                </c:pt>
                <c:pt idx="108">
                  <c:v>3.1255652114093886</c:v>
                </c:pt>
                <c:pt idx="109">
                  <c:v>3.1255652114093886</c:v>
                </c:pt>
                <c:pt idx="110">
                  <c:v>3.1255652114093886</c:v>
                </c:pt>
                <c:pt idx="111">
                  <c:v>3.1255652114093886</c:v>
                </c:pt>
                <c:pt idx="112">
                  <c:v>3.1255652114093886</c:v>
                </c:pt>
                <c:pt idx="113">
                  <c:v>3.1255652114093886</c:v>
                </c:pt>
                <c:pt idx="114">
                  <c:v>3.1255652114093886</c:v>
                </c:pt>
                <c:pt idx="115">
                  <c:v>3.1255652114093886</c:v>
                </c:pt>
                <c:pt idx="116">
                  <c:v>3.1255652114093886</c:v>
                </c:pt>
                <c:pt idx="117">
                  <c:v>3.1255652114093886</c:v>
                </c:pt>
                <c:pt idx="118">
                  <c:v>3.1255652114093886</c:v>
                </c:pt>
                <c:pt idx="119">
                  <c:v>3.1255652114093886</c:v>
                </c:pt>
                <c:pt idx="120">
                  <c:v>3.1255652114093886</c:v>
                </c:pt>
                <c:pt idx="121">
                  <c:v>3.1255652114093886</c:v>
                </c:pt>
                <c:pt idx="122">
                  <c:v>3.1255652114093886</c:v>
                </c:pt>
                <c:pt idx="123">
                  <c:v>3.1255652114093886</c:v>
                </c:pt>
                <c:pt idx="124">
                  <c:v>3.1255652114093886</c:v>
                </c:pt>
                <c:pt idx="125">
                  <c:v>3.1255652114093886</c:v>
                </c:pt>
                <c:pt idx="126">
                  <c:v>3.1255652114093886</c:v>
                </c:pt>
                <c:pt idx="127">
                  <c:v>3.1255652114093886</c:v>
                </c:pt>
                <c:pt idx="128">
                  <c:v>3.1255652114093886</c:v>
                </c:pt>
                <c:pt idx="129">
                  <c:v>3.1255652114093886</c:v>
                </c:pt>
                <c:pt idx="130">
                  <c:v>3.1255652114093886</c:v>
                </c:pt>
                <c:pt idx="131">
                  <c:v>3.1255652114093886</c:v>
                </c:pt>
                <c:pt idx="132">
                  <c:v>3.1255652114093886</c:v>
                </c:pt>
                <c:pt idx="133">
                  <c:v>3.1255652114093886</c:v>
                </c:pt>
                <c:pt idx="134">
                  <c:v>3.1255652114093886</c:v>
                </c:pt>
                <c:pt idx="135">
                  <c:v>3.1255652114093886</c:v>
                </c:pt>
                <c:pt idx="136">
                  <c:v>3.1255652114093886</c:v>
                </c:pt>
                <c:pt idx="137">
                  <c:v>3.1255652114093886</c:v>
                </c:pt>
                <c:pt idx="138">
                  <c:v>3.1255652114093886</c:v>
                </c:pt>
                <c:pt idx="139">
                  <c:v>3.1255652114093886</c:v>
                </c:pt>
                <c:pt idx="140">
                  <c:v>3.1255652114093886</c:v>
                </c:pt>
                <c:pt idx="141">
                  <c:v>3.1255652114093886</c:v>
                </c:pt>
                <c:pt idx="142">
                  <c:v>3.1255652114093886</c:v>
                </c:pt>
                <c:pt idx="143">
                  <c:v>3.1255652114093886</c:v>
                </c:pt>
                <c:pt idx="144">
                  <c:v>3.1255652114093886</c:v>
                </c:pt>
                <c:pt idx="145">
                  <c:v>3.1255652114093886</c:v>
                </c:pt>
                <c:pt idx="146">
                  <c:v>3.1255652114093886</c:v>
                </c:pt>
                <c:pt idx="147">
                  <c:v>3.1255652114093886</c:v>
                </c:pt>
                <c:pt idx="148">
                  <c:v>3.1255652114093886</c:v>
                </c:pt>
                <c:pt idx="149">
                  <c:v>3.1255652114093886</c:v>
                </c:pt>
                <c:pt idx="150">
                  <c:v>3.1255652114093886</c:v>
                </c:pt>
                <c:pt idx="151">
                  <c:v>3.1255652114093886</c:v>
                </c:pt>
                <c:pt idx="152">
                  <c:v>3.1255652114093886</c:v>
                </c:pt>
                <c:pt idx="153">
                  <c:v>3.1255652114093886</c:v>
                </c:pt>
                <c:pt idx="154">
                  <c:v>3.1255652114093886</c:v>
                </c:pt>
                <c:pt idx="155">
                  <c:v>3.1255652114093886</c:v>
                </c:pt>
                <c:pt idx="156">
                  <c:v>3.1255652114093886</c:v>
                </c:pt>
                <c:pt idx="157">
                  <c:v>3.1255652114093886</c:v>
                </c:pt>
                <c:pt idx="158">
                  <c:v>3.1255652114093886</c:v>
                </c:pt>
                <c:pt idx="159">
                  <c:v>3.1255652114093886</c:v>
                </c:pt>
                <c:pt idx="160">
                  <c:v>3.1255652114093886</c:v>
                </c:pt>
                <c:pt idx="161">
                  <c:v>3.1255652114093886</c:v>
                </c:pt>
                <c:pt idx="162">
                  <c:v>3.1255652114093886</c:v>
                </c:pt>
                <c:pt idx="163">
                  <c:v>3.1255652114093886</c:v>
                </c:pt>
                <c:pt idx="164">
                  <c:v>3.1255652114093886</c:v>
                </c:pt>
                <c:pt idx="165">
                  <c:v>3.1255652114093886</c:v>
                </c:pt>
                <c:pt idx="166">
                  <c:v>3.1255652114093886</c:v>
                </c:pt>
                <c:pt idx="167">
                  <c:v>3.1255652114093886</c:v>
                </c:pt>
                <c:pt idx="168">
                  <c:v>3.1255652114093886</c:v>
                </c:pt>
                <c:pt idx="169">
                  <c:v>3.1255652114093886</c:v>
                </c:pt>
                <c:pt idx="170">
                  <c:v>3.1255652114093886</c:v>
                </c:pt>
                <c:pt idx="171">
                  <c:v>3.1255652114093886</c:v>
                </c:pt>
                <c:pt idx="172">
                  <c:v>3.1255652114093886</c:v>
                </c:pt>
                <c:pt idx="173">
                  <c:v>3.1255652114093886</c:v>
                </c:pt>
                <c:pt idx="174">
                  <c:v>3.1255652114093886</c:v>
                </c:pt>
                <c:pt idx="175">
                  <c:v>3.1255652114093886</c:v>
                </c:pt>
                <c:pt idx="176">
                  <c:v>3.1255652114093886</c:v>
                </c:pt>
                <c:pt idx="177">
                  <c:v>3.1255652114093886</c:v>
                </c:pt>
                <c:pt idx="178">
                  <c:v>3.1255652114093886</c:v>
                </c:pt>
                <c:pt idx="179">
                  <c:v>3.1255652114093886</c:v>
                </c:pt>
                <c:pt idx="180">
                  <c:v>3.1255652114093886</c:v>
                </c:pt>
                <c:pt idx="181">
                  <c:v>3.1255652114093886</c:v>
                </c:pt>
                <c:pt idx="182">
                  <c:v>3.1255652114093886</c:v>
                </c:pt>
                <c:pt idx="183">
                  <c:v>3.1255652114093886</c:v>
                </c:pt>
                <c:pt idx="184">
                  <c:v>3.1255652114093886</c:v>
                </c:pt>
                <c:pt idx="185">
                  <c:v>3.1255652114093886</c:v>
                </c:pt>
                <c:pt idx="186">
                  <c:v>3.1255652114093886</c:v>
                </c:pt>
                <c:pt idx="187">
                  <c:v>3.1255652114093886</c:v>
                </c:pt>
                <c:pt idx="188">
                  <c:v>3.1255652114093886</c:v>
                </c:pt>
                <c:pt idx="189">
                  <c:v>3.1255652114093886</c:v>
                </c:pt>
                <c:pt idx="190">
                  <c:v>3.1255652114093886</c:v>
                </c:pt>
                <c:pt idx="191">
                  <c:v>3.1255652114093886</c:v>
                </c:pt>
                <c:pt idx="192">
                  <c:v>3.1255652114093886</c:v>
                </c:pt>
                <c:pt idx="193">
                  <c:v>3.1255652114093886</c:v>
                </c:pt>
                <c:pt idx="194">
                  <c:v>3.1255652114093886</c:v>
                </c:pt>
                <c:pt idx="195">
                  <c:v>3.1255652114093886</c:v>
                </c:pt>
                <c:pt idx="196">
                  <c:v>3.1255652114093886</c:v>
                </c:pt>
                <c:pt idx="197">
                  <c:v>3.1255652114093886</c:v>
                </c:pt>
                <c:pt idx="198">
                  <c:v>3.1255652114093886</c:v>
                </c:pt>
                <c:pt idx="199">
                  <c:v>3.1255652114093886</c:v>
                </c:pt>
                <c:pt idx="200">
                  <c:v>3.1255652114093886</c:v>
                </c:pt>
                <c:pt idx="201">
                  <c:v>3.1255652114093886</c:v>
                </c:pt>
                <c:pt idx="202">
                  <c:v>3.1255652114093886</c:v>
                </c:pt>
                <c:pt idx="203">
                  <c:v>3.1255652114093886</c:v>
                </c:pt>
                <c:pt idx="204">
                  <c:v>3.1255652114093886</c:v>
                </c:pt>
                <c:pt idx="205">
                  <c:v>3.1255652114093886</c:v>
                </c:pt>
                <c:pt idx="206">
                  <c:v>3.1255652114093886</c:v>
                </c:pt>
                <c:pt idx="207">
                  <c:v>3.1255652114093886</c:v>
                </c:pt>
                <c:pt idx="208">
                  <c:v>3.1255652114093886</c:v>
                </c:pt>
                <c:pt idx="209">
                  <c:v>3.1255652114093886</c:v>
                </c:pt>
                <c:pt idx="210">
                  <c:v>3.1255652114093886</c:v>
                </c:pt>
                <c:pt idx="211">
                  <c:v>3.1255652114093886</c:v>
                </c:pt>
                <c:pt idx="212">
                  <c:v>3.1255652114093886</c:v>
                </c:pt>
                <c:pt idx="213">
                  <c:v>3.1255652114093886</c:v>
                </c:pt>
                <c:pt idx="214">
                  <c:v>3.1255652114093886</c:v>
                </c:pt>
                <c:pt idx="215">
                  <c:v>3.1255652114093886</c:v>
                </c:pt>
                <c:pt idx="216">
                  <c:v>3.1255652114093886</c:v>
                </c:pt>
                <c:pt idx="217">
                  <c:v>3.1255652114093886</c:v>
                </c:pt>
                <c:pt idx="218">
                  <c:v>3.1255652114093886</c:v>
                </c:pt>
                <c:pt idx="219">
                  <c:v>3.1255652114093886</c:v>
                </c:pt>
                <c:pt idx="220">
                  <c:v>3.1255652114093886</c:v>
                </c:pt>
                <c:pt idx="221">
                  <c:v>3.1255652114093886</c:v>
                </c:pt>
                <c:pt idx="222">
                  <c:v>3.1255652114093886</c:v>
                </c:pt>
                <c:pt idx="223">
                  <c:v>3.1255652114093886</c:v>
                </c:pt>
                <c:pt idx="224">
                  <c:v>3.1255652114093886</c:v>
                </c:pt>
                <c:pt idx="225">
                  <c:v>3.1255652114093886</c:v>
                </c:pt>
                <c:pt idx="226">
                  <c:v>3.1255652114093886</c:v>
                </c:pt>
                <c:pt idx="227">
                  <c:v>3.1255652114093886</c:v>
                </c:pt>
                <c:pt idx="228">
                  <c:v>3.1255652114093886</c:v>
                </c:pt>
                <c:pt idx="229">
                  <c:v>3.1255652114093886</c:v>
                </c:pt>
                <c:pt idx="230">
                  <c:v>3.1255652114093886</c:v>
                </c:pt>
                <c:pt idx="231">
                  <c:v>3.1255652114093886</c:v>
                </c:pt>
                <c:pt idx="232">
                  <c:v>3.1255652114093886</c:v>
                </c:pt>
                <c:pt idx="233">
                  <c:v>3.1255652114093886</c:v>
                </c:pt>
                <c:pt idx="234">
                  <c:v>3.1255652114093886</c:v>
                </c:pt>
                <c:pt idx="235">
                  <c:v>3.1255652114093886</c:v>
                </c:pt>
                <c:pt idx="236">
                  <c:v>3.1255652114093886</c:v>
                </c:pt>
                <c:pt idx="237">
                  <c:v>3.1255652114093886</c:v>
                </c:pt>
                <c:pt idx="238">
                  <c:v>3.1255652114093886</c:v>
                </c:pt>
                <c:pt idx="239">
                  <c:v>3.1255652114093886</c:v>
                </c:pt>
                <c:pt idx="240">
                  <c:v>3.1255652114093886</c:v>
                </c:pt>
                <c:pt idx="241">
                  <c:v>3.1255652114093886</c:v>
                </c:pt>
                <c:pt idx="242">
                  <c:v>3.1255652114093886</c:v>
                </c:pt>
                <c:pt idx="243">
                  <c:v>3.1255652114093886</c:v>
                </c:pt>
                <c:pt idx="244">
                  <c:v>3.1255652114093886</c:v>
                </c:pt>
                <c:pt idx="245">
                  <c:v>3.1255652114093886</c:v>
                </c:pt>
                <c:pt idx="246">
                  <c:v>3.1255652114093886</c:v>
                </c:pt>
                <c:pt idx="247">
                  <c:v>3.1255652114093886</c:v>
                </c:pt>
                <c:pt idx="248">
                  <c:v>3.1255652114093886</c:v>
                </c:pt>
                <c:pt idx="249">
                  <c:v>3.1255652114093886</c:v>
                </c:pt>
                <c:pt idx="250">
                  <c:v>3.1255652114093886</c:v>
                </c:pt>
                <c:pt idx="251">
                  <c:v>3.1255652114093886</c:v>
                </c:pt>
                <c:pt idx="252">
                  <c:v>3.1255652114093886</c:v>
                </c:pt>
                <c:pt idx="253">
                  <c:v>3.1255652114093886</c:v>
                </c:pt>
                <c:pt idx="254">
                  <c:v>3.1255652114093886</c:v>
                </c:pt>
                <c:pt idx="255">
                  <c:v>3.1255652114093886</c:v>
                </c:pt>
                <c:pt idx="256">
                  <c:v>3.1255652114093886</c:v>
                </c:pt>
                <c:pt idx="257">
                  <c:v>3.1255652114093886</c:v>
                </c:pt>
                <c:pt idx="258">
                  <c:v>3.1255652114093886</c:v>
                </c:pt>
                <c:pt idx="259">
                  <c:v>3.1255652114093886</c:v>
                </c:pt>
                <c:pt idx="260">
                  <c:v>3.1255652114093886</c:v>
                </c:pt>
                <c:pt idx="261">
                  <c:v>3.1255652114093886</c:v>
                </c:pt>
                <c:pt idx="262">
                  <c:v>3.1255652114093886</c:v>
                </c:pt>
                <c:pt idx="263">
                  <c:v>3.1255652114093886</c:v>
                </c:pt>
                <c:pt idx="264">
                  <c:v>3.1255652114093886</c:v>
                </c:pt>
                <c:pt idx="265">
                  <c:v>3.1255652114093886</c:v>
                </c:pt>
                <c:pt idx="266">
                  <c:v>3.1255652114093886</c:v>
                </c:pt>
                <c:pt idx="267">
                  <c:v>3.1255652114093886</c:v>
                </c:pt>
                <c:pt idx="268">
                  <c:v>3.1255652114093886</c:v>
                </c:pt>
                <c:pt idx="269">
                  <c:v>3.1255652114093886</c:v>
                </c:pt>
                <c:pt idx="270">
                  <c:v>3.1255652114093886</c:v>
                </c:pt>
                <c:pt idx="271">
                  <c:v>3.1255652114093886</c:v>
                </c:pt>
                <c:pt idx="272">
                  <c:v>3.1255652114093886</c:v>
                </c:pt>
                <c:pt idx="273">
                  <c:v>3.1255652114093886</c:v>
                </c:pt>
                <c:pt idx="274">
                  <c:v>3.1255652114093886</c:v>
                </c:pt>
                <c:pt idx="275">
                  <c:v>3.1255652114093886</c:v>
                </c:pt>
                <c:pt idx="276">
                  <c:v>3.1255652114093886</c:v>
                </c:pt>
                <c:pt idx="277">
                  <c:v>3.1255652114093886</c:v>
                </c:pt>
                <c:pt idx="278">
                  <c:v>3.1255652114093886</c:v>
                </c:pt>
                <c:pt idx="279">
                  <c:v>3.1255652114093886</c:v>
                </c:pt>
                <c:pt idx="280">
                  <c:v>3.1255652114093886</c:v>
                </c:pt>
                <c:pt idx="281">
                  <c:v>3.1255652114093886</c:v>
                </c:pt>
                <c:pt idx="282">
                  <c:v>3.1255652114093886</c:v>
                </c:pt>
                <c:pt idx="283">
                  <c:v>3.1255652114093886</c:v>
                </c:pt>
                <c:pt idx="284">
                  <c:v>3.1255652114093886</c:v>
                </c:pt>
                <c:pt idx="285">
                  <c:v>3.1255652114093886</c:v>
                </c:pt>
                <c:pt idx="286">
                  <c:v>3.1255652114093886</c:v>
                </c:pt>
                <c:pt idx="287">
                  <c:v>3.1255652114093886</c:v>
                </c:pt>
                <c:pt idx="288">
                  <c:v>3.1255652114093886</c:v>
                </c:pt>
                <c:pt idx="289">
                  <c:v>3.1255652114093886</c:v>
                </c:pt>
                <c:pt idx="290">
                  <c:v>3.1255652114093886</c:v>
                </c:pt>
                <c:pt idx="291">
                  <c:v>3.1255652114093886</c:v>
                </c:pt>
                <c:pt idx="292">
                  <c:v>3.1255652114093886</c:v>
                </c:pt>
                <c:pt idx="293">
                  <c:v>3.1255652114093886</c:v>
                </c:pt>
                <c:pt idx="294">
                  <c:v>3.1255652114093886</c:v>
                </c:pt>
                <c:pt idx="295">
                  <c:v>3.1255652114093886</c:v>
                </c:pt>
                <c:pt idx="296">
                  <c:v>3.1255652114093886</c:v>
                </c:pt>
                <c:pt idx="297">
                  <c:v>3.1255652114093886</c:v>
                </c:pt>
                <c:pt idx="298">
                  <c:v>3.1255652114093886</c:v>
                </c:pt>
                <c:pt idx="299">
                  <c:v>3.1255652114093886</c:v>
                </c:pt>
                <c:pt idx="300">
                  <c:v>3.1255652114093886</c:v>
                </c:pt>
                <c:pt idx="301">
                  <c:v>3.1255652114093886</c:v>
                </c:pt>
                <c:pt idx="302">
                  <c:v>3.1255652114093886</c:v>
                </c:pt>
                <c:pt idx="303">
                  <c:v>3.1255652114093886</c:v>
                </c:pt>
                <c:pt idx="304">
                  <c:v>3.1255652114093886</c:v>
                </c:pt>
                <c:pt idx="305">
                  <c:v>3.1255652114093886</c:v>
                </c:pt>
                <c:pt idx="306">
                  <c:v>3.1255652114093886</c:v>
                </c:pt>
                <c:pt idx="307">
                  <c:v>3.1255652114093886</c:v>
                </c:pt>
                <c:pt idx="308">
                  <c:v>3.1255652114093886</c:v>
                </c:pt>
                <c:pt idx="309">
                  <c:v>3.1255652114093886</c:v>
                </c:pt>
                <c:pt idx="310">
                  <c:v>3.1255652114093886</c:v>
                </c:pt>
                <c:pt idx="311">
                  <c:v>3.1255652114093886</c:v>
                </c:pt>
                <c:pt idx="312">
                  <c:v>3.1255652114093886</c:v>
                </c:pt>
                <c:pt idx="313">
                  <c:v>3.1255652114093886</c:v>
                </c:pt>
                <c:pt idx="314">
                  <c:v>3.1255652114093886</c:v>
                </c:pt>
                <c:pt idx="315">
                  <c:v>3.1255652114093886</c:v>
                </c:pt>
                <c:pt idx="316">
                  <c:v>3.1255652114093886</c:v>
                </c:pt>
                <c:pt idx="317">
                  <c:v>3.1255652114093886</c:v>
                </c:pt>
                <c:pt idx="318">
                  <c:v>3.1255652114093886</c:v>
                </c:pt>
                <c:pt idx="319">
                  <c:v>3.1255652114093886</c:v>
                </c:pt>
                <c:pt idx="320">
                  <c:v>3.1255652114093886</c:v>
                </c:pt>
                <c:pt idx="321">
                  <c:v>3.1255652114093886</c:v>
                </c:pt>
                <c:pt idx="322">
                  <c:v>3.1255652114093886</c:v>
                </c:pt>
                <c:pt idx="323">
                  <c:v>3.1255652114093886</c:v>
                </c:pt>
                <c:pt idx="324">
                  <c:v>3.1255652114093886</c:v>
                </c:pt>
                <c:pt idx="325">
                  <c:v>3.1255652114093886</c:v>
                </c:pt>
                <c:pt idx="326">
                  <c:v>3.1255652114093886</c:v>
                </c:pt>
                <c:pt idx="327">
                  <c:v>3.1255652114093886</c:v>
                </c:pt>
                <c:pt idx="328">
                  <c:v>3.1255652114093886</c:v>
                </c:pt>
                <c:pt idx="329">
                  <c:v>3.1255652114093886</c:v>
                </c:pt>
                <c:pt idx="330">
                  <c:v>3.1255652114093886</c:v>
                </c:pt>
                <c:pt idx="331">
                  <c:v>3.1255652114093886</c:v>
                </c:pt>
                <c:pt idx="332">
                  <c:v>3.1255652114093886</c:v>
                </c:pt>
                <c:pt idx="333">
                  <c:v>3.1255652114093886</c:v>
                </c:pt>
                <c:pt idx="334">
                  <c:v>3.1255652114093886</c:v>
                </c:pt>
                <c:pt idx="335">
                  <c:v>3.1255652114093886</c:v>
                </c:pt>
                <c:pt idx="336">
                  <c:v>3.1255652114093886</c:v>
                </c:pt>
                <c:pt idx="337">
                  <c:v>3.1255652114093886</c:v>
                </c:pt>
                <c:pt idx="338">
                  <c:v>3.1255652114093886</c:v>
                </c:pt>
                <c:pt idx="339">
                  <c:v>3.1255652114093886</c:v>
                </c:pt>
                <c:pt idx="340">
                  <c:v>3.1255652114093886</c:v>
                </c:pt>
                <c:pt idx="341">
                  <c:v>3.1255652114093886</c:v>
                </c:pt>
                <c:pt idx="342">
                  <c:v>3.1255652114093886</c:v>
                </c:pt>
                <c:pt idx="343">
                  <c:v>3.1255652114093886</c:v>
                </c:pt>
                <c:pt idx="344">
                  <c:v>3.1255652114093886</c:v>
                </c:pt>
                <c:pt idx="345">
                  <c:v>3.1255652114093886</c:v>
                </c:pt>
                <c:pt idx="346">
                  <c:v>3.1255652114093886</c:v>
                </c:pt>
                <c:pt idx="347">
                  <c:v>3.1255652114093886</c:v>
                </c:pt>
                <c:pt idx="348">
                  <c:v>3.1255652114093886</c:v>
                </c:pt>
                <c:pt idx="349">
                  <c:v>3.1255652114093886</c:v>
                </c:pt>
                <c:pt idx="350">
                  <c:v>3.1255652114093886</c:v>
                </c:pt>
                <c:pt idx="351">
                  <c:v>3.1255652114093886</c:v>
                </c:pt>
                <c:pt idx="352">
                  <c:v>3.1255652114093886</c:v>
                </c:pt>
                <c:pt idx="353">
                  <c:v>3.1255652114093886</c:v>
                </c:pt>
                <c:pt idx="354">
                  <c:v>3.1255652114093886</c:v>
                </c:pt>
                <c:pt idx="355">
                  <c:v>3.1255652114093886</c:v>
                </c:pt>
                <c:pt idx="356">
                  <c:v>3.1255652114093886</c:v>
                </c:pt>
                <c:pt idx="357">
                  <c:v>3.1255652114093886</c:v>
                </c:pt>
                <c:pt idx="358">
                  <c:v>3.1255652114093886</c:v>
                </c:pt>
                <c:pt idx="359">
                  <c:v>3.1255652114093886</c:v>
                </c:pt>
                <c:pt idx="360">
                  <c:v>3.1255652114093886</c:v>
                </c:pt>
                <c:pt idx="361">
                  <c:v>3.1255652114093886</c:v>
                </c:pt>
                <c:pt idx="362">
                  <c:v>3.1255652114093886</c:v>
                </c:pt>
                <c:pt idx="363">
                  <c:v>3.1255652114093886</c:v>
                </c:pt>
                <c:pt idx="364">
                  <c:v>3.1255652114093886</c:v>
                </c:pt>
                <c:pt idx="365">
                  <c:v>3.1255652114093886</c:v>
                </c:pt>
                <c:pt idx="366">
                  <c:v>3.1255652114093886</c:v>
                </c:pt>
                <c:pt idx="367">
                  <c:v>3.1255652114093886</c:v>
                </c:pt>
                <c:pt idx="368">
                  <c:v>3.1255652114093886</c:v>
                </c:pt>
                <c:pt idx="369">
                  <c:v>3.1255652114093886</c:v>
                </c:pt>
                <c:pt idx="370">
                  <c:v>3.1255652114093886</c:v>
                </c:pt>
                <c:pt idx="371">
                  <c:v>3.1255652114093886</c:v>
                </c:pt>
                <c:pt idx="372">
                  <c:v>3.1255652114093886</c:v>
                </c:pt>
                <c:pt idx="373">
                  <c:v>3.1255652114093886</c:v>
                </c:pt>
                <c:pt idx="374">
                  <c:v>3.1255652114093886</c:v>
                </c:pt>
                <c:pt idx="375">
                  <c:v>3.1255652114093886</c:v>
                </c:pt>
                <c:pt idx="376">
                  <c:v>3.1255652114093886</c:v>
                </c:pt>
                <c:pt idx="377">
                  <c:v>3.1255652114093886</c:v>
                </c:pt>
                <c:pt idx="378">
                  <c:v>3.1255652114093886</c:v>
                </c:pt>
                <c:pt idx="379">
                  <c:v>3.1255652114093886</c:v>
                </c:pt>
                <c:pt idx="380">
                  <c:v>3.1255652114093886</c:v>
                </c:pt>
                <c:pt idx="381">
                  <c:v>3.1255652114093886</c:v>
                </c:pt>
                <c:pt idx="382">
                  <c:v>3.1255652114093886</c:v>
                </c:pt>
                <c:pt idx="383">
                  <c:v>3.1255652114093886</c:v>
                </c:pt>
                <c:pt idx="384">
                  <c:v>3.1255652114093886</c:v>
                </c:pt>
                <c:pt idx="385">
                  <c:v>3.1255652114093886</c:v>
                </c:pt>
                <c:pt idx="386">
                  <c:v>3.1255652114093886</c:v>
                </c:pt>
                <c:pt idx="387">
                  <c:v>3.1255652114093886</c:v>
                </c:pt>
                <c:pt idx="388">
                  <c:v>3.1255652114093886</c:v>
                </c:pt>
                <c:pt idx="389">
                  <c:v>3.1255652114093886</c:v>
                </c:pt>
                <c:pt idx="390">
                  <c:v>3.1255652114093886</c:v>
                </c:pt>
                <c:pt idx="391">
                  <c:v>3.1255652114093886</c:v>
                </c:pt>
                <c:pt idx="392">
                  <c:v>3.1255652114093886</c:v>
                </c:pt>
                <c:pt idx="393">
                  <c:v>3.1255652114093886</c:v>
                </c:pt>
                <c:pt idx="394">
                  <c:v>3.1255652114093886</c:v>
                </c:pt>
                <c:pt idx="395">
                  <c:v>3.1255652114093886</c:v>
                </c:pt>
                <c:pt idx="396">
                  <c:v>3.1255652114093886</c:v>
                </c:pt>
                <c:pt idx="397">
                  <c:v>3.1255652114093886</c:v>
                </c:pt>
                <c:pt idx="398">
                  <c:v>3.1255652114093886</c:v>
                </c:pt>
                <c:pt idx="399">
                  <c:v>3.1255652114093886</c:v>
                </c:pt>
                <c:pt idx="400">
                  <c:v>3.1255652114093886</c:v>
                </c:pt>
                <c:pt idx="401">
                  <c:v>3.1255652114093886</c:v>
                </c:pt>
                <c:pt idx="402">
                  <c:v>3.1255652114093886</c:v>
                </c:pt>
                <c:pt idx="403">
                  <c:v>3.1255652114093886</c:v>
                </c:pt>
                <c:pt idx="404">
                  <c:v>3.1255652114093886</c:v>
                </c:pt>
                <c:pt idx="405">
                  <c:v>3.1255652114093886</c:v>
                </c:pt>
                <c:pt idx="406">
                  <c:v>3.1255652114093886</c:v>
                </c:pt>
                <c:pt idx="407">
                  <c:v>3.1255652114093886</c:v>
                </c:pt>
                <c:pt idx="408">
                  <c:v>3.1255652114093886</c:v>
                </c:pt>
                <c:pt idx="409">
                  <c:v>3.1255652114093886</c:v>
                </c:pt>
                <c:pt idx="410">
                  <c:v>3.1255652114093886</c:v>
                </c:pt>
                <c:pt idx="411">
                  <c:v>3.1255652114093886</c:v>
                </c:pt>
                <c:pt idx="412">
                  <c:v>3.1255652114093886</c:v>
                </c:pt>
                <c:pt idx="413">
                  <c:v>3.1255652114093886</c:v>
                </c:pt>
                <c:pt idx="414">
                  <c:v>3.1255652114093886</c:v>
                </c:pt>
                <c:pt idx="415">
                  <c:v>3.1255652114093886</c:v>
                </c:pt>
                <c:pt idx="416">
                  <c:v>3.1255652114093886</c:v>
                </c:pt>
                <c:pt idx="417">
                  <c:v>3.1255652114093886</c:v>
                </c:pt>
                <c:pt idx="418">
                  <c:v>3.1255652114093886</c:v>
                </c:pt>
                <c:pt idx="419">
                  <c:v>3.1255652114093886</c:v>
                </c:pt>
                <c:pt idx="420">
                  <c:v>3.1255652114093886</c:v>
                </c:pt>
                <c:pt idx="421">
                  <c:v>3.1255652114093886</c:v>
                </c:pt>
                <c:pt idx="422">
                  <c:v>3.1255652114093886</c:v>
                </c:pt>
                <c:pt idx="423">
                  <c:v>3.1255652114093886</c:v>
                </c:pt>
                <c:pt idx="424">
                  <c:v>3.1255652114093886</c:v>
                </c:pt>
                <c:pt idx="425">
                  <c:v>3.1255652114093886</c:v>
                </c:pt>
                <c:pt idx="426">
                  <c:v>3.1255652114093886</c:v>
                </c:pt>
                <c:pt idx="427">
                  <c:v>3.1255652114093886</c:v>
                </c:pt>
                <c:pt idx="428">
                  <c:v>3.1255652114093886</c:v>
                </c:pt>
                <c:pt idx="429">
                  <c:v>3.1255652114093886</c:v>
                </c:pt>
                <c:pt idx="430">
                  <c:v>3.1255652114093886</c:v>
                </c:pt>
                <c:pt idx="431">
                  <c:v>3.1255652114093886</c:v>
                </c:pt>
                <c:pt idx="432">
                  <c:v>3.1255652114093886</c:v>
                </c:pt>
                <c:pt idx="433">
                  <c:v>3.1255652114093886</c:v>
                </c:pt>
                <c:pt idx="434">
                  <c:v>3.1255652114093886</c:v>
                </c:pt>
                <c:pt idx="435">
                  <c:v>3.1255652114093886</c:v>
                </c:pt>
                <c:pt idx="436">
                  <c:v>3.1255652114093886</c:v>
                </c:pt>
                <c:pt idx="437">
                  <c:v>3.1255652114093886</c:v>
                </c:pt>
                <c:pt idx="438">
                  <c:v>3.1255652114093886</c:v>
                </c:pt>
                <c:pt idx="439">
                  <c:v>3.1255652114093886</c:v>
                </c:pt>
                <c:pt idx="440">
                  <c:v>3.1255652114093886</c:v>
                </c:pt>
                <c:pt idx="441">
                  <c:v>3.1255652114093886</c:v>
                </c:pt>
                <c:pt idx="442">
                  <c:v>3.1255652114093886</c:v>
                </c:pt>
                <c:pt idx="443">
                  <c:v>3.1255652114093886</c:v>
                </c:pt>
                <c:pt idx="444">
                  <c:v>3.1255652114093886</c:v>
                </c:pt>
                <c:pt idx="445">
                  <c:v>3.1255652114093886</c:v>
                </c:pt>
                <c:pt idx="446">
                  <c:v>3.1255652114093886</c:v>
                </c:pt>
                <c:pt idx="447">
                  <c:v>3.1255652114093886</c:v>
                </c:pt>
                <c:pt idx="448">
                  <c:v>3.1255652114093886</c:v>
                </c:pt>
                <c:pt idx="449">
                  <c:v>3.1255652114093886</c:v>
                </c:pt>
                <c:pt idx="450">
                  <c:v>3.1255652114093886</c:v>
                </c:pt>
                <c:pt idx="451">
                  <c:v>3.1255652114093886</c:v>
                </c:pt>
                <c:pt idx="452">
                  <c:v>3.1255652114093886</c:v>
                </c:pt>
                <c:pt idx="453">
                  <c:v>3.1255652114093886</c:v>
                </c:pt>
                <c:pt idx="454">
                  <c:v>3.1255652114093886</c:v>
                </c:pt>
                <c:pt idx="455">
                  <c:v>3.1255652114093886</c:v>
                </c:pt>
                <c:pt idx="456">
                  <c:v>3.1255652114093886</c:v>
                </c:pt>
                <c:pt idx="457">
                  <c:v>3.1255652114093886</c:v>
                </c:pt>
                <c:pt idx="458">
                  <c:v>3.1255652114093886</c:v>
                </c:pt>
                <c:pt idx="459">
                  <c:v>3.1255652114093886</c:v>
                </c:pt>
                <c:pt idx="460">
                  <c:v>3.1255652114093886</c:v>
                </c:pt>
                <c:pt idx="461">
                  <c:v>3.1255652114093886</c:v>
                </c:pt>
                <c:pt idx="462">
                  <c:v>3.1255652114093886</c:v>
                </c:pt>
                <c:pt idx="463">
                  <c:v>3.1255652114093886</c:v>
                </c:pt>
                <c:pt idx="464">
                  <c:v>3.1255652114093886</c:v>
                </c:pt>
                <c:pt idx="465">
                  <c:v>3.1255652114093886</c:v>
                </c:pt>
                <c:pt idx="466">
                  <c:v>3.1255652114093886</c:v>
                </c:pt>
                <c:pt idx="467">
                  <c:v>3.1255652114093886</c:v>
                </c:pt>
                <c:pt idx="468">
                  <c:v>3.1255652114093886</c:v>
                </c:pt>
                <c:pt idx="469">
                  <c:v>3.1255652114093886</c:v>
                </c:pt>
                <c:pt idx="470">
                  <c:v>3.1255652114093886</c:v>
                </c:pt>
                <c:pt idx="471">
                  <c:v>3.1255652114093886</c:v>
                </c:pt>
                <c:pt idx="472">
                  <c:v>3.1255652114093886</c:v>
                </c:pt>
                <c:pt idx="473">
                  <c:v>3.1255652114093886</c:v>
                </c:pt>
                <c:pt idx="474">
                  <c:v>3.1255652114093886</c:v>
                </c:pt>
                <c:pt idx="475">
                  <c:v>3.1255652114093886</c:v>
                </c:pt>
                <c:pt idx="476">
                  <c:v>3.1255652114093886</c:v>
                </c:pt>
                <c:pt idx="477">
                  <c:v>3.1255652114093886</c:v>
                </c:pt>
                <c:pt idx="478">
                  <c:v>3.1255652114093886</c:v>
                </c:pt>
                <c:pt idx="479">
                  <c:v>3.1255652114093886</c:v>
                </c:pt>
                <c:pt idx="480">
                  <c:v>3.1255652114093886</c:v>
                </c:pt>
                <c:pt idx="481">
                  <c:v>3.1255652114093886</c:v>
                </c:pt>
                <c:pt idx="482">
                  <c:v>3.1255652114093886</c:v>
                </c:pt>
                <c:pt idx="483">
                  <c:v>3.1255652114093886</c:v>
                </c:pt>
                <c:pt idx="484">
                  <c:v>3.1255652114093886</c:v>
                </c:pt>
                <c:pt idx="485">
                  <c:v>3.1255652114093886</c:v>
                </c:pt>
                <c:pt idx="486">
                  <c:v>3.1255652114093886</c:v>
                </c:pt>
                <c:pt idx="487">
                  <c:v>3.1255652114093886</c:v>
                </c:pt>
                <c:pt idx="488">
                  <c:v>3.1255652114093886</c:v>
                </c:pt>
                <c:pt idx="489">
                  <c:v>3.1255652114093886</c:v>
                </c:pt>
                <c:pt idx="490">
                  <c:v>3.1255652114093886</c:v>
                </c:pt>
                <c:pt idx="491">
                  <c:v>3.1255652114093886</c:v>
                </c:pt>
                <c:pt idx="492">
                  <c:v>3.1255652114093886</c:v>
                </c:pt>
                <c:pt idx="493">
                  <c:v>3.1255652114093886</c:v>
                </c:pt>
                <c:pt idx="494">
                  <c:v>3.1255652114093886</c:v>
                </c:pt>
                <c:pt idx="495">
                  <c:v>3.1255652114093886</c:v>
                </c:pt>
                <c:pt idx="496">
                  <c:v>3.1255652114093886</c:v>
                </c:pt>
                <c:pt idx="497">
                  <c:v>3.1255652114093886</c:v>
                </c:pt>
                <c:pt idx="498">
                  <c:v>3.1255652114093886</c:v>
                </c:pt>
                <c:pt idx="499">
                  <c:v>3.1255652114093886</c:v>
                </c:pt>
                <c:pt idx="500">
                  <c:v>3.1255652114093886</c:v>
                </c:pt>
                <c:pt idx="501">
                  <c:v>3.1255652114093886</c:v>
                </c:pt>
                <c:pt idx="502">
                  <c:v>3.1255652114093886</c:v>
                </c:pt>
                <c:pt idx="503">
                  <c:v>3.1255652114093886</c:v>
                </c:pt>
                <c:pt idx="504">
                  <c:v>3.1255652114093886</c:v>
                </c:pt>
                <c:pt idx="505">
                  <c:v>3.1255652114093886</c:v>
                </c:pt>
                <c:pt idx="506">
                  <c:v>3.1255652114093886</c:v>
                </c:pt>
                <c:pt idx="507">
                  <c:v>3.1255652114093886</c:v>
                </c:pt>
                <c:pt idx="508">
                  <c:v>3.1255652114093886</c:v>
                </c:pt>
                <c:pt idx="509">
                  <c:v>3.1255652114093886</c:v>
                </c:pt>
                <c:pt idx="510">
                  <c:v>3.1255652114093886</c:v>
                </c:pt>
                <c:pt idx="511">
                  <c:v>3.1255652114093886</c:v>
                </c:pt>
                <c:pt idx="512">
                  <c:v>3.1255652114093886</c:v>
                </c:pt>
                <c:pt idx="513">
                  <c:v>3.1255652114093886</c:v>
                </c:pt>
                <c:pt idx="514">
                  <c:v>3.1255652114093886</c:v>
                </c:pt>
                <c:pt idx="515">
                  <c:v>3.1255652114093886</c:v>
                </c:pt>
                <c:pt idx="516">
                  <c:v>3.1255652114093886</c:v>
                </c:pt>
                <c:pt idx="517">
                  <c:v>3.1255652114093886</c:v>
                </c:pt>
                <c:pt idx="518">
                  <c:v>3.1255652114093886</c:v>
                </c:pt>
                <c:pt idx="519">
                  <c:v>3.1255652114093886</c:v>
                </c:pt>
                <c:pt idx="520">
                  <c:v>3.1255652114093886</c:v>
                </c:pt>
                <c:pt idx="521">
                  <c:v>3.1255652114093886</c:v>
                </c:pt>
                <c:pt idx="522">
                  <c:v>3.1255652114093886</c:v>
                </c:pt>
                <c:pt idx="523">
                  <c:v>3.1255652114093886</c:v>
                </c:pt>
                <c:pt idx="524">
                  <c:v>3.1255652114093886</c:v>
                </c:pt>
                <c:pt idx="525">
                  <c:v>3.1255652114093886</c:v>
                </c:pt>
                <c:pt idx="526">
                  <c:v>3.1255652114093886</c:v>
                </c:pt>
                <c:pt idx="527">
                  <c:v>3.1255652114093886</c:v>
                </c:pt>
                <c:pt idx="528">
                  <c:v>3.1255652114093886</c:v>
                </c:pt>
                <c:pt idx="529">
                  <c:v>3.1255652114093886</c:v>
                </c:pt>
                <c:pt idx="530">
                  <c:v>3.1255652114093886</c:v>
                </c:pt>
                <c:pt idx="531">
                  <c:v>3.1255652114093886</c:v>
                </c:pt>
                <c:pt idx="532">
                  <c:v>3.1255652114093886</c:v>
                </c:pt>
                <c:pt idx="533">
                  <c:v>3.1255652114093886</c:v>
                </c:pt>
                <c:pt idx="534">
                  <c:v>3.1255652114093886</c:v>
                </c:pt>
                <c:pt idx="535">
                  <c:v>3.1255652114093886</c:v>
                </c:pt>
                <c:pt idx="536">
                  <c:v>3.1255652114093886</c:v>
                </c:pt>
                <c:pt idx="537">
                  <c:v>3.1255652114093886</c:v>
                </c:pt>
                <c:pt idx="538">
                  <c:v>3.1255652114093886</c:v>
                </c:pt>
                <c:pt idx="539">
                  <c:v>3.1255652114093886</c:v>
                </c:pt>
                <c:pt idx="540">
                  <c:v>3.1255652114093886</c:v>
                </c:pt>
                <c:pt idx="541">
                  <c:v>3.1255652114093886</c:v>
                </c:pt>
                <c:pt idx="542">
                  <c:v>3.1255652114093886</c:v>
                </c:pt>
                <c:pt idx="543">
                  <c:v>3.1255652114093886</c:v>
                </c:pt>
                <c:pt idx="544">
                  <c:v>3.1255652114093886</c:v>
                </c:pt>
                <c:pt idx="545">
                  <c:v>3.1255652114093886</c:v>
                </c:pt>
                <c:pt idx="546">
                  <c:v>3.1255652114093886</c:v>
                </c:pt>
                <c:pt idx="547">
                  <c:v>3.1255652114093886</c:v>
                </c:pt>
                <c:pt idx="548">
                  <c:v>3.1255652114093886</c:v>
                </c:pt>
                <c:pt idx="549">
                  <c:v>3.1255652114093886</c:v>
                </c:pt>
                <c:pt idx="550">
                  <c:v>3.1255652114093886</c:v>
                </c:pt>
                <c:pt idx="551">
                  <c:v>3.1255652114093886</c:v>
                </c:pt>
                <c:pt idx="552">
                  <c:v>3.1255652114093886</c:v>
                </c:pt>
                <c:pt idx="553">
                  <c:v>3.1255652114093886</c:v>
                </c:pt>
                <c:pt idx="554">
                  <c:v>3.1255652114093886</c:v>
                </c:pt>
                <c:pt idx="555">
                  <c:v>3.1255652114093886</c:v>
                </c:pt>
                <c:pt idx="556">
                  <c:v>3.1255652114093886</c:v>
                </c:pt>
                <c:pt idx="557">
                  <c:v>3.1255652114093886</c:v>
                </c:pt>
                <c:pt idx="558">
                  <c:v>3.1255652114093886</c:v>
                </c:pt>
                <c:pt idx="559">
                  <c:v>3.1255652114093886</c:v>
                </c:pt>
                <c:pt idx="560">
                  <c:v>3.1255652114093886</c:v>
                </c:pt>
                <c:pt idx="561">
                  <c:v>3.1255652114093886</c:v>
                </c:pt>
                <c:pt idx="562">
                  <c:v>3.1255652114093886</c:v>
                </c:pt>
                <c:pt idx="563">
                  <c:v>3.1255652114093886</c:v>
                </c:pt>
                <c:pt idx="564">
                  <c:v>3.1255652114093886</c:v>
                </c:pt>
                <c:pt idx="565">
                  <c:v>3.1255652114093886</c:v>
                </c:pt>
                <c:pt idx="566">
                  <c:v>3.1255652114093886</c:v>
                </c:pt>
                <c:pt idx="567">
                  <c:v>3.1255652114093886</c:v>
                </c:pt>
                <c:pt idx="568">
                  <c:v>3.1255652114093886</c:v>
                </c:pt>
                <c:pt idx="569">
                  <c:v>3.1255652114093886</c:v>
                </c:pt>
                <c:pt idx="570">
                  <c:v>3.1255652114093886</c:v>
                </c:pt>
                <c:pt idx="571">
                  <c:v>3.1255652114093886</c:v>
                </c:pt>
                <c:pt idx="572">
                  <c:v>3.1255652114093886</c:v>
                </c:pt>
                <c:pt idx="573">
                  <c:v>3.1255652114093886</c:v>
                </c:pt>
                <c:pt idx="574">
                  <c:v>3.1255652114093886</c:v>
                </c:pt>
                <c:pt idx="575">
                  <c:v>3.1255652114093886</c:v>
                </c:pt>
                <c:pt idx="576">
                  <c:v>3.1255652114093886</c:v>
                </c:pt>
                <c:pt idx="577">
                  <c:v>3.1255652114093886</c:v>
                </c:pt>
                <c:pt idx="578">
                  <c:v>3.1255652114093886</c:v>
                </c:pt>
                <c:pt idx="579">
                  <c:v>3.1255652114093886</c:v>
                </c:pt>
                <c:pt idx="580">
                  <c:v>3.1255652114093886</c:v>
                </c:pt>
                <c:pt idx="581">
                  <c:v>3.1255652114093886</c:v>
                </c:pt>
                <c:pt idx="582">
                  <c:v>3.1255652114093886</c:v>
                </c:pt>
                <c:pt idx="583">
                  <c:v>3.1255652114093886</c:v>
                </c:pt>
                <c:pt idx="584">
                  <c:v>3.1255652114093886</c:v>
                </c:pt>
                <c:pt idx="585">
                  <c:v>3.1255652114093886</c:v>
                </c:pt>
                <c:pt idx="586">
                  <c:v>3.1255652114093886</c:v>
                </c:pt>
                <c:pt idx="587">
                  <c:v>3.1255652114093886</c:v>
                </c:pt>
                <c:pt idx="588">
                  <c:v>3.1255652114093886</c:v>
                </c:pt>
                <c:pt idx="589">
                  <c:v>3.1255652114093886</c:v>
                </c:pt>
                <c:pt idx="590">
                  <c:v>3.1255652114093886</c:v>
                </c:pt>
                <c:pt idx="591">
                  <c:v>3.1255652114093886</c:v>
                </c:pt>
                <c:pt idx="592">
                  <c:v>3.1255652114093886</c:v>
                </c:pt>
                <c:pt idx="593">
                  <c:v>3.1255652114093886</c:v>
                </c:pt>
                <c:pt idx="594">
                  <c:v>3.1255652114093886</c:v>
                </c:pt>
                <c:pt idx="595">
                  <c:v>3.1255652114093886</c:v>
                </c:pt>
                <c:pt idx="596">
                  <c:v>3.1255652114093886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98-4CD4-BE4B-4A6C51C72A45}"/>
            </c:ext>
          </c:extLst>
        </c:ser>
        <c:ser>
          <c:idx val="2"/>
          <c:order val="2"/>
          <c:tx>
            <c:strRef>
              <c:f>Thickness_SPC!$K$9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Thickness_SPC!$A$10:$A$606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Thickness_SPC!$K$10:$K$606</c:f>
              <c:numCache>
                <c:formatCode>0.000</c:formatCode>
                <c:ptCount val="597"/>
                <c:pt idx="0">
                  <c:v>0.95670805369127299</c:v>
                </c:pt>
                <c:pt idx="1">
                  <c:v>0.95670805369127299</c:v>
                </c:pt>
                <c:pt idx="2">
                  <c:v>0.95670805369127299</c:v>
                </c:pt>
                <c:pt idx="3">
                  <c:v>0.95670805369127299</c:v>
                </c:pt>
                <c:pt idx="4">
                  <c:v>0.95670805369127299</c:v>
                </c:pt>
                <c:pt idx="5">
                  <c:v>0.95670805369127299</c:v>
                </c:pt>
                <c:pt idx="6">
                  <c:v>0.95670805369127299</c:v>
                </c:pt>
                <c:pt idx="7">
                  <c:v>0.95670805369127299</c:v>
                </c:pt>
                <c:pt idx="8">
                  <c:v>0.95670805369127299</c:v>
                </c:pt>
                <c:pt idx="9">
                  <c:v>0.95670805369127299</c:v>
                </c:pt>
                <c:pt idx="10">
                  <c:v>0.95670805369127299</c:v>
                </c:pt>
                <c:pt idx="11">
                  <c:v>0.95670805369127299</c:v>
                </c:pt>
                <c:pt idx="12">
                  <c:v>0.95670805369127299</c:v>
                </c:pt>
                <c:pt idx="13">
                  <c:v>0.95670805369127299</c:v>
                </c:pt>
                <c:pt idx="14">
                  <c:v>0.95670805369127299</c:v>
                </c:pt>
                <c:pt idx="15">
                  <c:v>0.95670805369127299</c:v>
                </c:pt>
                <c:pt idx="16">
                  <c:v>0.95670805369127299</c:v>
                </c:pt>
                <c:pt idx="17">
                  <c:v>0.95670805369127299</c:v>
                </c:pt>
                <c:pt idx="18">
                  <c:v>0.95670805369127299</c:v>
                </c:pt>
                <c:pt idx="19">
                  <c:v>0.95670805369127299</c:v>
                </c:pt>
                <c:pt idx="20">
                  <c:v>0.95670805369127299</c:v>
                </c:pt>
                <c:pt idx="21">
                  <c:v>0.95670805369127299</c:v>
                </c:pt>
                <c:pt idx="22">
                  <c:v>0.95670805369127299</c:v>
                </c:pt>
                <c:pt idx="23">
                  <c:v>0.95670805369127299</c:v>
                </c:pt>
                <c:pt idx="24">
                  <c:v>0.95670805369127299</c:v>
                </c:pt>
                <c:pt idx="25">
                  <c:v>0.95670805369127299</c:v>
                </c:pt>
                <c:pt idx="26">
                  <c:v>0.95670805369127299</c:v>
                </c:pt>
                <c:pt idx="27">
                  <c:v>0.95670805369127299</c:v>
                </c:pt>
                <c:pt idx="28">
                  <c:v>0.95670805369127299</c:v>
                </c:pt>
                <c:pt idx="29">
                  <c:v>0.95670805369127299</c:v>
                </c:pt>
                <c:pt idx="30">
                  <c:v>0.95670805369127299</c:v>
                </c:pt>
                <c:pt idx="31">
                  <c:v>0.95670805369127299</c:v>
                </c:pt>
                <c:pt idx="32">
                  <c:v>0.95670805369127299</c:v>
                </c:pt>
                <c:pt idx="33">
                  <c:v>0.95670805369127299</c:v>
                </c:pt>
                <c:pt idx="34">
                  <c:v>0.95670805369127299</c:v>
                </c:pt>
                <c:pt idx="35">
                  <c:v>0.95670805369127299</c:v>
                </c:pt>
                <c:pt idx="36">
                  <c:v>0.95670805369127299</c:v>
                </c:pt>
                <c:pt idx="37">
                  <c:v>0.95670805369127299</c:v>
                </c:pt>
                <c:pt idx="38">
                  <c:v>0.95670805369127299</c:v>
                </c:pt>
                <c:pt idx="39">
                  <c:v>0.95670805369127299</c:v>
                </c:pt>
                <c:pt idx="40">
                  <c:v>0.95670805369127299</c:v>
                </c:pt>
                <c:pt idx="41">
                  <c:v>0.95670805369127299</c:v>
                </c:pt>
                <c:pt idx="42">
                  <c:v>0.95670805369127299</c:v>
                </c:pt>
                <c:pt idx="43">
                  <c:v>0.95670805369127299</c:v>
                </c:pt>
                <c:pt idx="44">
                  <c:v>0.95670805369127299</c:v>
                </c:pt>
                <c:pt idx="45">
                  <c:v>0.95670805369127299</c:v>
                </c:pt>
                <c:pt idx="46">
                  <c:v>0.95670805369127299</c:v>
                </c:pt>
                <c:pt idx="47">
                  <c:v>0.95670805369127299</c:v>
                </c:pt>
                <c:pt idx="48">
                  <c:v>0.95670805369127299</c:v>
                </c:pt>
                <c:pt idx="49">
                  <c:v>0.95670805369127299</c:v>
                </c:pt>
                <c:pt idx="50">
                  <c:v>0.95670805369127299</c:v>
                </c:pt>
                <c:pt idx="51">
                  <c:v>0.95670805369127299</c:v>
                </c:pt>
                <c:pt idx="52">
                  <c:v>0.95670805369127299</c:v>
                </c:pt>
                <c:pt idx="53">
                  <c:v>0.95670805369127299</c:v>
                </c:pt>
                <c:pt idx="54">
                  <c:v>0.95670805369127299</c:v>
                </c:pt>
                <c:pt idx="55">
                  <c:v>0.95670805369127299</c:v>
                </c:pt>
                <c:pt idx="56">
                  <c:v>0.95670805369127299</c:v>
                </c:pt>
                <c:pt idx="57">
                  <c:v>0.95670805369127299</c:v>
                </c:pt>
                <c:pt idx="58">
                  <c:v>0.95670805369127299</c:v>
                </c:pt>
                <c:pt idx="59">
                  <c:v>0.95670805369127299</c:v>
                </c:pt>
                <c:pt idx="60">
                  <c:v>0.95670805369127299</c:v>
                </c:pt>
                <c:pt idx="61">
                  <c:v>0.95670805369127299</c:v>
                </c:pt>
                <c:pt idx="62">
                  <c:v>0.95670805369127299</c:v>
                </c:pt>
                <c:pt idx="63">
                  <c:v>0.95670805369127299</c:v>
                </c:pt>
                <c:pt idx="64">
                  <c:v>0.95670805369127299</c:v>
                </c:pt>
                <c:pt idx="65">
                  <c:v>0.95670805369127299</c:v>
                </c:pt>
                <c:pt idx="66">
                  <c:v>0.95670805369127299</c:v>
                </c:pt>
                <c:pt idx="67">
                  <c:v>0.95670805369127299</c:v>
                </c:pt>
                <c:pt idx="68">
                  <c:v>0.95670805369127299</c:v>
                </c:pt>
                <c:pt idx="69">
                  <c:v>0.95670805369127299</c:v>
                </c:pt>
                <c:pt idx="70">
                  <c:v>0.95670805369127299</c:v>
                </c:pt>
                <c:pt idx="71">
                  <c:v>0.95670805369127299</c:v>
                </c:pt>
                <c:pt idx="72">
                  <c:v>0.95670805369127299</c:v>
                </c:pt>
                <c:pt idx="73">
                  <c:v>0.95670805369127299</c:v>
                </c:pt>
                <c:pt idx="74">
                  <c:v>0.95670805369127299</c:v>
                </c:pt>
                <c:pt idx="75">
                  <c:v>0.95670805369127299</c:v>
                </c:pt>
                <c:pt idx="76">
                  <c:v>0.95670805369127299</c:v>
                </c:pt>
                <c:pt idx="77">
                  <c:v>0.95670805369127299</c:v>
                </c:pt>
                <c:pt idx="78">
                  <c:v>0.95670805369127299</c:v>
                </c:pt>
                <c:pt idx="79">
                  <c:v>0.95670805369127299</c:v>
                </c:pt>
                <c:pt idx="80">
                  <c:v>0.95670805369127299</c:v>
                </c:pt>
                <c:pt idx="81">
                  <c:v>0.95670805369127299</c:v>
                </c:pt>
                <c:pt idx="82">
                  <c:v>0.95670805369127299</c:v>
                </c:pt>
                <c:pt idx="83">
                  <c:v>0.95670805369127299</c:v>
                </c:pt>
                <c:pt idx="84">
                  <c:v>0.95670805369127299</c:v>
                </c:pt>
                <c:pt idx="85">
                  <c:v>0.95670805369127299</c:v>
                </c:pt>
                <c:pt idx="86">
                  <c:v>0.95670805369127299</c:v>
                </c:pt>
                <c:pt idx="87">
                  <c:v>0.95670805369127299</c:v>
                </c:pt>
                <c:pt idx="88">
                  <c:v>0.95670805369127299</c:v>
                </c:pt>
                <c:pt idx="89">
                  <c:v>0.95670805369127299</c:v>
                </c:pt>
                <c:pt idx="90">
                  <c:v>0.95670805369127299</c:v>
                </c:pt>
                <c:pt idx="91">
                  <c:v>0.95670805369127299</c:v>
                </c:pt>
                <c:pt idx="92">
                  <c:v>0.95670805369127299</c:v>
                </c:pt>
                <c:pt idx="93">
                  <c:v>0.95670805369127299</c:v>
                </c:pt>
                <c:pt idx="94">
                  <c:v>0.95670805369127299</c:v>
                </c:pt>
                <c:pt idx="95">
                  <c:v>0.95670805369127299</c:v>
                </c:pt>
                <c:pt idx="96">
                  <c:v>0.95670805369127299</c:v>
                </c:pt>
                <c:pt idx="97">
                  <c:v>0.95670805369127299</c:v>
                </c:pt>
                <c:pt idx="98">
                  <c:v>0.95670805369127299</c:v>
                </c:pt>
                <c:pt idx="99">
                  <c:v>0.95670805369127299</c:v>
                </c:pt>
                <c:pt idx="100">
                  <c:v>0.95670805369127299</c:v>
                </c:pt>
                <c:pt idx="101">
                  <c:v>0.95670805369127299</c:v>
                </c:pt>
                <c:pt idx="102">
                  <c:v>0.95670805369127299</c:v>
                </c:pt>
                <c:pt idx="103">
                  <c:v>0.95670805369127299</c:v>
                </c:pt>
                <c:pt idx="104">
                  <c:v>0.95670805369127299</c:v>
                </c:pt>
                <c:pt idx="105">
                  <c:v>0.95670805369127299</c:v>
                </c:pt>
                <c:pt idx="106">
                  <c:v>0.95670805369127299</c:v>
                </c:pt>
                <c:pt idx="107">
                  <c:v>0.95670805369127299</c:v>
                </c:pt>
                <c:pt idx="108">
                  <c:v>0.95670805369127299</c:v>
                </c:pt>
                <c:pt idx="109">
                  <c:v>0.95670805369127299</c:v>
                </c:pt>
                <c:pt idx="110">
                  <c:v>0.95670805369127299</c:v>
                </c:pt>
                <c:pt idx="111">
                  <c:v>0.95670805369127299</c:v>
                </c:pt>
                <c:pt idx="112">
                  <c:v>0.95670805369127299</c:v>
                </c:pt>
                <c:pt idx="113">
                  <c:v>0.95670805369127299</c:v>
                </c:pt>
                <c:pt idx="114">
                  <c:v>0.95670805369127299</c:v>
                </c:pt>
                <c:pt idx="115">
                  <c:v>0.95670805369127299</c:v>
                </c:pt>
                <c:pt idx="116">
                  <c:v>0.95670805369127299</c:v>
                </c:pt>
                <c:pt idx="117">
                  <c:v>0.95670805369127299</c:v>
                </c:pt>
                <c:pt idx="118">
                  <c:v>0.95670805369127299</c:v>
                </c:pt>
                <c:pt idx="119">
                  <c:v>0.95670805369127299</c:v>
                </c:pt>
                <c:pt idx="120">
                  <c:v>0.95670805369127299</c:v>
                </c:pt>
                <c:pt idx="121">
                  <c:v>0.95670805369127299</c:v>
                </c:pt>
                <c:pt idx="122">
                  <c:v>0.95670805369127299</c:v>
                </c:pt>
                <c:pt idx="123">
                  <c:v>0.95670805369127299</c:v>
                </c:pt>
                <c:pt idx="124">
                  <c:v>0.95670805369127299</c:v>
                </c:pt>
                <c:pt idx="125">
                  <c:v>0.95670805369127299</c:v>
                </c:pt>
                <c:pt idx="126">
                  <c:v>0.95670805369127299</c:v>
                </c:pt>
                <c:pt idx="127">
                  <c:v>0.95670805369127299</c:v>
                </c:pt>
                <c:pt idx="128">
                  <c:v>0.95670805369127299</c:v>
                </c:pt>
                <c:pt idx="129">
                  <c:v>0.95670805369127299</c:v>
                </c:pt>
                <c:pt idx="130">
                  <c:v>0.95670805369127299</c:v>
                </c:pt>
                <c:pt idx="131">
                  <c:v>0.95670805369127299</c:v>
                </c:pt>
                <c:pt idx="132">
                  <c:v>0.95670805369127299</c:v>
                </c:pt>
                <c:pt idx="133">
                  <c:v>0.95670805369127299</c:v>
                </c:pt>
                <c:pt idx="134">
                  <c:v>0.95670805369127299</c:v>
                </c:pt>
                <c:pt idx="135">
                  <c:v>0.95670805369127299</c:v>
                </c:pt>
                <c:pt idx="136">
                  <c:v>0.95670805369127299</c:v>
                </c:pt>
                <c:pt idx="137">
                  <c:v>0.95670805369127299</c:v>
                </c:pt>
                <c:pt idx="138">
                  <c:v>0.95670805369127299</c:v>
                </c:pt>
                <c:pt idx="139">
                  <c:v>0.95670805369127299</c:v>
                </c:pt>
                <c:pt idx="140">
                  <c:v>0.95670805369127299</c:v>
                </c:pt>
                <c:pt idx="141">
                  <c:v>0.95670805369127299</c:v>
                </c:pt>
                <c:pt idx="142">
                  <c:v>0.95670805369127299</c:v>
                </c:pt>
                <c:pt idx="143">
                  <c:v>0.95670805369127299</c:v>
                </c:pt>
                <c:pt idx="144">
                  <c:v>0.95670805369127299</c:v>
                </c:pt>
                <c:pt idx="145">
                  <c:v>0.95670805369127299</c:v>
                </c:pt>
                <c:pt idx="146">
                  <c:v>0.95670805369127299</c:v>
                </c:pt>
                <c:pt idx="147">
                  <c:v>0.95670805369127299</c:v>
                </c:pt>
                <c:pt idx="148">
                  <c:v>0.95670805369127299</c:v>
                </c:pt>
                <c:pt idx="149">
                  <c:v>0.95670805369127299</c:v>
                </c:pt>
                <c:pt idx="150">
                  <c:v>0.95670805369127299</c:v>
                </c:pt>
                <c:pt idx="151">
                  <c:v>0.95670805369127299</c:v>
                </c:pt>
                <c:pt idx="152">
                  <c:v>0.95670805369127299</c:v>
                </c:pt>
                <c:pt idx="153">
                  <c:v>0.95670805369127299</c:v>
                </c:pt>
                <c:pt idx="154">
                  <c:v>0.95670805369127299</c:v>
                </c:pt>
                <c:pt idx="155">
                  <c:v>0.95670805369127299</c:v>
                </c:pt>
                <c:pt idx="156">
                  <c:v>0.95670805369127299</c:v>
                </c:pt>
                <c:pt idx="157">
                  <c:v>0.95670805369127299</c:v>
                </c:pt>
                <c:pt idx="158">
                  <c:v>0.95670805369127299</c:v>
                </c:pt>
                <c:pt idx="159">
                  <c:v>0.95670805369127299</c:v>
                </c:pt>
                <c:pt idx="160">
                  <c:v>0.95670805369127299</c:v>
                </c:pt>
                <c:pt idx="161">
                  <c:v>0.95670805369127299</c:v>
                </c:pt>
                <c:pt idx="162">
                  <c:v>0.95670805369127299</c:v>
                </c:pt>
                <c:pt idx="163">
                  <c:v>0.95670805369127299</c:v>
                </c:pt>
                <c:pt idx="164">
                  <c:v>0.95670805369127299</c:v>
                </c:pt>
                <c:pt idx="165">
                  <c:v>0.95670805369127299</c:v>
                </c:pt>
                <c:pt idx="166">
                  <c:v>0.95670805369127299</c:v>
                </c:pt>
                <c:pt idx="167">
                  <c:v>0.95670805369127299</c:v>
                </c:pt>
                <c:pt idx="168">
                  <c:v>0.95670805369127299</c:v>
                </c:pt>
                <c:pt idx="169">
                  <c:v>0.95670805369127299</c:v>
                </c:pt>
                <c:pt idx="170">
                  <c:v>0.95670805369127299</c:v>
                </c:pt>
                <c:pt idx="171">
                  <c:v>0.95670805369127299</c:v>
                </c:pt>
                <c:pt idx="172">
                  <c:v>0.95670805369127299</c:v>
                </c:pt>
                <c:pt idx="173">
                  <c:v>0.95670805369127299</c:v>
                </c:pt>
                <c:pt idx="174">
                  <c:v>0.95670805369127299</c:v>
                </c:pt>
                <c:pt idx="175">
                  <c:v>0.95670805369127299</c:v>
                </c:pt>
                <c:pt idx="176">
                  <c:v>0.95670805369127299</c:v>
                </c:pt>
                <c:pt idx="177">
                  <c:v>0.95670805369127299</c:v>
                </c:pt>
                <c:pt idx="178">
                  <c:v>0.95670805369127299</c:v>
                </c:pt>
                <c:pt idx="179">
                  <c:v>0.95670805369127299</c:v>
                </c:pt>
                <c:pt idx="180">
                  <c:v>0.95670805369127299</c:v>
                </c:pt>
                <c:pt idx="181">
                  <c:v>0.95670805369127299</c:v>
                </c:pt>
                <c:pt idx="182">
                  <c:v>0.95670805369127299</c:v>
                </c:pt>
                <c:pt idx="183">
                  <c:v>0.95670805369127299</c:v>
                </c:pt>
                <c:pt idx="184">
                  <c:v>0.95670805369127299</c:v>
                </c:pt>
                <c:pt idx="185">
                  <c:v>0.95670805369127299</c:v>
                </c:pt>
                <c:pt idx="186">
                  <c:v>0.95670805369127299</c:v>
                </c:pt>
                <c:pt idx="187">
                  <c:v>0.95670805369127299</c:v>
                </c:pt>
                <c:pt idx="188">
                  <c:v>0.95670805369127299</c:v>
                </c:pt>
                <c:pt idx="189">
                  <c:v>0.95670805369127299</c:v>
                </c:pt>
                <c:pt idx="190">
                  <c:v>0.95670805369127299</c:v>
                </c:pt>
                <c:pt idx="191">
                  <c:v>0.95670805369127299</c:v>
                </c:pt>
                <c:pt idx="192">
                  <c:v>0.95670805369127299</c:v>
                </c:pt>
                <c:pt idx="193">
                  <c:v>0.95670805369127299</c:v>
                </c:pt>
                <c:pt idx="194">
                  <c:v>0.95670805369127299</c:v>
                </c:pt>
                <c:pt idx="195">
                  <c:v>0.95670805369127299</c:v>
                </c:pt>
                <c:pt idx="196">
                  <c:v>0.95670805369127299</c:v>
                </c:pt>
                <c:pt idx="197">
                  <c:v>0.95670805369127299</c:v>
                </c:pt>
                <c:pt idx="198">
                  <c:v>0.95670805369127299</c:v>
                </c:pt>
                <c:pt idx="199">
                  <c:v>0.95670805369127299</c:v>
                </c:pt>
                <c:pt idx="200">
                  <c:v>0.95670805369127299</c:v>
                </c:pt>
                <c:pt idx="201">
                  <c:v>0.95670805369127299</c:v>
                </c:pt>
                <c:pt idx="202">
                  <c:v>0.95670805369127299</c:v>
                </c:pt>
                <c:pt idx="203">
                  <c:v>0.95670805369127299</c:v>
                </c:pt>
                <c:pt idx="204">
                  <c:v>0.95670805369127299</c:v>
                </c:pt>
                <c:pt idx="205">
                  <c:v>0.95670805369127299</c:v>
                </c:pt>
                <c:pt idx="206">
                  <c:v>0.95670805369127299</c:v>
                </c:pt>
                <c:pt idx="207">
                  <c:v>0.95670805369127299</c:v>
                </c:pt>
                <c:pt idx="208">
                  <c:v>0.95670805369127299</c:v>
                </c:pt>
                <c:pt idx="209">
                  <c:v>0.95670805369127299</c:v>
                </c:pt>
                <c:pt idx="210">
                  <c:v>0.95670805369127299</c:v>
                </c:pt>
                <c:pt idx="211">
                  <c:v>0.95670805369127299</c:v>
                </c:pt>
                <c:pt idx="212">
                  <c:v>0.95670805369127299</c:v>
                </c:pt>
                <c:pt idx="213">
                  <c:v>0.95670805369127299</c:v>
                </c:pt>
                <c:pt idx="214">
                  <c:v>0.95670805369127299</c:v>
                </c:pt>
                <c:pt idx="215">
                  <c:v>0.95670805369127299</c:v>
                </c:pt>
                <c:pt idx="216">
                  <c:v>0.95670805369127299</c:v>
                </c:pt>
                <c:pt idx="217">
                  <c:v>0.95670805369127299</c:v>
                </c:pt>
                <c:pt idx="218">
                  <c:v>0.95670805369127299</c:v>
                </c:pt>
                <c:pt idx="219">
                  <c:v>0.95670805369127299</c:v>
                </c:pt>
                <c:pt idx="220">
                  <c:v>0.95670805369127299</c:v>
                </c:pt>
                <c:pt idx="221">
                  <c:v>0.95670805369127299</c:v>
                </c:pt>
                <c:pt idx="222">
                  <c:v>0.95670805369127299</c:v>
                </c:pt>
                <c:pt idx="223">
                  <c:v>0.95670805369127299</c:v>
                </c:pt>
                <c:pt idx="224">
                  <c:v>0.95670805369127299</c:v>
                </c:pt>
                <c:pt idx="225">
                  <c:v>0.95670805369127299</c:v>
                </c:pt>
                <c:pt idx="226">
                  <c:v>0.95670805369127299</c:v>
                </c:pt>
                <c:pt idx="227">
                  <c:v>0.95670805369127299</c:v>
                </c:pt>
                <c:pt idx="228">
                  <c:v>0.95670805369127299</c:v>
                </c:pt>
                <c:pt idx="229">
                  <c:v>0.95670805369127299</c:v>
                </c:pt>
                <c:pt idx="230">
                  <c:v>0.95670805369127299</c:v>
                </c:pt>
                <c:pt idx="231">
                  <c:v>0.95670805369127299</c:v>
                </c:pt>
                <c:pt idx="232">
                  <c:v>0.95670805369127299</c:v>
                </c:pt>
                <c:pt idx="233">
                  <c:v>0.95670805369127299</c:v>
                </c:pt>
                <c:pt idx="234">
                  <c:v>0.95670805369127299</c:v>
                </c:pt>
                <c:pt idx="235">
                  <c:v>0.95670805369127299</c:v>
                </c:pt>
                <c:pt idx="236">
                  <c:v>0.95670805369127299</c:v>
                </c:pt>
                <c:pt idx="237">
                  <c:v>0.95670805369127299</c:v>
                </c:pt>
                <c:pt idx="238">
                  <c:v>0.95670805369127299</c:v>
                </c:pt>
                <c:pt idx="239">
                  <c:v>0.95670805369127299</c:v>
                </c:pt>
                <c:pt idx="240">
                  <c:v>0.95670805369127299</c:v>
                </c:pt>
                <c:pt idx="241">
                  <c:v>0.95670805369127299</c:v>
                </c:pt>
                <c:pt idx="242">
                  <c:v>0.95670805369127299</c:v>
                </c:pt>
                <c:pt idx="243">
                  <c:v>0.95670805369127299</c:v>
                </c:pt>
                <c:pt idx="244">
                  <c:v>0.95670805369127299</c:v>
                </c:pt>
                <c:pt idx="245">
                  <c:v>0.95670805369127299</c:v>
                </c:pt>
                <c:pt idx="246">
                  <c:v>0.95670805369127299</c:v>
                </c:pt>
                <c:pt idx="247">
                  <c:v>0.95670805369127299</c:v>
                </c:pt>
                <c:pt idx="248">
                  <c:v>0.95670805369127299</c:v>
                </c:pt>
                <c:pt idx="249">
                  <c:v>0.95670805369127299</c:v>
                </c:pt>
                <c:pt idx="250">
                  <c:v>0.95670805369127299</c:v>
                </c:pt>
                <c:pt idx="251">
                  <c:v>0.95670805369127299</c:v>
                </c:pt>
                <c:pt idx="252">
                  <c:v>0.95670805369127299</c:v>
                </c:pt>
                <c:pt idx="253">
                  <c:v>0.95670805369127299</c:v>
                </c:pt>
                <c:pt idx="254">
                  <c:v>0.95670805369127299</c:v>
                </c:pt>
                <c:pt idx="255">
                  <c:v>0.95670805369127299</c:v>
                </c:pt>
                <c:pt idx="256">
                  <c:v>0.95670805369127299</c:v>
                </c:pt>
                <c:pt idx="257">
                  <c:v>0.95670805369127299</c:v>
                </c:pt>
                <c:pt idx="258">
                  <c:v>0.95670805369127299</c:v>
                </c:pt>
                <c:pt idx="259">
                  <c:v>0.95670805369127299</c:v>
                </c:pt>
                <c:pt idx="260">
                  <c:v>0.95670805369127299</c:v>
                </c:pt>
                <c:pt idx="261">
                  <c:v>0.95670805369127299</c:v>
                </c:pt>
                <c:pt idx="262">
                  <c:v>0.95670805369127299</c:v>
                </c:pt>
                <c:pt idx="263">
                  <c:v>0.95670805369127299</c:v>
                </c:pt>
                <c:pt idx="264">
                  <c:v>0.95670805369127299</c:v>
                </c:pt>
                <c:pt idx="265">
                  <c:v>0.95670805369127299</c:v>
                </c:pt>
                <c:pt idx="266">
                  <c:v>0.95670805369127299</c:v>
                </c:pt>
                <c:pt idx="267">
                  <c:v>0.95670805369127299</c:v>
                </c:pt>
                <c:pt idx="268">
                  <c:v>0.95670805369127299</c:v>
                </c:pt>
                <c:pt idx="269">
                  <c:v>0.95670805369127299</c:v>
                </c:pt>
                <c:pt idx="270">
                  <c:v>0.95670805369127299</c:v>
                </c:pt>
                <c:pt idx="271">
                  <c:v>0.95670805369127299</c:v>
                </c:pt>
                <c:pt idx="272">
                  <c:v>0.95670805369127299</c:v>
                </c:pt>
                <c:pt idx="273">
                  <c:v>0.95670805369127299</c:v>
                </c:pt>
                <c:pt idx="274">
                  <c:v>0.95670805369127299</c:v>
                </c:pt>
                <c:pt idx="275">
                  <c:v>0.95670805369127299</c:v>
                </c:pt>
                <c:pt idx="276">
                  <c:v>0.95670805369127299</c:v>
                </c:pt>
                <c:pt idx="277">
                  <c:v>0.95670805369127299</c:v>
                </c:pt>
                <c:pt idx="278">
                  <c:v>0.95670805369127299</c:v>
                </c:pt>
                <c:pt idx="279">
                  <c:v>0.95670805369127299</c:v>
                </c:pt>
                <c:pt idx="280">
                  <c:v>0.95670805369127299</c:v>
                </c:pt>
                <c:pt idx="281">
                  <c:v>0.95670805369127299</c:v>
                </c:pt>
                <c:pt idx="282">
                  <c:v>0.95670805369127299</c:v>
                </c:pt>
                <c:pt idx="283">
                  <c:v>0.95670805369127299</c:v>
                </c:pt>
                <c:pt idx="284">
                  <c:v>0.95670805369127299</c:v>
                </c:pt>
                <c:pt idx="285">
                  <c:v>0.95670805369127299</c:v>
                </c:pt>
                <c:pt idx="286">
                  <c:v>0.95670805369127299</c:v>
                </c:pt>
                <c:pt idx="287">
                  <c:v>0.95670805369127299</c:v>
                </c:pt>
                <c:pt idx="288">
                  <c:v>0.95670805369127299</c:v>
                </c:pt>
                <c:pt idx="289">
                  <c:v>0.95670805369127299</c:v>
                </c:pt>
                <c:pt idx="290">
                  <c:v>0.95670805369127299</c:v>
                </c:pt>
                <c:pt idx="291">
                  <c:v>0.95670805369127299</c:v>
                </c:pt>
                <c:pt idx="292">
                  <c:v>0.95670805369127299</c:v>
                </c:pt>
                <c:pt idx="293">
                  <c:v>0.95670805369127299</c:v>
                </c:pt>
                <c:pt idx="294">
                  <c:v>0.95670805369127299</c:v>
                </c:pt>
                <c:pt idx="295">
                  <c:v>0.95670805369127299</c:v>
                </c:pt>
                <c:pt idx="296">
                  <c:v>0.95670805369127299</c:v>
                </c:pt>
                <c:pt idx="297">
                  <c:v>0.95670805369127299</c:v>
                </c:pt>
                <c:pt idx="298">
                  <c:v>0.95670805369127299</c:v>
                </c:pt>
                <c:pt idx="299">
                  <c:v>0.95670805369127299</c:v>
                </c:pt>
                <c:pt idx="300">
                  <c:v>0.95670805369127299</c:v>
                </c:pt>
                <c:pt idx="301">
                  <c:v>0.95670805369127299</c:v>
                </c:pt>
                <c:pt idx="302">
                  <c:v>0.95670805369127299</c:v>
                </c:pt>
                <c:pt idx="303">
                  <c:v>0.95670805369127299</c:v>
                </c:pt>
                <c:pt idx="304">
                  <c:v>0.95670805369127299</c:v>
                </c:pt>
                <c:pt idx="305">
                  <c:v>0.95670805369127299</c:v>
                </c:pt>
                <c:pt idx="306">
                  <c:v>0.95670805369127299</c:v>
                </c:pt>
                <c:pt idx="307">
                  <c:v>0.95670805369127299</c:v>
                </c:pt>
                <c:pt idx="308">
                  <c:v>0.95670805369127299</c:v>
                </c:pt>
                <c:pt idx="309">
                  <c:v>0.95670805369127299</c:v>
                </c:pt>
                <c:pt idx="310">
                  <c:v>0.95670805369127299</c:v>
                </c:pt>
                <c:pt idx="311">
                  <c:v>0.95670805369127299</c:v>
                </c:pt>
                <c:pt idx="312">
                  <c:v>0.95670805369127299</c:v>
                </c:pt>
                <c:pt idx="313">
                  <c:v>0.95670805369127299</c:v>
                </c:pt>
                <c:pt idx="314">
                  <c:v>0.95670805369127299</c:v>
                </c:pt>
                <c:pt idx="315">
                  <c:v>0.95670805369127299</c:v>
                </c:pt>
                <c:pt idx="316">
                  <c:v>0.95670805369127299</c:v>
                </c:pt>
                <c:pt idx="317">
                  <c:v>0.95670805369127299</c:v>
                </c:pt>
                <c:pt idx="318">
                  <c:v>0.95670805369127299</c:v>
                </c:pt>
                <c:pt idx="319">
                  <c:v>0.95670805369127299</c:v>
                </c:pt>
                <c:pt idx="320">
                  <c:v>0.95670805369127299</c:v>
                </c:pt>
                <c:pt idx="321">
                  <c:v>0.95670805369127299</c:v>
                </c:pt>
                <c:pt idx="322">
                  <c:v>0.95670805369127299</c:v>
                </c:pt>
                <c:pt idx="323">
                  <c:v>0.95670805369127299</c:v>
                </c:pt>
                <c:pt idx="324">
                  <c:v>0.95670805369127299</c:v>
                </c:pt>
                <c:pt idx="325">
                  <c:v>0.95670805369127299</c:v>
                </c:pt>
                <c:pt idx="326">
                  <c:v>0.95670805369127299</c:v>
                </c:pt>
                <c:pt idx="327">
                  <c:v>0.95670805369127299</c:v>
                </c:pt>
                <c:pt idx="328">
                  <c:v>0.95670805369127299</c:v>
                </c:pt>
                <c:pt idx="329">
                  <c:v>0.95670805369127299</c:v>
                </c:pt>
                <c:pt idx="330">
                  <c:v>0.95670805369127299</c:v>
                </c:pt>
                <c:pt idx="331">
                  <c:v>0.95670805369127299</c:v>
                </c:pt>
                <c:pt idx="332">
                  <c:v>0.95670805369127299</c:v>
                </c:pt>
                <c:pt idx="333">
                  <c:v>0.95670805369127299</c:v>
                </c:pt>
                <c:pt idx="334">
                  <c:v>0.95670805369127299</c:v>
                </c:pt>
                <c:pt idx="335">
                  <c:v>0.95670805369127299</c:v>
                </c:pt>
                <c:pt idx="336">
                  <c:v>0.95670805369127299</c:v>
                </c:pt>
                <c:pt idx="337">
                  <c:v>0.95670805369127299</c:v>
                </c:pt>
                <c:pt idx="338">
                  <c:v>0.95670805369127299</c:v>
                </c:pt>
                <c:pt idx="339">
                  <c:v>0.95670805369127299</c:v>
                </c:pt>
                <c:pt idx="340">
                  <c:v>0.95670805369127299</c:v>
                </c:pt>
                <c:pt idx="341">
                  <c:v>0.95670805369127299</c:v>
                </c:pt>
                <c:pt idx="342">
                  <c:v>0.95670805369127299</c:v>
                </c:pt>
                <c:pt idx="343">
                  <c:v>0.95670805369127299</c:v>
                </c:pt>
                <c:pt idx="344">
                  <c:v>0.95670805369127299</c:v>
                </c:pt>
                <c:pt idx="345">
                  <c:v>0.95670805369127299</c:v>
                </c:pt>
                <c:pt idx="346">
                  <c:v>0.95670805369127299</c:v>
                </c:pt>
                <c:pt idx="347">
                  <c:v>0.95670805369127299</c:v>
                </c:pt>
                <c:pt idx="348">
                  <c:v>0.95670805369127299</c:v>
                </c:pt>
                <c:pt idx="349">
                  <c:v>0.95670805369127299</c:v>
                </c:pt>
                <c:pt idx="350">
                  <c:v>0.95670805369127299</c:v>
                </c:pt>
                <c:pt idx="351">
                  <c:v>0.95670805369127299</c:v>
                </c:pt>
                <c:pt idx="352">
                  <c:v>0.95670805369127299</c:v>
                </c:pt>
                <c:pt idx="353">
                  <c:v>0.95670805369127299</c:v>
                </c:pt>
                <c:pt idx="354">
                  <c:v>0.95670805369127299</c:v>
                </c:pt>
                <c:pt idx="355">
                  <c:v>0.95670805369127299</c:v>
                </c:pt>
                <c:pt idx="356">
                  <c:v>0.95670805369127299</c:v>
                </c:pt>
                <c:pt idx="357">
                  <c:v>0.95670805369127299</c:v>
                </c:pt>
                <c:pt idx="358">
                  <c:v>0.95670805369127299</c:v>
                </c:pt>
                <c:pt idx="359">
                  <c:v>0.95670805369127299</c:v>
                </c:pt>
                <c:pt idx="360">
                  <c:v>0.95670805369127299</c:v>
                </c:pt>
                <c:pt idx="361">
                  <c:v>0.95670805369127299</c:v>
                </c:pt>
                <c:pt idx="362">
                  <c:v>0.95670805369127299</c:v>
                </c:pt>
                <c:pt idx="363">
                  <c:v>0.95670805369127299</c:v>
                </c:pt>
                <c:pt idx="364">
                  <c:v>0.95670805369127299</c:v>
                </c:pt>
                <c:pt idx="365">
                  <c:v>0.95670805369127299</c:v>
                </c:pt>
                <c:pt idx="366">
                  <c:v>0.95670805369127299</c:v>
                </c:pt>
                <c:pt idx="367">
                  <c:v>0.95670805369127299</c:v>
                </c:pt>
                <c:pt idx="368">
                  <c:v>0.95670805369127299</c:v>
                </c:pt>
                <c:pt idx="369">
                  <c:v>0.95670805369127299</c:v>
                </c:pt>
                <c:pt idx="370">
                  <c:v>0.95670805369127299</c:v>
                </c:pt>
                <c:pt idx="371">
                  <c:v>0.95670805369127299</c:v>
                </c:pt>
                <c:pt idx="372">
                  <c:v>0.95670805369127299</c:v>
                </c:pt>
                <c:pt idx="373">
                  <c:v>0.95670805369127299</c:v>
                </c:pt>
                <c:pt idx="374">
                  <c:v>0.95670805369127299</c:v>
                </c:pt>
                <c:pt idx="375">
                  <c:v>0.95670805369127299</c:v>
                </c:pt>
                <c:pt idx="376">
                  <c:v>0.95670805369127299</c:v>
                </c:pt>
                <c:pt idx="377">
                  <c:v>0.95670805369127299</c:v>
                </c:pt>
                <c:pt idx="378">
                  <c:v>0.95670805369127299</c:v>
                </c:pt>
                <c:pt idx="379">
                  <c:v>0.95670805369127299</c:v>
                </c:pt>
                <c:pt idx="380">
                  <c:v>0.95670805369127299</c:v>
                </c:pt>
                <c:pt idx="381">
                  <c:v>0.95670805369127299</c:v>
                </c:pt>
                <c:pt idx="382">
                  <c:v>0.95670805369127299</c:v>
                </c:pt>
                <c:pt idx="383">
                  <c:v>0.95670805369127299</c:v>
                </c:pt>
                <c:pt idx="384">
                  <c:v>0.95670805369127299</c:v>
                </c:pt>
                <c:pt idx="385">
                  <c:v>0.95670805369127299</c:v>
                </c:pt>
                <c:pt idx="386">
                  <c:v>0.95670805369127299</c:v>
                </c:pt>
                <c:pt idx="387">
                  <c:v>0.95670805369127299</c:v>
                </c:pt>
                <c:pt idx="388">
                  <c:v>0.95670805369127299</c:v>
                </c:pt>
                <c:pt idx="389">
                  <c:v>0.95670805369127299</c:v>
                </c:pt>
                <c:pt idx="390">
                  <c:v>0.95670805369127299</c:v>
                </c:pt>
                <c:pt idx="391">
                  <c:v>0.95670805369127299</c:v>
                </c:pt>
                <c:pt idx="392">
                  <c:v>0.95670805369127299</c:v>
                </c:pt>
                <c:pt idx="393">
                  <c:v>0.95670805369127299</c:v>
                </c:pt>
                <c:pt idx="394">
                  <c:v>0.95670805369127299</c:v>
                </c:pt>
                <c:pt idx="395">
                  <c:v>0.95670805369127299</c:v>
                </c:pt>
                <c:pt idx="396">
                  <c:v>0.95670805369127299</c:v>
                </c:pt>
                <c:pt idx="397">
                  <c:v>0.95670805369127299</c:v>
                </c:pt>
                <c:pt idx="398">
                  <c:v>0.95670805369127299</c:v>
                </c:pt>
                <c:pt idx="399">
                  <c:v>0.95670805369127299</c:v>
                </c:pt>
                <c:pt idx="400">
                  <c:v>0.95670805369127299</c:v>
                </c:pt>
                <c:pt idx="401">
                  <c:v>0.95670805369127299</c:v>
                </c:pt>
                <c:pt idx="402">
                  <c:v>0.95670805369127299</c:v>
                </c:pt>
                <c:pt idx="403">
                  <c:v>0.95670805369127299</c:v>
                </c:pt>
                <c:pt idx="404">
                  <c:v>0.95670805369127299</c:v>
                </c:pt>
                <c:pt idx="405">
                  <c:v>0.95670805369127299</c:v>
                </c:pt>
                <c:pt idx="406">
                  <c:v>0.95670805369127299</c:v>
                </c:pt>
                <c:pt idx="407">
                  <c:v>0.95670805369127299</c:v>
                </c:pt>
                <c:pt idx="408">
                  <c:v>0.95670805369127299</c:v>
                </c:pt>
                <c:pt idx="409">
                  <c:v>0.95670805369127299</c:v>
                </c:pt>
                <c:pt idx="410">
                  <c:v>0.95670805369127299</c:v>
                </c:pt>
                <c:pt idx="411">
                  <c:v>0.95670805369127299</c:v>
                </c:pt>
                <c:pt idx="412">
                  <c:v>0.95670805369127299</c:v>
                </c:pt>
                <c:pt idx="413">
                  <c:v>0.95670805369127299</c:v>
                </c:pt>
                <c:pt idx="414">
                  <c:v>0.95670805369127299</c:v>
                </c:pt>
                <c:pt idx="415">
                  <c:v>0.95670805369127299</c:v>
                </c:pt>
                <c:pt idx="416">
                  <c:v>0.95670805369127299</c:v>
                </c:pt>
                <c:pt idx="417">
                  <c:v>0.95670805369127299</c:v>
                </c:pt>
                <c:pt idx="418">
                  <c:v>0.95670805369127299</c:v>
                </c:pt>
                <c:pt idx="419">
                  <c:v>0.95670805369127299</c:v>
                </c:pt>
                <c:pt idx="420">
                  <c:v>0.95670805369127299</c:v>
                </c:pt>
                <c:pt idx="421">
                  <c:v>0.95670805369127299</c:v>
                </c:pt>
                <c:pt idx="422">
                  <c:v>0.95670805369127299</c:v>
                </c:pt>
                <c:pt idx="423">
                  <c:v>0.95670805369127299</c:v>
                </c:pt>
                <c:pt idx="424">
                  <c:v>0.95670805369127299</c:v>
                </c:pt>
                <c:pt idx="425">
                  <c:v>0.95670805369127299</c:v>
                </c:pt>
                <c:pt idx="426">
                  <c:v>0.95670805369127299</c:v>
                </c:pt>
                <c:pt idx="427">
                  <c:v>0.95670805369127299</c:v>
                </c:pt>
                <c:pt idx="428">
                  <c:v>0.95670805369127299</c:v>
                </c:pt>
                <c:pt idx="429">
                  <c:v>0.95670805369127299</c:v>
                </c:pt>
                <c:pt idx="430">
                  <c:v>0.95670805369127299</c:v>
                </c:pt>
                <c:pt idx="431">
                  <c:v>0.95670805369127299</c:v>
                </c:pt>
                <c:pt idx="432">
                  <c:v>0.95670805369127299</c:v>
                </c:pt>
                <c:pt idx="433">
                  <c:v>0.95670805369127299</c:v>
                </c:pt>
                <c:pt idx="434">
                  <c:v>0.95670805369127299</c:v>
                </c:pt>
                <c:pt idx="435">
                  <c:v>0.95670805369127299</c:v>
                </c:pt>
                <c:pt idx="436">
                  <c:v>0.95670805369127299</c:v>
                </c:pt>
                <c:pt idx="437">
                  <c:v>0.95670805369127299</c:v>
                </c:pt>
                <c:pt idx="438">
                  <c:v>0.95670805369127299</c:v>
                </c:pt>
                <c:pt idx="439">
                  <c:v>0.95670805369127299</c:v>
                </c:pt>
                <c:pt idx="440">
                  <c:v>0.95670805369127299</c:v>
                </c:pt>
                <c:pt idx="441">
                  <c:v>0.95670805369127299</c:v>
                </c:pt>
                <c:pt idx="442">
                  <c:v>0.95670805369127299</c:v>
                </c:pt>
                <c:pt idx="443">
                  <c:v>0.95670805369127299</c:v>
                </c:pt>
                <c:pt idx="444">
                  <c:v>0.95670805369127299</c:v>
                </c:pt>
                <c:pt idx="445">
                  <c:v>0.95670805369127299</c:v>
                </c:pt>
                <c:pt idx="446">
                  <c:v>0.95670805369127299</c:v>
                </c:pt>
                <c:pt idx="447">
                  <c:v>0.95670805369127299</c:v>
                </c:pt>
                <c:pt idx="448">
                  <c:v>0.95670805369127299</c:v>
                </c:pt>
                <c:pt idx="449">
                  <c:v>0.95670805369127299</c:v>
                </c:pt>
                <c:pt idx="450">
                  <c:v>0.95670805369127299</c:v>
                </c:pt>
                <c:pt idx="451">
                  <c:v>0.95670805369127299</c:v>
                </c:pt>
                <c:pt idx="452">
                  <c:v>0.95670805369127299</c:v>
                </c:pt>
                <c:pt idx="453">
                  <c:v>0.95670805369127299</c:v>
                </c:pt>
                <c:pt idx="454">
                  <c:v>0.95670805369127299</c:v>
                </c:pt>
                <c:pt idx="455">
                  <c:v>0.95670805369127299</c:v>
                </c:pt>
                <c:pt idx="456">
                  <c:v>0.95670805369127299</c:v>
                </c:pt>
                <c:pt idx="457">
                  <c:v>0.95670805369127299</c:v>
                </c:pt>
                <c:pt idx="458">
                  <c:v>0.95670805369127299</c:v>
                </c:pt>
                <c:pt idx="459">
                  <c:v>0.95670805369127299</c:v>
                </c:pt>
                <c:pt idx="460">
                  <c:v>0.95670805369127299</c:v>
                </c:pt>
                <c:pt idx="461">
                  <c:v>0.95670805369127299</c:v>
                </c:pt>
                <c:pt idx="462">
                  <c:v>0.95670805369127299</c:v>
                </c:pt>
                <c:pt idx="463">
                  <c:v>0.95670805369127299</c:v>
                </c:pt>
                <c:pt idx="464">
                  <c:v>0.95670805369127299</c:v>
                </c:pt>
                <c:pt idx="465">
                  <c:v>0.95670805369127299</c:v>
                </c:pt>
                <c:pt idx="466">
                  <c:v>0.95670805369127299</c:v>
                </c:pt>
                <c:pt idx="467">
                  <c:v>0.95670805369127299</c:v>
                </c:pt>
                <c:pt idx="468">
                  <c:v>0.95670805369127299</c:v>
                </c:pt>
                <c:pt idx="469">
                  <c:v>0.95670805369127299</c:v>
                </c:pt>
                <c:pt idx="470">
                  <c:v>0.95670805369127299</c:v>
                </c:pt>
                <c:pt idx="471">
                  <c:v>0.95670805369127299</c:v>
                </c:pt>
                <c:pt idx="472">
                  <c:v>0.95670805369127299</c:v>
                </c:pt>
                <c:pt idx="473">
                  <c:v>0.95670805369127299</c:v>
                </c:pt>
                <c:pt idx="474">
                  <c:v>0.95670805369127299</c:v>
                </c:pt>
                <c:pt idx="475">
                  <c:v>0.95670805369127299</c:v>
                </c:pt>
                <c:pt idx="476">
                  <c:v>0.95670805369127299</c:v>
                </c:pt>
                <c:pt idx="477">
                  <c:v>0.95670805369127299</c:v>
                </c:pt>
                <c:pt idx="478">
                  <c:v>0.95670805369127299</c:v>
                </c:pt>
                <c:pt idx="479">
                  <c:v>0.95670805369127299</c:v>
                </c:pt>
                <c:pt idx="480">
                  <c:v>0.95670805369127299</c:v>
                </c:pt>
                <c:pt idx="481">
                  <c:v>0.95670805369127299</c:v>
                </c:pt>
                <c:pt idx="482">
                  <c:v>0.95670805369127299</c:v>
                </c:pt>
                <c:pt idx="483">
                  <c:v>0.95670805369127299</c:v>
                </c:pt>
                <c:pt idx="484">
                  <c:v>0.95670805369127299</c:v>
                </c:pt>
                <c:pt idx="485">
                  <c:v>0.95670805369127299</c:v>
                </c:pt>
                <c:pt idx="486">
                  <c:v>0.95670805369127299</c:v>
                </c:pt>
                <c:pt idx="487">
                  <c:v>0.95670805369127299</c:v>
                </c:pt>
                <c:pt idx="488">
                  <c:v>0.95670805369127299</c:v>
                </c:pt>
                <c:pt idx="489">
                  <c:v>0.95670805369127299</c:v>
                </c:pt>
                <c:pt idx="490">
                  <c:v>0.95670805369127299</c:v>
                </c:pt>
                <c:pt idx="491">
                  <c:v>0.95670805369127299</c:v>
                </c:pt>
                <c:pt idx="492">
                  <c:v>0.95670805369127299</c:v>
                </c:pt>
                <c:pt idx="493">
                  <c:v>0.95670805369127299</c:v>
                </c:pt>
                <c:pt idx="494">
                  <c:v>0.95670805369127299</c:v>
                </c:pt>
                <c:pt idx="495">
                  <c:v>0.95670805369127299</c:v>
                </c:pt>
                <c:pt idx="496">
                  <c:v>0.95670805369127299</c:v>
                </c:pt>
                <c:pt idx="497">
                  <c:v>0.95670805369127299</c:v>
                </c:pt>
                <c:pt idx="498">
                  <c:v>0.95670805369127299</c:v>
                </c:pt>
                <c:pt idx="499">
                  <c:v>0.95670805369127299</c:v>
                </c:pt>
                <c:pt idx="500">
                  <c:v>0.95670805369127299</c:v>
                </c:pt>
                <c:pt idx="501">
                  <c:v>0.95670805369127299</c:v>
                </c:pt>
                <c:pt idx="502">
                  <c:v>0.95670805369127299</c:v>
                </c:pt>
                <c:pt idx="503">
                  <c:v>0.95670805369127299</c:v>
                </c:pt>
                <c:pt idx="504">
                  <c:v>0.95670805369127299</c:v>
                </c:pt>
                <c:pt idx="505">
                  <c:v>0.95670805369127299</c:v>
                </c:pt>
                <c:pt idx="506">
                  <c:v>0.95670805369127299</c:v>
                </c:pt>
                <c:pt idx="507">
                  <c:v>0.95670805369127299</c:v>
                </c:pt>
                <c:pt idx="508">
                  <c:v>0.95670805369127299</c:v>
                </c:pt>
                <c:pt idx="509">
                  <c:v>0.95670805369127299</c:v>
                </c:pt>
                <c:pt idx="510">
                  <c:v>0.95670805369127299</c:v>
                </c:pt>
                <c:pt idx="511">
                  <c:v>0.95670805369127299</c:v>
                </c:pt>
                <c:pt idx="512">
                  <c:v>0.95670805369127299</c:v>
                </c:pt>
                <c:pt idx="513">
                  <c:v>0.95670805369127299</c:v>
                </c:pt>
                <c:pt idx="514">
                  <c:v>0.95670805369127299</c:v>
                </c:pt>
                <c:pt idx="515">
                  <c:v>0.95670805369127299</c:v>
                </c:pt>
                <c:pt idx="516">
                  <c:v>0.95670805369127299</c:v>
                </c:pt>
                <c:pt idx="517">
                  <c:v>0.95670805369127299</c:v>
                </c:pt>
                <c:pt idx="518">
                  <c:v>0.95670805369127299</c:v>
                </c:pt>
                <c:pt idx="519">
                  <c:v>0.95670805369127299</c:v>
                </c:pt>
                <c:pt idx="520">
                  <c:v>0.95670805369127299</c:v>
                </c:pt>
                <c:pt idx="521">
                  <c:v>0.95670805369127299</c:v>
                </c:pt>
                <c:pt idx="522">
                  <c:v>0.95670805369127299</c:v>
                </c:pt>
                <c:pt idx="523">
                  <c:v>0.95670805369127299</c:v>
                </c:pt>
                <c:pt idx="524">
                  <c:v>0.95670805369127299</c:v>
                </c:pt>
                <c:pt idx="525">
                  <c:v>0.95670805369127299</c:v>
                </c:pt>
                <c:pt idx="526">
                  <c:v>0.95670805369127299</c:v>
                </c:pt>
                <c:pt idx="527">
                  <c:v>0.95670805369127299</c:v>
                </c:pt>
                <c:pt idx="528">
                  <c:v>0.95670805369127299</c:v>
                </c:pt>
                <c:pt idx="529">
                  <c:v>0.95670805369127299</c:v>
                </c:pt>
                <c:pt idx="530">
                  <c:v>0.95670805369127299</c:v>
                </c:pt>
                <c:pt idx="531">
                  <c:v>0.95670805369127299</c:v>
                </c:pt>
                <c:pt idx="532">
                  <c:v>0.95670805369127299</c:v>
                </c:pt>
                <c:pt idx="533">
                  <c:v>0.95670805369127299</c:v>
                </c:pt>
                <c:pt idx="534">
                  <c:v>0.95670805369127299</c:v>
                </c:pt>
                <c:pt idx="535">
                  <c:v>0.95670805369127299</c:v>
                </c:pt>
                <c:pt idx="536">
                  <c:v>0.95670805369127299</c:v>
                </c:pt>
                <c:pt idx="537">
                  <c:v>0.95670805369127299</c:v>
                </c:pt>
                <c:pt idx="538">
                  <c:v>0.95670805369127299</c:v>
                </c:pt>
                <c:pt idx="539">
                  <c:v>0.95670805369127299</c:v>
                </c:pt>
                <c:pt idx="540">
                  <c:v>0.95670805369127299</c:v>
                </c:pt>
                <c:pt idx="541">
                  <c:v>0.95670805369127299</c:v>
                </c:pt>
                <c:pt idx="542">
                  <c:v>0.95670805369127299</c:v>
                </c:pt>
                <c:pt idx="543">
                  <c:v>0.95670805369127299</c:v>
                </c:pt>
                <c:pt idx="544">
                  <c:v>0.95670805369127299</c:v>
                </c:pt>
                <c:pt idx="545">
                  <c:v>0.95670805369127299</c:v>
                </c:pt>
                <c:pt idx="546">
                  <c:v>0.95670805369127299</c:v>
                </c:pt>
                <c:pt idx="547">
                  <c:v>0.95670805369127299</c:v>
                </c:pt>
                <c:pt idx="548">
                  <c:v>0.95670805369127299</c:v>
                </c:pt>
                <c:pt idx="549">
                  <c:v>0.95670805369127299</c:v>
                </c:pt>
                <c:pt idx="550">
                  <c:v>0.95670805369127299</c:v>
                </c:pt>
                <c:pt idx="551">
                  <c:v>0.95670805369127299</c:v>
                </c:pt>
                <c:pt idx="552">
                  <c:v>0.95670805369127299</c:v>
                </c:pt>
                <c:pt idx="553">
                  <c:v>0.95670805369127299</c:v>
                </c:pt>
                <c:pt idx="554">
                  <c:v>0.95670805369127299</c:v>
                </c:pt>
                <c:pt idx="555">
                  <c:v>0.95670805369127299</c:v>
                </c:pt>
                <c:pt idx="556">
                  <c:v>0.95670805369127299</c:v>
                </c:pt>
                <c:pt idx="557">
                  <c:v>0.95670805369127299</c:v>
                </c:pt>
                <c:pt idx="558">
                  <c:v>0.95670805369127299</c:v>
                </c:pt>
                <c:pt idx="559">
                  <c:v>0.95670805369127299</c:v>
                </c:pt>
                <c:pt idx="560">
                  <c:v>0.95670805369127299</c:v>
                </c:pt>
                <c:pt idx="561">
                  <c:v>0.95670805369127299</c:v>
                </c:pt>
                <c:pt idx="562">
                  <c:v>0.95670805369127299</c:v>
                </c:pt>
                <c:pt idx="563">
                  <c:v>0.95670805369127299</c:v>
                </c:pt>
                <c:pt idx="564">
                  <c:v>0.95670805369127299</c:v>
                </c:pt>
                <c:pt idx="565">
                  <c:v>0.95670805369127299</c:v>
                </c:pt>
                <c:pt idx="566">
                  <c:v>0.95670805369127299</c:v>
                </c:pt>
                <c:pt idx="567">
                  <c:v>0.95670805369127299</c:v>
                </c:pt>
                <c:pt idx="568">
                  <c:v>0.95670805369127299</c:v>
                </c:pt>
                <c:pt idx="569">
                  <c:v>0.95670805369127299</c:v>
                </c:pt>
                <c:pt idx="570">
                  <c:v>0.95670805369127299</c:v>
                </c:pt>
                <c:pt idx="571">
                  <c:v>0.95670805369127299</c:v>
                </c:pt>
                <c:pt idx="572">
                  <c:v>0.95670805369127299</c:v>
                </c:pt>
                <c:pt idx="573">
                  <c:v>0.95670805369127299</c:v>
                </c:pt>
                <c:pt idx="574">
                  <c:v>0.95670805369127299</c:v>
                </c:pt>
                <c:pt idx="575">
                  <c:v>0.95670805369127299</c:v>
                </c:pt>
                <c:pt idx="576">
                  <c:v>0.95670805369127299</c:v>
                </c:pt>
                <c:pt idx="577">
                  <c:v>0.95670805369127299</c:v>
                </c:pt>
                <c:pt idx="578">
                  <c:v>0.95670805369127299</c:v>
                </c:pt>
                <c:pt idx="579">
                  <c:v>0.95670805369127299</c:v>
                </c:pt>
                <c:pt idx="580">
                  <c:v>0.95670805369127299</c:v>
                </c:pt>
                <c:pt idx="581">
                  <c:v>0.95670805369127299</c:v>
                </c:pt>
                <c:pt idx="582">
                  <c:v>0.95670805369127299</c:v>
                </c:pt>
                <c:pt idx="583">
                  <c:v>0.95670805369127299</c:v>
                </c:pt>
                <c:pt idx="584">
                  <c:v>0.95670805369127299</c:v>
                </c:pt>
                <c:pt idx="585">
                  <c:v>0.95670805369127299</c:v>
                </c:pt>
                <c:pt idx="586">
                  <c:v>0.95670805369127299</c:v>
                </c:pt>
                <c:pt idx="587">
                  <c:v>0.95670805369127299</c:v>
                </c:pt>
                <c:pt idx="588">
                  <c:v>0.95670805369127299</c:v>
                </c:pt>
                <c:pt idx="589">
                  <c:v>0.95670805369127299</c:v>
                </c:pt>
                <c:pt idx="590">
                  <c:v>0.95670805369127299</c:v>
                </c:pt>
                <c:pt idx="591">
                  <c:v>0.95670805369127299</c:v>
                </c:pt>
                <c:pt idx="592">
                  <c:v>0.95670805369127299</c:v>
                </c:pt>
                <c:pt idx="593">
                  <c:v>0.95670805369127299</c:v>
                </c:pt>
                <c:pt idx="594">
                  <c:v>0.95670805369127299</c:v>
                </c:pt>
                <c:pt idx="595">
                  <c:v>0.95670805369127299</c:v>
                </c:pt>
                <c:pt idx="596">
                  <c:v>0.95670805369127299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98-4CD4-BE4B-4A6C51C7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HYBOX1_Thickness_SPC!$E$9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HYBOX1_Thickness_SPC!$E$10:$E$308</c:f>
              <c:numCache>
                <c:formatCode>General</c:formatCode>
                <c:ptCount val="299"/>
                <c:pt idx="0">
                  <c:v>701.13300000000004</c:v>
                </c:pt>
                <c:pt idx="1">
                  <c:v>702.01700000000005</c:v>
                </c:pt>
                <c:pt idx="2">
                  <c:v>701.52</c:v>
                </c:pt>
                <c:pt idx="3">
                  <c:v>702.60500000000002</c:v>
                </c:pt>
                <c:pt idx="4">
                  <c:v>700.69</c:v>
                </c:pt>
                <c:pt idx="5">
                  <c:v>702.31700000000001</c:v>
                </c:pt>
                <c:pt idx="6">
                  <c:v>702.18100000000004</c:v>
                </c:pt>
                <c:pt idx="7">
                  <c:v>702.471</c:v>
                </c:pt>
                <c:pt idx="8">
                  <c:v>702.06100000000004</c:v>
                </c:pt>
                <c:pt idx="9">
                  <c:v>702.64200000000005</c:v>
                </c:pt>
                <c:pt idx="10">
                  <c:v>701.79200000000003</c:v>
                </c:pt>
                <c:pt idx="11">
                  <c:v>701.70299999999997</c:v>
                </c:pt>
                <c:pt idx="12">
                  <c:v>702.45299999999997</c:v>
                </c:pt>
                <c:pt idx="13">
                  <c:v>704.29</c:v>
                </c:pt>
                <c:pt idx="14">
                  <c:v>701.53200000000004</c:v>
                </c:pt>
                <c:pt idx="15">
                  <c:v>702.375</c:v>
                </c:pt>
                <c:pt idx="16">
                  <c:v>701.55499999999995</c:v>
                </c:pt>
                <c:pt idx="17">
                  <c:v>702.11</c:v>
                </c:pt>
                <c:pt idx="18">
                  <c:v>701.48199999999997</c:v>
                </c:pt>
                <c:pt idx="19">
                  <c:v>702.97900000000004</c:v>
                </c:pt>
                <c:pt idx="20">
                  <c:v>701.66099999999994</c:v>
                </c:pt>
                <c:pt idx="21">
                  <c:v>702.726</c:v>
                </c:pt>
                <c:pt idx="22">
                  <c:v>700.65700000000004</c:v>
                </c:pt>
                <c:pt idx="23">
                  <c:v>702.29200000000003</c:v>
                </c:pt>
                <c:pt idx="24">
                  <c:v>700.31700000000001</c:v>
                </c:pt>
                <c:pt idx="25">
                  <c:v>700.06399999999996</c:v>
                </c:pt>
                <c:pt idx="26">
                  <c:v>700.50699999999995</c:v>
                </c:pt>
                <c:pt idx="27">
                  <c:v>700.90499999999997</c:v>
                </c:pt>
                <c:pt idx="28">
                  <c:v>699.89</c:v>
                </c:pt>
                <c:pt idx="29">
                  <c:v>700.00300000000004</c:v>
                </c:pt>
                <c:pt idx="30">
                  <c:v>700.29399999999998</c:v>
                </c:pt>
                <c:pt idx="31">
                  <c:v>700.81100000000004</c:v>
                </c:pt>
                <c:pt idx="32">
                  <c:v>700.06200000000001</c:v>
                </c:pt>
                <c:pt idx="33">
                  <c:v>701.46900000000005</c:v>
                </c:pt>
                <c:pt idx="34">
                  <c:v>701.33100000000002</c:v>
                </c:pt>
                <c:pt idx="35">
                  <c:v>700.89800000000002</c:v>
                </c:pt>
                <c:pt idx="36">
                  <c:v>700.79399999999998</c:v>
                </c:pt>
                <c:pt idx="37">
                  <c:v>702.32</c:v>
                </c:pt>
                <c:pt idx="38">
                  <c:v>700.74199999999996</c:v>
                </c:pt>
                <c:pt idx="39">
                  <c:v>701.16</c:v>
                </c:pt>
                <c:pt idx="40">
                  <c:v>700.71</c:v>
                </c:pt>
                <c:pt idx="41">
                  <c:v>700.14</c:v>
                </c:pt>
                <c:pt idx="42">
                  <c:v>702.11900000000003</c:v>
                </c:pt>
                <c:pt idx="43">
                  <c:v>702.29600000000005</c:v>
                </c:pt>
                <c:pt idx="44">
                  <c:v>700.73199999999997</c:v>
                </c:pt>
                <c:pt idx="45">
                  <c:v>700.64099999999996</c:v>
                </c:pt>
                <c:pt idx="46">
                  <c:v>700.77</c:v>
                </c:pt>
                <c:pt idx="47">
                  <c:v>700.48199999999997</c:v>
                </c:pt>
                <c:pt idx="48">
                  <c:v>701.96600000000001</c:v>
                </c:pt>
                <c:pt idx="49">
                  <c:v>702.35199999999998</c:v>
                </c:pt>
                <c:pt idx="50">
                  <c:v>700.39700000000005</c:v>
                </c:pt>
                <c:pt idx="51">
                  <c:v>702.48</c:v>
                </c:pt>
                <c:pt idx="52">
                  <c:v>702.87199999999996</c:v>
                </c:pt>
                <c:pt idx="53">
                  <c:v>703.53700000000003</c:v>
                </c:pt>
                <c:pt idx="54">
                  <c:v>703.57500000000005</c:v>
                </c:pt>
                <c:pt idx="55">
                  <c:v>700.62800000000004</c:v>
                </c:pt>
                <c:pt idx="56">
                  <c:v>701.47400000000005</c:v>
                </c:pt>
                <c:pt idx="57">
                  <c:v>703.125</c:v>
                </c:pt>
                <c:pt idx="58">
                  <c:v>701.42499999999995</c:v>
                </c:pt>
                <c:pt idx="59">
                  <c:v>702.64300000000003</c:v>
                </c:pt>
                <c:pt idx="60">
                  <c:v>702.07899999999995</c:v>
                </c:pt>
                <c:pt idx="61">
                  <c:v>701.07399999999996</c:v>
                </c:pt>
                <c:pt idx="62">
                  <c:v>701.56899999999996</c:v>
                </c:pt>
                <c:pt idx="63">
                  <c:v>703.54899999999998</c:v>
                </c:pt>
                <c:pt idx="64">
                  <c:v>703.048</c:v>
                </c:pt>
                <c:pt idx="65">
                  <c:v>702.71400000000006</c:v>
                </c:pt>
                <c:pt idx="66">
                  <c:v>701.18299999999999</c:v>
                </c:pt>
                <c:pt idx="67">
                  <c:v>700.98699999999997</c:v>
                </c:pt>
                <c:pt idx="68">
                  <c:v>704.69399999999996</c:v>
                </c:pt>
                <c:pt idx="69">
                  <c:v>702.21299999999997</c:v>
                </c:pt>
                <c:pt idx="70">
                  <c:v>701.18299999999999</c:v>
                </c:pt>
                <c:pt idx="71">
                  <c:v>699.81299999999999</c:v>
                </c:pt>
                <c:pt idx="72">
                  <c:v>700.87099999999998</c:v>
                </c:pt>
                <c:pt idx="73">
                  <c:v>702.30499999999995</c:v>
                </c:pt>
                <c:pt idx="74">
                  <c:v>701.09400000000005</c:v>
                </c:pt>
                <c:pt idx="75">
                  <c:v>700.16800000000001</c:v>
                </c:pt>
                <c:pt idx="76">
                  <c:v>700.43499999999995</c:v>
                </c:pt>
                <c:pt idx="77">
                  <c:v>700.18299999999999</c:v>
                </c:pt>
                <c:pt idx="78">
                  <c:v>701.15300000000002</c:v>
                </c:pt>
                <c:pt idx="79">
                  <c:v>701.1</c:v>
                </c:pt>
                <c:pt idx="80">
                  <c:v>700.15899999999999</c:v>
                </c:pt>
                <c:pt idx="81">
                  <c:v>700.53</c:v>
                </c:pt>
                <c:pt idx="82">
                  <c:v>701.88699999999994</c:v>
                </c:pt>
                <c:pt idx="83">
                  <c:v>700.44</c:v>
                </c:pt>
                <c:pt idx="84">
                  <c:v>701.08699999999999</c:v>
                </c:pt>
                <c:pt idx="85">
                  <c:v>700.12</c:v>
                </c:pt>
                <c:pt idx="86">
                  <c:v>700.10299999999995</c:v>
                </c:pt>
                <c:pt idx="87">
                  <c:v>702.596</c:v>
                </c:pt>
                <c:pt idx="88">
                  <c:v>700.32100000000003</c:v>
                </c:pt>
                <c:pt idx="89">
                  <c:v>700.31799999999998</c:v>
                </c:pt>
                <c:pt idx="90">
                  <c:v>699.86400000000003</c:v>
                </c:pt>
                <c:pt idx="91">
                  <c:v>700.19799999999998</c:v>
                </c:pt>
                <c:pt idx="92">
                  <c:v>701.09</c:v>
                </c:pt>
                <c:pt idx="93">
                  <c:v>702.21600000000001</c:v>
                </c:pt>
                <c:pt idx="94">
                  <c:v>700.66800000000001</c:v>
                </c:pt>
                <c:pt idx="95">
                  <c:v>701.24300000000005</c:v>
                </c:pt>
                <c:pt idx="96">
                  <c:v>702.04200000000003</c:v>
                </c:pt>
                <c:pt idx="97">
                  <c:v>700.75400000000002</c:v>
                </c:pt>
                <c:pt idx="98">
                  <c:v>702.64200000000005</c:v>
                </c:pt>
                <c:pt idx="99">
                  <c:v>701.61900000000003</c:v>
                </c:pt>
                <c:pt idx="100">
                  <c:v>701.38099999999997</c:v>
                </c:pt>
                <c:pt idx="101">
                  <c:v>702.67</c:v>
                </c:pt>
                <c:pt idx="102">
                  <c:v>702.572</c:v>
                </c:pt>
                <c:pt idx="103">
                  <c:v>703.17</c:v>
                </c:pt>
                <c:pt idx="104">
                  <c:v>701.74699999999996</c:v>
                </c:pt>
                <c:pt idx="105">
                  <c:v>702.15899999999999</c:v>
                </c:pt>
                <c:pt idx="106">
                  <c:v>702.27599999999995</c:v>
                </c:pt>
                <c:pt idx="107">
                  <c:v>698.22500000000002</c:v>
                </c:pt>
                <c:pt idx="108">
                  <c:v>702.31200000000001</c:v>
                </c:pt>
                <c:pt idx="109">
                  <c:v>703.35400000000004</c:v>
                </c:pt>
                <c:pt idx="110">
                  <c:v>702.14800000000002</c:v>
                </c:pt>
                <c:pt idx="111">
                  <c:v>701.80799999999999</c:v>
                </c:pt>
                <c:pt idx="112">
                  <c:v>700.57399999999996</c:v>
                </c:pt>
                <c:pt idx="113">
                  <c:v>700.03200000000004</c:v>
                </c:pt>
                <c:pt idx="114">
                  <c:v>703.14300000000003</c:v>
                </c:pt>
                <c:pt idx="115">
                  <c:v>702.47900000000004</c:v>
                </c:pt>
                <c:pt idx="116">
                  <c:v>701.81100000000004</c:v>
                </c:pt>
                <c:pt idx="117">
                  <c:v>701.43499999999995</c:v>
                </c:pt>
                <c:pt idx="118">
                  <c:v>702.41300000000001</c:v>
                </c:pt>
                <c:pt idx="119">
                  <c:v>702.41899999999998</c:v>
                </c:pt>
                <c:pt idx="120">
                  <c:v>702.22500000000002</c:v>
                </c:pt>
                <c:pt idx="121">
                  <c:v>702.48699999999997</c:v>
                </c:pt>
                <c:pt idx="122">
                  <c:v>702.33600000000001</c:v>
                </c:pt>
                <c:pt idx="123">
                  <c:v>702.10599999999999</c:v>
                </c:pt>
                <c:pt idx="124">
                  <c:v>701.57</c:v>
                </c:pt>
                <c:pt idx="125">
                  <c:v>700.649</c:v>
                </c:pt>
                <c:pt idx="126">
                  <c:v>703.19299999999998</c:v>
                </c:pt>
                <c:pt idx="127">
                  <c:v>702.42399999999998</c:v>
                </c:pt>
                <c:pt idx="128">
                  <c:v>703.19600000000003</c:v>
                </c:pt>
                <c:pt idx="129">
                  <c:v>701.61800000000005</c:v>
                </c:pt>
                <c:pt idx="130">
                  <c:v>700.65300000000002</c:v>
                </c:pt>
                <c:pt idx="131">
                  <c:v>701.75599999999997</c:v>
                </c:pt>
                <c:pt idx="132">
                  <c:v>699.55200000000002</c:v>
                </c:pt>
                <c:pt idx="133">
                  <c:v>700.80600000000004</c:v>
                </c:pt>
                <c:pt idx="134">
                  <c:v>698.69200000000001</c:v>
                </c:pt>
                <c:pt idx="135">
                  <c:v>698.58799999999997</c:v>
                </c:pt>
                <c:pt idx="136">
                  <c:v>700.75199999999995</c:v>
                </c:pt>
                <c:pt idx="137">
                  <c:v>701.59</c:v>
                </c:pt>
                <c:pt idx="138">
                  <c:v>700.81700000000001</c:v>
                </c:pt>
                <c:pt idx="139">
                  <c:v>701.95100000000002</c:v>
                </c:pt>
                <c:pt idx="140">
                  <c:v>698.86099999999999</c:v>
                </c:pt>
                <c:pt idx="141">
                  <c:v>698.61599999999999</c:v>
                </c:pt>
                <c:pt idx="142">
                  <c:v>700.32</c:v>
                </c:pt>
                <c:pt idx="143">
                  <c:v>700.95</c:v>
                </c:pt>
                <c:pt idx="144">
                  <c:v>700.59799999999996</c:v>
                </c:pt>
                <c:pt idx="145">
                  <c:v>701.03599999999994</c:v>
                </c:pt>
                <c:pt idx="146">
                  <c:v>700.57799999999997</c:v>
                </c:pt>
                <c:pt idx="147">
                  <c:v>700.33100000000002</c:v>
                </c:pt>
                <c:pt idx="148">
                  <c:v>699.95100000000002</c:v>
                </c:pt>
                <c:pt idx="149">
                  <c:v>703.66</c:v>
                </c:pt>
                <c:pt idx="150">
                  <c:v>702.49699999999996</c:v>
                </c:pt>
                <c:pt idx="151">
                  <c:v>702.70699999999999</c:v>
                </c:pt>
                <c:pt idx="152">
                  <c:v>701.64800000000002</c:v>
                </c:pt>
                <c:pt idx="153">
                  <c:v>702.67399999999998</c:v>
                </c:pt>
                <c:pt idx="154">
                  <c:v>702.68899999999996</c:v>
                </c:pt>
                <c:pt idx="155">
                  <c:v>702.85799999999995</c:v>
                </c:pt>
                <c:pt idx="156">
                  <c:v>702.33500000000004</c:v>
                </c:pt>
                <c:pt idx="157">
                  <c:v>701.62300000000005</c:v>
                </c:pt>
                <c:pt idx="158">
                  <c:v>702.71100000000001</c:v>
                </c:pt>
                <c:pt idx="159">
                  <c:v>701.61500000000001</c:v>
                </c:pt>
                <c:pt idx="160">
                  <c:v>702.47199999999998</c:v>
                </c:pt>
                <c:pt idx="161">
                  <c:v>702.495</c:v>
                </c:pt>
                <c:pt idx="162">
                  <c:v>701.97500000000002</c:v>
                </c:pt>
                <c:pt idx="163">
                  <c:v>702.24699999999996</c:v>
                </c:pt>
                <c:pt idx="164">
                  <c:v>701.14700000000005</c:v>
                </c:pt>
                <c:pt idx="165">
                  <c:v>701.30200000000002</c:v>
                </c:pt>
                <c:pt idx="166">
                  <c:v>703.63599999999997</c:v>
                </c:pt>
                <c:pt idx="167">
                  <c:v>699.33900000000006</c:v>
                </c:pt>
                <c:pt idx="168">
                  <c:v>701.78800000000001</c:v>
                </c:pt>
                <c:pt idx="169">
                  <c:v>702.3</c:v>
                </c:pt>
                <c:pt idx="170">
                  <c:v>700.44</c:v>
                </c:pt>
                <c:pt idx="171">
                  <c:v>701.75400000000002</c:v>
                </c:pt>
                <c:pt idx="172">
                  <c:v>702.33199999999999</c:v>
                </c:pt>
                <c:pt idx="173">
                  <c:v>703.68100000000004</c:v>
                </c:pt>
                <c:pt idx="174">
                  <c:v>701.54899999999998</c:v>
                </c:pt>
                <c:pt idx="175">
                  <c:v>700.68799999999999</c:v>
                </c:pt>
                <c:pt idx="176">
                  <c:v>702.81899999999996</c:v>
                </c:pt>
                <c:pt idx="177">
                  <c:v>699.88099999999997</c:v>
                </c:pt>
                <c:pt idx="178">
                  <c:v>700.80200000000002</c:v>
                </c:pt>
                <c:pt idx="179">
                  <c:v>700.94200000000001</c:v>
                </c:pt>
                <c:pt idx="180">
                  <c:v>703.77599999999995</c:v>
                </c:pt>
                <c:pt idx="181">
                  <c:v>700.81100000000004</c:v>
                </c:pt>
                <c:pt idx="182">
                  <c:v>701.28899999999999</c:v>
                </c:pt>
                <c:pt idx="183">
                  <c:v>700.95899999999995</c:v>
                </c:pt>
                <c:pt idx="184">
                  <c:v>699.89700000000005</c:v>
                </c:pt>
                <c:pt idx="185">
                  <c:v>702.23800000000006</c:v>
                </c:pt>
                <c:pt idx="186">
                  <c:v>702.33</c:v>
                </c:pt>
                <c:pt idx="187">
                  <c:v>701.851</c:v>
                </c:pt>
                <c:pt idx="188">
                  <c:v>699.904</c:v>
                </c:pt>
                <c:pt idx="189">
                  <c:v>700.63</c:v>
                </c:pt>
                <c:pt idx="190">
                  <c:v>700.49199999999996</c:v>
                </c:pt>
                <c:pt idx="191">
                  <c:v>700.68100000000004</c:v>
                </c:pt>
                <c:pt idx="192">
                  <c:v>702.23400000000004</c:v>
                </c:pt>
                <c:pt idx="193">
                  <c:v>699.30899999999997</c:v>
                </c:pt>
                <c:pt idx="194">
                  <c:v>702.40599999999995</c:v>
                </c:pt>
                <c:pt idx="195">
                  <c:v>702.38599999999997</c:v>
                </c:pt>
                <c:pt idx="196">
                  <c:v>701.33399999999995</c:v>
                </c:pt>
                <c:pt idx="197">
                  <c:v>701.24699999999996</c:v>
                </c:pt>
                <c:pt idx="198">
                  <c:v>701.09299999999996</c:v>
                </c:pt>
                <c:pt idx="199">
                  <c:v>701.46600000000001</c:v>
                </c:pt>
                <c:pt idx="200">
                  <c:v>700.45899999999995</c:v>
                </c:pt>
                <c:pt idx="201">
                  <c:v>701.49800000000005</c:v>
                </c:pt>
                <c:pt idx="202">
                  <c:v>701.10799999999995</c:v>
                </c:pt>
                <c:pt idx="203">
                  <c:v>701.96199999999999</c:v>
                </c:pt>
                <c:pt idx="204">
                  <c:v>701.07</c:v>
                </c:pt>
                <c:pt idx="205">
                  <c:v>701.12199999999996</c:v>
                </c:pt>
                <c:pt idx="206">
                  <c:v>700.57899999999995</c:v>
                </c:pt>
                <c:pt idx="207">
                  <c:v>701.053</c:v>
                </c:pt>
                <c:pt idx="208">
                  <c:v>702.64099999999996</c:v>
                </c:pt>
                <c:pt idx="209">
                  <c:v>702.23900000000003</c:v>
                </c:pt>
                <c:pt idx="210">
                  <c:v>702.59900000000005</c:v>
                </c:pt>
                <c:pt idx="211">
                  <c:v>700.97199999999998</c:v>
                </c:pt>
                <c:pt idx="212">
                  <c:v>700.65200000000004</c:v>
                </c:pt>
                <c:pt idx="213">
                  <c:v>701.51300000000003</c:v>
                </c:pt>
                <c:pt idx="214">
                  <c:v>700.74900000000002</c:v>
                </c:pt>
                <c:pt idx="215">
                  <c:v>700.78599999999994</c:v>
                </c:pt>
                <c:pt idx="216">
                  <c:v>700.05</c:v>
                </c:pt>
                <c:pt idx="217">
                  <c:v>701.15599999999995</c:v>
                </c:pt>
                <c:pt idx="218">
                  <c:v>699.78200000000004</c:v>
                </c:pt>
                <c:pt idx="219">
                  <c:v>701.48599999999999</c:v>
                </c:pt>
                <c:pt idx="220">
                  <c:v>701.11800000000005</c:v>
                </c:pt>
                <c:pt idx="221">
                  <c:v>701.923</c:v>
                </c:pt>
                <c:pt idx="222">
                  <c:v>701.47199999999998</c:v>
                </c:pt>
                <c:pt idx="223">
                  <c:v>701.92200000000003</c:v>
                </c:pt>
                <c:pt idx="224">
                  <c:v>700.75800000000004</c:v>
                </c:pt>
                <c:pt idx="225">
                  <c:v>699.13499999999999</c:v>
                </c:pt>
                <c:pt idx="226">
                  <c:v>701.34799999999996</c:v>
                </c:pt>
                <c:pt idx="227">
                  <c:v>699.48299999999995</c:v>
                </c:pt>
                <c:pt idx="228">
                  <c:v>701.19799999999998</c:v>
                </c:pt>
                <c:pt idx="229">
                  <c:v>701.05600000000004</c:v>
                </c:pt>
                <c:pt idx="230">
                  <c:v>700.95500000000004</c:v>
                </c:pt>
                <c:pt idx="231">
                  <c:v>700.51800000000003</c:v>
                </c:pt>
                <c:pt idx="232">
                  <c:v>699.80399999999997</c:v>
                </c:pt>
                <c:pt idx="233">
                  <c:v>700.40200000000004</c:v>
                </c:pt>
                <c:pt idx="234">
                  <c:v>699.88900000000001</c:v>
                </c:pt>
                <c:pt idx="235">
                  <c:v>701.37199999999996</c:v>
                </c:pt>
                <c:pt idx="236">
                  <c:v>700.07</c:v>
                </c:pt>
                <c:pt idx="237">
                  <c:v>701.95799999999997</c:v>
                </c:pt>
                <c:pt idx="238">
                  <c:v>702.03599999999994</c:v>
                </c:pt>
                <c:pt idx="239">
                  <c:v>700.44600000000003</c:v>
                </c:pt>
                <c:pt idx="240">
                  <c:v>701.86500000000001</c:v>
                </c:pt>
                <c:pt idx="241">
                  <c:v>701.95399999999995</c:v>
                </c:pt>
                <c:pt idx="242">
                  <c:v>702.78399999999999</c:v>
                </c:pt>
                <c:pt idx="243">
                  <c:v>700.61599999999999</c:v>
                </c:pt>
                <c:pt idx="244">
                  <c:v>701.03700000000003</c:v>
                </c:pt>
                <c:pt idx="245">
                  <c:v>701.20799999999997</c:v>
                </c:pt>
                <c:pt idx="246">
                  <c:v>701.85299999999995</c:v>
                </c:pt>
                <c:pt idx="247">
                  <c:v>701.25099999999998</c:v>
                </c:pt>
                <c:pt idx="248">
                  <c:v>701.04899999999998</c:v>
                </c:pt>
                <c:pt idx="249">
                  <c:v>700.72900000000004</c:v>
                </c:pt>
                <c:pt idx="250">
                  <c:v>701.21199999999999</c:v>
                </c:pt>
                <c:pt idx="251">
                  <c:v>700.52800000000002</c:v>
                </c:pt>
                <c:pt idx="252">
                  <c:v>702.33199999999999</c:v>
                </c:pt>
                <c:pt idx="253">
                  <c:v>700.73900000000003</c:v>
                </c:pt>
                <c:pt idx="254">
                  <c:v>700.75599999999997</c:v>
                </c:pt>
                <c:pt idx="255">
                  <c:v>700.73900000000003</c:v>
                </c:pt>
                <c:pt idx="256">
                  <c:v>699.66499999999996</c:v>
                </c:pt>
                <c:pt idx="257">
                  <c:v>700.66200000000003</c:v>
                </c:pt>
                <c:pt idx="258">
                  <c:v>699.63199999999995</c:v>
                </c:pt>
                <c:pt idx="259">
                  <c:v>700.77300000000002</c:v>
                </c:pt>
                <c:pt idx="260">
                  <c:v>699.70299999999997</c:v>
                </c:pt>
                <c:pt idx="261">
                  <c:v>699.71199999999999</c:v>
                </c:pt>
                <c:pt idx="262">
                  <c:v>701.32899999999995</c:v>
                </c:pt>
                <c:pt idx="263">
                  <c:v>700.72900000000004</c:v>
                </c:pt>
                <c:pt idx="264">
                  <c:v>700.97500000000002</c:v>
                </c:pt>
                <c:pt idx="265">
                  <c:v>700.899</c:v>
                </c:pt>
                <c:pt idx="266">
                  <c:v>702.61199999999997</c:v>
                </c:pt>
                <c:pt idx="267">
                  <c:v>701.51400000000001</c:v>
                </c:pt>
                <c:pt idx="268">
                  <c:v>702.447</c:v>
                </c:pt>
                <c:pt idx="269">
                  <c:v>701.43200000000002</c:v>
                </c:pt>
                <c:pt idx="270">
                  <c:v>701.76199999999994</c:v>
                </c:pt>
                <c:pt idx="271">
                  <c:v>700.06200000000001</c:v>
                </c:pt>
                <c:pt idx="272">
                  <c:v>700.11400000000003</c:v>
                </c:pt>
                <c:pt idx="273">
                  <c:v>699.64800000000002</c:v>
                </c:pt>
                <c:pt idx="274">
                  <c:v>701.54100000000005</c:v>
                </c:pt>
                <c:pt idx="275">
                  <c:v>701.08500000000004</c:v>
                </c:pt>
                <c:pt idx="276">
                  <c:v>701.23500000000001</c:v>
                </c:pt>
                <c:pt idx="277">
                  <c:v>701.19</c:v>
                </c:pt>
                <c:pt idx="278">
                  <c:v>702.14099999999996</c:v>
                </c:pt>
                <c:pt idx="279">
                  <c:v>702.048</c:v>
                </c:pt>
                <c:pt idx="280">
                  <c:v>700.26</c:v>
                </c:pt>
                <c:pt idx="281">
                  <c:v>700.99800000000005</c:v>
                </c:pt>
                <c:pt idx="282">
                  <c:v>701.048</c:v>
                </c:pt>
                <c:pt idx="283">
                  <c:v>702.65700000000004</c:v>
                </c:pt>
                <c:pt idx="284">
                  <c:v>701.12300000000005</c:v>
                </c:pt>
                <c:pt idx="285">
                  <c:v>701.18</c:v>
                </c:pt>
                <c:pt idx="286">
                  <c:v>700.56299999999999</c:v>
                </c:pt>
                <c:pt idx="287">
                  <c:v>700.52300000000002</c:v>
                </c:pt>
                <c:pt idx="288">
                  <c:v>700.69299999999998</c:v>
                </c:pt>
                <c:pt idx="289">
                  <c:v>700.72299999999996</c:v>
                </c:pt>
                <c:pt idx="290">
                  <c:v>701.17499999999995</c:v>
                </c:pt>
                <c:pt idx="291">
                  <c:v>701.21699999999998</c:v>
                </c:pt>
                <c:pt idx="292">
                  <c:v>699.67600000000004</c:v>
                </c:pt>
                <c:pt idx="293">
                  <c:v>701.85400000000004</c:v>
                </c:pt>
                <c:pt idx="294">
                  <c:v>701.87199999999996</c:v>
                </c:pt>
                <c:pt idx="295">
                  <c:v>701.53700000000003</c:v>
                </c:pt>
                <c:pt idx="296">
                  <c:v>701.71</c:v>
                </c:pt>
                <c:pt idx="297">
                  <c:v>702.05499999999995</c:v>
                </c:pt>
                <c:pt idx="298">
                  <c:v>701.7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F6-4A07-807A-C2D7F880E6BA}"/>
            </c:ext>
          </c:extLst>
        </c:ser>
        <c:ser>
          <c:idx val="1"/>
          <c:order val="1"/>
          <c:tx>
            <c:strRef>
              <c:f>HYBOX1_Thickness_SPC!$H$9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HYBOX1_Thickness_SPC!$H$10:$H$308</c:f>
              <c:numCache>
                <c:formatCode>General</c:formatCode>
                <c:ptCount val="299"/>
                <c:pt idx="0">
                  <c:v>703.91849263621862</c:v>
                </c:pt>
                <c:pt idx="1">
                  <c:v>703.91849263621862</c:v>
                </c:pt>
                <c:pt idx="2">
                  <c:v>703.91849263621862</c:v>
                </c:pt>
                <c:pt idx="3">
                  <c:v>703.91849263621862</c:v>
                </c:pt>
                <c:pt idx="4">
                  <c:v>703.91849263621862</c:v>
                </c:pt>
                <c:pt idx="5">
                  <c:v>703.91849263621862</c:v>
                </c:pt>
                <c:pt idx="6">
                  <c:v>703.91849263621862</c:v>
                </c:pt>
                <c:pt idx="7">
                  <c:v>703.91849263621862</c:v>
                </c:pt>
                <c:pt idx="8">
                  <c:v>703.91849263621862</c:v>
                </c:pt>
                <c:pt idx="9">
                  <c:v>703.91849263621862</c:v>
                </c:pt>
                <c:pt idx="10">
                  <c:v>703.91849263621862</c:v>
                </c:pt>
                <c:pt idx="11">
                  <c:v>703.91849263621862</c:v>
                </c:pt>
                <c:pt idx="12">
                  <c:v>703.91849263621862</c:v>
                </c:pt>
                <c:pt idx="13">
                  <c:v>703.91849263621862</c:v>
                </c:pt>
                <c:pt idx="14">
                  <c:v>703.91849263621862</c:v>
                </c:pt>
                <c:pt idx="15">
                  <c:v>703.91849263621862</c:v>
                </c:pt>
                <c:pt idx="16">
                  <c:v>703.91849263621862</c:v>
                </c:pt>
                <c:pt idx="17">
                  <c:v>703.91849263621862</c:v>
                </c:pt>
                <c:pt idx="18">
                  <c:v>703.91849263621862</c:v>
                </c:pt>
                <c:pt idx="19">
                  <c:v>703.91849263621862</c:v>
                </c:pt>
                <c:pt idx="20">
                  <c:v>703.91849263621862</c:v>
                </c:pt>
                <c:pt idx="21">
                  <c:v>703.91849263621862</c:v>
                </c:pt>
                <c:pt idx="22">
                  <c:v>703.91849263621862</c:v>
                </c:pt>
                <c:pt idx="23">
                  <c:v>703.91849263621862</c:v>
                </c:pt>
                <c:pt idx="24">
                  <c:v>703.91849263621862</c:v>
                </c:pt>
                <c:pt idx="25">
                  <c:v>703.91849263621862</c:v>
                </c:pt>
                <c:pt idx="26">
                  <c:v>703.91849263621862</c:v>
                </c:pt>
                <c:pt idx="27">
                  <c:v>703.91849263621862</c:v>
                </c:pt>
                <c:pt idx="28">
                  <c:v>703.91849263621862</c:v>
                </c:pt>
                <c:pt idx="29">
                  <c:v>703.91849263621862</c:v>
                </c:pt>
                <c:pt idx="30">
                  <c:v>703.91849263621862</c:v>
                </c:pt>
                <c:pt idx="31">
                  <c:v>703.91849263621862</c:v>
                </c:pt>
                <c:pt idx="32">
                  <c:v>703.91849263621862</c:v>
                </c:pt>
                <c:pt idx="33">
                  <c:v>703.91849263621862</c:v>
                </c:pt>
                <c:pt idx="34">
                  <c:v>703.91849263621862</c:v>
                </c:pt>
                <c:pt idx="35">
                  <c:v>703.91849263621862</c:v>
                </c:pt>
                <c:pt idx="36">
                  <c:v>703.91849263621862</c:v>
                </c:pt>
                <c:pt idx="37">
                  <c:v>703.91849263621862</c:v>
                </c:pt>
                <c:pt idx="38">
                  <c:v>703.91849263621862</c:v>
                </c:pt>
                <c:pt idx="39">
                  <c:v>703.91849263621862</c:v>
                </c:pt>
                <c:pt idx="40">
                  <c:v>703.91849263621862</c:v>
                </c:pt>
                <c:pt idx="41">
                  <c:v>703.91849263621862</c:v>
                </c:pt>
                <c:pt idx="42">
                  <c:v>703.91849263621862</c:v>
                </c:pt>
                <c:pt idx="43">
                  <c:v>703.91849263621862</c:v>
                </c:pt>
                <c:pt idx="44">
                  <c:v>703.91849263621862</c:v>
                </c:pt>
                <c:pt idx="45">
                  <c:v>703.91849263621862</c:v>
                </c:pt>
                <c:pt idx="46">
                  <c:v>703.91849263621862</c:v>
                </c:pt>
                <c:pt idx="47">
                  <c:v>703.91849263621862</c:v>
                </c:pt>
                <c:pt idx="48">
                  <c:v>703.91849263621862</c:v>
                </c:pt>
                <c:pt idx="49">
                  <c:v>703.91849263621862</c:v>
                </c:pt>
                <c:pt idx="50">
                  <c:v>703.91849263621862</c:v>
                </c:pt>
                <c:pt idx="51">
                  <c:v>703.91849263621862</c:v>
                </c:pt>
                <c:pt idx="52">
                  <c:v>703.91849263621862</c:v>
                </c:pt>
                <c:pt idx="53">
                  <c:v>703.91849263621862</c:v>
                </c:pt>
                <c:pt idx="54">
                  <c:v>703.91849263621862</c:v>
                </c:pt>
                <c:pt idx="55">
                  <c:v>703.91849263621862</c:v>
                </c:pt>
                <c:pt idx="56">
                  <c:v>703.91849263621862</c:v>
                </c:pt>
                <c:pt idx="57">
                  <c:v>703.91849263621862</c:v>
                </c:pt>
                <c:pt idx="58">
                  <c:v>703.91849263621862</c:v>
                </c:pt>
                <c:pt idx="59">
                  <c:v>703.91849263621862</c:v>
                </c:pt>
                <c:pt idx="60">
                  <c:v>703.91849263621862</c:v>
                </c:pt>
                <c:pt idx="61">
                  <c:v>703.91849263621862</c:v>
                </c:pt>
                <c:pt idx="62">
                  <c:v>703.91849263621862</c:v>
                </c:pt>
                <c:pt idx="63">
                  <c:v>703.91849263621862</c:v>
                </c:pt>
                <c:pt idx="64">
                  <c:v>703.91849263621862</c:v>
                </c:pt>
                <c:pt idx="65">
                  <c:v>703.91849263621862</c:v>
                </c:pt>
                <c:pt idx="66">
                  <c:v>703.91849263621862</c:v>
                </c:pt>
                <c:pt idx="67">
                  <c:v>703.91849263621862</c:v>
                </c:pt>
                <c:pt idx="68">
                  <c:v>703.91849263621862</c:v>
                </c:pt>
                <c:pt idx="69">
                  <c:v>703.91849263621862</c:v>
                </c:pt>
                <c:pt idx="70">
                  <c:v>703.91849263621862</c:v>
                </c:pt>
                <c:pt idx="71">
                  <c:v>703.91849263621862</c:v>
                </c:pt>
                <c:pt idx="72">
                  <c:v>703.91849263621862</c:v>
                </c:pt>
                <c:pt idx="73">
                  <c:v>703.91849263621862</c:v>
                </c:pt>
                <c:pt idx="74">
                  <c:v>703.91849263621862</c:v>
                </c:pt>
                <c:pt idx="75">
                  <c:v>703.91849263621862</c:v>
                </c:pt>
                <c:pt idx="76">
                  <c:v>703.91849263621862</c:v>
                </c:pt>
                <c:pt idx="77">
                  <c:v>703.91849263621862</c:v>
                </c:pt>
                <c:pt idx="78">
                  <c:v>703.91849263621862</c:v>
                </c:pt>
                <c:pt idx="79">
                  <c:v>703.91849263621862</c:v>
                </c:pt>
                <c:pt idx="80">
                  <c:v>703.91849263621862</c:v>
                </c:pt>
                <c:pt idx="81">
                  <c:v>703.91849263621862</c:v>
                </c:pt>
                <c:pt idx="82">
                  <c:v>703.91849263621862</c:v>
                </c:pt>
                <c:pt idx="83">
                  <c:v>703.91849263621862</c:v>
                </c:pt>
                <c:pt idx="84">
                  <c:v>703.91849263621862</c:v>
                </c:pt>
                <c:pt idx="85">
                  <c:v>703.91849263621862</c:v>
                </c:pt>
                <c:pt idx="86">
                  <c:v>703.91849263621862</c:v>
                </c:pt>
                <c:pt idx="87">
                  <c:v>703.91849263621862</c:v>
                </c:pt>
                <c:pt idx="88">
                  <c:v>703.91849263621862</c:v>
                </c:pt>
                <c:pt idx="89">
                  <c:v>703.91849263621862</c:v>
                </c:pt>
                <c:pt idx="90">
                  <c:v>703.91849263621862</c:v>
                </c:pt>
                <c:pt idx="91">
                  <c:v>703.91849263621862</c:v>
                </c:pt>
                <c:pt idx="92">
                  <c:v>703.91849263621862</c:v>
                </c:pt>
                <c:pt idx="93">
                  <c:v>703.91849263621862</c:v>
                </c:pt>
                <c:pt idx="94">
                  <c:v>703.91849263621862</c:v>
                </c:pt>
                <c:pt idx="95">
                  <c:v>703.91849263621862</c:v>
                </c:pt>
                <c:pt idx="96">
                  <c:v>703.91849263621862</c:v>
                </c:pt>
                <c:pt idx="97">
                  <c:v>703.91849263621862</c:v>
                </c:pt>
                <c:pt idx="98">
                  <c:v>703.91849263621862</c:v>
                </c:pt>
                <c:pt idx="99">
                  <c:v>703.91849263621862</c:v>
                </c:pt>
                <c:pt idx="100">
                  <c:v>703.91849263621862</c:v>
                </c:pt>
                <c:pt idx="101">
                  <c:v>703.91849263621862</c:v>
                </c:pt>
                <c:pt idx="102">
                  <c:v>703.91849263621862</c:v>
                </c:pt>
                <c:pt idx="103">
                  <c:v>703.91849263621862</c:v>
                </c:pt>
                <c:pt idx="104">
                  <c:v>703.91849263621862</c:v>
                </c:pt>
                <c:pt idx="105">
                  <c:v>703.91849263621862</c:v>
                </c:pt>
                <c:pt idx="106">
                  <c:v>703.91849263621862</c:v>
                </c:pt>
                <c:pt idx="107">
                  <c:v>703.91849263621862</c:v>
                </c:pt>
                <c:pt idx="108">
                  <c:v>703.91849263621862</c:v>
                </c:pt>
                <c:pt idx="109">
                  <c:v>703.91849263621862</c:v>
                </c:pt>
                <c:pt idx="110">
                  <c:v>703.91849263621862</c:v>
                </c:pt>
                <c:pt idx="111">
                  <c:v>703.91849263621862</c:v>
                </c:pt>
                <c:pt idx="112">
                  <c:v>703.91849263621862</c:v>
                </c:pt>
                <c:pt idx="113">
                  <c:v>703.91849263621862</c:v>
                </c:pt>
                <c:pt idx="114">
                  <c:v>703.91849263621862</c:v>
                </c:pt>
                <c:pt idx="115">
                  <c:v>703.91849263621862</c:v>
                </c:pt>
                <c:pt idx="116">
                  <c:v>703.91849263621862</c:v>
                </c:pt>
                <c:pt idx="117">
                  <c:v>703.91849263621862</c:v>
                </c:pt>
                <c:pt idx="118">
                  <c:v>703.91849263621862</c:v>
                </c:pt>
                <c:pt idx="119">
                  <c:v>703.91849263621862</c:v>
                </c:pt>
                <c:pt idx="120">
                  <c:v>703.91849263621862</c:v>
                </c:pt>
                <c:pt idx="121">
                  <c:v>703.91849263621862</c:v>
                </c:pt>
                <c:pt idx="122">
                  <c:v>703.91849263621862</c:v>
                </c:pt>
                <c:pt idx="123">
                  <c:v>703.91849263621862</c:v>
                </c:pt>
                <c:pt idx="124">
                  <c:v>703.91849263621862</c:v>
                </c:pt>
                <c:pt idx="125">
                  <c:v>703.91849263621862</c:v>
                </c:pt>
                <c:pt idx="126">
                  <c:v>703.91849263621862</c:v>
                </c:pt>
                <c:pt idx="127">
                  <c:v>703.91849263621862</c:v>
                </c:pt>
                <c:pt idx="128">
                  <c:v>703.91849263621862</c:v>
                </c:pt>
                <c:pt idx="129">
                  <c:v>703.91849263621862</c:v>
                </c:pt>
                <c:pt idx="130">
                  <c:v>703.91849263621862</c:v>
                </c:pt>
                <c:pt idx="131">
                  <c:v>703.91849263621862</c:v>
                </c:pt>
                <c:pt idx="132">
                  <c:v>703.91849263621862</c:v>
                </c:pt>
                <c:pt idx="133">
                  <c:v>703.91849263621862</c:v>
                </c:pt>
                <c:pt idx="134">
                  <c:v>703.91849263621862</c:v>
                </c:pt>
                <c:pt idx="135">
                  <c:v>703.91849263621862</c:v>
                </c:pt>
                <c:pt idx="136">
                  <c:v>703.91849263621862</c:v>
                </c:pt>
                <c:pt idx="137">
                  <c:v>703.91849263621862</c:v>
                </c:pt>
                <c:pt idx="138">
                  <c:v>703.91849263621862</c:v>
                </c:pt>
                <c:pt idx="139">
                  <c:v>703.91849263621862</c:v>
                </c:pt>
                <c:pt idx="140">
                  <c:v>703.91849263621862</c:v>
                </c:pt>
                <c:pt idx="141">
                  <c:v>703.91849263621862</c:v>
                </c:pt>
                <c:pt idx="142">
                  <c:v>703.91849263621862</c:v>
                </c:pt>
                <c:pt idx="143">
                  <c:v>703.91849263621862</c:v>
                </c:pt>
                <c:pt idx="144">
                  <c:v>703.91849263621862</c:v>
                </c:pt>
                <c:pt idx="145">
                  <c:v>703.91849263621862</c:v>
                </c:pt>
                <c:pt idx="146">
                  <c:v>703.91849263621862</c:v>
                </c:pt>
                <c:pt idx="147">
                  <c:v>703.91849263621862</c:v>
                </c:pt>
                <c:pt idx="148">
                  <c:v>703.91849263621862</c:v>
                </c:pt>
                <c:pt idx="149">
                  <c:v>703.91849263621862</c:v>
                </c:pt>
                <c:pt idx="150">
                  <c:v>703.91849263621862</c:v>
                </c:pt>
                <c:pt idx="151">
                  <c:v>703.91849263621862</c:v>
                </c:pt>
                <c:pt idx="152">
                  <c:v>703.91849263621862</c:v>
                </c:pt>
                <c:pt idx="153">
                  <c:v>703.91849263621862</c:v>
                </c:pt>
                <c:pt idx="154">
                  <c:v>703.91849263621862</c:v>
                </c:pt>
                <c:pt idx="155">
                  <c:v>703.91849263621862</c:v>
                </c:pt>
                <c:pt idx="156">
                  <c:v>703.91849263621862</c:v>
                </c:pt>
                <c:pt idx="157">
                  <c:v>703.91849263621862</c:v>
                </c:pt>
                <c:pt idx="158">
                  <c:v>703.91849263621862</c:v>
                </c:pt>
                <c:pt idx="159">
                  <c:v>703.91849263621862</c:v>
                </c:pt>
                <c:pt idx="160">
                  <c:v>703.91849263621862</c:v>
                </c:pt>
                <c:pt idx="161">
                  <c:v>703.91849263621862</c:v>
                </c:pt>
                <c:pt idx="162">
                  <c:v>703.91849263621862</c:v>
                </c:pt>
                <c:pt idx="163">
                  <c:v>703.91849263621862</c:v>
                </c:pt>
                <c:pt idx="164">
                  <c:v>703.91849263621862</c:v>
                </c:pt>
                <c:pt idx="165">
                  <c:v>703.91849263621862</c:v>
                </c:pt>
                <c:pt idx="166">
                  <c:v>703.91849263621862</c:v>
                </c:pt>
                <c:pt idx="167">
                  <c:v>703.91849263621862</c:v>
                </c:pt>
                <c:pt idx="168">
                  <c:v>703.91849263621862</c:v>
                </c:pt>
                <c:pt idx="169">
                  <c:v>703.91849263621862</c:v>
                </c:pt>
                <c:pt idx="170">
                  <c:v>703.91849263621862</c:v>
                </c:pt>
                <c:pt idx="171">
                  <c:v>703.91849263621862</c:v>
                </c:pt>
                <c:pt idx="172">
                  <c:v>703.91849263621862</c:v>
                </c:pt>
                <c:pt idx="173">
                  <c:v>703.91849263621862</c:v>
                </c:pt>
                <c:pt idx="174">
                  <c:v>703.91849263621862</c:v>
                </c:pt>
                <c:pt idx="175">
                  <c:v>703.91849263621862</c:v>
                </c:pt>
                <c:pt idx="176">
                  <c:v>703.91849263621862</c:v>
                </c:pt>
                <c:pt idx="177">
                  <c:v>703.91849263621862</c:v>
                </c:pt>
                <c:pt idx="178">
                  <c:v>703.91849263621862</c:v>
                </c:pt>
                <c:pt idx="179">
                  <c:v>703.91849263621862</c:v>
                </c:pt>
                <c:pt idx="180">
                  <c:v>703.91849263621862</c:v>
                </c:pt>
                <c:pt idx="181">
                  <c:v>703.91849263621862</c:v>
                </c:pt>
                <c:pt idx="182">
                  <c:v>703.91849263621862</c:v>
                </c:pt>
                <c:pt idx="183">
                  <c:v>703.91849263621862</c:v>
                </c:pt>
                <c:pt idx="184">
                  <c:v>703.91849263621862</c:v>
                </c:pt>
                <c:pt idx="185">
                  <c:v>703.91849263621862</c:v>
                </c:pt>
                <c:pt idx="186">
                  <c:v>703.91849263621862</c:v>
                </c:pt>
                <c:pt idx="187">
                  <c:v>703.91849263621862</c:v>
                </c:pt>
                <c:pt idx="188">
                  <c:v>703.91849263621862</c:v>
                </c:pt>
                <c:pt idx="189">
                  <c:v>703.91849263621862</c:v>
                </c:pt>
                <c:pt idx="190">
                  <c:v>703.91849263621862</c:v>
                </c:pt>
                <c:pt idx="191">
                  <c:v>703.91849263621862</c:v>
                </c:pt>
                <c:pt idx="192">
                  <c:v>703.91849263621862</c:v>
                </c:pt>
                <c:pt idx="193">
                  <c:v>703.91849263621862</c:v>
                </c:pt>
                <c:pt idx="194">
                  <c:v>703.91849263621862</c:v>
                </c:pt>
                <c:pt idx="195">
                  <c:v>703.91849263621862</c:v>
                </c:pt>
                <c:pt idx="196">
                  <c:v>703.91849263621862</c:v>
                </c:pt>
                <c:pt idx="197">
                  <c:v>703.91849263621862</c:v>
                </c:pt>
                <c:pt idx="198">
                  <c:v>703.91849263621862</c:v>
                </c:pt>
                <c:pt idx="199">
                  <c:v>703.91849263621862</c:v>
                </c:pt>
                <c:pt idx="200">
                  <c:v>703.91849263621862</c:v>
                </c:pt>
                <c:pt idx="201">
                  <c:v>703.91849263621862</c:v>
                </c:pt>
                <c:pt idx="202">
                  <c:v>703.91849263621862</c:v>
                </c:pt>
                <c:pt idx="203">
                  <c:v>703.91849263621862</c:v>
                </c:pt>
                <c:pt idx="204">
                  <c:v>703.91849263621862</c:v>
                </c:pt>
                <c:pt idx="205">
                  <c:v>703.91849263621862</c:v>
                </c:pt>
                <c:pt idx="206">
                  <c:v>703.91849263621862</c:v>
                </c:pt>
                <c:pt idx="207">
                  <c:v>703.91849263621862</c:v>
                </c:pt>
                <c:pt idx="208">
                  <c:v>703.91849263621862</c:v>
                </c:pt>
                <c:pt idx="209">
                  <c:v>703.91849263621862</c:v>
                </c:pt>
                <c:pt idx="210">
                  <c:v>703.91849263621862</c:v>
                </c:pt>
                <c:pt idx="211">
                  <c:v>703.91849263621862</c:v>
                </c:pt>
                <c:pt idx="212">
                  <c:v>703.91849263621862</c:v>
                </c:pt>
                <c:pt idx="213">
                  <c:v>703.91849263621862</c:v>
                </c:pt>
                <c:pt idx="214">
                  <c:v>703.91849263621862</c:v>
                </c:pt>
                <c:pt idx="215">
                  <c:v>703.91849263621862</c:v>
                </c:pt>
                <c:pt idx="216">
                  <c:v>703.91849263621862</c:v>
                </c:pt>
                <c:pt idx="217">
                  <c:v>703.91849263621862</c:v>
                </c:pt>
                <c:pt idx="218">
                  <c:v>703.91849263621862</c:v>
                </c:pt>
                <c:pt idx="219">
                  <c:v>703.91849263621862</c:v>
                </c:pt>
                <c:pt idx="220">
                  <c:v>703.91849263621862</c:v>
                </c:pt>
                <c:pt idx="221">
                  <c:v>703.91849263621862</c:v>
                </c:pt>
                <c:pt idx="222">
                  <c:v>703.91849263621862</c:v>
                </c:pt>
                <c:pt idx="223">
                  <c:v>703.91849263621862</c:v>
                </c:pt>
                <c:pt idx="224">
                  <c:v>703.91849263621862</c:v>
                </c:pt>
                <c:pt idx="225">
                  <c:v>703.91849263621862</c:v>
                </c:pt>
                <c:pt idx="226">
                  <c:v>703.91849263621862</c:v>
                </c:pt>
                <c:pt idx="227">
                  <c:v>703.91849263621862</c:v>
                </c:pt>
                <c:pt idx="228">
                  <c:v>703.91849263621862</c:v>
                </c:pt>
                <c:pt idx="229">
                  <c:v>703.91849263621862</c:v>
                </c:pt>
                <c:pt idx="230">
                  <c:v>703.91849263621862</c:v>
                </c:pt>
                <c:pt idx="231">
                  <c:v>703.91849263621862</c:v>
                </c:pt>
                <c:pt idx="232">
                  <c:v>703.91849263621862</c:v>
                </c:pt>
                <c:pt idx="233">
                  <c:v>703.91849263621862</c:v>
                </c:pt>
                <c:pt idx="234">
                  <c:v>703.91849263621862</c:v>
                </c:pt>
                <c:pt idx="235">
                  <c:v>703.91849263621862</c:v>
                </c:pt>
                <c:pt idx="236">
                  <c:v>703.91849263621862</c:v>
                </c:pt>
                <c:pt idx="237">
                  <c:v>703.91849263621862</c:v>
                </c:pt>
                <c:pt idx="238">
                  <c:v>703.91849263621862</c:v>
                </c:pt>
                <c:pt idx="239">
                  <c:v>703.91849263621862</c:v>
                </c:pt>
                <c:pt idx="240">
                  <c:v>703.91849263621862</c:v>
                </c:pt>
                <c:pt idx="241">
                  <c:v>703.91849263621862</c:v>
                </c:pt>
                <c:pt idx="242">
                  <c:v>703.91849263621862</c:v>
                </c:pt>
                <c:pt idx="243">
                  <c:v>703.91849263621862</c:v>
                </c:pt>
                <c:pt idx="244">
                  <c:v>703.91849263621862</c:v>
                </c:pt>
                <c:pt idx="245">
                  <c:v>703.91849263621862</c:v>
                </c:pt>
                <c:pt idx="246">
                  <c:v>703.91849263621862</c:v>
                </c:pt>
                <c:pt idx="247">
                  <c:v>703.91849263621862</c:v>
                </c:pt>
                <c:pt idx="248">
                  <c:v>703.91849263621862</c:v>
                </c:pt>
                <c:pt idx="249">
                  <c:v>703.91849263621862</c:v>
                </c:pt>
                <c:pt idx="250">
                  <c:v>703.91849263621862</c:v>
                </c:pt>
                <c:pt idx="251">
                  <c:v>703.91849263621862</c:v>
                </c:pt>
                <c:pt idx="252">
                  <c:v>703.91849263621862</c:v>
                </c:pt>
                <c:pt idx="253">
                  <c:v>703.91849263621862</c:v>
                </c:pt>
                <c:pt idx="254">
                  <c:v>703.91849263621862</c:v>
                </c:pt>
                <c:pt idx="255">
                  <c:v>703.91849263621862</c:v>
                </c:pt>
                <c:pt idx="256">
                  <c:v>703.91849263621862</c:v>
                </c:pt>
                <c:pt idx="257">
                  <c:v>703.91849263621862</c:v>
                </c:pt>
                <c:pt idx="258">
                  <c:v>703.91849263621862</c:v>
                </c:pt>
                <c:pt idx="259">
                  <c:v>703.91849263621862</c:v>
                </c:pt>
                <c:pt idx="260">
                  <c:v>703.91849263621862</c:v>
                </c:pt>
                <c:pt idx="261">
                  <c:v>703.91849263621862</c:v>
                </c:pt>
                <c:pt idx="262">
                  <c:v>703.91849263621862</c:v>
                </c:pt>
                <c:pt idx="263">
                  <c:v>703.91849263621862</c:v>
                </c:pt>
                <c:pt idx="264">
                  <c:v>703.91849263621862</c:v>
                </c:pt>
                <c:pt idx="265">
                  <c:v>703.91849263621862</c:v>
                </c:pt>
                <c:pt idx="266">
                  <c:v>703.91849263621862</c:v>
                </c:pt>
                <c:pt idx="267">
                  <c:v>703.91849263621862</c:v>
                </c:pt>
                <c:pt idx="268">
                  <c:v>703.91849263621862</c:v>
                </c:pt>
                <c:pt idx="269">
                  <c:v>703.91849263621862</c:v>
                </c:pt>
                <c:pt idx="270">
                  <c:v>703.91849263621862</c:v>
                </c:pt>
                <c:pt idx="271">
                  <c:v>703.91849263621862</c:v>
                </c:pt>
                <c:pt idx="272">
                  <c:v>703.91849263621862</c:v>
                </c:pt>
                <c:pt idx="273">
                  <c:v>703.91849263621862</c:v>
                </c:pt>
                <c:pt idx="274">
                  <c:v>703.91849263621862</c:v>
                </c:pt>
                <c:pt idx="275">
                  <c:v>703.91849263621862</c:v>
                </c:pt>
                <c:pt idx="276">
                  <c:v>703.91849263621862</c:v>
                </c:pt>
                <c:pt idx="277">
                  <c:v>703.91849263621862</c:v>
                </c:pt>
                <c:pt idx="278">
                  <c:v>703.91849263621862</c:v>
                </c:pt>
                <c:pt idx="279">
                  <c:v>703.91849263621862</c:v>
                </c:pt>
                <c:pt idx="280">
                  <c:v>703.91849263621862</c:v>
                </c:pt>
                <c:pt idx="281">
                  <c:v>703.91849263621862</c:v>
                </c:pt>
                <c:pt idx="282">
                  <c:v>703.91849263621862</c:v>
                </c:pt>
                <c:pt idx="283">
                  <c:v>703.91849263621862</c:v>
                </c:pt>
                <c:pt idx="284">
                  <c:v>703.91849263621862</c:v>
                </c:pt>
                <c:pt idx="285">
                  <c:v>703.91849263621862</c:v>
                </c:pt>
                <c:pt idx="286">
                  <c:v>703.91849263621862</c:v>
                </c:pt>
                <c:pt idx="287">
                  <c:v>703.91849263621862</c:v>
                </c:pt>
                <c:pt idx="288">
                  <c:v>703.91849263621862</c:v>
                </c:pt>
                <c:pt idx="289">
                  <c:v>703.91849263621862</c:v>
                </c:pt>
                <c:pt idx="290">
                  <c:v>703.91849263621862</c:v>
                </c:pt>
                <c:pt idx="291">
                  <c:v>703.91849263621862</c:v>
                </c:pt>
                <c:pt idx="292">
                  <c:v>703.91849263621862</c:v>
                </c:pt>
                <c:pt idx="293">
                  <c:v>703.91849263621862</c:v>
                </c:pt>
                <c:pt idx="294">
                  <c:v>703.91849263621862</c:v>
                </c:pt>
                <c:pt idx="295">
                  <c:v>703.91849263621862</c:v>
                </c:pt>
                <c:pt idx="296">
                  <c:v>703.91849263621862</c:v>
                </c:pt>
                <c:pt idx="297">
                  <c:v>703.91849263621862</c:v>
                </c:pt>
                <c:pt idx="298">
                  <c:v>703.91849263621862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F6-4A07-807A-C2D7F880E6BA}"/>
            </c:ext>
          </c:extLst>
        </c:ser>
        <c:ser>
          <c:idx val="2"/>
          <c:order val="2"/>
          <c:tx>
            <c:strRef>
              <c:f>HYBOX1_Thickness_SPC!$G$9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HYBOX1_Thickness_SPC!$G$10:$G$308</c:f>
              <c:numCache>
                <c:formatCode>General</c:formatCode>
                <c:ptCount val="299"/>
                <c:pt idx="0">
                  <c:v>701.35859866220744</c:v>
                </c:pt>
                <c:pt idx="1">
                  <c:v>701.35859866220744</c:v>
                </c:pt>
                <c:pt idx="2">
                  <c:v>701.35859866220744</c:v>
                </c:pt>
                <c:pt idx="3">
                  <c:v>701.35859866220744</c:v>
                </c:pt>
                <c:pt idx="4">
                  <c:v>701.35859866220744</c:v>
                </c:pt>
                <c:pt idx="5">
                  <c:v>701.35859866220744</c:v>
                </c:pt>
                <c:pt idx="6">
                  <c:v>701.35859866220744</c:v>
                </c:pt>
                <c:pt idx="7">
                  <c:v>701.35859866220744</c:v>
                </c:pt>
                <c:pt idx="8">
                  <c:v>701.35859866220744</c:v>
                </c:pt>
                <c:pt idx="9">
                  <c:v>701.35859866220744</c:v>
                </c:pt>
                <c:pt idx="10">
                  <c:v>701.35859866220744</c:v>
                </c:pt>
                <c:pt idx="11">
                  <c:v>701.35859866220744</c:v>
                </c:pt>
                <c:pt idx="12">
                  <c:v>701.35859866220744</c:v>
                </c:pt>
                <c:pt idx="13">
                  <c:v>701.35859866220744</c:v>
                </c:pt>
                <c:pt idx="14">
                  <c:v>701.35859866220744</c:v>
                </c:pt>
                <c:pt idx="15">
                  <c:v>701.35859866220744</c:v>
                </c:pt>
                <c:pt idx="16">
                  <c:v>701.35859866220744</c:v>
                </c:pt>
                <c:pt idx="17">
                  <c:v>701.35859866220744</c:v>
                </c:pt>
                <c:pt idx="18">
                  <c:v>701.35859866220744</c:v>
                </c:pt>
                <c:pt idx="19">
                  <c:v>701.35859866220744</c:v>
                </c:pt>
                <c:pt idx="20">
                  <c:v>701.35859866220744</c:v>
                </c:pt>
                <c:pt idx="21">
                  <c:v>701.35859866220744</c:v>
                </c:pt>
                <c:pt idx="22">
                  <c:v>701.35859866220744</c:v>
                </c:pt>
                <c:pt idx="23">
                  <c:v>701.35859866220744</c:v>
                </c:pt>
                <c:pt idx="24">
                  <c:v>701.35859866220744</c:v>
                </c:pt>
                <c:pt idx="25">
                  <c:v>701.35859866220744</c:v>
                </c:pt>
                <c:pt idx="26">
                  <c:v>701.35859866220744</c:v>
                </c:pt>
                <c:pt idx="27">
                  <c:v>701.35859866220744</c:v>
                </c:pt>
                <c:pt idx="28">
                  <c:v>701.35859866220744</c:v>
                </c:pt>
                <c:pt idx="29">
                  <c:v>701.35859866220744</c:v>
                </c:pt>
                <c:pt idx="30">
                  <c:v>701.35859866220744</c:v>
                </c:pt>
                <c:pt idx="31">
                  <c:v>701.35859866220744</c:v>
                </c:pt>
                <c:pt idx="32">
                  <c:v>701.35859866220744</c:v>
                </c:pt>
                <c:pt idx="33">
                  <c:v>701.35859866220744</c:v>
                </c:pt>
                <c:pt idx="34">
                  <c:v>701.35859866220744</c:v>
                </c:pt>
                <c:pt idx="35">
                  <c:v>701.35859866220744</c:v>
                </c:pt>
                <c:pt idx="36">
                  <c:v>701.35859866220744</c:v>
                </c:pt>
                <c:pt idx="37">
                  <c:v>701.35859866220744</c:v>
                </c:pt>
                <c:pt idx="38">
                  <c:v>701.35859866220744</c:v>
                </c:pt>
                <c:pt idx="39">
                  <c:v>701.35859866220744</c:v>
                </c:pt>
                <c:pt idx="40">
                  <c:v>701.35859866220744</c:v>
                </c:pt>
                <c:pt idx="41">
                  <c:v>701.35859866220744</c:v>
                </c:pt>
                <c:pt idx="42">
                  <c:v>701.35859866220744</c:v>
                </c:pt>
                <c:pt idx="43">
                  <c:v>701.35859866220744</c:v>
                </c:pt>
                <c:pt idx="44">
                  <c:v>701.35859866220744</c:v>
                </c:pt>
                <c:pt idx="45">
                  <c:v>701.35859866220744</c:v>
                </c:pt>
                <c:pt idx="46">
                  <c:v>701.35859866220744</c:v>
                </c:pt>
                <c:pt idx="47">
                  <c:v>701.35859866220744</c:v>
                </c:pt>
                <c:pt idx="48">
                  <c:v>701.35859866220744</c:v>
                </c:pt>
                <c:pt idx="49">
                  <c:v>701.35859866220744</c:v>
                </c:pt>
                <c:pt idx="50">
                  <c:v>701.35859866220744</c:v>
                </c:pt>
                <c:pt idx="51">
                  <c:v>701.35859866220744</c:v>
                </c:pt>
                <c:pt idx="52">
                  <c:v>701.35859866220744</c:v>
                </c:pt>
                <c:pt idx="53">
                  <c:v>701.35859866220744</c:v>
                </c:pt>
                <c:pt idx="54">
                  <c:v>701.35859866220744</c:v>
                </c:pt>
                <c:pt idx="55">
                  <c:v>701.35859866220744</c:v>
                </c:pt>
                <c:pt idx="56">
                  <c:v>701.35859866220744</c:v>
                </c:pt>
                <c:pt idx="57">
                  <c:v>701.35859866220744</c:v>
                </c:pt>
                <c:pt idx="58">
                  <c:v>701.35859866220744</c:v>
                </c:pt>
                <c:pt idx="59">
                  <c:v>701.35859866220744</c:v>
                </c:pt>
                <c:pt idx="60">
                  <c:v>701.35859866220744</c:v>
                </c:pt>
                <c:pt idx="61">
                  <c:v>701.35859866220744</c:v>
                </c:pt>
                <c:pt idx="62">
                  <c:v>701.35859866220744</c:v>
                </c:pt>
                <c:pt idx="63">
                  <c:v>701.35859866220744</c:v>
                </c:pt>
                <c:pt idx="64">
                  <c:v>701.35859866220744</c:v>
                </c:pt>
                <c:pt idx="65">
                  <c:v>701.35859866220744</c:v>
                </c:pt>
                <c:pt idx="66">
                  <c:v>701.35859866220744</c:v>
                </c:pt>
                <c:pt idx="67">
                  <c:v>701.35859866220744</c:v>
                </c:pt>
                <c:pt idx="68">
                  <c:v>701.35859866220744</c:v>
                </c:pt>
                <c:pt idx="69">
                  <c:v>701.35859866220744</c:v>
                </c:pt>
                <c:pt idx="70">
                  <c:v>701.35859866220744</c:v>
                </c:pt>
                <c:pt idx="71">
                  <c:v>701.35859866220744</c:v>
                </c:pt>
                <c:pt idx="72">
                  <c:v>701.35859866220744</c:v>
                </c:pt>
                <c:pt idx="73">
                  <c:v>701.35859866220744</c:v>
                </c:pt>
                <c:pt idx="74">
                  <c:v>701.35859866220744</c:v>
                </c:pt>
                <c:pt idx="75">
                  <c:v>701.35859866220744</c:v>
                </c:pt>
                <c:pt idx="76">
                  <c:v>701.35859866220744</c:v>
                </c:pt>
                <c:pt idx="77">
                  <c:v>701.35859866220744</c:v>
                </c:pt>
                <c:pt idx="78">
                  <c:v>701.35859866220744</c:v>
                </c:pt>
                <c:pt idx="79">
                  <c:v>701.35859866220744</c:v>
                </c:pt>
                <c:pt idx="80">
                  <c:v>701.35859866220744</c:v>
                </c:pt>
                <c:pt idx="81">
                  <c:v>701.35859866220744</c:v>
                </c:pt>
                <c:pt idx="82">
                  <c:v>701.35859866220744</c:v>
                </c:pt>
                <c:pt idx="83">
                  <c:v>701.35859866220744</c:v>
                </c:pt>
                <c:pt idx="84">
                  <c:v>701.35859866220744</c:v>
                </c:pt>
                <c:pt idx="85">
                  <c:v>701.35859866220744</c:v>
                </c:pt>
                <c:pt idx="86">
                  <c:v>701.35859866220744</c:v>
                </c:pt>
                <c:pt idx="87">
                  <c:v>701.35859866220744</c:v>
                </c:pt>
                <c:pt idx="88">
                  <c:v>701.35859866220744</c:v>
                </c:pt>
                <c:pt idx="89">
                  <c:v>701.35859866220744</c:v>
                </c:pt>
                <c:pt idx="90">
                  <c:v>701.35859866220744</c:v>
                </c:pt>
                <c:pt idx="91">
                  <c:v>701.35859866220744</c:v>
                </c:pt>
                <c:pt idx="92">
                  <c:v>701.35859866220744</c:v>
                </c:pt>
                <c:pt idx="93">
                  <c:v>701.35859866220744</c:v>
                </c:pt>
                <c:pt idx="94">
                  <c:v>701.35859866220744</c:v>
                </c:pt>
                <c:pt idx="95">
                  <c:v>701.35859866220744</c:v>
                </c:pt>
                <c:pt idx="96">
                  <c:v>701.35859866220744</c:v>
                </c:pt>
                <c:pt idx="97">
                  <c:v>701.35859866220744</c:v>
                </c:pt>
                <c:pt idx="98">
                  <c:v>701.35859866220744</c:v>
                </c:pt>
                <c:pt idx="99">
                  <c:v>701.35859866220744</c:v>
                </c:pt>
                <c:pt idx="100">
                  <c:v>701.35859866220744</c:v>
                </c:pt>
                <c:pt idx="101">
                  <c:v>701.35859866220744</c:v>
                </c:pt>
                <c:pt idx="102">
                  <c:v>701.35859866220744</c:v>
                </c:pt>
                <c:pt idx="103">
                  <c:v>701.35859866220744</c:v>
                </c:pt>
                <c:pt idx="104">
                  <c:v>701.35859866220744</c:v>
                </c:pt>
                <c:pt idx="105">
                  <c:v>701.35859866220744</c:v>
                </c:pt>
                <c:pt idx="106">
                  <c:v>701.35859866220744</c:v>
                </c:pt>
                <c:pt idx="107">
                  <c:v>701.35859866220744</c:v>
                </c:pt>
                <c:pt idx="108">
                  <c:v>701.35859866220744</c:v>
                </c:pt>
                <c:pt idx="109">
                  <c:v>701.35859866220744</c:v>
                </c:pt>
                <c:pt idx="110">
                  <c:v>701.35859866220744</c:v>
                </c:pt>
                <c:pt idx="111">
                  <c:v>701.35859866220744</c:v>
                </c:pt>
                <c:pt idx="112">
                  <c:v>701.35859866220744</c:v>
                </c:pt>
                <c:pt idx="113">
                  <c:v>701.35859866220744</c:v>
                </c:pt>
                <c:pt idx="114">
                  <c:v>701.35859866220744</c:v>
                </c:pt>
                <c:pt idx="115">
                  <c:v>701.35859866220744</c:v>
                </c:pt>
                <c:pt idx="116">
                  <c:v>701.35859866220744</c:v>
                </c:pt>
                <c:pt idx="117">
                  <c:v>701.35859866220744</c:v>
                </c:pt>
                <c:pt idx="118">
                  <c:v>701.35859866220744</c:v>
                </c:pt>
                <c:pt idx="119">
                  <c:v>701.35859866220744</c:v>
                </c:pt>
                <c:pt idx="120">
                  <c:v>701.35859866220744</c:v>
                </c:pt>
                <c:pt idx="121">
                  <c:v>701.35859866220744</c:v>
                </c:pt>
                <c:pt idx="122">
                  <c:v>701.35859866220744</c:v>
                </c:pt>
                <c:pt idx="123">
                  <c:v>701.35859866220744</c:v>
                </c:pt>
                <c:pt idx="124">
                  <c:v>701.35859866220744</c:v>
                </c:pt>
                <c:pt idx="125">
                  <c:v>701.35859866220744</c:v>
                </c:pt>
                <c:pt idx="126">
                  <c:v>701.35859866220744</c:v>
                </c:pt>
                <c:pt idx="127">
                  <c:v>701.35859866220744</c:v>
                </c:pt>
                <c:pt idx="128">
                  <c:v>701.35859866220744</c:v>
                </c:pt>
                <c:pt idx="129">
                  <c:v>701.35859866220744</c:v>
                </c:pt>
                <c:pt idx="130">
                  <c:v>701.35859866220744</c:v>
                </c:pt>
                <c:pt idx="131">
                  <c:v>701.35859866220744</c:v>
                </c:pt>
                <c:pt idx="132">
                  <c:v>701.35859866220744</c:v>
                </c:pt>
                <c:pt idx="133">
                  <c:v>701.35859866220744</c:v>
                </c:pt>
                <c:pt idx="134">
                  <c:v>701.35859866220744</c:v>
                </c:pt>
                <c:pt idx="135">
                  <c:v>701.35859866220744</c:v>
                </c:pt>
                <c:pt idx="136">
                  <c:v>701.35859866220744</c:v>
                </c:pt>
                <c:pt idx="137">
                  <c:v>701.35859866220744</c:v>
                </c:pt>
                <c:pt idx="138">
                  <c:v>701.35859866220744</c:v>
                </c:pt>
                <c:pt idx="139">
                  <c:v>701.35859866220744</c:v>
                </c:pt>
                <c:pt idx="140">
                  <c:v>701.35859866220744</c:v>
                </c:pt>
                <c:pt idx="141">
                  <c:v>701.35859866220744</c:v>
                </c:pt>
                <c:pt idx="142">
                  <c:v>701.35859866220744</c:v>
                </c:pt>
                <c:pt idx="143">
                  <c:v>701.35859866220744</c:v>
                </c:pt>
                <c:pt idx="144">
                  <c:v>701.35859866220744</c:v>
                </c:pt>
                <c:pt idx="145">
                  <c:v>701.35859866220744</c:v>
                </c:pt>
                <c:pt idx="146">
                  <c:v>701.35859866220744</c:v>
                </c:pt>
                <c:pt idx="147">
                  <c:v>701.35859866220744</c:v>
                </c:pt>
                <c:pt idx="148">
                  <c:v>701.35859866220744</c:v>
                </c:pt>
                <c:pt idx="149">
                  <c:v>701.35859866220744</c:v>
                </c:pt>
                <c:pt idx="150">
                  <c:v>701.35859866220744</c:v>
                </c:pt>
                <c:pt idx="151">
                  <c:v>701.35859866220744</c:v>
                </c:pt>
                <c:pt idx="152">
                  <c:v>701.35859866220744</c:v>
                </c:pt>
                <c:pt idx="153">
                  <c:v>701.35859866220744</c:v>
                </c:pt>
                <c:pt idx="154">
                  <c:v>701.35859866220744</c:v>
                </c:pt>
                <c:pt idx="155">
                  <c:v>701.35859866220744</c:v>
                </c:pt>
                <c:pt idx="156">
                  <c:v>701.35859866220744</c:v>
                </c:pt>
                <c:pt idx="157">
                  <c:v>701.35859866220744</c:v>
                </c:pt>
                <c:pt idx="158">
                  <c:v>701.35859866220744</c:v>
                </c:pt>
                <c:pt idx="159">
                  <c:v>701.35859866220744</c:v>
                </c:pt>
                <c:pt idx="160">
                  <c:v>701.35859866220744</c:v>
                </c:pt>
                <c:pt idx="161">
                  <c:v>701.35859866220744</c:v>
                </c:pt>
                <c:pt idx="162">
                  <c:v>701.35859866220744</c:v>
                </c:pt>
                <c:pt idx="163">
                  <c:v>701.35859866220744</c:v>
                </c:pt>
                <c:pt idx="164">
                  <c:v>701.35859866220744</c:v>
                </c:pt>
                <c:pt idx="165">
                  <c:v>701.35859866220744</c:v>
                </c:pt>
                <c:pt idx="166">
                  <c:v>701.35859866220744</c:v>
                </c:pt>
                <c:pt idx="167">
                  <c:v>701.35859866220744</c:v>
                </c:pt>
                <c:pt idx="168">
                  <c:v>701.35859866220744</c:v>
                </c:pt>
                <c:pt idx="169">
                  <c:v>701.35859866220744</c:v>
                </c:pt>
                <c:pt idx="170">
                  <c:v>701.35859866220744</c:v>
                </c:pt>
                <c:pt idx="171">
                  <c:v>701.35859866220744</c:v>
                </c:pt>
                <c:pt idx="172">
                  <c:v>701.35859866220744</c:v>
                </c:pt>
                <c:pt idx="173">
                  <c:v>701.35859866220744</c:v>
                </c:pt>
                <c:pt idx="174">
                  <c:v>701.35859866220744</c:v>
                </c:pt>
                <c:pt idx="175">
                  <c:v>701.35859866220744</c:v>
                </c:pt>
                <c:pt idx="176">
                  <c:v>701.35859866220744</c:v>
                </c:pt>
                <c:pt idx="177">
                  <c:v>701.35859866220744</c:v>
                </c:pt>
                <c:pt idx="178">
                  <c:v>701.35859866220744</c:v>
                </c:pt>
                <c:pt idx="179">
                  <c:v>701.35859866220744</c:v>
                </c:pt>
                <c:pt idx="180">
                  <c:v>701.35859866220744</c:v>
                </c:pt>
                <c:pt idx="181">
                  <c:v>701.35859866220744</c:v>
                </c:pt>
                <c:pt idx="182">
                  <c:v>701.35859866220744</c:v>
                </c:pt>
                <c:pt idx="183">
                  <c:v>701.35859866220744</c:v>
                </c:pt>
                <c:pt idx="184">
                  <c:v>701.35859866220744</c:v>
                </c:pt>
                <c:pt idx="185">
                  <c:v>701.35859866220744</c:v>
                </c:pt>
                <c:pt idx="186">
                  <c:v>701.35859866220744</c:v>
                </c:pt>
                <c:pt idx="187">
                  <c:v>701.35859866220744</c:v>
                </c:pt>
                <c:pt idx="188">
                  <c:v>701.35859866220744</c:v>
                </c:pt>
                <c:pt idx="189">
                  <c:v>701.35859866220744</c:v>
                </c:pt>
                <c:pt idx="190">
                  <c:v>701.35859866220744</c:v>
                </c:pt>
                <c:pt idx="191">
                  <c:v>701.35859866220744</c:v>
                </c:pt>
                <c:pt idx="192">
                  <c:v>701.35859866220744</c:v>
                </c:pt>
                <c:pt idx="193">
                  <c:v>701.35859866220744</c:v>
                </c:pt>
                <c:pt idx="194">
                  <c:v>701.35859866220744</c:v>
                </c:pt>
                <c:pt idx="195">
                  <c:v>701.35859866220744</c:v>
                </c:pt>
                <c:pt idx="196">
                  <c:v>701.35859866220744</c:v>
                </c:pt>
                <c:pt idx="197">
                  <c:v>701.35859866220744</c:v>
                </c:pt>
                <c:pt idx="198">
                  <c:v>701.35859866220744</c:v>
                </c:pt>
                <c:pt idx="199">
                  <c:v>701.35859866220744</c:v>
                </c:pt>
                <c:pt idx="200">
                  <c:v>701.35859866220744</c:v>
                </c:pt>
                <c:pt idx="201">
                  <c:v>701.35859866220744</c:v>
                </c:pt>
                <c:pt idx="202">
                  <c:v>701.35859866220744</c:v>
                </c:pt>
                <c:pt idx="203">
                  <c:v>701.35859866220744</c:v>
                </c:pt>
                <c:pt idx="204">
                  <c:v>701.35859866220744</c:v>
                </c:pt>
                <c:pt idx="205">
                  <c:v>701.35859866220744</c:v>
                </c:pt>
                <c:pt idx="206">
                  <c:v>701.35859866220744</c:v>
                </c:pt>
                <c:pt idx="207">
                  <c:v>701.35859866220744</c:v>
                </c:pt>
                <c:pt idx="208">
                  <c:v>701.35859866220744</c:v>
                </c:pt>
                <c:pt idx="209">
                  <c:v>701.35859866220744</c:v>
                </c:pt>
                <c:pt idx="210">
                  <c:v>701.35859866220744</c:v>
                </c:pt>
                <c:pt idx="211">
                  <c:v>701.35859866220744</c:v>
                </c:pt>
                <c:pt idx="212">
                  <c:v>701.35859866220744</c:v>
                </c:pt>
                <c:pt idx="213">
                  <c:v>701.35859866220744</c:v>
                </c:pt>
                <c:pt idx="214">
                  <c:v>701.35859866220744</c:v>
                </c:pt>
                <c:pt idx="215">
                  <c:v>701.35859866220744</c:v>
                </c:pt>
                <c:pt idx="216">
                  <c:v>701.35859866220744</c:v>
                </c:pt>
                <c:pt idx="217">
                  <c:v>701.35859866220744</c:v>
                </c:pt>
                <c:pt idx="218">
                  <c:v>701.35859866220744</c:v>
                </c:pt>
                <c:pt idx="219">
                  <c:v>701.35859866220744</c:v>
                </c:pt>
                <c:pt idx="220">
                  <c:v>701.35859866220744</c:v>
                </c:pt>
                <c:pt idx="221">
                  <c:v>701.35859866220744</c:v>
                </c:pt>
                <c:pt idx="222">
                  <c:v>701.35859866220744</c:v>
                </c:pt>
                <c:pt idx="223">
                  <c:v>701.35859866220744</c:v>
                </c:pt>
                <c:pt idx="224">
                  <c:v>701.35859866220744</c:v>
                </c:pt>
                <c:pt idx="225">
                  <c:v>701.35859866220744</c:v>
                </c:pt>
                <c:pt idx="226">
                  <c:v>701.35859866220744</c:v>
                </c:pt>
                <c:pt idx="227">
                  <c:v>701.35859866220744</c:v>
                </c:pt>
                <c:pt idx="228">
                  <c:v>701.35859866220744</c:v>
                </c:pt>
                <c:pt idx="229">
                  <c:v>701.35859866220744</c:v>
                </c:pt>
                <c:pt idx="230">
                  <c:v>701.35859866220744</c:v>
                </c:pt>
                <c:pt idx="231">
                  <c:v>701.35859866220744</c:v>
                </c:pt>
                <c:pt idx="232">
                  <c:v>701.35859866220744</c:v>
                </c:pt>
                <c:pt idx="233">
                  <c:v>701.35859866220744</c:v>
                </c:pt>
                <c:pt idx="234">
                  <c:v>701.35859866220744</c:v>
                </c:pt>
                <c:pt idx="235">
                  <c:v>701.35859866220744</c:v>
                </c:pt>
                <c:pt idx="236">
                  <c:v>701.35859866220744</c:v>
                </c:pt>
                <c:pt idx="237">
                  <c:v>701.35859866220744</c:v>
                </c:pt>
                <c:pt idx="238">
                  <c:v>701.35859866220744</c:v>
                </c:pt>
                <c:pt idx="239">
                  <c:v>701.35859866220744</c:v>
                </c:pt>
                <c:pt idx="240">
                  <c:v>701.35859866220744</c:v>
                </c:pt>
                <c:pt idx="241">
                  <c:v>701.35859866220744</c:v>
                </c:pt>
                <c:pt idx="242">
                  <c:v>701.35859866220744</c:v>
                </c:pt>
                <c:pt idx="243">
                  <c:v>701.35859866220744</c:v>
                </c:pt>
                <c:pt idx="244">
                  <c:v>701.35859866220744</c:v>
                </c:pt>
                <c:pt idx="245">
                  <c:v>701.35859866220744</c:v>
                </c:pt>
                <c:pt idx="246">
                  <c:v>701.35859866220744</c:v>
                </c:pt>
                <c:pt idx="247">
                  <c:v>701.35859866220744</c:v>
                </c:pt>
                <c:pt idx="248">
                  <c:v>701.35859866220744</c:v>
                </c:pt>
                <c:pt idx="249">
                  <c:v>701.35859866220744</c:v>
                </c:pt>
                <c:pt idx="250">
                  <c:v>701.35859866220744</c:v>
                </c:pt>
                <c:pt idx="251">
                  <c:v>701.35859866220744</c:v>
                </c:pt>
                <c:pt idx="252">
                  <c:v>701.35859866220744</c:v>
                </c:pt>
                <c:pt idx="253">
                  <c:v>701.35859866220744</c:v>
                </c:pt>
                <c:pt idx="254">
                  <c:v>701.35859866220744</c:v>
                </c:pt>
                <c:pt idx="255">
                  <c:v>701.35859866220744</c:v>
                </c:pt>
                <c:pt idx="256">
                  <c:v>701.35859866220744</c:v>
                </c:pt>
                <c:pt idx="257">
                  <c:v>701.35859866220744</c:v>
                </c:pt>
                <c:pt idx="258">
                  <c:v>701.35859866220744</c:v>
                </c:pt>
                <c:pt idx="259">
                  <c:v>701.35859866220744</c:v>
                </c:pt>
                <c:pt idx="260">
                  <c:v>701.35859866220744</c:v>
                </c:pt>
                <c:pt idx="261">
                  <c:v>701.35859866220744</c:v>
                </c:pt>
                <c:pt idx="262">
                  <c:v>701.35859866220744</c:v>
                </c:pt>
                <c:pt idx="263">
                  <c:v>701.35859866220744</c:v>
                </c:pt>
                <c:pt idx="264">
                  <c:v>701.35859866220744</c:v>
                </c:pt>
                <c:pt idx="265">
                  <c:v>701.35859866220744</c:v>
                </c:pt>
                <c:pt idx="266">
                  <c:v>701.35859866220744</c:v>
                </c:pt>
                <c:pt idx="267">
                  <c:v>701.35859866220744</c:v>
                </c:pt>
                <c:pt idx="268">
                  <c:v>701.35859866220744</c:v>
                </c:pt>
                <c:pt idx="269">
                  <c:v>701.35859866220744</c:v>
                </c:pt>
                <c:pt idx="270">
                  <c:v>701.35859866220744</c:v>
                </c:pt>
                <c:pt idx="271">
                  <c:v>701.35859866220744</c:v>
                </c:pt>
                <c:pt idx="272">
                  <c:v>701.35859866220744</c:v>
                </c:pt>
                <c:pt idx="273">
                  <c:v>701.35859866220744</c:v>
                </c:pt>
                <c:pt idx="274">
                  <c:v>701.35859866220744</c:v>
                </c:pt>
                <c:pt idx="275">
                  <c:v>701.35859866220744</c:v>
                </c:pt>
                <c:pt idx="276">
                  <c:v>701.35859866220744</c:v>
                </c:pt>
                <c:pt idx="277">
                  <c:v>701.35859866220744</c:v>
                </c:pt>
                <c:pt idx="278">
                  <c:v>701.35859866220744</c:v>
                </c:pt>
                <c:pt idx="279">
                  <c:v>701.35859866220744</c:v>
                </c:pt>
                <c:pt idx="280">
                  <c:v>701.35859866220744</c:v>
                </c:pt>
                <c:pt idx="281">
                  <c:v>701.35859866220744</c:v>
                </c:pt>
                <c:pt idx="282">
                  <c:v>701.35859866220744</c:v>
                </c:pt>
                <c:pt idx="283">
                  <c:v>701.35859866220744</c:v>
                </c:pt>
                <c:pt idx="284">
                  <c:v>701.35859866220744</c:v>
                </c:pt>
                <c:pt idx="285">
                  <c:v>701.35859866220744</c:v>
                </c:pt>
                <c:pt idx="286">
                  <c:v>701.35859866220744</c:v>
                </c:pt>
                <c:pt idx="287">
                  <c:v>701.35859866220744</c:v>
                </c:pt>
                <c:pt idx="288">
                  <c:v>701.35859866220744</c:v>
                </c:pt>
                <c:pt idx="289">
                  <c:v>701.35859866220744</c:v>
                </c:pt>
                <c:pt idx="290">
                  <c:v>701.35859866220744</c:v>
                </c:pt>
                <c:pt idx="291">
                  <c:v>701.35859866220744</c:v>
                </c:pt>
                <c:pt idx="292">
                  <c:v>701.35859866220744</c:v>
                </c:pt>
                <c:pt idx="293">
                  <c:v>701.35859866220744</c:v>
                </c:pt>
                <c:pt idx="294">
                  <c:v>701.35859866220744</c:v>
                </c:pt>
                <c:pt idx="295">
                  <c:v>701.35859866220744</c:v>
                </c:pt>
                <c:pt idx="296">
                  <c:v>701.35859866220744</c:v>
                </c:pt>
                <c:pt idx="297">
                  <c:v>701.35859866220744</c:v>
                </c:pt>
                <c:pt idx="298">
                  <c:v>701.35859866220744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3F6-4A07-807A-C2D7F880E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HYBOX1_Thickness_SPC!$F$9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HYBOX1_Thickness_SPC!$F$10:$F$308</c:f>
              <c:numCache>
                <c:formatCode>General</c:formatCode>
                <c:ptCount val="299"/>
                <c:pt idx="1">
                  <c:v>0.88400000000001455</c:v>
                </c:pt>
                <c:pt idx="2">
                  <c:v>0.49700000000007094</c:v>
                </c:pt>
                <c:pt idx="3">
                  <c:v>1.0850000000000364</c:v>
                </c:pt>
                <c:pt idx="4">
                  <c:v>1.9149999999999636</c:v>
                </c:pt>
                <c:pt idx="5">
                  <c:v>1.6269999999999527</c:v>
                </c:pt>
                <c:pt idx="6">
                  <c:v>0.13599999999996726</c:v>
                </c:pt>
                <c:pt idx="7">
                  <c:v>0.28999999999996362</c:v>
                </c:pt>
                <c:pt idx="8">
                  <c:v>0.40999999999996817</c:v>
                </c:pt>
                <c:pt idx="9">
                  <c:v>0.58100000000001728</c:v>
                </c:pt>
                <c:pt idx="10">
                  <c:v>0.85000000000002274</c:v>
                </c:pt>
                <c:pt idx="11">
                  <c:v>8.9000000000055479E-2</c:v>
                </c:pt>
                <c:pt idx="12">
                  <c:v>0.75</c:v>
                </c:pt>
                <c:pt idx="13">
                  <c:v>1.8369999999999891</c:v>
                </c:pt>
                <c:pt idx="14">
                  <c:v>2.7579999999999245</c:v>
                </c:pt>
                <c:pt idx="15">
                  <c:v>0.84299999999996089</c:v>
                </c:pt>
                <c:pt idx="16">
                  <c:v>0.82000000000005002</c:v>
                </c:pt>
                <c:pt idx="17">
                  <c:v>0.55500000000006366</c:v>
                </c:pt>
                <c:pt idx="18">
                  <c:v>0.62800000000004275</c:v>
                </c:pt>
                <c:pt idx="19">
                  <c:v>1.4970000000000709</c:v>
                </c:pt>
                <c:pt idx="20">
                  <c:v>1.3180000000000973</c:v>
                </c:pt>
                <c:pt idx="21">
                  <c:v>1.0650000000000546</c:v>
                </c:pt>
                <c:pt idx="22">
                  <c:v>2.06899999999996</c:v>
                </c:pt>
                <c:pt idx="23">
                  <c:v>1.6349999999999909</c:v>
                </c:pt>
                <c:pt idx="24">
                  <c:v>1.9750000000000227</c:v>
                </c:pt>
                <c:pt idx="25">
                  <c:v>0.25300000000004275</c:v>
                </c:pt>
                <c:pt idx="26">
                  <c:v>0.44299999999998363</c:v>
                </c:pt>
                <c:pt idx="27">
                  <c:v>0.39800000000002456</c:v>
                </c:pt>
                <c:pt idx="28">
                  <c:v>1.0149999999999864</c:v>
                </c:pt>
                <c:pt idx="29">
                  <c:v>0.11300000000005639</c:v>
                </c:pt>
                <c:pt idx="30">
                  <c:v>0.29099999999993997</c:v>
                </c:pt>
                <c:pt idx="31">
                  <c:v>0.51700000000005275</c:v>
                </c:pt>
                <c:pt idx="32">
                  <c:v>0.74900000000002365</c:v>
                </c:pt>
                <c:pt idx="33">
                  <c:v>1.4070000000000391</c:v>
                </c:pt>
                <c:pt idx="34">
                  <c:v>0.13800000000003365</c:v>
                </c:pt>
                <c:pt idx="35">
                  <c:v>0.43299999999999272</c:v>
                </c:pt>
                <c:pt idx="36">
                  <c:v>0.10400000000004184</c:v>
                </c:pt>
                <c:pt idx="37">
                  <c:v>1.5260000000000673</c:v>
                </c:pt>
                <c:pt idx="38">
                  <c:v>1.5780000000000882</c:v>
                </c:pt>
                <c:pt idx="39">
                  <c:v>0.41800000000000637</c:v>
                </c:pt>
                <c:pt idx="40">
                  <c:v>0.44999999999993179</c:v>
                </c:pt>
                <c:pt idx="41">
                  <c:v>0.57000000000005002</c:v>
                </c:pt>
                <c:pt idx="42">
                  <c:v>1.9790000000000418</c:v>
                </c:pt>
                <c:pt idx="43">
                  <c:v>0.17700000000002092</c:v>
                </c:pt>
                <c:pt idx="44">
                  <c:v>1.5640000000000782</c:v>
                </c:pt>
                <c:pt idx="45">
                  <c:v>9.1000000000008185E-2</c:v>
                </c:pt>
                <c:pt idx="46">
                  <c:v>0.1290000000000191</c:v>
                </c:pt>
                <c:pt idx="47">
                  <c:v>0.28800000000001091</c:v>
                </c:pt>
                <c:pt idx="48">
                  <c:v>1.4840000000000373</c:v>
                </c:pt>
                <c:pt idx="49">
                  <c:v>0.38599999999996726</c:v>
                </c:pt>
                <c:pt idx="50">
                  <c:v>1.9549999999999272</c:v>
                </c:pt>
                <c:pt idx="51">
                  <c:v>2.08299999999997</c:v>
                </c:pt>
                <c:pt idx="52">
                  <c:v>0.39199999999993906</c:v>
                </c:pt>
                <c:pt idx="53">
                  <c:v>0.66500000000007731</c:v>
                </c:pt>
                <c:pt idx="54">
                  <c:v>3.8000000000010914E-2</c:v>
                </c:pt>
                <c:pt idx="55">
                  <c:v>2.9470000000000027</c:v>
                </c:pt>
                <c:pt idx="56">
                  <c:v>0.84600000000000364</c:v>
                </c:pt>
                <c:pt idx="57">
                  <c:v>1.6509999999999536</c:v>
                </c:pt>
                <c:pt idx="58">
                  <c:v>1.7000000000000455</c:v>
                </c:pt>
                <c:pt idx="59">
                  <c:v>1.2180000000000746</c:v>
                </c:pt>
                <c:pt idx="60">
                  <c:v>0.56400000000007822</c:v>
                </c:pt>
                <c:pt idx="61">
                  <c:v>1.0049999999999955</c:v>
                </c:pt>
                <c:pt idx="62">
                  <c:v>0.49500000000000455</c:v>
                </c:pt>
                <c:pt idx="63">
                  <c:v>1.9800000000000182</c:v>
                </c:pt>
                <c:pt idx="64">
                  <c:v>0.50099999999997635</c:v>
                </c:pt>
                <c:pt idx="65">
                  <c:v>0.33399999999994634</c:v>
                </c:pt>
                <c:pt idx="66">
                  <c:v>1.5310000000000628</c:v>
                </c:pt>
                <c:pt idx="67">
                  <c:v>0.19600000000002638</c:v>
                </c:pt>
                <c:pt idx="68">
                  <c:v>3.7069999999999936</c:v>
                </c:pt>
                <c:pt idx="69">
                  <c:v>2.4809999999999945</c:v>
                </c:pt>
                <c:pt idx="70">
                  <c:v>1.0299999999999727</c:v>
                </c:pt>
                <c:pt idx="71">
                  <c:v>1.3700000000000045</c:v>
                </c:pt>
                <c:pt idx="72">
                  <c:v>1.0579999999999927</c:v>
                </c:pt>
                <c:pt idx="73">
                  <c:v>1.4339999999999691</c:v>
                </c:pt>
                <c:pt idx="74">
                  <c:v>1.210999999999899</c:v>
                </c:pt>
                <c:pt idx="75">
                  <c:v>0.92600000000004457</c:v>
                </c:pt>
                <c:pt idx="76">
                  <c:v>0.26699999999993906</c:v>
                </c:pt>
                <c:pt idx="77">
                  <c:v>0.25199999999995271</c:v>
                </c:pt>
                <c:pt idx="78">
                  <c:v>0.97000000000002728</c:v>
                </c:pt>
                <c:pt idx="79">
                  <c:v>5.2999999999997272E-2</c:v>
                </c:pt>
                <c:pt idx="80">
                  <c:v>0.94100000000003092</c:v>
                </c:pt>
                <c:pt idx="81">
                  <c:v>0.3709999999999809</c:v>
                </c:pt>
                <c:pt idx="82">
                  <c:v>1.3569999999999709</c:v>
                </c:pt>
                <c:pt idx="83">
                  <c:v>1.446999999999889</c:v>
                </c:pt>
                <c:pt idx="84">
                  <c:v>0.64699999999993452</c:v>
                </c:pt>
                <c:pt idx="85">
                  <c:v>0.96699999999998454</c:v>
                </c:pt>
                <c:pt idx="86">
                  <c:v>1.7000000000052751E-2</c:v>
                </c:pt>
                <c:pt idx="87">
                  <c:v>2.4930000000000518</c:v>
                </c:pt>
                <c:pt idx="88">
                  <c:v>2.2749999999999773</c:v>
                </c:pt>
                <c:pt idx="89">
                  <c:v>3.0000000000427463E-3</c:v>
                </c:pt>
                <c:pt idx="90">
                  <c:v>0.45399999999995089</c:v>
                </c:pt>
                <c:pt idx="91">
                  <c:v>0.33399999999994634</c:v>
                </c:pt>
                <c:pt idx="92">
                  <c:v>0.89200000000005275</c:v>
                </c:pt>
                <c:pt idx="93">
                  <c:v>1.1259999999999764</c:v>
                </c:pt>
                <c:pt idx="94">
                  <c:v>1.5480000000000018</c:v>
                </c:pt>
                <c:pt idx="95">
                  <c:v>0.57500000000004547</c:v>
                </c:pt>
                <c:pt idx="96">
                  <c:v>0.79899999999997817</c:v>
                </c:pt>
                <c:pt idx="97">
                  <c:v>1.2880000000000109</c:v>
                </c:pt>
                <c:pt idx="98">
                  <c:v>1.8880000000000337</c:v>
                </c:pt>
                <c:pt idx="99">
                  <c:v>1.0230000000000246</c:v>
                </c:pt>
                <c:pt idx="100">
                  <c:v>0.23800000000005639</c:v>
                </c:pt>
                <c:pt idx="101">
                  <c:v>1.2889999999999873</c:v>
                </c:pt>
                <c:pt idx="102">
                  <c:v>9.7999999999956344E-2</c:v>
                </c:pt>
                <c:pt idx="103">
                  <c:v>0.59799999999995634</c:v>
                </c:pt>
                <c:pt idx="104">
                  <c:v>1.4230000000000018</c:v>
                </c:pt>
                <c:pt idx="105">
                  <c:v>0.41200000000003456</c:v>
                </c:pt>
                <c:pt idx="106">
                  <c:v>0.1169999999999618</c:v>
                </c:pt>
                <c:pt idx="107">
                  <c:v>4.0509999999999309</c:v>
                </c:pt>
                <c:pt idx="108">
                  <c:v>4.0869999999999891</c:v>
                </c:pt>
                <c:pt idx="109">
                  <c:v>1.04200000000003</c:v>
                </c:pt>
                <c:pt idx="110">
                  <c:v>1.2060000000000173</c:v>
                </c:pt>
                <c:pt idx="111">
                  <c:v>0.34000000000003183</c:v>
                </c:pt>
                <c:pt idx="112">
                  <c:v>1.2340000000000373</c:v>
                </c:pt>
                <c:pt idx="113">
                  <c:v>0.54199999999991633</c:v>
                </c:pt>
                <c:pt idx="114">
                  <c:v>3.11099999999999</c:v>
                </c:pt>
                <c:pt idx="115">
                  <c:v>0.66399999999998727</c:v>
                </c:pt>
                <c:pt idx="116">
                  <c:v>0.66800000000000637</c:v>
                </c:pt>
                <c:pt idx="117">
                  <c:v>0.37600000000009004</c:v>
                </c:pt>
                <c:pt idx="118">
                  <c:v>0.97800000000006548</c:v>
                </c:pt>
                <c:pt idx="119">
                  <c:v>5.9999999999718057E-3</c:v>
                </c:pt>
                <c:pt idx="120">
                  <c:v>0.19399999999995998</c:v>
                </c:pt>
                <c:pt idx="121">
                  <c:v>0.26199999999994361</c:v>
                </c:pt>
                <c:pt idx="122">
                  <c:v>0.15099999999995362</c:v>
                </c:pt>
                <c:pt idx="123">
                  <c:v>0.23000000000001819</c:v>
                </c:pt>
                <c:pt idx="124">
                  <c:v>0.53599999999994452</c:v>
                </c:pt>
                <c:pt idx="125">
                  <c:v>0.92100000000004911</c:v>
                </c:pt>
                <c:pt idx="126">
                  <c:v>2.5439999999999827</c:v>
                </c:pt>
                <c:pt idx="127">
                  <c:v>0.76900000000000546</c:v>
                </c:pt>
                <c:pt idx="128">
                  <c:v>0.7720000000000482</c:v>
                </c:pt>
                <c:pt idx="129">
                  <c:v>1.5779999999999745</c:v>
                </c:pt>
                <c:pt idx="130">
                  <c:v>0.96500000000003183</c:v>
                </c:pt>
                <c:pt idx="131">
                  <c:v>1.1029999999999518</c:v>
                </c:pt>
                <c:pt idx="132">
                  <c:v>2.2039999999999509</c:v>
                </c:pt>
                <c:pt idx="133">
                  <c:v>1.2540000000000191</c:v>
                </c:pt>
                <c:pt idx="134">
                  <c:v>2.1140000000000327</c:v>
                </c:pt>
                <c:pt idx="135">
                  <c:v>0.10400000000004184</c:v>
                </c:pt>
                <c:pt idx="136">
                  <c:v>2.1639999999999873</c:v>
                </c:pt>
                <c:pt idx="137">
                  <c:v>0.83800000000007913</c:v>
                </c:pt>
                <c:pt idx="138">
                  <c:v>0.77300000000002456</c:v>
                </c:pt>
                <c:pt idx="139">
                  <c:v>1.1340000000000146</c:v>
                </c:pt>
                <c:pt idx="140">
                  <c:v>3.0900000000000318</c:v>
                </c:pt>
                <c:pt idx="141">
                  <c:v>0.24500000000000455</c:v>
                </c:pt>
                <c:pt idx="142">
                  <c:v>1.7040000000000646</c:v>
                </c:pt>
                <c:pt idx="143">
                  <c:v>0.62999999999999545</c:v>
                </c:pt>
                <c:pt idx="144">
                  <c:v>0.35200000000008913</c:v>
                </c:pt>
                <c:pt idx="145">
                  <c:v>0.43799999999998818</c:v>
                </c:pt>
                <c:pt idx="146">
                  <c:v>0.45799999999996999</c:v>
                </c:pt>
                <c:pt idx="147">
                  <c:v>0.24699999999995725</c:v>
                </c:pt>
                <c:pt idx="148">
                  <c:v>0.37999999999999545</c:v>
                </c:pt>
                <c:pt idx="149">
                  <c:v>3.7089999999999463</c:v>
                </c:pt>
                <c:pt idx="150">
                  <c:v>1.1630000000000109</c:v>
                </c:pt>
                <c:pt idx="151">
                  <c:v>0.21000000000003638</c:v>
                </c:pt>
                <c:pt idx="152">
                  <c:v>1.0589999999999691</c:v>
                </c:pt>
                <c:pt idx="153">
                  <c:v>1.0259999999999536</c:v>
                </c:pt>
                <c:pt idx="154">
                  <c:v>1.4999999999986358E-2</c:v>
                </c:pt>
                <c:pt idx="155">
                  <c:v>0.16899999999998272</c:v>
                </c:pt>
                <c:pt idx="156">
                  <c:v>0.52299999999991087</c:v>
                </c:pt>
                <c:pt idx="157">
                  <c:v>0.71199999999998909</c:v>
                </c:pt>
                <c:pt idx="158">
                  <c:v>1.0879999999999654</c:v>
                </c:pt>
                <c:pt idx="159">
                  <c:v>1.0960000000000036</c:v>
                </c:pt>
                <c:pt idx="160">
                  <c:v>0.8569999999999709</c:v>
                </c:pt>
                <c:pt idx="161">
                  <c:v>2.3000000000024556E-2</c:v>
                </c:pt>
                <c:pt idx="162">
                  <c:v>0.51999999999998181</c:v>
                </c:pt>
                <c:pt idx="163">
                  <c:v>0.27199999999993452</c:v>
                </c:pt>
                <c:pt idx="164">
                  <c:v>1.0999999999999091</c:v>
                </c:pt>
                <c:pt idx="165">
                  <c:v>0.15499999999997272</c:v>
                </c:pt>
                <c:pt idx="166">
                  <c:v>2.3339999999999463</c:v>
                </c:pt>
                <c:pt idx="167">
                  <c:v>4.2969999999999118</c:v>
                </c:pt>
                <c:pt idx="168">
                  <c:v>2.4489999999999554</c:v>
                </c:pt>
                <c:pt idx="169">
                  <c:v>0.51199999999994361</c:v>
                </c:pt>
                <c:pt idx="170">
                  <c:v>1.8599999999999</c:v>
                </c:pt>
                <c:pt idx="171">
                  <c:v>1.3139999999999645</c:v>
                </c:pt>
                <c:pt idx="172">
                  <c:v>0.57799999999997453</c:v>
                </c:pt>
                <c:pt idx="173">
                  <c:v>1.3490000000000464</c:v>
                </c:pt>
                <c:pt idx="174">
                  <c:v>2.1320000000000618</c:v>
                </c:pt>
                <c:pt idx="175">
                  <c:v>0.86099999999999</c:v>
                </c:pt>
                <c:pt idx="176">
                  <c:v>2.1309999999999718</c:v>
                </c:pt>
                <c:pt idx="177">
                  <c:v>2.9379999999999882</c:v>
                </c:pt>
                <c:pt idx="178">
                  <c:v>0.92100000000004911</c:v>
                </c:pt>
                <c:pt idx="179">
                  <c:v>0.13999999999998636</c:v>
                </c:pt>
                <c:pt idx="180">
                  <c:v>2.8339999999999463</c:v>
                </c:pt>
                <c:pt idx="181">
                  <c:v>2.9649999999999181</c:v>
                </c:pt>
                <c:pt idx="182">
                  <c:v>0.4779999999999518</c:v>
                </c:pt>
                <c:pt idx="183">
                  <c:v>0.33000000000004093</c:v>
                </c:pt>
                <c:pt idx="184">
                  <c:v>1.0619999999998981</c:v>
                </c:pt>
                <c:pt idx="185">
                  <c:v>2.3410000000000082</c:v>
                </c:pt>
                <c:pt idx="186">
                  <c:v>9.1999999999984539E-2</c:v>
                </c:pt>
                <c:pt idx="187">
                  <c:v>0.47900000000004184</c:v>
                </c:pt>
                <c:pt idx="188">
                  <c:v>1.9470000000000027</c:v>
                </c:pt>
                <c:pt idx="189">
                  <c:v>0.72599999999999909</c:v>
                </c:pt>
                <c:pt idx="190">
                  <c:v>0.13800000000003365</c:v>
                </c:pt>
                <c:pt idx="191">
                  <c:v>0.18900000000007822</c:v>
                </c:pt>
                <c:pt idx="192">
                  <c:v>1.5529999999999973</c:v>
                </c:pt>
                <c:pt idx="193">
                  <c:v>2.9250000000000682</c:v>
                </c:pt>
                <c:pt idx="194">
                  <c:v>3.09699999999998</c:v>
                </c:pt>
                <c:pt idx="195">
                  <c:v>1.999999999998181E-2</c:v>
                </c:pt>
                <c:pt idx="196">
                  <c:v>1.0520000000000209</c:v>
                </c:pt>
                <c:pt idx="197">
                  <c:v>8.6999999999989086E-2</c:v>
                </c:pt>
                <c:pt idx="198">
                  <c:v>0.15399999999999636</c:v>
                </c:pt>
                <c:pt idx="199">
                  <c:v>0.37300000000004729</c:v>
                </c:pt>
                <c:pt idx="200">
                  <c:v>1.0070000000000618</c:v>
                </c:pt>
                <c:pt idx="201">
                  <c:v>1.039000000000101</c:v>
                </c:pt>
                <c:pt idx="202">
                  <c:v>0.39000000000010004</c:v>
                </c:pt>
                <c:pt idx="203">
                  <c:v>0.85400000000004184</c:v>
                </c:pt>
                <c:pt idx="204">
                  <c:v>0.89199999999993906</c:v>
                </c:pt>
                <c:pt idx="205">
                  <c:v>5.1999999999907232E-2</c:v>
                </c:pt>
                <c:pt idx="206">
                  <c:v>0.54300000000000637</c:v>
                </c:pt>
                <c:pt idx="207">
                  <c:v>0.47400000000004638</c:v>
                </c:pt>
                <c:pt idx="208">
                  <c:v>1.5879999999999654</c:v>
                </c:pt>
                <c:pt idx="209">
                  <c:v>0.40199999999992997</c:v>
                </c:pt>
                <c:pt idx="210">
                  <c:v>0.36000000000001364</c:v>
                </c:pt>
                <c:pt idx="211">
                  <c:v>1.6270000000000664</c:v>
                </c:pt>
                <c:pt idx="212">
                  <c:v>0.31999999999993634</c:v>
                </c:pt>
                <c:pt idx="213">
                  <c:v>0.86099999999999</c:v>
                </c:pt>
                <c:pt idx="214">
                  <c:v>0.76400000000001</c:v>
                </c:pt>
                <c:pt idx="215">
                  <c:v>3.6999999999920874E-2</c:v>
                </c:pt>
                <c:pt idx="216">
                  <c:v>0.73599999999999</c:v>
                </c:pt>
                <c:pt idx="217">
                  <c:v>1.1059999999999945</c:v>
                </c:pt>
                <c:pt idx="218">
                  <c:v>1.37399999999991</c:v>
                </c:pt>
                <c:pt idx="219">
                  <c:v>1.7039999999999509</c:v>
                </c:pt>
                <c:pt idx="220">
                  <c:v>0.36799999999993815</c:v>
                </c:pt>
                <c:pt idx="221">
                  <c:v>0.80499999999994998</c:v>
                </c:pt>
                <c:pt idx="222">
                  <c:v>0.45100000000002183</c:v>
                </c:pt>
                <c:pt idx="223">
                  <c:v>0.45000000000004547</c:v>
                </c:pt>
                <c:pt idx="224">
                  <c:v>1.1639999999999873</c:v>
                </c:pt>
                <c:pt idx="225">
                  <c:v>1.6230000000000473</c:v>
                </c:pt>
                <c:pt idx="226">
                  <c:v>2.2129999999999654</c:v>
                </c:pt>
                <c:pt idx="227">
                  <c:v>1.8650000000000091</c:v>
                </c:pt>
                <c:pt idx="228">
                  <c:v>1.7150000000000318</c:v>
                </c:pt>
                <c:pt idx="229">
                  <c:v>0.14199999999993906</c:v>
                </c:pt>
                <c:pt idx="230">
                  <c:v>0.10099999999999909</c:v>
                </c:pt>
                <c:pt idx="231">
                  <c:v>0.43700000000001182</c:v>
                </c:pt>
                <c:pt idx="232">
                  <c:v>0.71400000000005548</c:v>
                </c:pt>
                <c:pt idx="233">
                  <c:v>0.59800000000007003</c:v>
                </c:pt>
                <c:pt idx="234">
                  <c:v>0.51300000000003365</c:v>
                </c:pt>
                <c:pt idx="235">
                  <c:v>1.4829999999999472</c:v>
                </c:pt>
                <c:pt idx="236">
                  <c:v>1.3019999999999072</c:v>
                </c:pt>
                <c:pt idx="237">
                  <c:v>1.88799999999992</c:v>
                </c:pt>
                <c:pt idx="238">
                  <c:v>7.7999999999974534E-2</c:v>
                </c:pt>
                <c:pt idx="239">
                  <c:v>1.5899999999999181</c:v>
                </c:pt>
                <c:pt idx="240">
                  <c:v>1.4189999999999827</c:v>
                </c:pt>
                <c:pt idx="241">
                  <c:v>8.8999999999941792E-2</c:v>
                </c:pt>
                <c:pt idx="242">
                  <c:v>0.83000000000004093</c:v>
                </c:pt>
                <c:pt idx="243">
                  <c:v>2.1680000000000064</c:v>
                </c:pt>
                <c:pt idx="244">
                  <c:v>0.42100000000004911</c:v>
                </c:pt>
                <c:pt idx="245">
                  <c:v>0.17099999999993543</c:v>
                </c:pt>
                <c:pt idx="246">
                  <c:v>0.64499999999998181</c:v>
                </c:pt>
                <c:pt idx="247">
                  <c:v>0.60199999999997544</c:v>
                </c:pt>
                <c:pt idx="248">
                  <c:v>0.20199999999999818</c:v>
                </c:pt>
                <c:pt idx="249">
                  <c:v>0.31999999999993634</c:v>
                </c:pt>
                <c:pt idx="250">
                  <c:v>0.48299999999994725</c:v>
                </c:pt>
                <c:pt idx="251">
                  <c:v>0.68399999999996908</c:v>
                </c:pt>
                <c:pt idx="252">
                  <c:v>1.8039999999999736</c:v>
                </c:pt>
                <c:pt idx="253">
                  <c:v>1.5929999999999609</c:v>
                </c:pt>
                <c:pt idx="254">
                  <c:v>1.6999999999939064E-2</c:v>
                </c:pt>
                <c:pt idx="255">
                  <c:v>1.6999999999939064E-2</c:v>
                </c:pt>
                <c:pt idx="256">
                  <c:v>1.0740000000000691</c:v>
                </c:pt>
                <c:pt idx="257">
                  <c:v>0.99700000000007094</c:v>
                </c:pt>
                <c:pt idx="258">
                  <c:v>1.0300000000000864</c:v>
                </c:pt>
                <c:pt idx="259">
                  <c:v>1.1410000000000764</c:v>
                </c:pt>
                <c:pt idx="260">
                  <c:v>1.07000000000005</c:v>
                </c:pt>
                <c:pt idx="261">
                  <c:v>9.0000000000145519E-3</c:v>
                </c:pt>
                <c:pt idx="262">
                  <c:v>1.6169999999999618</c:v>
                </c:pt>
                <c:pt idx="263">
                  <c:v>0.59999999999990905</c:v>
                </c:pt>
                <c:pt idx="264">
                  <c:v>0.2459999999999809</c:v>
                </c:pt>
                <c:pt idx="265">
                  <c:v>7.6000000000021828E-2</c:v>
                </c:pt>
                <c:pt idx="266">
                  <c:v>1.7129999999999654</c:v>
                </c:pt>
                <c:pt idx="267">
                  <c:v>1.0979999999999563</c:v>
                </c:pt>
                <c:pt idx="268">
                  <c:v>0.93299999999999272</c:v>
                </c:pt>
                <c:pt idx="269">
                  <c:v>1.0149999999999864</c:v>
                </c:pt>
                <c:pt idx="270">
                  <c:v>0.32999999999992724</c:v>
                </c:pt>
                <c:pt idx="271">
                  <c:v>1.6999999999999318</c:v>
                </c:pt>
                <c:pt idx="272">
                  <c:v>5.2000000000020918E-2</c:v>
                </c:pt>
                <c:pt idx="273">
                  <c:v>0.46600000000000819</c:v>
                </c:pt>
                <c:pt idx="274">
                  <c:v>1.8930000000000291</c:v>
                </c:pt>
                <c:pt idx="275">
                  <c:v>0.45600000000001728</c:v>
                </c:pt>
                <c:pt idx="276">
                  <c:v>0.14999999999997726</c:v>
                </c:pt>
                <c:pt idx="277">
                  <c:v>4.4999999999959073E-2</c:v>
                </c:pt>
                <c:pt idx="278">
                  <c:v>0.95099999999990814</c:v>
                </c:pt>
                <c:pt idx="279">
                  <c:v>9.2999999999960892E-2</c:v>
                </c:pt>
                <c:pt idx="280">
                  <c:v>1.7880000000000109</c:v>
                </c:pt>
                <c:pt idx="281">
                  <c:v>0.73800000000005639</c:v>
                </c:pt>
                <c:pt idx="282">
                  <c:v>4.9999999999954525E-2</c:v>
                </c:pt>
                <c:pt idx="283">
                  <c:v>1.6090000000000373</c:v>
                </c:pt>
                <c:pt idx="284">
                  <c:v>1.5339999999999918</c:v>
                </c:pt>
                <c:pt idx="285">
                  <c:v>5.6999999999902684E-2</c:v>
                </c:pt>
                <c:pt idx="286">
                  <c:v>0.6169999999999618</c:v>
                </c:pt>
                <c:pt idx="287">
                  <c:v>3.999999999996362E-2</c:v>
                </c:pt>
                <c:pt idx="288">
                  <c:v>0.16999999999995907</c:v>
                </c:pt>
                <c:pt idx="289">
                  <c:v>2.9999999999972715E-2</c:v>
                </c:pt>
                <c:pt idx="290">
                  <c:v>0.45199999999999818</c:v>
                </c:pt>
                <c:pt idx="291">
                  <c:v>4.2000000000030013E-2</c:v>
                </c:pt>
                <c:pt idx="292">
                  <c:v>1.54099999999994</c:v>
                </c:pt>
                <c:pt idx="293">
                  <c:v>2.1779999999999973</c:v>
                </c:pt>
                <c:pt idx="294">
                  <c:v>1.7999999999915417E-2</c:v>
                </c:pt>
                <c:pt idx="295">
                  <c:v>0.33499999999992269</c:v>
                </c:pt>
                <c:pt idx="296">
                  <c:v>0.17300000000000182</c:v>
                </c:pt>
                <c:pt idx="297">
                  <c:v>0.3449999999999136</c:v>
                </c:pt>
                <c:pt idx="298">
                  <c:v>0.3549999999999045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47-4DA6-8A45-DE506B69F187}"/>
            </c:ext>
          </c:extLst>
        </c:ser>
        <c:ser>
          <c:idx val="1"/>
          <c:order val="1"/>
          <c:tx>
            <c:strRef>
              <c:f>HYBOX1_Thickness_SPC!$I$9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HYBOX1_Thickness_SPC!$I$10:$I$308</c:f>
              <c:numCache>
                <c:formatCode>General</c:formatCode>
                <c:ptCount val="299"/>
                <c:pt idx="0">
                  <c:v>3.1445532785234738</c:v>
                </c:pt>
                <c:pt idx="1">
                  <c:v>3.1445532785234738</c:v>
                </c:pt>
                <c:pt idx="2">
                  <c:v>3.1445532785234738</c:v>
                </c:pt>
                <c:pt idx="3">
                  <c:v>3.1445532785234738</c:v>
                </c:pt>
                <c:pt idx="4">
                  <c:v>3.1445532785234738</c:v>
                </c:pt>
                <c:pt idx="5">
                  <c:v>3.1445532785234738</c:v>
                </c:pt>
                <c:pt idx="6">
                  <c:v>3.1445532785234738</c:v>
                </c:pt>
                <c:pt idx="7">
                  <c:v>3.1445532785234738</c:v>
                </c:pt>
                <c:pt idx="8">
                  <c:v>3.1445532785234738</c:v>
                </c:pt>
                <c:pt idx="9">
                  <c:v>3.1445532785234738</c:v>
                </c:pt>
                <c:pt idx="10">
                  <c:v>3.1445532785234738</c:v>
                </c:pt>
                <c:pt idx="11">
                  <c:v>3.1445532785234738</c:v>
                </c:pt>
                <c:pt idx="12">
                  <c:v>3.1445532785234738</c:v>
                </c:pt>
                <c:pt idx="13">
                  <c:v>3.1445532785234738</c:v>
                </c:pt>
                <c:pt idx="14">
                  <c:v>3.1445532785234738</c:v>
                </c:pt>
                <c:pt idx="15">
                  <c:v>3.1445532785234738</c:v>
                </c:pt>
                <c:pt idx="16">
                  <c:v>3.1445532785234738</c:v>
                </c:pt>
                <c:pt idx="17">
                  <c:v>3.1445532785234738</c:v>
                </c:pt>
                <c:pt idx="18">
                  <c:v>3.1445532785234738</c:v>
                </c:pt>
                <c:pt idx="19">
                  <c:v>3.1445532785234738</c:v>
                </c:pt>
                <c:pt idx="20">
                  <c:v>3.1445532785234738</c:v>
                </c:pt>
                <c:pt idx="21">
                  <c:v>3.1445532785234738</c:v>
                </c:pt>
                <c:pt idx="22">
                  <c:v>3.1445532785234738</c:v>
                </c:pt>
                <c:pt idx="23">
                  <c:v>3.1445532785234738</c:v>
                </c:pt>
                <c:pt idx="24">
                  <c:v>3.1445532785234738</c:v>
                </c:pt>
                <c:pt idx="25">
                  <c:v>3.1445532785234738</c:v>
                </c:pt>
                <c:pt idx="26">
                  <c:v>3.1445532785234738</c:v>
                </c:pt>
                <c:pt idx="27">
                  <c:v>3.1445532785234738</c:v>
                </c:pt>
                <c:pt idx="28">
                  <c:v>3.1445532785234738</c:v>
                </c:pt>
                <c:pt idx="29">
                  <c:v>3.1445532785234738</c:v>
                </c:pt>
                <c:pt idx="30">
                  <c:v>3.1445532785234738</c:v>
                </c:pt>
                <c:pt idx="31">
                  <c:v>3.1445532785234738</c:v>
                </c:pt>
                <c:pt idx="32">
                  <c:v>3.1445532785234738</c:v>
                </c:pt>
                <c:pt idx="33">
                  <c:v>3.1445532785234738</c:v>
                </c:pt>
                <c:pt idx="34">
                  <c:v>3.1445532785234738</c:v>
                </c:pt>
                <c:pt idx="35">
                  <c:v>3.1445532785234738</c:v>
                </c:pt>
                <c:pt idx="36">
                  <c:v>3.1445532785234738</c:v>
                </c:pt>
                <c:pt idx="37">
                  <c:v>3.1445532785234738</c:v>
                </c:pt>
                <c:pt idx="38">
                  <c:v>3.1445532785234738</c:v>
                </c:pt>
                <c:pt idx="39">
                  <c:v>3.1445532785234738</c:v>
                </c:pt>
                <c:pt idx="40">
                  <c:v>3.1445532785234738</c:v>
                </c:pt>
                <c:pt idx="41">
                  <c:v>3.1445532785234738</c:v>
                </c:pt>
                <c:pt idx="42">
                  <c:v>3.1445532785234738</c:v>
                </c:pt>
                <c:pt idx="43">
                  <c:v>3.1445532785234738</c:v>
                </c:pt>
                <c:pt idx="44">
                  <c:v>3.1445532785234738</c:v>
                </c:pt>
                <c:pt idx="45">
                  <c:v>3.1445532785234738</c:v>
                </c:pt>
                <c:pt idx="46">
                  <c:v>3.1445532785234738</c:v>
                </c:pt>
                <c:pt idx="47">
                  <c:v>3.1445532785234738</c:v>
                </c:pt>
                <c:pt idx="48">
                  <c:v>3.1445532785234738</c:v>
                </c:pt>
                <c:pt idx="49">
                  <c:v>3.1445532785234738</c:v>
                </c:pt>
                <c:pt idx="50">
                  <c:v>3.1445532785234738</c:v>
                </c:pt>
                <c:pt idx="51">
                  <c:v>3.1445532785234738</c:v>
                </c:pt>
                <c:pt idx="52">
                  <c:v>3.1445532785234738</c:v>
                </c:pt>
                <c:pt idx="53">
                  <c:v>3.1445532785234738</c:v>
                </c:pt>
                <c:pt idx="54">
                  <c:v>3.1445532785234738</c:v>
                </c:pt>
                <c:pt idx="55">
                  <c:v>3.1445532785234738</c:v>
                </c:pt>
                <c:pt idx="56">
                  <c:v>3.1445532785234738</c:v>
                </c:pt>
                <c:pt idx="57">
                  <c:v>3.1445532785234738</c:v>
                </c:pt>
                <c:pt idx="58">
                  <c:v>3.1445532785234738</c:v>
                </c:pt>
                <c:pt idx="59">
                  <c:v>3.1445532785234738</c:v>
                </c:pt>
                <c:pt idx="60">
                  <c:v>3.1445532785234738</c:v>
                </c:pt>
                <c:pt idx="61">
                  <c:v>3.1445532785234738</c:v>
                </c:pt>
                <c:pt idx="62">
                  <c:v>3.1445532785234738</c:v>
                </c:pt>
                <c:pt idx="63">
                  <c:v>3.1445532785234738</c:v>
                </c:pt>
                <c:pt idx="64">
                  <c:v>3.1445532785234738</c:v>
                </c:pt>
                <c:pt idx="65">
                  <c:v>3.1445532785234738</c:v>
                </c:pt>
                <c:pt idx="66">
                  <c:v>3.1445532785234738</c:v>
                </c:pt>
                <c:pt idx="67">
                  <c:v>3.1445532785234738</c:v>
                </c:pt>
                <c:pt idx="68">
                  <c:v>3.1445532785234738</c:v>
                </c:pt>
                <c:pt idx="69">
                  <c:v>3.1445532785234738</c:v>
                </c:pt>
                <c:pt idx="70">
                  <c:v>3.1445532785234738</c:v>
                </c:pt>
                <c:pt idx="71">
                  <c:v>3.1445532785234738</c:v>
                </c:pt>
                <c:pt idx="72">
                  <c:v>3.1445532785234738</c:v>
                </c:pt>
                <c:pt idx="73">
                  <c:v>3.1445532785234738</c:v>
                </c:pt>
                <c:pt idx="74">
                  <c:v>3.1445532785234738</c:v>
                </c:pt>
                <c:pt idx="75">
                  <c:v>3.1445532785234738</c:v>
                </c:pt>
                <c:pt idx="76">
                  <c:v>3.1445532785234738</c:v>
                </c:pt>
                <c:pt idx="77">
                  <c:v>3.1445532785234738</c:v>
                </c:pt>
                <c:pt idx="78">
                  <c:v>3.1445532785234738</c:v>
                </c:pt>
                <c:pt idx="79">
                  <c:v>3.1445532785234738</c:v>
                </c:pt>
                <c:pt idx="80">
                  <c:v>3.1445532785234738</c:v>
                </c:pt>
                <c:pt idx="81">
                  <c:v>3.1445532785234738</c:v>
                </c:pt>
                <c:pt idx="82">
                  <c:v>3.1445532785234738</c:v>
                </c:pt>
                <c:pt idx="83">
                  <c:v>3.1445532785234738</c:v>
                </c:pt>
                <c:pt idx="84">
                  <c:v>3.1445532785234738</c:v>
                </c:pt>
                <c:pt idx="85">
                  <c:v>3.1445532785234738</c:v>
                </c:pt>
                <c:pt idx="86">
                  <c:v>3.1445532785234738</c:v>
                </c:pt>
                <c:pt idx="87">
                  <c:v>3.1445532785234738</c:v>
                </c:pt>
                <c:pt idx="88">
                  <c:v>3.1445532785234738</c:v>
                </c:pt>
                <c:pt idx="89">
                  <c:v>3.1445532785234738</c:v>
                </c:pt>
                <c:pt idx="90">
                  <c:v>3.1445532785234738</c:v>
                </c:pt>
                <c:pt idx="91">
                  <c:v>3.1445532785234738</c:v>
                </c:pt>
                <c:pt idx="92">
                  <c:v>3.1445532785234738</c:v>
                </c:pt>
                <c:pt idx="93">
                  <c:v>3.1445532785234738</c:v>
                </c:pt>
                <c:pt idx="94">
                  <c:v>3.1445532785234738</c:v>
                </c:pt>
                <c:pt idx="95">
                  <c:v>3.1445532785234738</c:v>
                </c:pt>
                <c:pt idx="96">
                  <c:v>3.1445532785234738</c:v>
                </c:pt>
                <c:pt idx="97">
                  <c:v>3.1445532785234738</c:v>
                </c:pt>
                <c:pt idx="98">
                  <c:v>3.1445532785234738</c:v>
                </c:pt>
                <c:pt idx="99">
                  <c:v>3.1445532785234738</c:v>
                </c:pt>
                <c:pt idx="100">
                  <c:v>3.1445532785234738</c:v>
                </c:pt>
                <c:pt idx="101">
                  <c:v>3.1445532785234738</c:v>
                </c:pt>
                <c:pt idx="102">
                  <c:v>3.1445532785234738</c:v>
                </c:pt>
                <c:pt idx="103">
                  <c:v>3.1445532785234738</c:v>
                </c:pt>
                <c:pt idx="104">
                  <c:v>3.1445532785234738</c:v>
                </c:pt>
                <c:pt idx="105">
                  <c:v>3.1445532785234738</c:v>
                </c:pt>
                <c:pt idx="106">
                  <c:v>3.1445532785234738</c:v>
                </c:pt>
                <c:pt idx="107">
                  <c:v>3.1445532785234738</c:v>
                </c:pt>
                <c:pt idx="108">
                  <c:v>3.1445532785234738</c:v>
                </c:pt>
                <c:pt idx="109">
                  <c:v>3.1445532785234738</c:v>
                </c:pt>
                <c:pt idx="110">
                  <c:v>3.1445532785234738</c:v>
                </c:pt>
                <c:pt idx="111">
                  <c:v>3.1445532785234738</c:v>
                </c:pt>
                <c:pt idx="112">
                  <c:v>3.1445532785234738</c:v>
                </c:pt>
                <c:pt idx="113">
                  <c:v>3.1445532785234738</c:v>
                </c:pt>
                <c:pt idx="114">
                  <c:v>3.1445532785234738</c:v>
                </c:pt>
                <c:pt idx="115">
                  <c:v>3.1445532785234738</c:v>
                </c:pt>
                <c:pt idx="116">
                  <c:v>3.1445532785234738</c:v>
                </c:pt>
                <c:pt idx="117">
                  <c:v>3.1445532785234738</c:v>
                </c:pt>
                <c:pt idx="118">
                  <c:v>3.1445532785234738</c:v>
                </c:pt>
                <c:pt idx="119">
                  <c:v>3.1445532785234738</c:v>
                </c:pt>
                <c:pt idx="120">
                  <c:v>3.1445532785234738</c:v>
                </c:pt>
                <c:pt idx="121">
                  <c:v>3.1445532785234738</c:v>
                </c:pt>
                <c:pt idx="122">
                  <c:v>3.1445532785234738</c:v>
                </c:pt>
                <c:pt idx="123">
                  <c:v>3.1445532785234738</c:v>
                </c:pt>
                <c:pt idx="124">
                  <c:v>3.1445532785234738</c:v>
                </c:pt>
                <c:pt idx="125">
                  <c:v>3.1445532785234738</c:v>
                </c:pt>
                <c:pt idx="126">
                  <c:v>3.1445532785234738</c:v>
                </c:pt>
                <c:pt idx="127">
                  <c:v>3.1445532785234738</c:v>
                </c:pt>
                <c:pt idx="128">
                  <c:v>3.1445532785234738</c:v>
                </c:pt>
                <c:pt idx="129">
                  <c:v>3.1445532785234738</c:v>
                </c:pt>
                <c:pt idx="130">
                  <c:v>3.1445532785234738</c:v>
                </c:pt>
                <c:pt idx="131">
                  <c:v>3.1445532785234738</c:v>
                </c:pt>
                <c:pt idx="132">
                  <c:v>3.1445532785234738</c:v>
                </c:pt>
                <c:pt idx="133">
                  <c:v>3.1445532785234738</c:v>
                </c:pt>
                <c:pt idx="134">
                  <c:v>3.1445532785234738</c:v>
                </c:pt>
                <c:pt idx="135">
                  <c:v>3.1445532785234738</c:v>
                </c:pt>
                <c:pt idx="136">
                  <c:v>3.1445532785234738</c:v>
                </c:pt>
                <c:pt idx="137">
                  <c:v>3.1445532785234738</c:v>
                </c:pt>
                <c:pt idx="138">
                  <c:v>3.1445532785234738</c:v>
                </c:pt>
                <c:pt idx="139">
                  <c:v>3.1445532785234738</c:v>
                </c:pt>
                <c:pt idx="140">
                  <c:v>3.1445532785234738</c:v>
                </c:pt>
                <c:pt idx="141">
                  <c:v>3.1445532785234738</c:v>
                </c:pt>
                <c:pt idx="142">
                  <c:v>3.1445532785234738</c:v>
                </c:pt>
                <c:pt idx="143">
                  <c:v>3.1445532785234738</c:v>
                </c:pt>
                <c:pt idx="144">
                  <c:v>3.1445532785234738</c:v>
                </c:pt>
                <c:pt idx="145">
                  <c:v>3.1445532785234738</c:v>
                </c:pt>
                <c:pt idx="146">
                  <c:v>3.1445532785234738</c:v>
                </c:pt>
                <c:pt idx="147">
                  <c:v>3.1445532785234738</c:v>
                </c:pt>
                <c:pt idx="148">
                  <c:v>3.1445532785234738</c:v>
                </c:pt>
                <c:pt idx="149">
                  <c:v>3.1445532785234738</c:v>
                </c:pt>
                <c:pt idx="150">
                  <c:v>3.1445532785234738</c:v>
                </c:pt>
                <c:pt idx="151">
                  <c:v>3.1445532785234738</c:v>
                </c:pt>
                <c:pt idx="152">
                  <c:v>3.1445532785234738</c:v>
                </c:pt>
                <c:pt idx="153">
                  <c:v>3.1445532785234738</c:v>
                </c:pt>
                <c:pt idx="154">
                  <c:v>3.1445532785234738</c:v>
                </c:pt>
                <c:pt idx="155">
                  <c:v>3.1445532785234738</c:v>
                </c:pt>
                <c:pt idx="156">
                  <c:v>3.1445532785234738</c:v>
                </c:pt>
                <c:pt idx="157">
                  <c:v>3.1445532785234738</c:v>
                </c:pt>
                <c:pt idx="158">
                  <c:v>3.1445532785234738</c:v>
                </c:pt>
                <c:pt idx="159">
                  <c:v>3.1445532785234738</c:v>
                </c:pt>
                <c:pt idx="160">
                  <c:v>3.1445532785234738</c:v>
                </c:pt>
                <c:pt idx="161">
                  <c:v>3.1445532785234738</c:v>
                </c:pt>
                <c:pt idx="162">
                  <c:v>3.1445532785234738</c:v>
                </c:pt>
                <c:pt idx="163">
                  <c:v>3.1445532785234738</c:v>
                </c:pt>
                <c:pt idx="164">
                  <c:v>3.1445532785234738</c:v>
                </c:pt>
                <c:pt idx="165">
                  <c:v>3.1445532785234738</c:v>
                </c:pt>
                <c:pt idx="166">
                  <c:v>3.1445532785234738</c:v>
                </c:pt>
                <c:pt idx="167">
                  <c:v>3.1445532785234738</c:v>
                </c:pt>
                <c:pt idx="168">
                  <c:v>3.1445532785234738</c:v>
                </c:pt>
                <c:pt idx="169">
                  <c:v>3.1445532785234738</c:v>
                </c:pt>
                <c:pt idx="170">
                  <c:v>3.1445532785234738</c:v>
                </c:pt>
                <c:pt idx="171">
                  <c:v>3.1445532785234738</c:v>
                </c:pt>
                <c:pt idx="172">
                  <c:v>3.1445532785234738</c:v>
                </c:pt>
                <c:pt idx="173">
                  <c:v>3.1445532785234738</c:v>
                </c:pt>
                <c:pt idx="174">
                  <c:v>3.1445532785234738</c:v>
                </c:pt>
                <c:pt idx="175">
                  <c:v>3.1445532785234738</c:v>
                </c:pt>
                <c:pt idx="176">
                  <c:v>3.1445532785234738</c:v>
                </c:pt>
                <c:pt idx="177">
                  <c:v>3.1445532785234738</c:v>
                </c:pt>
                <c:pt idx="178">
                  <c:v>3.1445532785234738</c:v>
                </c:pt>
                <c:pt idx="179">
                  <c:v>3.1445532785234738</c:v>
                </c:pt>
                <c:pt idx="180">
                  <c:v>3.1445532785234738</c:v>
                </c:pt>
                <c:pt idx="181">
                  <c:v>3.1445532785234738</c:v>
                </c:pt>
                <c:pt idx="182">
                  <c:v>3.1445532785234738</c:v>
                </c:pt>
                <c:pt idx="183">
                  <c:v>3.1445532785234738</c:v>
                </c:pt>
                <c:pt idx="184">
                  <c:v>3.1445532785234738</c:v>
                </c:pt>
                <c:pt idx="185">
                  <c:v>3.1445532785234738</c:v>
                </c:pt>
                <c:pt idx="186">
                  <c:v>3.1445532785234738</c:v>
                </c:pt>
                <c:pt idx="187">
                  <c:v>3.1445532785234738</c:v>
                </c:pt>
                <c:pt idx="188">
                  <c:v>3.1445532785234738</c:v>
                </c:pt>
                <c:pt idx="189">
                  <c:v>3.1445532785234738</c:v>
                </c:pt>
                <c:pt idx="190">
                  <c:v>3.1445532785234738</c:v>
                </c:pt>
                <c:pt idx="191">
                  <c:v>3.1445532785234738</c:v>
                </c:pt>
                <c:pt idx="192">
                  <c:v>3.1445532785234738</c:v>
                </c:pt>
                <c:pt idx="193">
                  <c:v>3.1445532785234738</c:v>
                </c:pt>
                <c:pt idx="194">
                  <c:v>3.1445532785234738</c:v>
                </c:pt>
                <c:pt idx="195">
                  <c:v>3.1445532785234738</c:v>
                </c:pt>
                <c:pt idx="196">
                  <c:v>3.1445532785234738</c:v>
                </c:pt>
                <c:pt idx="197">
                  <c:v>3.1445532785234738</c:v>
                </c:pt>
                <c:pt idx="198">
                  <c:v>3.1445532785234738</c:v>
                </c:pt>
                <c:pt idx="199">
                  <c:v>3.1445532785234738</c:v>
                </c:pt>
                <c:pt idx="200">
                  <c:v>3.1445532785234738</c:v>
                </c:pt>
                <c:pt idx="201">
                  <c:v>3.1445532785234738</c:v>
                </c:pt>
                <c:pt idx="202">
                  <c:v>3.1445532785234738</c:v>
                </c:pt>
                <c:pt idx="203">
                  <c:v>3.1445532785234738</c:v>
                </c:pt>
                <c:pt idx="204">
                  <c:v>3.1445532785234738</c:v>
                </c:pt>
                <c:pt idx="205">
                  <c:v>3.1445532785234738</c:v>
                </c:pt>
                <c:pt idx="206">
                  <c:v>3.1445532785234738</c:v>
                </c:pt>
                <c:pt idx="207">
                  <c:v>3.1445532785234738</c:v>
                </c:pt>
                <c:pt idx="208">
                  <c:v>3.1445532785234738</c:v>
                </c:pt>
                <c:pt idx="209">
                  <c:v>3.1445532785234738</c:v>
                </c:pt>
                <c:pt idx="210">
                  <c:v>3.1445532785234738</c:v>
                </c:pt>
                <c:pt idx="211">
                  <c:v>3.1445532785234738</c:v>
                </c:pt>
                <c:pt idx="212">
                  <c:v>3.1445532785234738</c:v>
                </c:pt>
                <c:pt idx="213">
                  <c:v>3.1445532785234738</c:v>
                </c:pt>
                <c:pt idx="214">
                  <c:v>3.1445532785234738</c:v>
                </c:pt>
                <c:pt idx="215">
                  <c:v>3.1445532785234738</c:v>
                </c:pt>
                <c:pt idx="216">
                  <c:v>3.1445532785234738</c:v>
                </c:pt>
                <c:pt idx="217">
                  <c:v>3.1445532785234738</c:v>
                </c:pt>
                <c:pt idx="218">
                  <c:v>3.1445532785234738</c:v>
                </c:pt>
                <c:pt idx="219">
                  <c:v>3.1445532785234738</c:v>
                </c:pt>
                <c:pt idx="220">
                  <c:v>3.1445532785234738</c:v>
                </c:pt>
                <c:pt idx="221">
                  <c:v>3.1445532785234738</c:v>
                </c:pt>
                <c:pt idx="222">
                  <c:v>3.1445532785234738</c:v>
                </c:pt>
                <c:pt idx="223">
                  <c:v>3.1445532785234738</c:v>
                </c:pt>
                <c:pt idx="224">
                  <c:v>3.1445532785234738</c:v>
                </c:pt>
                <c:pt idx="225">
                  <c:v>3.1445532785234738</c:v>
                </c:pt>
                <c:pt idx="226">
                  <c:v>3.1445532785234738</c:v>
                </c:pt>
                <c:pt idx="227">
                  <c:v>3.1445532785234738</c:v>
                </c:pt>
                <c:pt idx="228">
                  <c:v>3.1445532785234738</c:v>
                </c:pt>
                <c:pt idx="229">
                  <c:v>3.1445532785234738</c:v>
                </c:pt>
                <c:pt idx="230">
                  <c:v>3.1445532785234738</c:v>
                </c:pt>
                <c:pt idx="231">
                  <c:v>3.1445532785234738</c:v>
                </c:pt>
                <c:pt idx="232">
                  <c:v>3.1445532785234738</c:v>
                </c:pt>
                <c:pt idx="233">
                  <c:v>3.1445532785234738</c:v>
                </c:pt>
                <c:pt idx="234">
                  <c:v>3.1445532785234738</c:v>
                </c:pt>
                <c:pt idx="235">
                  <c:v>3.1445532785234738</c:v>
                </c:pt>
                <c:pt idx="236">
                  <c:v>3.1445532785234738</c:v>
                </c:pt>
                <c:pt idx="237">
                  <c:v>3.1445532785234738</c:v>
                </c:pt>
                <c:pt idx="238">
                  <c:v>3.1445532785234738</c:v>
                </c:pt>
                <c:pt idx="239">
                  <c:v>3.1445532785234738</c:v>
                </c:pt>
                <c:pt idx="240">
                  <c:v>3.1445532785234738</c:v>
                </c:pt>
                <c:pt idx="241">
                  <c:v>3.1445532785234738</c:v>
                </c:pt>
                <c:pt idx="242">
                  <c:v>3.1445532785234738</c:v>
                </c:pt>
                <c:pt idx="243">
                  <c:v>3.1445532785234738</c:v>
                </c:pt>
                <c:pt idx="244">
                  <c:v>3.1445532785234738</c:v>
                </c:pt>
                <c:pt idx="245">
                  <c:v>3.1445532785234738</c:v>
                </c:pt>
                <c:pt idx="246">
                  <c:v>3.1445532785234738</c:v>
                </c:pt>
                <c:pt idx="247">
                  <c:v>3.1445532785234738</c:v>
                </c:pt>
                <c:pt idx="248">
                  <c:v>3.1445532785234738</c:v>
                </c:pt>
                <c:pt idx="249">
                  <c:v>3.1445532785234738</c:v>
                </c:pt>
                <c:pt idx="250">
                  <c:v>3.1445532785234738</c:v>
                </c:pt>
                <c:pt idx="251">
                  <c:v>3.1445532785234738</c:v>
                </c:pt>
                <c:pt idx="252">
                  <c:v>3.1445532785234738</c:v>
                </c:pt>
                <c:pt idx="253">
                  <c:v>3.1445532785234738</c:v>
                </c:pt>
                <c:pt idx="254">
                  <c:v>3.1445532785234738</c:v>
                </c:pt>
                <c:pt idx="255">
                  <c:v>3.1445532785234738</c:v>
                </c:pt>
                <c:pt idx="256">
                  <c:v>3.1445532785234738</c:v>
                </c:pt>
                <c:pt idx="257">
                  <c:v>3.1445532785234738</c:v>
                </c:pt>
                <c:pt idx="258">
                  <c:v>3.1445532785234738</c:v>
                </c:pt>
                <c:pt idx="259">
                  <c:v>3.1445532785234738</c:v>
                </c:pt>
                <c:pt idx="260">
                  <c:v>3.1445532785234738</c:v>
                </c:pt>
                <c:pt idx="261">
                  <c:v>3.1445532785234738</c:v>
                </c:pt>
                <c:pt idx="262">
                  <c:v>3.1445532785234738</c:v>
                </c:pt>
                <c:pt idx="263">
                  <c:v>3.1445532785234738</c:v>
                </c:pt>
                <c:pt idx="264">
                  <c:v>3.1445532785234738</c:v>
                </c:pt>
                <c:pt idx="265">
                  <c:v>3.1445532785234738</c:v>
                </c:pt>
                <c:pt idx="266">
                  <c:v>3.1445532785234738</c:v>
                </c:pt>
                <c:pt idx="267">
                  <c:v>3.1445532785234738</c:v>
                </c:pt>
                <c:pt idx="268">
                  <c:v>3.1445532785234738</c:v>
                </c:pt>
                <c:pt idx="269">
                  <c:v>3.1445532785234738</c:v>
                </c:pt>
                <c:pt idx="270">
                  <c:v>3.1445532785234738</c:v>
                </c:pt>
                <c:pt idx="271">
                  <c:v>3.1445532785234738</c:v>
                </c:pt>
                <c:pt idx="272">
                  <c:v>3.1445532785234738</c:v>
                </c:pt>
                <c:pt idx="273">
                  <c:v>3.1445532785234738</c:v>
                </c:pt>
                <c:pt idx="274">
                  <c:v>3.1445532785234738</c:v>
                </c:pt>
                <c:pt idx="275">
                  <c:v>3.1445532785234738</c:v>
                </c:pt>
                <c:pt idx="276">
                  <c:v>3.1445532785234738</c:v>
                </c:pt>
                <c:pt idx="277">
                  <c:v>3.1445532785234738</c:v>
                </c:pt>
                <c:pt idx="278">
                  <c:v>3.1445532785234738</c:v>
                </c:pt>
                <c:pt idx="279">
                  <c:v>3.1445532785234738</c:v>
                </c:pt>
                <c:pt idx="280">
                  <c:v>3.1445532785234738</c:v>
                </c:pt>
                <c:pt idx="281">
                  <c:v>3.1445532785234738</c:v>
                </c:pt>
                <c:pt idx="282">
                  <c:v>3.1445532785234738</c:v>
                </c:pt>
                <c:pt idx="283">
                  <c:v>3.1445532785234738</c:v>
                </c:pt>
                <c:pt idx="284">
                  <c:v>3.1445532785234738</c:v>
                </c:pt>
                <c:pt idx="285">
                  <c:v>3.1445532785234738</c:v>
                </c:pt>
                <c:pt idx="286">
                  <c:v>3.1445532785234738</c:v>
                </c:pt>
                <c:pt idx="287">
                  <c:v>3.1445532785234738</c:v>
                </c:pt>
                <c:pt idx="288">
                  <c:v>3.1445532785234738</c:v>
                </c:pt>
                <c:pt idx="289">
                  <c:v>3.1445532785234738</c:v>
                </c:pt>
                <c:pt idx="290">
                  <c:v>3.1445532785234738</c:v>
                </c:pt>
                <c:pt idx="291">
                  <c:v>3.1445532785234738</c:v>
                </c:pt>
                <c:pt idx="292">
                  <c:v>3.1445532785234738</c:v>
                </c:pt>
                <c:pt idx="293">
                  <c:v>3.1445532785234738</c:v>
                </c:pt>
                <c:pt idx="294">
                  <c:v>3.1445532785234738</c:v>
                </c:pt>
                <c:pt idx="295">
                  <c:v>3.1445532785234738</c:v>
                </c:pt>
                <c:pt idx="296">
                  <c:v>3.1445532785234738</c:v>
                </c:pt>
                <c:pt idx="297">
                  <c:v>3.1445532785234738</c:v>
                </c:pt>
                <c:pt idx="298">
                  <c:v>3.1445532785234738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47-4DA6-8A45-DE506B69F187}"/>
            </c:ext>
          </c:extLst>
        </c:ser>
        <c:ser>
          <c:idx val="2"/>
          <c:order val="2"/>
          <c:tx>
            <c:strRef>
              <c:f>HYBOX1_Thickness_SPC!$J$9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HYBOX1_Thickness_SPC!$A$10:$A$308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HYBOX1_Thickness_SPC!$J$10:$J$308</c:f>
              <c:numCache>
                <c:formatCode>General</c:formatCode>
                <c:ptCount val="299"/>
                <c:pt idx="0">
                  <c:v>0.96252013422818306</c:v>
                </c:pt>
                <c:pt idx="1">
                  <c:v>0.96252013422818306</c:v>
                </c:pt>
                <c:pt idx="2">
                  <c:v>0.96252013422818306</c:v>
                </c:pt>
                <c:pt idx="3">
                  <c:v>0.96252013422818306</c:v>
                </c:pt>
                <c:pt idx="4">
                  <c:v>0.96252013422818306</c:v>
                </c:pt>
                <c:pt idx="5">
                  <c:v>0.96252013422818306</c:v>
                </c:pt>
                <c:pt idx="6">
                  <c:v>0.96252013422818306</c:v>
                </c:pt>
                <c:pt idx="7">
                  <c:v>0.96252013422818306</c:v>
                </c:pt>
                <c:pt idx="8">
                  <c:v>0.96252013422818306</c:v>
                </c:pt>
                <c:pt idx="9">
                  <c:v>0.96252013422818306</c:v>
                </c:pt>
                <c:pt idx="10">
                  <c:v>0.96252013422818306</c:v>
                </c:pt>
                <c:pt idx="11">
                  <c:v>0.96252013422818306</c:v>
                </c:pt>
                <c:pt idx="12">
                  <c:v>0.96252013422818306</c:v>
                </c:pt>
                <c:pt idx="13">
                  <c:v>0.96252013422818306</c:v>
                </c:pt>
                <c:pt idx="14">
                  <c:v>0.96252013422818306</c:v>
                </c:pt>
                <c:pt idx="15">
                  <c:v>0.96252013422818306</c:v>
                </c:pt>
                <c:pt idx="16">
                  <c:v>0.96252013422818306</c:v>
                </c:pt>
                <c:pt idx="17">
                  <c:v>0.96252013422818306</c:v>
                </c:pt>
                <c:pt idx="18">
                  <c:v>0.96252013422818306</c:v>
                </c:pt>
                <c:pt idx="19">
                  <c:v>0.96252013422818306</c:v>
                </c:pt>
                <c:pt idx="20">
                  <c:v>0.96252013422818306</c:v>
                </c:pt>
                <c:pt idx="21">
                  <c:v>0.96252013422818306</c:v>
                </c:pt>
                <c:pt idx="22">
                  <c:v>0.96252013422818306</c:v>
                </c:pt>
                <c:pt idx="23">
                  <c:v>0.96252013422818306</c:v>
                </c:pt>
                <c:pt idx="24">
                  <c:v>0.96252013422818306</c:v>
                </c:pt>
                <c:pt idx="25">
                  <c:v>0.96252013422818306</c:v>
                </c:pt>
                <c:pt idx="26">
                  <c:v>0.96252013422818306</c:v>
                </c:pt>
                <c:pt idx="27">
                  <c:v>0.96252013422818306</c:v>
                </c:pt>
                <c:pt idx="28">
                  <c:v>0.96252013422818306</c:v>
                </c:pt>
                <c:pt idx="29">
                  <c:v>0.96252013422818306</c:v>
                </c:pt>
                <c:pt idx="30">
                  <c:v>0.96252013422818306</c:v>
                </c:pt>
                <c:pt idx="31">
                  <c:v>0.96252013422818306</c:v>
                </c:pt>
                <c:pt idx="32">
                  <c:v>0.96252013422818306</c:v>
                </c:pt>
                <c:pt idx="33">
                  <c:v>0.96252013422818306</c:v>
                </c:pt>
                <c:pt idx="34">
                  <c:v>0.96252013422818306</c:v>
                </c:pt>
                <c:pt idx="35">
                  <c:v>0.96252013422818306</c:v>
                </c:pt>
                <c:pt idx="36">
                  <c:v>0.96252013422818306</c:v>
                </c:pt>
                <c:pt idx="37">
                  <c:v>0.96252013422818306</c:v>
                </c:pt>
                <c:pt idx="38">
                  <c:v>0.96252013422818306</c:v>
                </c:pt>
                <c:pt idx="39">
                  <c:v>0.96252013422818306</c:v>
                </c:pt>
                <c:pt idx="40">
                  <c:v>0.96252013422818306</c:v>
                </c:pt>
                <c:pt idx="41">
                  <c:v>0.96252013422818306</c:v>
                </c:pt>
                <c:pt idx="42">
                  <c:v>0.96252013422818306</c:v>
                </c:pt>
                <c:pt idx="43">
                  <c:v>0.96252013422818306</c:v>
                </c:pt>
                <c:pt idx="44">
                  <c:v>0.96252013422818306</c:v>
                </c:pt>
                <c:pt idx="45">
                  <c:v>0.96252013422818306</c:v>
                </c:pt>
                <c:pt idx="46">
                  <c:v>0.96252013422818306</c:v>
                </c:pt>
                <c:pt idx="47">
                  <c:v>0.96252013422818306</c:v>
                </c:pt>
                <c:pt idx="48">
                  <c:v>0.96252013422818306</c:v>
                </c:pt>
                <c:pt idx="49">
                  <c:v>0.96252013422818306</c:v>
                </c:pt>
                <c:pt idx="50">
                  <c:v>0.96252013422818306</c:v>
                </c:pt>
                <c:pt idx="51">
                  <c:v>0.96252013422818306</c:v>
                </c:pt>
                <c:pt idx="52">
                  <c:v>0.96252013422818306</c:v>
                </c:pt>
                <c:pt idx="53">
                  <c:v>0.96252013422818306</c:v>
                </c:pt>
                <c:pt idx="54">
                  <c:v>0.96252013422818306</c:v>
                </c:pt>
                <c:pt idx="55">
                  <c:v>0.96252013422818306</c:v>
                </c:pt>
                <c:pt idx="56">
                  <c:v>0.96252013422818306</c:v>
                </c:pt>
                <c:pt idx="57">
                  <c:v>0.96252013422818306</c:v>
                </c:pt>
                <c:pt idx="58">
                  <c:v>0.96252013422818306</c:v>
                </c:pt>
                <c:pt idx="59">
                  <c:v>0.96252013422818306</c:v>
                </c:pt>
                <c:pt idx="60">
                  <c:v>0.96252013422818306</c:v>
                </c:pt>
                <c:pt idx="61">
                  <c:v>0.96252013422818306</c:v>
                </c:pt>
                <c:pt idx="62">
                  <c:v>0.96252013422818306</c:v>
                </c:pt>
                <c:pt idx="63">
                  <c:v>0.96252013422818306</c:v>
                </c:pt>
                <c:pt idx="64">
                  <c:v>0.96252013422818306</c:v>
                </c:pt>
                <c:pt idx="65">
                  <c:v>0.96252013422818306</c:v>
                </c:pt>
                <c:pt idx="66">
                  <c:v>0.96252013422818306</c:v>
                </c:pt>
                <c:pt idx="67">
                  <c:v>0.96252013422818306</c:v>
                </c:pt>
                <c:pt idx="68">
                  <c:v>0.96252013422818306</c:v>
                </c:pt>
                <c:pt idx="69">
                  <c:v>0.96252013422818306</c:v>
                </c:pt>
                <c:pt idx="70">
                  <c:v>0.96252013422818306</c:v>
                </c:pt>
                <c:pt idx="71">
                  <c:v>0.96252013422818306</c:v>
                </c:pt>
                <c:pt idx="72">
                  <c:v>0.96252013422818306</c:v>
                </c:pt>
                <c:pt idx="73">
                  <c:v>0.96252013422818306</c:v>
                </c:pt>
                <c:pt idx="74">
                  <c:v>0.96252013422818306</c:v>
                </c:pt>
                <c:pt idx="75">
                  <c:v>0.96252013422818306</c:v>
                </c:pt>
                <c:pt idx="76">
                  <c:v>0.96252013422818306</c:v>
                </c:pt>
                <c:pt idx="77">
                  <c:v>0.96252013422818306</c:v>
                </c:pt>
                <c:pt idx="78">
                  <c:v>0.96252013422818306</c:v>
                </c:pt>
                <c:pt idx="79">
                  <c:v>0.96252013422818306</c:v>
                </c:pt>
                <c:pt idx="80">
                  <c:v>0.96252013422818306</c:v>
                </c:pt>
                <c:pt idx="81">
                  <c:v>0.96252013422818306</c:v>
                </c:pt>
                <c:pt idx="82">
                  <c:v>0.96252013422818306</c:v>
                </c:pt>
                <c:pt idx="83">
                  <c:v>0.96252013422818306</c:v>
                </c:pt>
                <c:pt idx="84">
                  <c:v>0.96252013422818306</c:v>
                </c:pt>
                <c:pt idx="85">
                  <c:v>0.96252013422818306</c:v>
                </c:pt>
                <c:pt idx="86">
                  <c:v>0.96252013422818306</c:v>
                </c:pt>
                <c:pt idx="87">
                  <c:v>0.96252013422818306</c:v>
                </c:pt>
                <c:pt idx="88">
                  <c:v>0.96252013422818306</c:v>
                </c:pt>
                <c:pt idx="89">
                  <c:v>0.96252013422818306</c:v>
                </c:pt>
                <c:pt idx="90">
                  <c:v>0.96252013422818306</c:v>
                </c:pt>
                <c:pt idx="91">
                  <c:v>0.96252013422818306</c:v>
                </c:pt>
                <c:pt idx="92">
                  <c:v>0.96252013422818306</c:v>
                </c:pt>
                <c:pt idx="93">
                  <c:v>0.96252013422818306</c:v>
                </c:pt>
                <c:pt idx="94">
                  <c:v>0.96252013422818306</c:v>
                </c:pt>
                <c:pt idx="95">
                  <c:v>0.96252013422818306</c:v>
                </c:pt>
                <c:pt idx="96">
                  <c:v>0.96252013422818306</c:v>
                </c:pt>
                <c:pt idx="97">
                  <c:v>0.96252013422818306</c:v>
                </c:pt>
                <c:pt idx="98">
                  <c:v>0.96252013422818306</c:v>
                </c:pt>
                <c:pt idx="99">
                  <c:v>0.96252013422818306</c:v>
                </c:pt>
                <c:pt idx="100">
                  <c:v>0.96252013422818306</c:v>
                </c:pt>
                <c:pt idx="101">
                  <c:v>0.96252013422818306</c:v>
                </c:pt>
                <c:pt idx="102">
                  <c:v>0.96252013422818306</c:v>
                </c:pt>
                <c:pt idx="103">
                  <c:v>0.96252013422818306</c:v>
                </c:pt>
                <c:pt idx="104">
                  <c:v>0.96252013422818306</c:v>
                </c:pt>
                <c:pt idx="105">
                  <c:v>0.96252013422818306</c:v>
                </c:pt>
                <c:pt idx="106">
                  <c:v>0.96252013422818306</c:v>
                </c:pt>
                <c:pt idx="107">
                  <c:v>0.96252013422818306</c:v>
                </c:pt>
                <c:pt idx="108">
                  <c:v>0.96252013422818306</c:v>
                </c:pt>
                <c:pt idx="109">
                  <c:v>0.96252013422818306</c:v>
                </c:pt>
                <c:pt idx="110">
                  <c:v>0.96252013422818306</c:v>
                </c:pt>
                <c:pt idx="111">
                  <c:v>0.96252013422818306</c:v>
                </c:pt>
                <c:pt idx="112">
                  <c:v>0.96252013422818306</c:v>
                </c:pt>
                <c:pt idx="113">
                  <c:v>0.96252013422818306</c:v>
                </c:pt>
                <c:pt idx="114">
                  <c:v>0.96252013422818306</c:v>
                </c:pt>
                <c:pt idx="115">
                  <c:v>0.96252013422818306</c:v>
                </c:pt>
                <c:pt idx="116">
                  <c:v>0.96252013422818306</c:v>
                </c:pt>
                <c:pt idx="117">
                  <c:v>0.96252013422818306</c:v>
                </c:pt>
                <c:pt idx="118">
                  <c:v>0.96252013422818306</c:v>
                </c:pt>
                <c:pt idx="119">
                  <c:v>0.96252013422818306</c:v>
                </c:pt>
                <c:pt idx="120">
                  <c:v>0.96252013422818306</c:v>
                </c:pt>
                <c:pt idx="121">
                  <c:v>0.96252013422818306</c:v>
                </c:pt>
                <c:pt idx="122">
                  <c:v>0.96252013422818306</c:v>
                </c:pt>
                <c:pt idx="123">
                  <c:v>0.96252013422818306</c:v>
                </c:pt>
                <c:pt idx="124">
                  <c:v>0.96252013422818306</c:v>
                </c:pt>
                <c:pt idx="125">
                  <c:v>0.96252013422818306</c:v>
                </c:pt>
                <c:pt idx="126">
                  <c:v>0.96252013422818306</c:v>
                </c:pt>
                <c:pt idx="127">
                  <c:v>0.96252013422818306</c:v>
                </c:pt>
                <c:pt idx="128">
                  <c:v>0.96252013422818306</c:v>
                </c:pt>
                <c:pt idx="129">
                  <c:v>0.96252013422818306</c:v>
                </c:pt>
                <c:pt idx="130">
                  <c:v>0.96252013422818306</c:v>
                </c:pt>
                <c:pt idx="131">
                  <c:v>0.96252013422818306</c:v>
                </c:pt>
                <c:pt idx="132">
                  <c:v>0.96252013422818306</c:v>
                </c:pt>
                <c:pt idx="133">
                  <c:v>0.96252013422818306</c:v>
                </c:pt>
                <c:pt idx="134">
                  <c:v>0.96252013422818306</c:v>
                </c:pt>
                <c:pt idx="135">
                  <c:v>0.96252013422818306</c:v>
                </c:pt>
                <c:pt idx="136">
                  <c:v>0.96252013422818306</c:v>
                </c:pt>
                <c:pt idx="137">
                  <c:v>0.96252013422818306</c:v>
                </c:pt>
                <c:pt idx="138">
                  <c:v>0.96252013422818306</c:v>
                </c:pt>
                <c:pt idx="139">
                  <c:v>0.96252013422818306</c:v>
                </c:pt>
                <c:pt idx="140">
                  <c:v>0.96252013422818306</c:v>
                </c:pt>
                <c:pt idx="141">
                  <c:v>0.96252013422818306</c:v>
                </c:pt>
                <c:pt idx="142">
                  <c:v>0.96252013422818306</c:v>
                </c:pt>
                <c:pt idx="143">
                  <c:v>0.96252013422818306</c:v>
                </c:pt>
                <c:pt idx="144">
                  <c:v>0.96252013422818306</c:v>
                </c:pt>
                <c:pt idx="145">
                  <c:v>0.96252013422818306</c:v>
                </c:pt>
                <c:pt idx="146">
                  <c:v>0.96252013422818306</c:v>
                </c:pt>
                <c:pt idx="147">
                  <c:v>0.96252013422818306</c:v>
                </c:pt>
                <c:pt idx="148">
                  <c:v>0.96252013422818306</c:v>
                </c:pt>
                <c:pt idx="149">
                  <c:v>0.96252013422818306</c:v>
                </c:pt>
                <c:pt idx="150">
                  <c:v>0.96252013422818306</c:v>
                </c:pt>
                <c:pt idx="151">
                  <c:v>0.96252013422818306</c:v>
                </c:pt>
                <c:pt idx="152">
                  <c:v>0.96252013422818306</c:v>
                </c:pt>
                <c:pt idx="153">
                  <c:v>0.96252013422818306</c:v>
                </c:pt>
                <c:pt idx="154">
                  <c:v>0.96252013422818306</c:v>
                </c:pt>
                <c:pt idx="155">
                  <c:v>0.96252013422818306</c:v>
                </c:pt>
                <c:pt idx="156">
                  <c:v>0.96252013422818306</c:v>
                </c:pt>
                <c:pt idx="157">
                  <c:v>0.96252013422818306</c:v>
                </c:pt>
                <c:pt idx="158">
                  <c:v>0.96252013422818306</c:v>
                </c:pt>
                <c:pt idx="159">
                  <c:v>0.96252013422818306</c:v>
                </c:pt>
                <c:pt idx="160">
                  <c:v>0.96252013422818306</c:v>
                </c:pt>
                <c:pt idx="161">
                  <c:v>0.96252013422818306</c:v>
                </c:pt>
                <c:pt idx="162">
                  <c:v>0.96252013422818306</c:v>
                </c:pt>
                <c:pt idx="163">
                  <c:v>0.96252013422818306</c:v>
                </c:pt>
                <c:pt idx="164">
                  <c:v>0.96252013422818306</c:v>
                </c:pt>
                <c:pt idx="165">
                  <c:v>0.96252013422818306</c:v>
                </c:pt>
                <c:pt idx="166">
                  <c:v>0.96252013422818306</c:v>
                </c:pt>
                <c:pt idx="167">
                  <c:v>0.96252013422818306</c:v>
                </c:pt>
                <c:pt idx="168">
                  <c:v>0.96252013422818306</c:v>
                </c:pt>
                <c:pt idx="169">
                  <c:v>0.96252013422818306</c:v>
                </c:pt>
                <c:pt idx="170">
                  <c:v>0.96252013422818306</c:v>
                </c:pt>
                <c:pt idx="171">
                  <c:v>0.96252013422818306</c:v>
                </c:pt>
                <c:pt idx="172">
                  <c:v>0.96252013422818306</c:v>
                </c:pt>
                <c:pt idx="173">
                  <c:v>0.96252013422818306</c:v>
                </c:pt>
                <c:pt idx="174">
                  <c:v>0.96252013422818306</c:v>
                </c:pt>
                <c:pt idx="175">
                  <c:v>0.96252013422818306</c:v>
                </c:pt>
                <c:pt idx="176">
                  <c:v>0.96252013422818306</c:v>
                </c:pt>
                <c:pt idx="177">
                  <c:v>0.96252013422818306</c:v>
                </c:pt>
                <c:pt idx="178">
                  <c:v>0.96252013422818306</c:v>
                </c:pt>
                <c:pt idx="179">
                  <c:v>0.96252013422818306</c:v>
                </c:pt>
                <c:pt idx="180">
                  <c:v>0.96252013422818306</c:v>
                </c:pt>
                <c:pt idx="181">
                  <c:v>0.96252013422818306</c:v>
                </c:pt>
                <c:pt idx="182">
                  <c:v>0.96252013422818306</c:v>
                </c:pt>
                <c:pt idx="183">
                  <c:v>0.96252013422818306</c:v>
                </c:pt>
                <c:pt idx="184">
                  <c:v>0.96252013422818306</c:v>
                </c:pt>
                <c:pt idx="185">
                  <c:v>0.96252013422818306</c:v>
                </c:pt>
                <c:pt idx="186">
                  <c:v>0.96252013422818306</c:v>
                </c:pt>
                <c:pt idx="187">
                  <c:v>0.96252013422818306</c:v>
                </c:pt>
                <c:pt idx="188">
                  <c:v>0.96252013422818306</c:v>
                </c:pt>
                <c:pt idx="189">
                  <c:v>0.96252013422818306</c:v>
                </c:pt>
                <c:pt idx="190">
                  <c:v>0.96252013422818306</c:v>
                </c:pt>
                <c:pt idx="191">
                  <c:v>0.96252013422818306</c:v>
                </c:pt>
                <c:pt idx="192">
                  <c:v>0.96252013422818306</c:v>
                </c:pt>
                <c:pt idx="193">
                  <c:v>0.96252013422818306</c:v>
                </c:pt>
                <c:pt idx="194">
                  <c:v>0.96252013422818306</c:v>
                </c:pt>
                <c:pt idx="195">
                  <c:v>0.96252013422818306</c:v>
                </c:pt>
                <c:pt idx="196">
                  <c:v>0.96252013422818306</c:v>
                </c:pt>
                <c:pt idx="197">
                  <c:v>0.96252013422818306</c:v>
                </c:pt>
                <c:pt idx="198">
                  <c:v>0.96252013422818306</c:v>
                </c:pt>
                <c:pt idx="199">
                  <c:v>0.96252013422818306</c:v>
                </c:pt>
                <c:pt idx="200">
                  <c:v>0.96252013422818306</c:v>
                </c:pt>
                <c:pt idx="201">
                  <c:v>0.96252013422818306</c:v>
                </c:pt>
                <c:pt idx="202">
                  <c:v>0.96252013422818306</c:v>
                </c:pt>
                <c:pt idx="203">
                  <c:v>0.96252013422818306</c:v>
                </c:pt>
                <c:pt idx="204">
                  <c:v>0.96252013422818306</c:v>
                </c:pt>
                <c:pt idx="205">
                  <c:v>0.96252013422818306</c:v>
                </c:pt>
                <c:pt idx="206">
                  <c:v>0.96252013422818306</c:v>
                </c:pt>
                <c:pt idx="207">
                  <c:v>0.96252013422818306</c:v>
                </c:pt>
                <c:pt idx="208">
                  <c:v>0.96252013422818306</c:v>
                </c:pt>
                <c:pt idx="209">
                  <c:v>0.96252013422818306</c:v>
                </c:pt>
                <c:pt idx="210">
                  <c:v>0.96252013422818306</c:v>
                </c:pt>
                <c:pt idx="211">
                  <c:v>0.96252013422818306</c:v>
                </c:pt>
                <c:pt idx="212">
                  <c:v>0.96252013422818306</c:v>
                </c:pt>
                <c:pt idx="213">
                  <c:v>0.96252013422818306</c:v>
                </c:pt>
                <c:pt idx="214">
                  <c:v>0.96252013422818306</c:v>
                </c:pt>
                <c:pt idx="215">
                  <c:v>0.96252013422818306</c:v>
                </c:pt>
                <c:pt idx="216">
                  <c:v>0.96252013422818306</c:v>
                </c:pt>
                <c:pt idx="217">
                  <c:v>0.96252013422818306</c:v>
                </c:pt>
                <c:pt idx="218">
                  <c:v>0.96252013422818306</c:v>
                </c:pt>
                <c:pt idx="219">
                  <c:v>0.96252013422818306</c:v>
                </c:pt>
                <c:pt idx="220">
                  <c:v>0.96252013422818306</c:v>
                </c:pt>
                <c:pt idx="221">
                  <c:v>0.96252013422818306</c:v>
                </c:pt>
                <c:pt idx="222">
                  <c:v>0.96252013422818306</c:v>
                </c:pt>
                <c:pt idx="223">
                  <c:v>0.96252013422818306</c:v>
                </c:pt>
                <c:pt idx="224">
                  <c:v>0.96252013422818306</c:v>
                </c:pt>
                <c:pt idx="225">
                  <c:v>0.96252013422818306</c:v>
                </c:pt>
                <c:pt idx="226">
                  <c:v>0.96252013422818306</c:v>
                </c:pt>
                <c:pt idx="227">
                  <c:v>0.96252013422818306</c:v>
                </c:pt>
                <c:pt idx="228">
                  <c:v>0.96252013422818306</c:v>
                </c:pt>
                <c:pt idx="229">
                  <c:v>0.96252013422818306</c:v>
                </c:pt>
                <c:pt idx="230">
                  <c:v>0.96252013422818306</c:v>
                </c:pt>
                <c:pt idx="231">
                  <c:v>0.96252013422818306</c:v>
                </c:pt>
                <c:pt idx="232">
                  <c:v>0.96252013422818306</c:v>
                </c:pt>
                <c:pt idx="233">
                  <c:v>0.96252013422818306</c:v>
                </c:pt>
                <c:pt idx="234">
                  <c:v>0.96252013422818306</c:v>
                </c:pt>
                <c:pt idx="235">
                  <c:v>0.96252013422818306</c:v>
                </c:pt>
                <c:pt idx="236">
                  <c:v>0.96252013422818306</c:v>
                </c:pt>
                <c:pt idx="237">
                  <c:v>0.96252013422818306</c:v>
                </c:pt>
                <c:pt idx="238">
                  <c:v>0.96252013422818306</c:v>
                </c:pt>
                <c:pt idx="239">
                  <c:v>0.96252013422818306</c:v>
                </c:pt>
                <c:pt idx="240">
                  <c:v>0.96252013422818306</c:v>
                </c:pt>
                <c:pt idx="241">
                  <c:v>0.96252013422818306</c:v>
                </c:pt>
                <c:pt idx="242">
                  <c:v>0.96252013422818306</c:v>
                </c:pt>
                <c:pt idx="243">
                  <c:v>0.96252013422818306</c:v>
                </c:pt>
                <c:pt idx="244">
                  <c:v>0.96252013422818306</c:v>
                </c:pt>
                <c:pt idx="245">
                  <c:v>0.96252013422818306</c:v>
                </c:pt>
                <c:pt idx="246">
                  <c:v>0.96252013422818306</c:v>
                </c:pt>
                <c:pt idx="247">
                  <c:v>0.96252013422818306</c:v>
                </c:pt>
                <c:pt idx="248">
                  <c:v>0.96252013422818306</c:v>
                </c:pt>
                <c:pt idx="249">
                  <c:v>0.96252013422818306</c:v>
                </c:pt>
                <c:pt idx="250">
                  <c:v>0.96252013422818306</c:v>
                </c:pt>
                <c:pt idx="251">
                  <c:v>0.96252013422818306</c:v>
                </c:pt>
                <c:pt idx="252">
                  <c:v>0.96252013422818306</c:v>
                </c:pt>
                <c:pt idx="253">
                  <c:v>0.96252013422818306</c:v>
                </c:pt>
                <c:pt idx="254">
                  <c:v>0.96252013422818306</c:v>
                </c:pt>
                <c:pt idx="255">
                  <c:v>0.96252013422818306</c:v>
                </c:pt>
                <c:pt idx="256">
                  <c:v>0.96252013422818306</c:v>
                </c:pt>
                <c:pt idx="257">
                  <c:v>0.96252013422818306</c:v>
                </c:pt>
                <c:pt idx="258">
                  <c:v>0.96252013422818306</c:v>
                </c:pt>
                <c:pt idx="259">
                  <c:v>0.96252013422818306</c:v>
                </c:pt>
                <c:pt idx="260">
                  <c:v>0.96252013422818306</c:v>
                </c:pt>
                <c:pt idx="261">
                  <c:v>0.96252013422818306</c:v>
                </c:pt>
                <c:pt idx="262">
                  <c:v>0.96252013422818306</c:v>
                </c:pt>
                <c:pt idx="263">
                  <c:v>0.96252013422818306</c:v>
                </c:pt>
                <c:pt idx="264">
                  <c:v>0.96252013422818306</c:v>
                </c:pt>
                <c:pt idx="265">
                  <c:v>0.96252013422818306</c:v>
                </c:pt>
                <c:pt idx="266">
                  <c:v>0.96252013422818306</c:v>
                </c:pt>
                <c:pt idx="267">
                  <c:v>0.96252013422818306</c:v>
                </c:pt>
                <c:pt idx="268">
                  <c:v>0.96252013422818306</c:v>
                </c:pt>
                <c:pt idx="269">
                  <c:v>0.96252013422818306</c:v>
                </c:pt>
                <c:pt idx="270">
                  <c:v>0.96252013422818306</c:v>
                </c:pt>
                <c:pt idx="271">
                  <c:v>0.96252013422818306</c:v>
                </c:pt>
                <c:pt idx="272">
                  <c:v>0.96252013422818306</c:v>
                </c:pt>
                <c:pt idx="273">
                  <c:v>0.96252013422818306</c:v>
                </c:pt>
                <c:pt idx="274">
                  <c:v>0.96252013422818306</c:v>
                </c:pt>
                <c:pt idx="275">
                  <c:v>0.96252013422818306</c:v>
                </c:pt>
                <c:pt idx="276">
                  <c:v>0.96252013422818306</c:v>
                </c:pt>
                <c:pt idx="277">
                  <c:v>0.96252013422818306</c:v>
                </c:pt>
                <c:pt idx="278">
                  <c:v>0.96252013422818306</c:v>
                </c:pt>
                <c:pt idx="279">
                  <c:v>0.96252013422818306</c:v>
                </c:pt>
                <c:pt idx="280">
                  <c:v>0.96252013422818306</c:v>
                </c:pt>
                <c:pt idx="281">
                  <c:v>0.96252013422818306</c:v>
                </c:pt>
                <c:pt idx="282">
                  <c:v>0.96252013422818306</c:v>
                </c:pt>
                <c:pt idx="283">
                  <c:v>0.96252013422818306</c:v>
                </c:pt>
                <c:pt idx="284">
                  <c:v>0.96252013422818306</c:v>
                </c:pt>
                <c:pt idx="285">
                  <c:v>0.96252013422818306</c:v>
                </c:pt>
                <c:pt idx="286">
                  <c:v>0.96252013422818306</c:v>
                </c:pt>
                <c:pt idx="287">
                  <c:v>0.96252013422818306</c:v>
                </c:pt>
                <c:pt idx="288">
                  <c:v>0.96252013422818306</c:v>
                </c:pt>
                <c:pt idx="289">
                  <c:v>0.96252013422818306</c:v>
                </c:pt>
                <c:pt idx="290">
                  <c:v>0.96252013422818306</c:v>
                </c:pt>
                <c:pt idx="291">
                  <c:v>0.96252013422818306</c:v>
                </c:pt>
                <c:pt idx="292">
                  <c:v>0.96252013422818306</c:v>
                </c:pt>
                <c:pt idx="293">
                  <c:v>0.96252013422818306</c:v>
                </c:pt>
                <c:pt idx="294">
                  <c:v>0.96252013422818306</c:v>
                </c:pt>
                <c:pt idx="295">
                  <c:v>0.96252013422818306</c:v>
                </c:pt>
                <c:pt idx="296">
                  <c:v>0.96252013422818306</c:v>
                </c:pt>
                <c:pt idx="297">
                  <c:v>0.96252013422818306</c:v>
                </c:pt>
                <c:pt idx="298">
                  <c:v>0.96252013422818306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47-4DA6-8A45-DE506B69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 Individuals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HYBOX2_Thickness_SPC!$E$10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HYBOX2_Thickness_SPC!$E$11:$E$308</c:f>
              <c:numCache>
                <c:formatCode>General</c:formatCode>
                <c:ptCount val="298"/>
                <c:pt idx="0">
                  <c:v>701.64499999999998</c:v>
                </c:pt>
                <c:pt idx="1">
                  <c:v>701.82600000000002</c:v>
                </c:pt>
                <c:pt idx="2">
                  <c:v>701.83799999999997</c:v>
                </c:pt>
                <c:pt idx="3">
                  <c:v>701.66</c:v>
                </c:pt>
                <c:pt idx="4">
                  <c:v>701.928</c:v>
                </c:pt>
                <c:pt idx="5">
                  <c:v>703.053</c:v>
                </c:pt>
                <c:pt idx="6">
                  <c:v>699.31899999999996</c:v>
                </c:pt>
                <c:pt idx="7">
                  <c:v>699.55799999999999</c:v>
                </c:pt>
                <c:pt idx="8">
                  <c:v>702.31500000000005</c:v>
                </c:pt>
                <c:pt idx="9">
                  <c:v>701.48699999999997</c:v>
                </c:pt>
                <c:pt idx="10">
                  <c:v>703.02800000000002</c:v>
                </c:pt>
                <c:pt idx="11">
                  <c:v>701.10400000000004</c:v>
                </c:pt>
                <c:pt idx="12">
                  <c:v>700.70600000000002</c:v>
                </c:pt>
                <c:pt idx="13">
                  <c:v>700.61400000000003</c:v>
                </c:pt>
                <c:pt idx="14">
                  <c:v>700.48199999999997</c:v>
                </c:pt>
                <c:pt idx="15">
                  <c:v>701.80100000000004</c:v>
                </c:pt>
                <c:pt idx="16">
                  <c:v>700.88199999999995</c:v>
                </c:pt>
                <c:pt idx="17">
                  <c:v>700.77599999999995</c:v>
                </c:pt>
                <c:pt idx="18">
                  <c:v>700.84400000000005</c:v>
                </c:pt>
                <c:pt idx="19">
                  <c:v>700.48599999999999</c:v>
                </c:pt>
                <c:pt idx="20">
                  <c:v>700.69500000000005</c:v>
                </c:pt>
                <c:pt idx="21">
                  <c:v>700.85</c:v>
                </c:pt>
                <c:pt idx="22">
                  <c:v>700.82100000000003</c:v>
                </c:pt>
                <c:pt idx="23">
                  <c:v>701.51599999999996</c:v>
                </c:pt>
                <c:pt idx="24">
                  <c:v>700.01700000000005</c:v>
                </c:pt>
                <c:pt idx="25">
                  <c:v>701.31500000000005</c:v>
                </c:pt>
                <c:pt idx="26">
                  <c:v>700.52800000000002</c:v>
                </c:pt>
                <c:pt idx="27">
                  <c:v>700.096</c:v>
                </c:pt>
                <c:pt idx="28">
                  <c:v>700.94299999999998</c:v>
                </c:pt>
                <c:pt idx="29">
                  <c:v>701.02800000000002</c:v>
                </c:pt>
                <c:pt idx="30">
                  <c:v>702.70500000000004</c:v>
                </c:pt>
                <c:pt idx="31">
                  <c:v>702.20500000000004</c:v>
                </c:pt>
                <c:pt idx="32">
                  <c:v>702.20899999999995</c:v>
                </c:pt>
                <c:pt idx="33">
                  <c:v>701.14099999999996</c:v>
                </c:pt>
                <c:pt idx="34">
                  <c:v>699.81600000000003</c:v>
                </c:pt>
                <c:pt idx="35">
                  <c:v>699.85599999999999</c:v>
                </c:pt>
                <c:pt idx="36">
                  <c:v>701.12800000000004</c:v>
                </c:pt>
                <c:pt idx="37">
                  <c:v>700.21100000000001</c:v>
                </c:pt>
                <c:pt idx="38">
                  <c:v>703.67</c:v>
                </c:pt>
                <c:pt idx="39">
                  <c:v>700.48500000000001</c:v>
                </c:pt>
                <c:pt idx="40">
                  <c:v>701.30799999999999</c:v>
                </c:pt>
                <c:pt idx="41">
                  <c:v>700.15200000000004</c:v>
                </c:pt>
                <c:pt idx="42">
                  <c:v>700.38099999999997</c:v>
                </c:pt>
                <c:pt idx="43">
                  <c:v>701.02200000000005</c:v>
                </c:pt>
                <c:pt idx="44">
                  <c:v>701.25699999999995</c:v>
                </c:pt>
                <c:pt idx="45">
                  <c:v>701.947</c:v>
                </c:pt>
                <c:pt idx="46">
                  <c:v>700.05799999999999</c:v>
                </c:pt>
                <c:pt idx="47">
                  <c:v>701.20600000000002</c:v>
                </c:pt>
                <c:pt idx="48">
                  <c:v>701.48400000000004</c:v>
                </c:pt>
                <c:pt idx="49">
                  <c:v>702.93200000000002</c:v>
                </c:pt>
                <c:pt idx="50">
                  <c:v>702.56899999999996</c:v>
                </c:pt>
                <c:pt idx="51">
                  <c:v>701.79300000000001</c:v>
                </c:pt>
                <c:pt idx="52">
                  <c:v>701.73099999999999</c:v>
                </c:pt>
                <c:pt idx="53">
                  <c:v>698.32299999999998</c:v>
                </c:pt>
                <c:pt idx="54">
                  <c:v>701.98199999999997</c:v>
                </c:pt>
                <c:pt idx="55">
                  <c:v>701.06399999999996</c:v>
                </c:pt>
                <c:pt idx="56">
                  <c:v>702.83100000000002</c:v>
                </c:pt>
                <c:pt idx="57">
                  <c:v>702.21799999999996</c:v>
                </c:pt>
                <c:pt idx="58">
                  <c:v>699.79200000000003</c:v>
                </c:pt>
                <c:pt idx="59">
                  <c:v>701.64700000000005</c:v>
                </c:pt>
                <c:pt idx="60">
                  <c:v>702.16800000000001</c:v>
                </c:pt>
                <c:pt idx="61">
                  <c:v>699.65599999999995</c:v>
                </c:pt>
                <c:pt idx="62">
                  <c:v>702.99199999999996</c:v>
                </c:pt>
                <c:pt idx="63">
                  <c:v>701.70799999999997</c:v>
                </c:pt>
                <c:pt idx="64">
                  <c:v>700.93</c:v>
                </c:pt>
                <c:pt idx="65">
                  <c:v>701.36800000000005</c:v>
                </c:pt>
                <c:pt idx="66">
                  <c:v>699.846</c:v>
                </c:pt>
                <c:pt idx="67">
                  <c:v>702.98500000000001</c:v>
                </c:pt>
                <c:pt idx="68">
                  <c:v>700.22</c:v>
                </c:pt>
                <c:pt idx="69">
                  <c:v>701.61300000000006</c:v>
                </c:pt>
                <c:pt idx="70">
                  <c:v>701.97699999999998</c:v>
                </c:pt>
                <c:pt idx="71">
                  <c:v>701.54300000000001</c:v>
                </c:pt>
                <c:pt idx="72">
                  <c:v>702.37199999999996</c:v>
                </c:pt>
                <c:pt idx="73">
                  <c:v>701.27300000000002</c:v>
                </c:pt>
                <c:pt idx="74">
                  <c:v>699.60699999999997</c:v>
                </c:pt>
                <c:pt idx="75">
                  <c:v>700.68499999999995</c:v>
                </c:pt>
                <c:pt idx="76">
                  <c:v>700.85699999999997</c:v>
                </c:pt>
                <c:pt idx="77">
                  <c:v>699.43100000000004</c:v>
                </c:pt>
                <c:pt idx="78">
                  <c:v>700.99800000000005</c:v>
                </c:pt>
                <c:pt idx="79">
                  <c:v>699.89499999999998</c:v>
                </c:pt>
                <c:pt idx="80">
                  <c:v>700.63</c:v>
                </c:pt>
                <c:pt idx="81">
                  <c:v>700.82600000000002</c:v>
                </c:pt>
                <c:pt idx="82">
                  <c:v>699.18</c:v>
                </c:pt>
                <c:pt idx="83">
                  <c:v>699.51099999999997</c:v>
                </c:pt>
                <c:pt idx="84">
                  <c:v>700.56200000000001</c:v>
                </c:pt>
                <c:pt idx="85">
                  <c:v>699.69500000000005</c:v>
                </c:pt>
                <c:pt idx="86">
                  <c:v>699.46299999999997</c:v>
                </c:pt>
                <c:pt idx="87">
                  <c:v>699.68799999999999</c:v>
                </c:pt>
                <c:pt idx="88">
                  <c:v>701.18899999999996</c:v>
                </c:pt>
                <c:pt idx="89">
                  <c:v>701.42100000000005</c:v>
                </c:pt>
                <c:pt idx="90">
                  <c:v>700.90700000000004</c:v>
                </c:pt>
                <c:pt idx="91">
                  <c:v>700.21600000000001</c:v>
                </c:pt>
                <c:pt idx="92">
                  <c:v>700.21900000000005</c:v>
                </c:pt>
                <c:pt idx="93">
                  <c:v>702.15800000000002</c:v>
                </c:pt>
                <c:pt idx="94">
                  <c:v>700.54899999999998</c:v>
                </c:pt>
                <c:pt idx="95">
                  <c:v>701.71400000000006</c:v>
                </c:pt>
                <c:pt idx="96">
                  <c:v>701.02599999999995</c:v>
                </c:pt>
                <c:pt idx="97">
                  <c:v>700.18100000000004</c:v>
                </c:pt>
                <c:pt idx="98">
                  <c:v>701.02800000000002</c:v>
                </c:pt>
                <c:pt idx="99">
                  <c:v>701.10599999999999</c:v>
                </c:pt>
                <c:pt idx="100">
                  <c:v>700.00900000000001</c:v>
                </c:pt>
                <c:pt idx="101">
                  <c:v>699.89200000000005</c:v>
                </c:pt>
                <c:pt idx="102">
                  <c:v>701.33900000000006</c:v>
                </c:pt>
                <c:pt idx="103">
                  <c:v>701.19600000000003</c:v>
                </c:pt>
                <c:pt idx="104">
                  <c:v>701.53099999999995</c:v>
                </c:pt>
                <c:pt idx="105">
                  <c:v>701.84699999999998</c:v>
                </c:pt>
                <c:pt idx="106">
                  <c:v>701.64499999999998</c:v>
                </c:pt>
                <c:pt idx="107">
                  <c:v>701.93799999999999</c:v>
                </c:pt>
                <c:pt idx="108">
                  <c:v>702.30799999999999</c:v>
                </c:pt>
                <c:pt idx="109">
                  <c:v>702.19500000000005</c:v>
                </c:pt>
                <c:pt idx="110">
                  <c:v>701.63800000000003</c:v>
                </c:pt>
                <c:pt idx="111">
                  <c:v>702.76800000000003</c:v>
                </c:pt>
                <c:pt idx="112">
                  <c:v>702.87599999999998</c:v>
                </c:pt>
                <c:pt idx="113">
                  <c:v>702.625</c:v>
                </c:pt>
                <c:pt idx="114">
                  <c:v>699.02</c:v>
                </c:pt>
                <c:pt idx="115">
                  <c:v>699.18899999999996</c:v>
                </c:pt>
                <c:pt idx="116">
                  <c:v>698.79600000000005</c:v>
                </c:pt>
                <c:pt idx="117">
                  <c:v>701</c:v>
                </c:pt>
                <c:pt idx="118">
                  <c:v>701.25</c:v>
                </c:pt>
                <c:pt idx="119">
                  <c:v>701.15099999999995</c:v>
                </c:pt>
                <c:pt idx="120">
                  <c:v>700.63599999999997</c:v>
                </c:pt>
                <c:pt idx="121">
                  <c:v>701.11500000000001</c:v>
                </c:pt>
                <c:pt idx="122">
                  <c:v>701.29499999999996</c:v>
                </c:pt>
                <c:pt idx="123">
                  <c:v>701.16700000000003</c:v>
                </c:pt>
                <c:pt idx="124">
                  <c:v>700.37800000000004</c:v>
                </c:pt>
                <c:pt idx="125">
                  <c:v>700.76900000000001</c:v>
                </c:pt>
                <c:pt idx="126">
                  <c:v>700.37599999999998</c:v>
                </c:pt>
                <c:pt idx="127">
                  <c:v>702.27800000000002</c:v>
                </c:pt>
                <c:pt idx="128">
                  <c:v>700.63900000000001</c:v>
                </c:pt>
                <c:pt idx="129">
                  <c:v>702.32399999999996</c:v>
                </c:pt>
                <c:pt idx="130">
                  <c:v>700.65800000000002</c:v>
                </c:pt>
                <c:pt idx="131">
                  <c:v>702.29700000000003</c:v>
                </c:pt>
                <c:pt idx="132">
                  <c:v>701.48500000000001</c:v>
                </c:pt>
                <c:pt idx="133">
                  <c:v>700.97400000000005</c:v>
                </c:pt>
                <c:pt idx="134">
                  <c:v>700.95299999999997</c:v>
                </c:pt>
                <c:pt idx="135">
                  <c:v>701.476</c:v>
                </c:pt>
                <c:pt idx="136">
                  <c:v>701.84199999999998</c:v>
                </c:pt>
                <c:pt idx="137">
                  <c:v>701.25099999999998</c:v>
                </c:pt>
                <c:pt idx="138">
                  <c:v>700.76400000000001</c:v>
                </c:pt>
                <c:pt idx="139">
                  <c:v>699.90599999999995</c:v>
                </c:pt>
                <c:pt idx="140">
                  <c:v>700.5</c:v>
                </c:pt>
                <c:pt idx="141">
                  <c:v>701.41</c:v>
                </c:pt>
                <c:pt idx="142">
                  <c:v>701.77200000000005</c:v>
                </c:pt>
                <c:pt idx="143">
                  <c:v>699.73400000000004</c:v>
                </c:pt>
                <c:pt idx="144">
                  <c:v>701.81399999999996</c:v>
                </c:pt>
                <c:pt idx="145">
                  <c:v>702.23800000000006</c:v>
                </c:pt>
                <c:pt idx="146">
                  <c:v>701.34500000000003</c:v>
                </c:pt>
                <c:pt idx="147">
                  <c:v>700.51499999999999</c:v>
                </c:pt>
                <c:pt idx="148">
                  <c:v>700.77099999999996</c:v>
                </c:pt>
                <c:pt idx="149">
                  <c:v>701.19899999999996</c:v>
                </c:pt>
                <c:pt idx="150">
                  <c:v>701.41700000000003</c:v>
                </c:pt>
                <c:pt idx="151">
                  <c:v>699.23900000000003</c:v>
                </c:pt>
                <c:pt idx="152">
                  <c:v>698.36300000000006</c:v>
                </c:pt>
                <c:pt idx="153">
                  <c:v>699.99300000000005</c:v>
                </c:pt>
                <c:pt idx="154">
                  <c:v>700.56299999999999</c:v>
                </c:pt>
                <c:pt idx="155">
                  <c:v>700.65300000000002</c:v>
                </c:pt>
                <c:pt idx="156">
                  <c:v>702.21199999999999</c:v>
                </c:pt>
                <c:pt idx="157">
                  <c:v>701.60400000000004</c:v>
                </c:pt>
                <c:pt idx="158">
                  <c:v>702.18399999999997</c:v>
                </c:pt>
                <c:pt idx="159">
                  <c:v>702.37199999999996</c:v>
                </c:pt>
                <c:pt idx="160">
                  <c:v>701.101</c:v>
                </c:pt>
                <c:pt idx="161">
                  <c:v>701.68600000000004</c:v>
                </c:pt>
                <c:pt idx="162">
                  <c:v>703.01599999999996</c:v>
                </c:pt>
                <c:pt idx="163">
                  <c:v>701.14599999999996</c:v>
                </c:pt>
                <c:pt idx="164">
                  <c:v>701.17200000000003</c:v>
                </c:pt>
                <c:pt idx="165">
                  <c:v>701.61500000000001</c:v>
                </c:pt>
                <c:pt idx="166">
                  <c:v>702.97</c:v>
                </c:pt>
                <c:pt idx="167">
                  <c:v>701.50400000000002</c:v>
                </c:pt>
                <c:pt idx="168">
                  <c:v>701.54100000000005</c:v>
                </c:pt>
                <c:pt idx="169">
                  <c:v>702.44799999999998</c:v>
                </c:pt>
                <c:pt idx="170">
                  <c:v>702.06600000000003</c:v>
                </c:pt>
                <c:pt idx="171">
                  <c:v>701.36300000000006</c:v>
                </c:pt>
                <c:pt idx="172">
                  <c:v>700.74400000000003</c:v>
                </c:pt>
                <c:pt idx="173">
                  <c:v>701.37599999999998</c:v>
                </c:pt>
                <c:pt idx="174">
                  <c:v>700.04600000000005</c:v>
                </c:pt>
                <c:pt idx="175">
                  <c:v>699.98199999999997</c:v>
                </c:pt>
                <c:pt idx="176">
                  <c:v>700.78899999999999</c:v>
                </c:pt>
                <c:pt idx="177">
                  <c:v>699.97699999999998</c:v>
                </c:pt>
                <c:pt idx="178">
                  <c:v>701.11900000000003</c:v>
                </c:pt>
                <c:pt idx="179">
                  <c:v>703.29700000000003</c:v>
                </c:pt>
                <c:pt idx="180">
                  <c:v>701.56899999999996</c:v>
                </c:pt>
                <c:pt idx="181">
                  <c:v>701.20500000000004</c:v>
                </c:pt>
                <c:pt idx="182">
                  <c:v>702.48900000000003</c:v>
                </c:pt>
                <c:pt idx="183">
                  <c:v>702.48099999999999</c:v>
                </c:pt>
                <c:pt idx="184">
                  <c:v>701.04</c:v>
                </c:pt>
                <c:pt idx="185">
                  <c:v>702.02</c:v>
                </c:pt>
                <c:pt idx="186">
                  <c:v>700.90200000000004</c:v>
                </c:pt>
                <c:pt idx="187">
                  <c:v>703.00900000000001</c:v>
                </c:pt>
                <c:pt idx="188">
                  <c:v>700.20399999999995</c:v>
                </c:pt>
                <c:pt idx="189">
                  <c:v>701.399</c:v>
                </c:pt>
                <c:pt idx="190">
                  <c:v>701.10400000000004</c:v>
                </c:pt>
                <c:pt idx="191">
                  <c:v>701.70399999999995</c:v>
                </c:pt>
                <c:pt idx="192">
                  <c:v>700.03899999999999</c:v>
                </c:pt>
                <c:pt idx="193">
                  <c:v>699.61</c:v>
                </c:pt>
                <c:pt idx="194">
                  <c:v>703.66899999999998</c:v>
                </c:pt>
                <c:pt idx="195">
                  <c:v>703.03499999999997</c:v>
                </c:pt>
                <c:pt idx="196">
                  <c:v>703.64099999999996</c:v>
                </c:pt>
                <c:pt idx="197">
                  <c:v>702.86500000000001</c:v>
                </c:pt>
                <c:pt idx="198">
                  <c:v>700.846</c:v>
                </c:pt>
                <c:pt idx="199">
                  <c:v>701.22400000000005</c:v>
                </c:pt>
                <c:pt idx="200">
                  <c:v>703.40499999999997</c:v>
                </c:pt>
                <c:pt idx="201">
                  <c:v>702.28899999999999</c:v>
                </c:pt>
                <c:pt idx="202">
                  <c:v>700.85599999999999</c:v>
                </c:pt>
                <c:pt idx="203">
                  <c:v>700.75900000000001</c:v>
                </c:pt>
                <c:pt idx="204">
                  <c:v>701.41099999999994</c:v>
                </c:pt>
                <c:pt idx="205">
                  <c:v>700.428</c:v>
                </c:pt>
                <c:pt idx="206">
                  <c:v>701.28399999999999</c:v>
                </c:pt>
                <c:pt idx="207">
                  <c:v>703.02300000000002</c:v>
                </c:pt>
                <c:pt idx="208">
                  <c:v>700.65700000000004</c:v>
                </c:pt>
                <c:pt idx="209">
                  <c:v>700.49300000000005</c:v>
                </c:pt>
                <c:pt idx="210">
                  <c:v>701.83900000000006</c:v>
                </c:pt>
                <c:pt idx="211">
                  <c:v>702.20399999999995</c:v>
                </c:pt>
                <c:pt idx="212">
                  <c:v>701.31500000000005</c:v>
                </c:pt>
                <c:pt idx="213">
                  <c:v>701.72</c:v>
                </c:pt>
                <c:pt idx="214">
                  <c:v>702.88499999999999</c:v>
                </c:pt>
                <c:pt idx="215">
                  <c:v>700.89800000000002</c:v>
                </c:pt>
                <c:pt idx="216">
                  <c:v>701.06600000000003</c:v>
                </c:pt>
                <c:pt idx="217">
                  <c:v>703.28300000000002</c:v>
                </c:pt>
                <c:pt idx="218">
                  <c:v>701.79</c:v>
                </c:pt>
                <c:pt idx="219">
                  <c:v>700.85500000000002</c:v>
                </c:pt>
                <c:pt idx="220">
                  <c:v>701.14200000000005</c:v>
                </c:pt>
                <c:pt idx="221">
                  <c:v>700.01</c:v>
                </c:pt>
                <c:pt idx="222">
                  <c:v>701.62300000000005</c:v>
                </c:pt>
                <c:pt idx="223">
                  <c:v>700.55200000000002</c:v>
                </c:pt>
                <c:pt idx="224">
                  <c:v>701.221</c:v>
                </c:pt>
                <c:pt idx="225">
                  <c:v>700.98500000000001</c:v>
                </c:pt>
                <c:pt idx="226">
                  <c:v>701.26199999999994</c:v>
                </c:pt>
                <c:pt idx="227">
                  <c:v>701.61300000000006</c:v>
                </c:pt>
                <c:pt idx="228">
                  <c:v>701.39099999999996</c:v>
                </c:pt>
                <c:pt idx="229">
                  <c:v>701.63</c:v>
                </c:pt>
                <c:pt idx="230">
                  <c:v>700.09299999999996</c:v>
                </c:pt>
                <c:pt idx="231">
                  <c:v>703.41700000000003</c:v>
                </c:pt>
                <c:pt idx="232">
                  <c:v>701.55</c:v>
                </c:pt>
                <c:pt idx="233">
                  <c:v>701.62400000000002</c:v>
                </c:pt>
                <c:pt idx="234">
                  <c:v>701.15599999999995</c:v>
                </c:pt>
                <c:pt idx="235">
                  <c:v>701.22500000000002</c:v>
                </c:pt>
                <c:pt idx="236">
                  <c:v>701.47400000000005</c:v>
                </c:pt>
                <c:pt idx="237">
                  <c:v>700.08500000000004</c:v>
                </c:pt>
                <c:pt idx="238">
                  <c:v>701.46299999999997</c:v>
                </c:pt>
                <c:pt idx="239">
                  <c:v>701.505</c:v>
                </c:pt>
                <c:pt idx="240">
                  <c:v>701.49599999999998</c:v>
                </c:pt>
                <c:pt idx="241">
                  <c:v>702.57899999999995</c:v>
                </c:pt>
                <c:pt idx="242">
                  <c:v>699.76599999999996</c:v>
                </c:pt>
                <c:pt idx="243">
                  <c:v>701.255</c:v>
                </c:pt>
                <c:pt idx="244">
                  <c:v>700.42200000000003</c:v>
                </c:pt>
                <c:pt idx="245">
                  <c:v>702.26</c:v>
                </c:pt>
                <c:pt idx="246">
                  <c:v>700.58699999999999</c:v>
                </c:pt>
                <c:pt idx="247">
                  <c:v>701.95</c:v>
                </c:pt>
                <c:pt idx="248">
                  <c:v>701.52700000000004</c:v>
                </c:pt>
                <c:pt idx="249">
                  <c:v>700.024</c:v>
                </c:pt>
                <c:pt idx="250">
                  <c:v>700.92</c:v>
                </c:pt>
                <c:pt idx="251">
                  <c:v>699.72500000000002</c:v>
                </c:pt>
                <c:pt idx="252">
                  <c:v>700.19</c:v>
                </c:pt>
                <c:pt idx="253">
                  <c:v>700.35799999999995</c:v>
                </c:pt>
                <c:pt idx="254">
                  <c:v>700.19500000000005</c:v>
                </c:pt>
                <c:pt idx="255">
                  <c:v>699.29700000000003</c:v>
                </c:pt>
                <c:pt idx="256">
                  <c:v>700.70799999999997</c:v>
                </c:pt>
                <c:pt idx="257">
                  <c:v>701.33</c:v>
                </c:pt>
                <c:pt idx="258">
                  <c:v>702.06899999999996</c:v>
                </c:pt>
                <c:pt idx="259">
                  <c:v>699.21</c:v>
                </c:pt>
                <c:pt idx="260">
                  <c:v>699.15599999999995</c:v>
                </c:pt>
                <c:pt idx="261">
                  <c:v>701.51099999999997</c:v>
                </c:pt>
                <c:pt idx="262">
                  <c:v>699.64599999999996</c:v>
                </c:pt>
                <c:pt idx="263">
                  <c:v>699.00599999999997</c:v>
                </c:pt>
                <c:pt idx="264">
                  <c:v>699.47400000000005</c:v>
                </c:pt>
                <c:pt idx="265">
                  <c:v>699.65800000000002</c:v>
                </c:pt>
                <c:pt idx="266">
                  <c:v>699.67200000000003</c:v>
                </c:pt>
                <c:pt idx="267">
                  <c:v>700.36</c:v>
                </c:pt>
                <c:pt idx="268">
                  <c:v>700.12800000000004</c:v>
                </c:pt>
                <c:pt idx="269">
                  <c:v>700.39499999999998</c:v>
                </c:pt>
                <c:pt idx="270">
                  <c:v>700.85</c:v>
                </c:pt>
                <c:pt idx="271">
                  <c:v>699.53700000000003</c:v>
                </c:pt>
                <c:pt idx="272">
                  <c:v>701.90800000000002</c:v>
                </c:pt>
                <c:pt idx="273">
                  <c:v>701.67200000000003</c:v>
                </c:pt>
                <c:pt idx="274">
                  <c:v>701.03399999999999</c:v>
                </c:pt>
                <c:pt idx="275">
                  <c:v>701.95600000000002</c:v>
                </c:pt>
                <c:pt idx="276">
                  <c:v>701.904</c:v>
                </c:pt>
                <c:pt idx="277">
                  <c:v>701.08699999999999</c:v>
                </c:pt>
                <c:pt idx="278">
                  <c:v>701.44200000000001</c:v>
                </c:pt>
                <c:pt idx="279">
                  <c:v>702.54</c:v>
                </c:pt>
                <c:pt idx="280">
                  <c:v>702.31799999999998</c:v>
                </c:pt>
                <c:pt idx="281">
                  <c:v>702.43899999999996</c:v>
                </c:pt>
                <c:pt idx="282">
                  <c:v>702.875</c:v>
                </c:pt>
                <c:pt idx="283">
                  <c:v>702.423</c:v>
                </c:pt>
                <c:pt idx="284">
                  <c:v>702.87800000000004</c:v>
                </c:pt>
                <c:pt idx="285">
                  <c:v>702.34500000000003</c:v>
                </c:pt>
                <c:pt idx="286">
                  <c:v>702.24400000000003</c:v>
                </c:pt>
                <c:pt idx="287">
                  <c:v>700.91399999999999</c:v>
                </c:pt>
                <c:pt idx="288">
                  <c:v>701.38800000000003</c:v>
                </c:pt>
                <c:pt idx="289">
                  <c:v>699.63800000000003</c:v>
                </c:pt>
                <c:pt idx="290">
                  <c:v>699.92399999999998</c:v>
                </c:pt>
                <c:pt idx="291">
                  <c:v>703.28399999999999</c:v>
                </c:pt>
                <c:pt idx="292">
                  <c:v>700.46</c:v>
                </c:pt>
                <c:pt idx="293">
                  <c:v>700.46199999999999</c:v>
                </c:pt>
                <c:pt idx="294">
                  <c:v>699.64700000000005</c:v>
                </c:pt>
                <c:pt idx="295">
                  <c:v>700.56700000000001</c:v>
                </c:pt>
                <c:pt idx="296">
                  <c:v>701.49699999999996</c:v>
                </c:pt>
                <c:pt idx="297">
                  <c:v>701.11699999999996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17-49CC-B4CD-19A94632ED9E}"/>
            </c:ext>
          </c:extLst>
        </c:ser>
        <c:ser>
          <c:idx val="1"/>
          <c:order val="1"/>
          <c:tx>
            <c:strRef>
              <c:f>HYBOX2_Thickness_SPC!$H$10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HYBOX2_Thickness_SPC!$H$11:$H$308</c:f>
              <c:numCache>
                <c:formatCode>General</c:formatCode>
                <c:ptCount val="298"/>
                <c:pt idx="0">
                  <c:v>703.70508511046955</c:v>
                </c:pt>
                <c:pt idx="1">
                  <c:v>703.70508511046955</c:v>
                </c:pt>
                <c:pt idx="2">
                  <c:v>703.70508511046955</c:v>
                </c:pt>
                <c:pt idx="3">
                  <c:v>703.70508511046955</c:v>
                </c:pt>
                <c:pt idx="4">
                  <c:v>703.70508511046955</c:v>
                </c:pt>
                <c:pt idx="5">
                  <c:v>703.70508511046955</c:v>
                </c:pt>
                <c:pt idx="6">
                  <c:v>703.70508511046955</c:v>
                </c:pt>
                <c:pt idx="7">
                  <c:v>703.70508511046955</c:v>
                </c:pt>
                <c:pt idx="8">
                  <c:v>703.70508511046955</c:v>
                </c:pt>
                <c:pt idx="9">
                  <c:v>703.70508511046955</c:v>
                </c:pt>
                <c:pt idx="10">
                  <c:v>703.70508511046955</c:v>
                </c:pt>
                <c:pt idx="11">
                  <c:v>703.70508511046955</c:v>
                </c:pt>
                <c:pt idx="12">
                  <c:v>703.70508511046955</c:v>
                </c:pt>
                <c:pt idx="13">
                  <c:v>703.70508511046955</c:v>
                </c:pt>
                <c:pt idx="14">
                  <c:v>703.70508511046955</c:v>
                </c:pt>
                <c:pt idx="15">
                  <c:v>703.70508511046955</c:v>
                </c:pt>
                <c:pt idx="16">
                  <c:v>703.70508511046955</c:v>
                </c:pt>
                <c:pt idx="17">
                  <c:v>703.70508511046955</c:v>
                </c:pt>
                <c:pt idx="18">
                  <c:v>703.70508511046955</c:v>
                </c:pt>
                <c:pt idx="19">
                  <c:v>703.70508511046955</c:v>
                </c:pt>
                <c:pt idx="20">
                  <c:v>703.70508511046955</c:v>
                </c:pt>
                <c:pt idx="21">
                  <c:v>703.70508511046955</c:v>
                </c:pt>
                <c:pt idx="22">
                  <c:v>703.70508511046955</c:v>
                </c:pt>
                <c:pt idx="23">
                  <c:v>703.70508511046955</c:v>
                </c:pt>
                <c:pt idx="24">
                  <c:v>703.70508511046955</c:v>
                </c:pt>
                <c:pt idx="25">
                  <c:v>703.70508511046955</c:v>
                </c:pt>
                <c:pt idx="26">
                  <c:v>703.70508511046955</c:v>
                </c:pt>
                <c:pt idx="27">
                  <c:v>703.70508511046955</c:v>
                </c:pt>
                <c:pt idx="28">
                  <c:v>703.70508511046955</c:v>
                </c:pt>
                <c:pt idx="29">
                  <c:v>703.70508511046955</c:v>
                </c:pt>
                <c:pt idx="30">
                  <c:v>703.70508511046955</c:v>
                </c:pt>
                <c:pt idx="31">
                  <c:v>703.70508511046955</c:v>
                </c:pt>
                <c:pt idx="32">
                  <c:v>703.70508511046955</c:v>
                </c:pt>
                <c:pt idx="33">
                  <c:v>703.70508511046955</c:v>
                </c:pt>
                <c:pt idx="34">
                  <c:v>703.70508511046955</c:v>
                </c:pt>
                <c:pt idx="35">
                  <c:v>703.70508511046955</c:v>
                </c:pt>
                <c:pt idx="36">
                  <c:v>703.70508511046955</c:v>
                </c:pt>
                <c:pt idx="37">
                  <c:v>703.70508511046955</c:v>
                </c:pt>
                <c:pt idx="38">
                  <c:v>703.70508511046955</c:v>
                </c:pt>
                <c:pt idx="39">
                  <c:v>703.70508511046955</c:v>
                </c:pt>
                <c:pt idx="40">
                  <c:v>703.70508511046955</c:v>
                </c:pt>
                <c:pt idx="41">
                  <c:v>703.70508511046955</c:v>
                </c:pt>
                <c:pt idx="42">
                  <c:v>703.70508511046955</c:v>
                </c:pt>
                <c:pt idx="43">
                  <c:v>703.70508511046955</c:v>
                </c:pt>
                <c:pt idx="44">
                  <c:v>703.70508511046955</c:v>
                </c:pt>
                <c:pt idx="45">
                  <c:v>703.70508511046955</c:v>
                </c:pt>
                <c:pt idx="46">
                  <c:v>703.70508511046955</c:v>
                </c:pt>
                <c:pt idx="47">
                  <c:v>703.70508511046955</c:v>
                </c:pt>
                <c:pt idx="48">
                  <c:v>703.70508511046955</c:v>
                </c:pt>
                <c:pt idx="49">
                  <c:v>703.70508511046955</c:v>
                </c:pt>
                <c:pt idx="50">
                  <c:v>703.70508511046955</c:v>
                </c:pt>
                <c:pt idx="51">
                  <c:v>703.70508511046955</c:v>
                </c:pt>
                <c:pt idx="52">
                  <c:v>703.70508511046955</c:v>
                </c:pt>
                <c:pt idx="53">
                  <c:v>703.70508511046955</c:v>
                </c:pt>
                <c:pt idx="54">
                  <c:v>703.70508511046955</c:v>
                </c:pt>
                <c:pt idx="55">
                  <c:v>703.70508511046955</c:v>
                </c:pt>
                <c:pt idx="56">
                  <c:v>703.70508511046955</c:v>
                </c:pt>
                <c:pt idx="57">
                  <c:v>703.70508511046955</c:v>
                </c:pt>
                <c:pt idx="58">
                  <c:v>703.70508511046955</c:v>
                </c:pt>
                <c:pt idx="59">
                  <c:v>703.70508511046955</c:v>
                </c:pt>
                <c:pt idx="60">
                  <c:v>703.70508511046955</c:v>
                </c:pt>
                <c:pt idx="61">
                  <c:v>703.70508511046955</c:v>
                </c:pt>
                <c:pt idx="62">
                  <c:v>703.70508511046955</c:v>
                </c:pt>
                <c:pt idx="63">
                  <c:v>703.70508511046955</c:v>
                </c:pt>
                <c:pt idx="64">
                  <c:v>703.70508511046955</c:v>
                </c:pt>
                <c:pt idx="65">
                  <c:v>703.70508511046955</c:v>
                </c:pt>
                <c:pt idx="66">
                  <c:v>703.70508511046955</c:v>
                </c:pt>
                <c:pt idx="67">
                  <c:v>703.70508511046955</c:v>
                </c:pt>
                <c:pt idx="68">
                  <c:v>703.70508511046955</c:v>
                </c:pt>
                <c:pt idx="69">
                  <c:v>703.70508511046955</c:v>
                </c:pt>
                <c:pt idx="70">
                  <c:v>703.70508511046955</c:v>
                </c:pt>
                <c:pt idx="71">
                  <c:v>703.70508511046955</c:v>
                </c:pt>
                <c:pt idx="72">
                  <c:v>703.70508511046955</c:v>
                </c:pt>
                <c:pt idx="73">
                  <c:v>703.70508511046955</c:v>
                </c:pt>
                <c:pt idx="74">
                  <c:v>703.70508511046955</c:v>
                </c:pt>
                <c:pt idx="75">
                  <c:v>703.70508511046955</c:v>
                </c:pt>
                <c:pt idx="76">
                  <c:v>703.70508511046955</c:v>
                </c:pt>
                <c:pt idx="77">
                  <c:v>703.70508511046955</c:v>
                </c:pt>
                <c:pt idx="78">
                  <c:v>703.70508511046955</c:v>
                </c:pt>
                <c:pt idx="79">
                  <c:v>703.70508511046955</c:v>
                </c:pt>
                <c:pt idx="80">
                  <c:v>703.70508511046955</c:v>
                </c:pt>
                <c:pt idx="81">
                  <c:v>703.70508511046955</c:v>
                </c:pt>
                <c:pt idx="82">
                  <c:v>703.70508511046955</c:v>
                </c:pt>
                <c:pt idx="83">
                  <c:v>703.70508511046955</c:v>
                </c:pt>
                <c:pt idx="84">
                  <c:v>703.70508511046955</c:v>
                </c:pt>
                <c:pt idx="85">
                  <c:v>703.70508511046955</c:v>
                </c:pt>
                <c:pt idx="86">
                  <c:v>703.70508511046955</c:v>
                </c:pt>
                <c:pt idx="87">
                  <c:v>703.70508511046955</c:v>
                </c:pt>
                <c:pt idx="88">
                  <c:v>703.70508511046955</c:v>
                </c:pt>
                <c:pt idx="89">
                  <c:v>703.70508511046955</c:v>
                </c:pt>
                <c:pt idx="90">
                  <c:v>703.70508511046955</c:v>
                </c:pt>
                <c:pt idx="91">
                  <c:v>703.70508511046955</c:v>
                </c:pt>
                <c:pt idx="92">
                  <c:v>703.70508511046955</c:v>
                </c:pt>
                <c:pt idx="93">
                  <c:v>703.70508511046955</c:v>
                </c:pt>
                <c:pt idx="94">
                  <c:v>703.70508511046955</c:v>
                </c:pt>
                <c:pt idx="95">
                  <c:v>703.70508511046955</c:v>
                </c:pt>
                <c:pt idx="96">
                  <c:v>703.70508511046955</c:v>
                </c:pt>
                <c:pt idx="97">
                  <c:v>703.70508511046955</c:v>
                </c:pt>
                <c:pt idx="98">
                  <c:v>703.70508511046955</c:v>
                </c:pt>
                <c:pt idx="99">
                  <c:v>703.70508511046955</c:v>
                </c:pt>
                <c:pt idx="100">
                  <c:v>703.70508511046955</c:v>
                </c:pt>
                <c:pt idx="101">
                  <c:v>703.70508511046955</c:v>
                </c:pt>
                <c:pt idx="102">
                  <c:v>703.70508511046955</c:v>
                </c:pt>
                <c:pt idx="103">
                  <c:v>703.70508511046955</c:v>
                </c:pt>
                <c:pt idx="104">
                  <c:v>703.70508511046955</c:v>
                </c:pt>
                <c:pt idx="105">
                  <c:v>703.70508511046955</c:v>
                </c:pt>
                <c:pt idx="106">
                  <c:v>703.70508511046955</c:v>
                </c:pt>
                <c:pt idx="107">
                  <c:v>703.70508511046955</c:v>
                </c:pt>
                <c:pt idx="108">
                  <c:v>703.70508511046955</c:v>
                </c:pt>
                <c:pt idx="109">
                  <c:v>703.70508511046955</c:v>
                </c:pt>
                <c:pt idx="110">
                  <c:v>703.70508511046955</c:v>
                </c:pt>
                <c:pt idx="111">
                  <c:v>703.70508511046955</c:v>
                </c:pt>
                <c:pt idx="112">
                  <c:v>703.70508511046955</c:v>
                </c:pt>
                <c:pt idx="113">
                  <c:v>703.70508511046955</c:v>
                </c:pt>
                <c:pt idx="114">
                  <c:v>703.70508511046955</c:v>
                </c:pt>
                <c:pt idx="115">
                  <c:v>703.70508511046955</c:v>
                </c:pt>
                <c:pt idx="116">
                  <c:v>703.70508511046955</c:v>
                </c:pt>
                <c:pt idx="117">
                  <c:v>703.70508511046955</c:v>
                </c:pt>
                <c:pt idx="118">
                  <c:v>703.70508511046955</c:v>
                </c:pt>
                <c:pt idx="119">
                  <c:v>703.70508511046955</c:v>
                </c:pt>
                <c:pt idx="120">
                  <c:v>703.70508511046955</c:v>
                </c:pt>
                <c:pt idx="121">
                  <c:v>703.70508511046955</c:v>
                </c:pt>
                <c:pt idx="122">
                  <c:v>703.70508511046955</c:v>
                </c:pt>
                <c:pt idx="123">
                  <c:v>703.70508511046955</c:v>
                </c:pt>
                <c:pt idx="124">
                  <c:v>703.70508511046955</c:v>
                </c:pt>
                <c:pt idx="125">
                  <c:v>703.70508511046955</c:v>
                </c:pt>
                <c:pt idx="126">
                  <c:v>703.70508511046955</c:v>
                </c:pt>
                <c:pt idx="127">
                  <c:v>703.70508511046955</c:v>
                </c:pt>
                <c:pt idx="128">
                  <c:v>703.70508511046955</c:v>
                </c:pt>
                <c:pt idx="129">
                  <c:v>703.70508511046955</c:v>
                </c:pt>
                <c:pt idx="130">
                  <c:v>703.70508511046955</c:v>
                </c:pt>
                <c:pt idx="131">
                  <c:v>703.70508511046955</c:v>
                </c:pt>
                <c:pt idx="132">
                  <c:v>703.70508511046955</c:v>
                </c:pt>
                <c:pt idx="133">
                  <c:v>703.70508511046955</c:v>
                </c:pt>
                <c:pt idx="134">
                  <c:v>703.70508511046955</c:v>
                </c:pt>
                <c:pt idx="135">
                  <c:v>703.70508511046955</c:v>
                </c:pt>
                <c:pt idx="136">
                  <c:v>703.70508511046955</c:v>
                </c:pt>
                <c:pt idx="137">
                  <c:v>703.70508511046955</c:v>
                </c:pt>
                <c:pt idx="138">
                  <c:v>703.70508511046955</c:v>
                </c:pt>
                <c:pt idx="139">
                  <c:v>703.70508511046955</c:v>
                </c:pt>
                <c:pt idx="140">
                  <c:v>703.70508511046955</c:v>
                </c:pt>
                <c:pt idx="141">
                  <c:v>703.70508511046955</c:v>
                </c:pt>
                <c:pt idx="142">
                  <c:v>703.70508511046955</c:v>
                </c:pt>
                <c:pt idx="143">
                  <c:v>703.70508511046955</c:v>
                </c:pt>
                <c:pt idx="144">
                  <c:v>703.70508511046955</c:v>
                </c:pt>
                <c:pt idx="145">
                  <c:v>703.70508511046955</c:v>
                </c:pt>
                <c:pt idx="146">
                  <c:v>703.70508511046955</c:v>
                </c:pt>
                <c:pt idx="147">
                  <c:v>703.70508511046955</c:v>
                </c:pt>
                <c:pt idx="148">
                  <c:v>703.70508511046955</c:v>
                </c:pt>
                <c:pt idx="149">
                  <c:v>703.70508511046955</c:v>
                </c:pt>
                <c:pt idx="150">
                  <c:v>703.70508511046955</c:v>
                </c:pt>
                <c:pt idx="151">
                  <c:v>703.70508511046955</c:v>
                </c:pt>
                <c:pt idx="152">
                  <c:v>703.70508511046955</c:v>
                </c:pt>
                <c:pt idx="153">
                  <c:v>703.70508511046955</c:v>
                </c:pt>
                <c:pt idx="154">
                  <c:v>703.70508511046955</c:v>
                </c:pt>
                <c:pt idx="155">
                  <c:v>703.70508511046955</c:v>
                </c:pt>
                <c:pt idx="156">
                  <c:v>703.70508511046955</c:v>
                </c:pt>
                <c:pt idx="157">
                  <c:v>703.70508511046955</c:v>
                </c:pt>
                <c:pt idx="158">
                  <c:v>703.70508511046955</c:v>
                </c:pt>
                <c:pt idx="159">
                  <c:v>703.70508511046955</c:v>
                </c:pt>
                <c:pt idx="160">
                  <c:v>703.70508511046955</c:v>
                </c:pt>
                <c:pt idx="161">
                  <c:v>703.70508511046955</c:v>
                </c:pt>
                <c:pt idx="162">
                  <c:v>703.70508511046955</c:v>
                </c:pt>
                <c:pt idx="163">
                  <c:v>703.70508511046955</c:v>
                </c:pt>
                <c:pt idx="164">
                  <c:v>703.70508511046955</c:v>
                </c:pt>
                <c:pt idx="165">
                  <c:v>703.70508511046955</c:v>
                </c:pt>
                <c:pt idx="166">
                  <c:v>703.70508511046955</c:v>
                </c:pt>
                <c:pt idx="167">
                  <c:v>703.70508511046955</c:v>
                </c:pt>
                <c:pt idx="168">
                  <c:v>703.70508511046955</c:v>
                </c:pt>
                <c:pt idx="169">
                  <c:v>703.70508511046955</c:v>
                </c:pt>
                <c:pt idx="170">
                  <c:v>703.70508511046955</c:v>
                </c:pt>
                <c:pt idx="171">
                  <c:v>703.70508511046955</c:v>
                </c:pt>
                <c:pt idx="172">
                  <c:v>703.70508511046955</c:v>
                </c:pt>
                <c:pt idx="173">
                  <c:v>703.70508511046955</c:v>
                </c:pt>
                <c:pt idx="174">
                  <c:v>703.70508511046955</c:v>
                </c:pt>
                <c:pt idx="175">
                  <c:v>703.70508511046955</c:v>
                </c:pt>
                <c:pt idx="176">
                  <c:v>703.70508511046955</c:v>
                </c:pt>
                <c:pt idx="177">
                  <c:v>703.70508511046955</c:v>
                </c:pt>
                <c:pt idx="178">
                  <c:v>703.70508511046955</c:v>
                </c:pt>
                <c:pt idx="179">
                  <c:v>703.70508511046955</c:v>
                </c:pt>
                <c:pt idx="180">
                  <c:v>703.70508511046955</c:v>
                </c:pt>
                <c:pt idx="181">
                  <c:v>703.70508511046955</c:v>
                </c:pt>
                <c:pt idx="182">
                  <c:v>703.70508511046955</c:v>
                </c:pt>
                <c:pt idx="183">
                  <c:v>703.70508511046955</c:v>
                </c:pt>
                <c:pt idx="184">
                  <c:v>703.70508511046955</c:v>
                </c:pt>
                <c:pt idx="185">
                  <c:v>703.70508511046955</c:v>
                </c:pt>
                <c:pt idx="186">
                  <c:v>703.70508511046955</c:v>
                </c:pt>
                <c:pt idx="187">
                  <c:v>703.70508511046955</c:v>
                </c:pt>
                <c:pt idx="188">
                  <c:v>703.70508511046955</c:v>
                </c:pt>
                <c:pt idx="189">
                  <c:v>703.70508511046955</c:v>
                </c:pt>
                <c:pt idx="190">
                  <c:v>703.70508511046955</c:v>
                </c:pt>
                <c:pt idx="191">
                  <c:v>703.70508511046955</c:v>
                </c:pt>
                <c:pt idx="192">
                  <c:v>703.70508511046955</c:v>
                </c:pt>
                <c:pt idx="193">
                  <c:v>703.70508511046955</c:v>
                </c:pt>
                <c:pt idx="194">
                  <c:v>703.70508511046955</c:v>
                </c:pt>
                <c:pt idx="195">
                  <c:v>703.70508511046955</c:v>
                </c:pt>
                <c:pt idx="196">
                  <c:v>703.70508511046955</c:v>
                </c:pt>
                <c:pt idx="197">
                  <c:v>703.70508511046955</c:v>
                </c:pt>
                <c:pt idx="198">
                  <c:v>703.70508511046955</c:v>
                </c:pt>
                <c:pt idx="199">
                  <c:v>703.70508511046955</c:v>
                </c:pt>
                <c:pt idx="200">
                  <c:v>703.70508511046955</c:v>
                </c:pt>
                <c:pt idx="201">
                  <c:v>703.70508511046955</c:v>
                </c:pt>
                <c:pt idx="202">
                  <c:v>703.70508511046955</c:v>
                </c:pt>
                <c:pt idx="203">
                  <c:v>703.70508511046955</c:v>
                </c:pt>
                <c:pt idx="204">
                  <c:v>703.70508511046955</c:v>
                </c:pt>
                <c:pt idx="205">
                  <c:v>703.70508511046955</c:v>
                </c:pt>
                <c:pt idx="206">
                  <c:v>703.70508511046955</c:v>
                </c:pt>
                <c:pt idx="207">
                  <c:v>703.70508511046955</c:v>
                </c:pt>
                <c:pt idx="208">
                  <c:v>703.70508511046955</c:v>
                </c:pt>
                <c:pt idx="209">
                  <c:v>703.70508511046955</c:v>
                </c:pt>
                <c:pt idx="210">
                  <c:v>703.70508511046955</c:v>
                </c:pt>
                <c:pt idx="211">
                  <c:v>703.70508511046955</c:v>
                </c:pt>
                <c:pt idx="212">
                  <c:v>703.70508511046955</c:v>
                </c:pt>
                <c:pt idx="213">
                  <c:v>703.70508511046955</c:v>
                </c:pt>
                <c:pt idx="214">
                  <c:v>703.70508511046955</c:v>
                </c:pt>
                <c:pt idx="215">
                  <c:v>703.70508511046955</c:v>
                </c:pt>
                <c:pt idx="216">
                  <c:v>703.70508511046955</c:v>
                </c:pt>
                <c:pt idx="217">
                  <c:v>703.70508511046955</c:v>
                </c:pt>
                <c:pt idx="218">
                  <c:v>703.70508511046955</c:v>
                </c:pt>
                <c:pt idx="219">
                  <c:v>703.70508511046955</c:v>
                </c:pt>
                <c:pt idx="220">
                  <c:v>703.70508511046955</c:v>
                </c:pt>
                <c:pt idx="221">
                  <c:v>703.70508511046955</c:v>
                </c:pt>
                <c:pt idx="222">
                  <c:v>703.70508511046955</c:v>
                </c:pt>
                <c:pt idx="223">
                  <c:v>703.70508511046955</c:v>
                </c:pt>
                <c:pt idx="224">
                  <c:v>703.70508511046955</c:v>
                </c:pt>
                <c:pt idx="225">
                  <c:v>703.70508511046955</c:v>
                </c:pt>
                <c:pt idx="226">
                  <c:v>703.70508511046955</c:v>
                </c:pt>
                <c:pt idx="227">
                  <c:v>703.70508511046955</c:v>
                </c:pt>
                <c:pt idx="228">
                  <c:v>703.70508511046955</c:v>
                </c:pt>
                <c:pt idx="229">
                  <c:v>703.70508511046955</c:v>
                </c:pt>
                <c:pt idx="230">
                  <c:v>703.70508511046955</c:v>
                </c:pt>
                <c:pt idx="231">
                  <c:v>703.70508511046955</c:v>
                </c:pt>
                <c:pt idx="232">
                  <c:v>703.70508511046955</c:v>
                </c:pt>
                <c:pt idx="233">
                  <c:v>703.70508511046955</c:v>
                </c:pt>
                <c:pt idx="234">
                  <c:v>703.70508511046955</c:v>
                </c:pt>
                <c:pt idx="235">
                  <c:v>703.70508511046955</c:v>
                </c:pt>
                <c:pt idx="236">
                  <c:v>703.70508511046955</c:v>
                </c:pt>
                <c:pt idx="237">
                  <c:v>703.70508511046955</c:v>
                </c:pt>
                <c:pt idx="238">
                  <c:v>703.70508511046955</c:v>
                </c:pt>
                <c:pt idx="239">
                  <c:v>703.70508511046955</c:v>
                </c:pt>
                <c:pt idx="240">
                  <c:v>703.70508511046955</c:v>
                </c:pt>
                <c:pt idx="241">
                  <c:v>703.70508511046955</c:v>
                </c:pt>
                <c:pt idx="242">
                  <c:v>703.70508511046955</c:v>
                </c:pt>
                <c:pt idx="243">
                  <c:v>703.70508511046955</c:v>
                </c:pt>
                <c:pt idx="244">
                  <c:v>703.70508511046955</c:v>
                </c:pt>
                <c:pt idx="245">
                  <c:v>703.70508511046955</c:v>
                </c:pt>
                <c:pt idx="246">
                  <c:v>703.70508511046955</c:v>
                </c:pt>
                <c:pt idx="247">
                  <c:v>703.70508511046955</c:v>
                </c:pt>
                <c:pt idx="248">
                  <c:v>703.70508511046955</c:v>
                </c:pt>
                <c:pt idx="249">
                  <c:v>703.70508511046955</c:v>
                </c:pt>
                <c:pt idx="250">
                  <c:v>703.70508511046955</c:v>
                </c:pt>
                <c:pt idx="251">
                  <c:v>703.70508511046955</c:v>
                </c:pt>
                <c:pt idx="252">
                  <c:v>703.70508511046955</c:v>
                </c:pt>
                <c:pt idx="253">
                  <c:v>703.70508511046955</c:v>
                </c:pt>
                <c:pt idx="254">
                  <c:v>703.70508511046955</c:v>
                </c:pt>
                <c:pt idx="255">
                  <c:v>703.70508511046955</c:v>
                </c:pt>
                <c:pt idx="256">
                  <c:v>703.70508511046955</c:v>
                </c:pt>
                <c:pt idx="257">
                  <c:v>703.70508511046955</c:v>
                </c:pt>
                <c:pt idx="258">
                  <c:v>703.70508511046955</c:v>
                </c:pt>
                <c:pt idx="259">
                  <c:v>703.70508511046955</c:v>
                </c:pt>
                <c:pt idx="260">
                  <c:v>703.70508511046955</c:v>
                </c:pt>
                <c:pt idx="261">
                  <c:v>703.70508511046955</c:v>
                </c:pt>
                <c:pt idx="262">
                  <c:v>703.70508511046955</c:v>
                </c:pt>
                <c:pt idx="263">
                  <c:v>703.70508511046955</c:v>
                </c:pt>
                <c:pt idx="264">
                  <c:v>703.70508511046955</c:v>
                </c:pt>
                <c:pt idx="265">
                  <c:v>703.70508511046955</c:v>
                </c:pt>
                <c:pt idx="266">
                  <c:v>703.70508511046955</c:v>
                </c:pt>
                <c:pt idx="267">
                  <c:v>703.70508511046955</c:v>
                </c:pt>
                <c:pt idx="268">
                  <c:v>703.70508511046955</c:v>
                </c:pt>
                <c:pt idx="269">
                  <c:v>703.70508511046955</c:v>
                </c:pt>
                <c:pt idx="270">
                  <c:v>703.70508511046955</c:v>
                </c:pt>
                <c:pt idx="271">
                  <c:v>703.70508511046955</c:v>
                </c:pt>
                <c:pt idx="272">
                  <c:v>703.70508511046955</c:v>
                </c:pt>
                <c:pt idx="273">
                  <c:v>703.70508511046955</c:v>
                </c:pt>
                <c:pt idx="274">
                  <c:v>703.70508511046955</c:v>
                </c:pt>
                <c:pt idx="275">
                  <c:v>703.70508511046955</c:v>
                </c:pt>
                <c:pt idx="276">
                  <c:v>703.70508511046955</c:v>
                </c:pt>
                <c:pt idx="277">
                  <c:v>703.70508511046955</c:v>
                </c:pt>
                <c:pt idx="278">
                  <c:v>703.70508511046955</c:v>
                </c:pt>
                <c:pt idx="279">
                  <c:v>703.70508511046955</c:v>
                </c:pt>
                <c:pt idx="280">
                  <c:v>703.70508511046955</c:v>
                </c:pt>
                <c:pt idx="281">
                  <c:v>703.70508511046955</c:v>
                </c:pt>
                <c:pt idx="282">
                  <c:v>703.70508511046955</c:v>
                </c:pt>
                <c:pt idx="283">
                  <c:v>703.70508511046955</c:v>
                </c:pt>
                <c:pt idx="284">
                  <c:v>703.70508511046955</c:v>
                </c:pt>
                <c:pt idx="285">
                  <c:v>703.70508511046955</c:v>
                </c:pt>
                <c:pt idx="286">
                  <c:v>703.70508511046955</c:v>
                </c:pt>
                <c:pt idx="287">
                  <c:v>703.70508511046955</c:v>
                </c:pt>
                <c:pt idx="288">
                  <c:v>703.70508511046955</c:v>
                </c:pt>
                <c:pt idx="289">
                  <c:v>703.70508511046955</c:v>
                </c:pt>
                <c:pt idx="290">
                  <c:v>703.70508511046955</c:v>
                </c:pt>
                <c:pt idx="291">
                  <c:v>703.70508511046955</c:v>
                </c:pt>
                <c:pt idx="292">
                  <c:v>703.70508511046955</c:v>
                </c:pt>
                <c:pt idx="293">
                  <c:v>703.70508511046955</c:v>
                </c:pt>
                <c:pt idx="294">
                  <c:v>703.70508511046955</c:v>
                </c:pt>
                <c:pt idx="295">
                  <c:v>703.70508511046955</c:v>
                </c:pt>
                <c:pt idx="296">
                  <c:v>703.70508511046955</c:v>
                </c:pt>
                <c:pt idx="297">
                  <c:v>703.70508511046955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17-49CC-B4CD-19A94632ED9E}"/>
            </c:ext>
          </c:extLst>
        </c:ser>
        <c:ser>
          <c:idx val="2"/>
          <c:order val="2"/>
          <c:tx>
            <c:strRef>
              <c:f>HYBOX2_Thickness_SPC!$G$10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HYBOX2_Thickness_SPC!$G$11:$G$308</c:f>
              <c:numCache>
                <c:formatCode>General</c:formatCode>
                <c:ptCount val="298"/>
                <c:pt idx="0">
                  <c:v>701.16808389261723</c:v>
                </c:pt>
                <c:pt idx="1">
                  <c:v>701.16808389261723</c:v>
                </c:pt>
                <c:pt idx="2">
                  <c:v>701.16808389261723</c:v>
                </c:pt>
                <c:pt idx="3">
                  <c:v>701.16808389261723</c:v>
                </c:pt>
                <c:pt idx="4">
                  <c:v>701.16808389261723</c:v>
                </c:pt>
                <c:pt idx="5">
                  <c:v>701.16808389261723</c:v>
                </c:pt>
                <c:pt idx="6">
                  <c:v>701.16808389261723</c:v>
                </c:pt>
                <c:pt idx="7">
                  <c:v>701.16808389261723</c:v>
                </c:pt>
                <c:pt idx="8">
                  <c:v>701.16808389261723</c:v>
                </c:pt>
                <c:pt idx="9">
                  <c:v>701.16808389261723</c:v>
                </c:pt>
                <c:pt idx="10">
                  <c:v>701.16808389261723</c:v>
                </c:pt>
                <c:pt idx="11">
                  <c:v>701.16808389261723</c:v>
                </c:pt>
                <c:pt idx="12">
                  <c:v>701.16808389261723</c:v>
                </c:pt>
                <c:pt idx="13">
                  <c:v>701.16808389261723</c:v>
                </c:pt>
                <c:pt idx="14">
                  <c:v>701.16808389261723</c:v>
                </c:pt>
                <c:pt idx="15">
                  <c:v>701.16808389261723</c:v>
                </c:pt>
                <c:pt idx="16">
                  <c:v>701.16808389261723</c:v>
                </c:pt>
                <c:pt idx="17">
                  <c:v>701.16808389261723</c:v>
                </c:pt>
                <c:pt idx="18">
                  <c:v>701.16808389261723</c:v>
                </c:pt>
                <c:pt idx="19">
                  <c:v>701.16808389261723</c:v>
                </c:pt>
                <c:pt idx="20">
                  <c:v>701.16808389261723</c:v>
                </c:pt>
                <c:pt idx="21">
                  <c:v>701.16808389261723</c:v>
                </c:pt>
                <c:pt idx="22">
                  <c:v>701.16808389261723</c:v>
                </c:pt>
                <c:pt idx="23">
                  <c:v>701.16808389261723</c:v>
                </c:pt>
                <c:pt idx="24">
                  <c:v>701.16808389261723</c:v>
                </c:pt>
                <c:pt idx="25">
                  <c:v>701.16808389261723</c:v>
                </c:pt>
                <c:pt idx="26">
                  <c:v>701.16808389261723</c:v>
                </c:pt>
                <c:pt idx="27">
                  <c:v>701.16808389261723</c:v>
                </c:pt>
                <c:pt idx="28">
                  <c:v>701.16808389261723</c:v>
                </c:pt>
                <c:pt idx="29">
                  <c:v>701.16808389261723</c:v>
                </c:pt>
                <c:pt idx="30">
                  <c:v>701.16808389261723</c:v>
                </c:pt>
                <c:pt idx="31">
                  <c:v>701.16808389261723</c:v>
                </c:pt>
                <c:pt idx="32">
                  <c:v>701.16808389261723</c:v>
                </c:pt>
                <c:pt idx="33">
                  <c:v>701.16808389261723</c:v>
                </c:pt>
                <c:pt idx="34">
                  <c:v>701.16808389261723</c:v>
                </c:pt>
                <c:pt idx="35">
                  <c:v>701.16808389261723</c:v>
                </c:pt>
                <c:pt idx="36">
                  <c:v>701.16808389261723</c:v>
                </c:pt>
                <c:pt idx="37">
                  <c:v>701.16808389261723</c:v>
                </c:pt>
                <c:pt idx="38">
                  <c:v>701.16808389261723</c:v>
                </c:pt>
                <c:pt idx="39">
                  <c:v>701.16808389261723</c:v>
                </c:pt>
                <c:pt idx="40">
                  <c:v>701.16808389261723</c:v>
                </c:pt>
                <c:pt idx="41">
                  <c:v>701.16808389261723</c:v>
                </c:pt>
                <c:pt idx="42">
                  <c:v>701.16808389261723</c:v>
                </c:pt>
                <c:pt idx="43">
                  <c:v>701.16808389261723</c:v>
                </c:pt>
                <c:pt idx="44">
                  <c:v>701.16808389261723</c:v>
                </c:pt>
                <c:pt idx="45">
                  <c:v>701.16808389261723</c:v>
                </c:pt>
                <c:pt idx="46">
                  <c:v>701.16808389261723</c:v>
                </c:pt>
                <c:pt idx="47">
                  <c:v>701.16808389261723</c:v>
                </c:pt>
                <c:pt idx="48">
                  <c:v>701.16808389261723</c:v>
                </c:pt>
                <c:pt idx="49">
                  <c:v>701.16808389261723</c:v>
                </c:pt>
                <c:pt idx="50">
                  <c:v>701.16808389261723</c:v>
                </c:pt>
                <c:pt idx="51">
                  <c:v>701.16808389261723</c:v>
                </c:pt>
                <c:pt idx="52">
                  <c:v>701.16808389261723</c:v>
                </c:pt>
                <c:pt idx="53">
                  <c:v>701.16808389261723</c:v>
                </c:pt>
                <c:pt idx="54">
                  <c:v>701.16808389261723</c:v>
                </c:pt>
                <c:pt idx="55">
                  <c:v>701.16808389261723</c:v>
                </c:pt>
                <c:pt idx="56">
                  <c:v>701.16808389261723</c:v>
                </c:pt>
                <c:pt idx="57">
                  <c:v>701.16808389261723</c:v>
                </c:pt>
                <c:pt idx="58">
                  <c:v>701.16808389261723</c:v>
                </c:pt>
                <c:pt idx="59">
                  <c:v>701.16808389261723</c:v>
                </c:pt>
                <c:pt idx="60">
                  <c:v>701.16808389261723</c:v>
                </c:pt>
                <c:pt idx="61">
                  <c:v>701.16808389261723</c:v>
                </c:pt>
                <c:pt idx="62">
                  <c:v>701.16808389261723</c:v>
                </c:pt>
                <c:pt idx="63">
                  <c:v>701.16808389261723</c:v>
                </c:pt>
                <c:pt idx="64">
                  <c:v>701.16808389261723</c:v>
                </c:pt>
                <c:pt idx="65">
                  <c:v>701.16808389261723</c:v>
                </c:pt>
                <c:pt idx="66">
                  <c:v>701.16808389261723</c:v>
                </c:pt>
                <c:pt idx="67">
                  <c:v>701.16808389261723</c:v>
                </c:pt>
                <c:pt idx="68">
                  <c:v>701.16808389261723</c:v>
                </c:pt>
                <c:pt idx="69">
                  <c:v>701.16808389261723</c:v>
                </c:pt>
                <c:pt idx="70">
                  <c:v>701.16808389261723</c:v>
                </c:pt>
                <c:pt idx="71">
                  <c:v>701.16808389261723</c:v>
                </c:pt>
                <c:pt idx="72">
                  <c:v>701.16808389261723</c:v>
                </c:pt>
                <c:pt idx="73">
                  <c:v>701.16808389261723</c:v>
                </c:pt>
                <c:pt idx="74">
                  <c:v>701.16808389261723</c:v>
                </c:pt>
                <c:pt idx="75">
                  <c:v>701.16808389261723</c:v>
                </c:pt>
                <c:pt idx="76">
                  <c:v>701.16808389261723</c:v>
                </c:pt>
                <c:pt idx="77">
                  <c:v>701.16808389261723</c:v>
                </c:pt>
                <c:pt idx="78">
                  <c:v>701.16808389261723</c:v>
                </c:pt>
                <c:pt idx="79">
                  <c:v>701.16808389261723</c:v>
                </c:pt>
                <c:pt idx="80">
                  <c:v>701.16808389261723</c:v>
                </c:pt>
                <c:pt idx="81">
                  <c:v>701.16808389261723</c:v>
                </c:pt>
                <c:pt idx="82">
                  <c:v>701.16808389261723</c:v>
                </c:pt>
                <c:pt idx="83">
                  <c:v>701.16808389261723</c:v>
                </c:pt>
                <c:pt idx="84">
                  <c:v>701.16808389261723</c:v>
                </c:pt>
                <c:pt idx="85">
                  <c:v>701.16808389261723</c:v>
                </c:pt>
                <c:pt idx="86">
                  <c:v>701.16808389261723</c:v>
                </c:pt>
                <c:pt idx="87">
                  <c:v>701.16808389261723</c:v>
                </c:pt>
                <c:pt idx="88">
                  <c:v>701.16808389261723</c:v>
                </c:pt>
                <c:pt idx="89">
                  <c:v>701.16808389261723</c:v>
                </c:pt>
                <c:pt idx="90">
                  <c:v>701.16808389261723</c:v>
                </c:pt>
                <c:pt idx="91">
                  <c:v>701.16808389261723</c:v>
                </c:pt>
                <c:pt idx="92">
                  <c:v>701.16808389261723</c:v>
                </c:pt>
                <c:pt idx="93">
                  <c:v>701.16808389261723</c:v>
                </c:pt>
                <c:pt idx="94">
                  <c:v>701.16808389261723</c:v>
                </c:pt>
                <c:pt idx="95">
                  <c:v>701.16808389261723</c:v>
                </c:pt>
                <c:pt idx="96">
                  <c:v>701.16808389261723</c:v>
                </c:pt>
                <c:pt idx="97">
                  <c:v>701.16808389261723</c:v>
                </c:pt>
                <c:pt idx="98">
                  <c:v>701.16808389261723</c:v>
                </c:pt>
                <c:pt idx="99">
                  <c:v>701.16808389261723</c:v>
                </c:pt>
                <c:pt idx="100">
                  <c:v>701.16808389261723</c:v>
                </c:pt>
                <c:pt idx="101">
                  <c:v>701.16808389261723</c:v>
                </c:pt>
                <c:pt idx="102">
                  <c:v>701.16808389261723</c:v>
                </c:pt>
                <c:pt idx="103">
                  <c:v>701.16808389261723</c:v>
                </c:pt>
                <c:pt idx="104">
                  <c:v>701.16808389261723</c:v>
                </c:pt>
                <c:pt idx="105">
                  <c:v>701.16808389261723</c:v>
                </c:pt>
                <c:pt idx="106">
                  <c:v>701.16808389261723</c:v>
                </c:pt>
                <c:pt idx="107">
                  <c:v>701.16808389261723</c:v>
                </c:pt>
                <c:pt idx="108">
                  <c:v>701.16808389261723</c:v>
                </c:pt>
                <c:pt idx="109">
                  <c:v>701.16808389261723</c:v>
                </c:pt>
                <c:pt idx="110">
                  <c:v>701.16808389261723</c:v>
                </c:pt>
                <c:pt idx="111">
                  <c:v>701.16808389261723</c:v>
                </c:pt>
                <c:pt idx="112">
                  <c:v>701.16808389261723</c:v>
                </c:pt>
                <c:pt idx="113">
                  <c:v>701.16808389261723</c:v>
                </c:pt>
                <c:pt idx="114">
                  <c:v>701.16808389261723</c:v>
                </c:pt>
                <c:pt idx="115">
                  <c:v>701.16808389261723</c:v>
                </c:pt>
                <c:pt idx="116">
                  <c:v>701.16808389261723</c:v>
                </c:pt>
                <c:pt idx="117">
                  <c:v>701.16808389261723</c:v>
                </c:pt>
                <c:pt idx="118">
                  <c:v>701.16808389261723</c:v>
                </c:pt>
                <c:pt idx="119">
                  <c:v>701.16808389261723</c:v>
                </c:pt>
                <c:pt idx="120">
                  <c:v>701.16808389261723</c:v>
                </c:pt>
                <c:pt idx="121">
                  <c:v>701.16808389261723</c:v>
                </c:pt>
                <c:pt idx="122">
                  <c:v>701.16808389261723</c:v>
                </c:pt>
                <c:pt idx="123">
                  <c:v>701.16808389261723</c:v>
                </c:pt>
                <c:pt idx="124">
                  <c:v>701.16808389261723</c:v>
                </c:pt>
                <c:pt idx="125">
                  <c:v>701.16808389261723</c:v>
                </c:pt>
                <c:pt idx="126">
                  <c:v>701.16808389261723</c:v>
                </c:pt>
                <c:pt idx="127">
                  <c:v>701.16808389261723</c:v>
                </c:pt>
                <c:pt idx="128">
                  <c:v>701.16808389261723</c:v>
                </c:pt>
                <c:pt idx="129">
                  <c:v>701.16808389261723</c:v>
                </c:pt>
                <c:pt idx="130">
                  <c:v>701.16808389261723</c:v>
                </c:pt>
                <c:pt idx="131">
                  <c:v>701.16808389261723</c:v>
                </c:pt>
                <c:pt idx="132">
                  <c:v>701.16808389261723</c:v>
                </c:pt>
                <c:pt idx="133">
                  <c:v>701.16808389261723</c:v>
                </c:pt>
                <c:pt idx="134">
                  <c:v>701.16808389261723</c:v>
                </c:pt>
                <c:pt idx="135">
                  <c:v>701.16808389261723</c:v>
                </c:pt>
                <c:pt idx="136">
                  <c:v>701.16808389261723</c:v>
                </c:pt>
                <c:pt idx="137">
                  <c:v>701.16808389261723</c:v>
                </c:pt>
                <c:pt idx="138">
                  <c:v>701.16808389261723</c:v>
                </c:pt>
                <c:pt idx="139">
                  <c:v>701.16808389261723</c:v>
                </c:pt>
                <c:pt idx="140">
                  <c:v>701.16808389261723</c:v>
                </c:pt>
                <c:pt idx="141">
                  <c:v>701.16808389261723</c:v>
                </c:pt>
                <c:pt idx="142">
                  <c:v>701.16808389261723</c:v>
                </c:pt>
                <c:pt idx="143">
                  <c:v>701.16808389261723</c:v>
                </c:pt>
                <c:pt idx="144">
                  <c:v>701.16808389261723</c:v>
                </c:pt>
                <c:pt idx="145">
                  <c:v>701.16808389261723</c:v>
                </c:pt>
                <c:pt idx="146">
                  <c:v>701.16808389261723</c:v>
                </c:pt>
                <c:pt idx="147">
                  <c:v>701.16808389261723</c:v>
                </c:pt>
                <c:pt idx="148">
                  <c:v>701.16808389261723</c:v>
                </c:pt>
                <c:pt idx="149">
                  <c:v>701.16808389261723</c:v>
                </c:pt>
                <c:pt idx="150">
                  <c:v>701.16808389261723</c:v>
                </c:pt>
                <c:pt idx="151">
                  <c:v>701.16808389261723</c:v>
                </c:pt>
                <c:pt idx="152">
                  <c:v>701.16808389261723</c:v>
                </c:pt>
                <c:pt idx="153">
                  <c:v>701.16808389261723</c:v>
                </c:pt>
                <c:pt idx="154">
                  <c:v>701.16808389261723</c:v>
                </c:pt>
                <c:pt idx="155">
                  <c:v>701.16808389261723</c:v>
                </c:pt>
                <c:pt idx="156">
                  <c:v>701.16808389261723</c:v>
                </c:pt>
                <c:pt idx="157">
                  <c:v>701.16808389261723</c:v>
                </c:pt>
                <c:pt idx="158">
                  <c:v>701.16808389261723</c:v>
                </c:pt>
                <c:pt idx="159">
                  <c:v>701.16808389261723</c:v>
                </c:pt>
                <c:pt idx="160">
                  <c:v>701.16808389261723</c:v>
                </c:pt>
                <c:pt idx="161">
                  <c:v>701.16808389261723</c:v>
                </c:pt>
                <c:pt idx="162">
                  <c:v>701.16808389261723</c:v>
                </c:pt>
                <c:pt idx="163">
                  <c:v>701.16808389261723</c:v>
                </c:pt>
                <c:pt idx="164">
                  <c:v>701.16808389261723</c:v>
                </c:pt>
                <c:pt idx="165">
                  <c:v>701.16808389261723</c:v>
                </c:pt>
                <c:pt idx="166">
                  <c:v>701.16808389261723</c:v>
                </c:pt>
                <c:pt idx="167">
                  <c:v>701.16808389261723</c:v>
                </c:pt>
                <c:pt idx="168">
                  <c:v>701.16808389261723</c:v>
                </c:pt>
                <c:pt idx="169">
                  <c:v>701.16808389261723</c:v>
                </c:pt>
                <c:pt idx="170">
                  <c:v>701.16808389261723</c:v>
                </c:pt>
                <c:pt idx="171">
                  <c:v>701.16808389261723</c:v>
                </c:pt>
                <c:pt idx="172">
                  <c:v>701.16808389261723</c:v>
                </c:pt>
                <c:pt idx="173">
                  <c:v>701.16808389261723</c:v>
                </c:pt>
                <c:pt idx="174">
                  <c:v>701.16808389261723</c:v>
                </c:pt>
                <c:pt idx="175">
                  <c:v>701.16808389261723</c:v>
                </c:pt>
                <c:pt idx="176">
                  <c:v>701.16808389261723</c:v>
                </c:pt>
                <c:pt idx="177">
                  <c:v>701.16808389261723</c:v>
                </c:pt>
                <c:pt idx="178">
                  <c:v>701.16808389261723</c:v>
                </c:pt>
                <c:pt idx="179">
                  <c:v>701.16808389261723</c:v>
                </c:pt>
                <c:pt idx="180">
                  <c:v>701.16808389261723</c:v>
                </c:pt>
                <c:pt idx="181">
                  <c:v>701.16808389261723</c:v>
                </c:pt>
                <c:pt idx="182">
                  <c:v>701.16808389261723</c:v>
                </c:pt>
                <c:pt idx="183">
                  <c:v>701.16808389261723</c:v>
                </c:pt>
                <c:pt idx="184">
                  <c:v>701.16808389261723</c:v>
                </c:pt>
                <c:pt idx="185">
                  <c:v>701.16808389261723</c:v>
                </c:pt>
                <c:pt idx="186">
                  <c:v>701.16808389261723</c:v>
                </c:pt>
                <c:pt idx="187">
                  <c:v>701.16808389261723</c:v>
                </c:pt>
                <c:pt idx="188">
                  <c:v>701.16808389261723</c:v>
                </c:pt>
                <c:pt idx="189">
                  <c:v>701.16808389261723</c:v>
                </c:pt>
                <c:pt idx="190">
                  <c:v>701.16808389261723</c:v>
                </c:pt>
                <c:pt idx="191">
                  <c:v>701.16808389261723</c:v>
                </c:pt>
                <c:pt idx="192">
                  <c:v>701.16808389261723</c:v>
                </c:pt>
                <c:pt idx="193">
                  <c:v>701.16808389261723</c:v>
                </c:pt>
                <c:pt idx="194">
                  <c:v>701.16808389261723</c:v>
                </c:pt>
                <c:pt idx="195">
                  <c:v>701.16808389261723</c:v>
                </c:pt>
                <c:pt idx="196">
                  <c:v>701.16808389261723</c:v>
                </c:pt>
                <c:pt idx="197">
                  <c:v>701.16808389261723</c:v>
                </c:pt>
                <c:pt idx="198">
                  <c:v>701.16808389261723</c:v>
                </c:pt>
                <c:pt idx="199">
                  <c:v>701.16808389261723</c:v>
                </c:pt>
                <c:pt idx="200">
                  <c:v>701.16808389261723</c:v>
                </c:pt>
                <c:pt idx="201">
                  <c:v>701.16808389261723</c:v>
                </c:pt>
                <c:pt idx="202">
                  <c:v>701.16808389261723</c:v>
                </c:pt>
                <c:pt idx="203">
                  <c:v>701.16808389261723</c:v>
                </c:pt>
                <c:pt idx="204">
                  <c:v>701.16808389261723</c:v>
                </c:pt>
                <c:pt idx="205">
                  <c:v>701.16808389261723</c:v>
                </c:pt>
                <c:pt idx="206">
                  <c:v>701.16808389261723</c:v>
                </c:pt>
                <c:pt idx="207">
                  <c:v>701.16808389261723</c:v>
                </c:pt>
                <c:pt idx="208">
                  <c:v>701.16808389261723</c:v>
                </c:pt>
                <c:pt idx="209">
                  <c:v>701.16808389261723</c:v>
                </c:pt>
                <c:pt idx="210">
                  <c:v>701.16808389261723</c:v>
                </c:pt>
                <c:pt idx="211">
                  <c:v>701.16808389261723</c:v>
                </c:pt>
                <c:pt idx="212">
                  <c:v>701.16808389261723</c:v>
                </c:pt>
                <c:pt idx="213">
                  <c:v>701.16808389261723</c:v>
                </c:pt>
                <c:pt idx="214">
                  <c:v>701.16808389261723</c:v>
                </c:pt>
                <c:pt idx="215">
                  <c:v>701.16808389261723</c:v>
                </c:pt>
                <c:pt idx="216">
                  <c:v>701.16808389261723</c:v>
                </c:pt>
                <c:pt idx="217">
                  <c:v>701.16808389261723</c:v>
                </c:pt>
                <c:pt idx="218">
                  <c:v>701.16808389261723</c:v>
                </c:pt>
                <c:pt idx="219">
                  <c:v>701.16808389261723</c:v>
                </c:pt>
                <c:pt idx="220">
                  <c:v>701.16808389261723</c:v>
                </c:pt>
                <c:pt idx="221">
                  <c:v>701.16808389261723</c:v>
                </c:pt>
                <c:pt idx="222">
                  <c:v>701.16808389261723</c:v>
                </c:pt>
                <c:pt idx="223">
                  <c:v>701.16808389261723</c:v>
                </c:pt>
                <c:pt idx="224">
                  <c:v>701.16808389261723</c:v>
                </c:pt>
                <c:pt idx="225">
                  <c:v>701.16808389261723</c:v>
                </c:pt>
                <c:pt idx="226">
                  <c:v>701.16808389261723</c:v>
                </c:pt>
                <c:pt idx="227">
                  <c:v>701.16808389261723</c:v>
                </c:pt>
                <c:pt idx="228">
                  <c:v>701.16808389261723</c:v>
                </c:pt>
                <c:pt idx="229">
                  <c:v>701.16808389261723</c:v>
                </c:pt>
                <c:pt idx="230">
                  <c:v>701.16808389261723</c:v>
                </c:pt>
                <c:pt idx="231">
                  <c:v>701.16808389261723</c:v>
                </c:pt>
                <c:pt idx="232">
                  <c:v>701.16808389261723</c:v>
                </c:pt>
                <c:pt idx="233">
                  <c:v>701.16808389261723</c:v>
                </c:pt>
                <c:pt idx="234">
                  <c:v>701.16808389261723</c:v>
                </c:pt>
                <c:pt idx="235">
                  <c:v>701.16808389261723</c:v>
                </c:pt>
                <c:pt idx="236">
                  <c:v>701.16808389261723</c:v>
                </c:pt>
                <c:pt idx="237">
                  <c:v>701.16808389261723</c:v>
                </c:pt>
                <c:pt idx="238">
                  <c:v>701.16808389261723</c:v>
                </c:pt>
                <c:pt idx="239">
                  <c:v>701.16808389261723</c:v>
                </c:pt>
                <c:pt idx="240">
                  <c:v>701.16808389261723</c:v>
                </c:pt>
                <c:pt idx="241">
                  <c:v>701.16808389261723</c:v>
                </c:pt>
                <c:pt idx="242">
                  <c:v>701.16808389261723</c:v>
                </c:pt>
                <c:pt idx="243">
                  <c:v>701.16808389261723</c:v>
                </c:pt>
                <c:pt idx="244">
                  <c:v>701.16808389261723</c:v>
                </c:pt>
                <c:pt idx="245">
                  <c:v>701.16808389261723</c:v>
                </c:pt>
                <c:pt idx="246">
                  <c:v>701.16808389261723</c:v>
                </c:pt>
                <c:pt idx="247">
                  <c:v>701.16808389261723</c:v>
                </c:pt>
                <c:pt idx="248">
                  <c:v>701.16808389261723</c:v>
                </c:pt>
                <c:pt idx="249">
                  <c:v>701.16808389261723</c:v>
                </c:pt>
                <c:pt idx="250">
                  <c:v>701.16808389261723</c:v>
                </c:pt>
                <c:pt idx="251">
                  <c:v>701.16808389261723</c:v>
                </c:pt>
                <c:pt idx="252">
                  <c:v>701.16808389261723</c:v>
                </c:pt>
                <c:pt idx="253">
                  <c:v>701.16808389261723</c:v>
                </c:pt>
                <c:pt idx="254">
                  <c:v>701.16808389261723</c:v>
                </c:pt>
                <c:pt idx="255">
                  <c:v>701.16808389261723</c:v>
                </c:pt>
                <c:pt idx="256">
                  <c:v>701.16808389261723</c:v>
                </c:pt>
                <c:pt idx="257">
                  <c:v>701.16808389261723</c:v>
                </c:pt>
                <c:pt idx="258">
                  <c:v>701.16808389261723</c:v>
                </c:pt>
                <c:pt idx="259">
                  <c:v>701.16808389261723</c:v>
                </c:pt>
                <c:pt idx="260">
                  <c:v>701.16808389261723</c:v>
                </c:pt>
                <c:pt idx="261">
                  <c:v>701.16808389261723</c:v>
                </c:pt>
                <c:pt idx="262">
                  <c:v>701.16808389261723</c:v>
                </c:pt>
                <c:pt idx="263">
                  <c:v>701.16808389261723</c:v>
                </c:pt>
                <c:pt idx="264">
                  <c:v>701.16808389261723</c:v>
                </c:pt>
                <c:pt idx="265">
                  <c:v>701.16808389261723</c:v>
                </c:pt>
                <c:pt idx="266">
                  <c:v>701.16808389261723</c:v>
                </c:pt>
                <c:pt idx="267">
                  <c:v>701.16808389261723</c:v>
                </c:pt>
                <c:pt idx="268">
                  <c:v>701.16808389261723</c:v>
                </c:pt>
                <c:pt idx="269">
                  <c:v>701.16808389261723</c:v>
                </c:pt>
                <c:pt idx="270">
                  <c:v>701.16808389261723</c:v>
                </c:pt>
                <c:pt idx="271">
                  <c:v>701.16808389261723</c:v>
                </c:pt>
                <c:pt idx="272">
                  <c:v>701.16808389261723</c:v>
                </c:pt>
                <c:pt idx="273">
                  <c:v>701.16808389261723</c:v>
                </c:pt>
                <c:pt idx="274">
                  <c:v>701.16808389261723</c:v>
                </c:pt>
                <c:pt idx="275">
                  <c:v>701.16808389261723</c:v>
                </c:pt>
                <c:pt idx="276">
                  <c:v>701.16808389261723</c:v>
                </c:pt>
                <c:pt idx="277">
                  <c:v>701.16808389261723</c:v>
                </c:pt>
                <c:pt idx="278">
                  <c:v>701.16808389261723</c:v>
                </c:pt>
                <c:pt idx="279">
                  <c:v>701.16808389261723</c:v>
                </c:pt>
                <c:pt idx="280">
                  <c:v>701.16808389261723</c:v>
                </c:pt>
                <c:pt idx="281">
                  <c:v>701.16808389261723</c:v>
                </c:pt>
                <c:pt idx="282">
                  <c:v>701.16808389261723</c:v>
                </c:pt>
                <c:pt idx="283">
                  <c:v>701.16808389261723</c:v>
                </c:pt>
                <c:pt idx="284">
                  <c:v>701.16808389261723</c:v>
                </c:pt>
                <c:pt idx="285">
                  <c:v>701.16808389261723</c:v>
                </c:pt>
                <c:pt idx="286">
                  <c:v>701.16808389261723</c:v>
                </c:pt>
                <c:pt idx="287">
                  <c:v>701.16808389261723</c:v>
                </c:pt>
                <c:pt idx="288">
                  <c:v>701.16808389261723</c:v>
                </c:pt>
                <c:pt idx="289">
                  <c:v>701.16808389261723</c:v>
                </c:pt>
                <c:pt idx="290">
                  <c:v>701.16808389261723</c:v>
                </c:pt>
                <c:pt idx="291">
                  <c:v>701.16808389261723</c:v>
                </c:pt>
                <c:pt idx="292">
                  <c:v>701.16808389261723</c:v>
                </c:pt>
                <c:pt idx="293">
                  <c:v>701.16808389261723</c:v>
                </c:pt>
                <c:pt idx="294">
                  <c:v>701.16808389261723</c:v>
                </c:pt>
                <c:pt idx="295">
                  <c:v>701.16808389261723</c:v>
                </c:pt>
                <c:pt idx="296">
                  <c:v>701.16808389261723</c:v>
                </c:pt>
                <c:pt idx="297">
                  <c:v>701.16808389261723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C17-49CC-B4CD-19A94632E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Thickness Moving Range (Upper Control)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HYBOX2_Thickness_SPC!$F$10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HYBOX2_Thickness_SPC!$F$11:$F$308</c:f>
              <c:numCache>
                <c:formatCode>General</c:formatCode>
                <c:ptCount val="298"/>
                <c:pt idx="1">
                  <c:v>0.18100000000004002</c:v>
                </c:pt>
                <c:pt idx="2">
                  <c:v>1.1999999999943611E-2</c:v>
                </c:pt>
                <c:pt idx="3">
                  <c:v>0.17799999999999727</c:v>
                </c:pt>
                <c:pt idx="4">
                  <c:v>0.2680000000000291</c:v>
                </c:pt>
                <c:pt idx="5">
                  <c:v>1.125</c:v>
                </c:pt>
                <c:pt idx="6">
                  <c:v>3.7340000000000373</c:v>
                </c:pt>
                <c:pt idx="7">
                  <c:v>0.23900000000003274</c:v>
                </c:pt>
                <c:pt idx="8">
                  <c:v>2.7570000000000618</c:v>
                </c:pt>
                <c:pt idx="9">
                  <c:v>0.82800000000008822</c:v>
                </c:pt>
                <c:pt idx="10">
                  <c:v>1.5410000000000537</c:v>
                </c:pt>
                <c:pt idx="11">
                  <c:v>1.9239999999999782</c:v>
                </c:pt>
                <c:pt idx="12">
                  <c:v>0.39800000000002456</c:v>
                </c:pt>
                <c:pt idx="13">
                  <c:v>9.1999999999984539E-2</c:v>
                </c:pt>
                <c:pt idx="14">
                  <c:v>0.13200000000006185</c:v>
                </c:pt>
                <c:pt idx="15">
                  <c:v>1.3190000000000737</c:v>
                </c:pt>
                <c:pt idx="16">
                  <c:v>0.91900000000009641</c:v>
                </c:pt>
                <c:pt idx="17">
                  <c:v>0.10599999999999454</c:v>
                </c:pt>
                <c:pt idx="18">
                  <c:v>6.8000000000097316E-2</c:v>
                </c:pt>
                <c:pt idx="19">
                  <c:v>0.35800000000006094</c:v>
                </c:pt>
                <c:pt idx="20">
                  <c:v>0.20900000000006003</c:v>
                </c:pt>
                <c:pt idx="21">
                  <c:v>0.15499999999997272</c:v>
                </c:pt>
                <c:pt idx="22">
                  <c:v>2.8999999999996362E-2</c:v>
                </c:pt>
                <c:pt idx="23">
                  <c:v>0.69499999999993634</c:v>
                </c:pt>
                <c:pt idx="24">
                  <c:v>1.49899999999991</c:v>
                </c:pt>
                <c:pt idx="25">
                  <c:v>1.2980000000000018</c:v>
                </c:pt>
                <c:pt idx="26">
                  <c:v>0.78700000000003456</c:v>
                </c:pt>
                <c:pt idx="27">
                  <c:v>0.43200000000001637</c:v>
                </c:pt>
                <c:pt idx="28">
                  <c:v>0.84699999999997999</c:v>
                </c:pt>
                <c:pt idx="29">
                  <c:v>8.500000000003638E-2</c:v>
                </c:pt>
                <c:pt idx="30">
                  <c:v>1.6770000000000209</c:v>
                </c:pt>
                <c:pt idx="31">
                  <c:v>0.5</c:v>
                </c:pt>
                <c:pt idx="32">
                  <c:v>3.9999999999054126E-3</c:v>
                </c:pt>
                <c:pt idx="33">
                  <c:v>1.0679999999999836</c:v>
                </c:pt>
                <c:pt idx="34">
                  <c:v>1.3249999999999318</c:v>
                </c:pt>
                <c:pt idx="35">
                  <c:v>3.999999999996362E-2</c:v>
                </c:pt>
                <c:pt idx="36">
                  <c:v>1.2720000000000482</c:v>
                </c:pt>
                <c:pt idx="37">
                  <c:v>0.91700000000003001</c:v>
                </c:pt>
                <c:pt idx="38">
                  <c:v>3.4589999999999463</c:v>
                </c:pt>
                <c:pt idx="39">
                  <c:v>3.1849999999999454</c:v>
                </c:pt>
                <c:pt idx="40">
                  <c:v>0.82299999999997908</c:v>
                </c:pt>
                <c:pt idx="41">
                  <c:v>1.1559999999999491</c:v>
                </c:pt>
                <c:pt idx="42">
                  <c:v>0.22899999999992815</c:v>
                </c:pt>
                <c:pt idx="43">
                  <c:v>0.6410000000000764</c:v>
                </c:pt>
                <c:pt idx="44">
                  <c:v>0.23499999999989996</c:v>
                </c:pt>
                <c:pt idx="45">
                  <c:v>0.69000000000005457</c:v>
                </c:pt>
                <c:pt idx="46">
                  <c:v>1.88900000000001</c:v>
                </c:pt>
                <c:pt idx="47">
                  <c:v>1.1480000000000246</c:v>
                </c:pt>
                <c:pt idx="48">
                  <c:v>0.27800000000002001</c:v>
                </c:pt>
                <c:pt idx="49">
                  <c:v>1.4479999999999791</c:v>
                </c:pt>
                <c:pt idx="50">
                  <c:v>0.36300000000005639</c:v>
                </c:pt>
                <c:pt idx="51">
                  <c:v>0.77599999999995362</c:v>
                </c:pt>
                <c:pt idx="52">
                  <c:v>6.2000000000011823E-2</c:v>
                </c:pt>
                <c:pt idx="53">
                  <c:v>3.4080000000000155</c:v>
                </c:pt>
                <c:pt idx="54">
                  <c:v>3.6589999999999918</c:v>
                </c:pt>
                <c:pt idx="55">
                  <c:v>0.91800000000000637</c:v>
                </c:pt>
                <c:pt idx="56">
                  <c:v>1.7670000000000528</c:v>
                </c:pt>
                <c:pt idx="57">
                  <c:v>0.61300000000005639</c:v>
                </c:pt>
                <c:pt idx="58">
                  <c:v>2.4259999999999309</c:v>
                </c:pt>
                <c:pt idx="59">
                  <c:v>1.8550000000000182</c:v>
                </c:pt>
                <c:pt idx="60">
                  <c:v>0.52099999999995816</c:v>
                </c:pt>
                <c:pt idx="61">
                  <c:v>2.5120000000000573</c:v>
                </c:pt>
                <c:pt idx="62">
                  <c:v>3.3360000000000127</c:v>
                </c:pt>
                <c:pt idx="63">
                  <c:v>1.2839999999999918</c:v>
                </c:pt>
                <c:pt idx="64">
                  <c:v>0.77800000000002001</c:v>
                </c:pt>
                <c:pt idx="65">
                  <c:v>0.43800000000010186</c:v>
                </c:pt>
                <c:pt idx="66">
                  <c:v>1.5220000000000482</c:v>
                </c:pt>
                <c:pt idx="67">
                  <c:v>3.13900000000001</c:v>
                </c:pt>
                <c:pt idx="68">
                  <c:v>2.7649999999999864</c:v>
                </c:pt>
                <c:pt idx="69">
                  <c:v>1.3930000000000291</c:v>
                </c:pt>
                <c:pt idx="70">
                  <c:v>0.36399999999991905</c:v>
                </c:pt>
                <c:pt idx="71">
                  <c:v>0.43399999999996908</c:v>
                </c:pt>
                <c:pt idx="72">
                  <c:v>0.82899999999995089</c:v>
                </c:pt>
                <c:pt idx="73">
                  <c:v>1.0989999999999327</c:v>
                </c:pt>
                <c:pt idx="74">
                  <c:v>1.6660000000000537</c:v>
                </c:pt>
                <c:pt idx="75">
                  <c:v>1.0779999999999745</c:v>
                </c:pt>
                <c:pt idx="76">
                  <c:v>0.17200000000002547</c:v>
                </c:pt>
                <c:pt idx="77">
                  <c:v>1.4259999999999309</c:v>
                </c:pt>
                <c:pt idx="78">
                  <c:v>1.5670000000000073</c:v>
                </c:pt>
                <c:pt idx="79">
                  <c:v>1.1030000000000655</c:v>
                </c:pt>
                <c:pt idx="80">
                  <c:v>0.73500000000001364</c:v>
                </c:pt>
                <c:pt idx="81">
                  <c:v>0.19600000000002638</c:v>
                </c:pt>
                <c:pt idx="82">
                  <c:v>1.6460000000000719</c:v>
                </c:pt>
                <c:pt idx="83">
                  <c:v>0.33100000000001728</c:v>
                </c:pt>
                <c:pt idx="84">
                  <c:v>1.0510000000000446</c:v>
                </c:pt>
                <c:pt idx="85">
                  <c:v>0.8669999999999618</c:v>
                </c:pt>
                <c:pt idx="86">
                  <c:v>0.23200000000008458</c:v>
                </c:pt>
                <c:pt idx="87">
                  <c:v>0.22500000000002274</c:v>
                </c:pt>
                <c:pt idx="88">
                  <c:v>1.5009999999999764</c:v>
                </c:pt>
                <c:pt idx="89">
                  <c:v>0.23200000000008458</c:v>
                </c:pt>
                <c:pt idx="90">
                  <c:v>0.51400000000001</c:v>
                </c:pt>
                <c:pt idx="91">
                  <c:v>0.69100000000003092</c:v>
                </c:pt>
                <c:pt idx="92">
                  <c:v>3.0000000000427463E-3</c:v>
                </c:pt>
                <c:pt idx="93">
                  <c:v>1.9389999999999645</c:v>
                </c:pt>
                <c:pt idx="94">
                  <c:v>1.6090000000000373</c:v>
                </c:pt>
                <c:pt idx="95">
                  <c:v>1.1650000000000773</c:v>
                </c:pt>
                <c:pt idx="96">
                  <c:v>0.68800000000010186</c:v>
                </c:pt>
                <c:pt idx="97">
                  <c:v>0.8449999999999136</c:v>
                </c:pt>
                <c:pt idx="98">
                  <c:v>0.84699999999997999</c:v>
                </c:pt>
                <c:pt idx="99">
                  <c:v>7.7999999999974534E-2</c:v>
                </c:pt>
                <c:pt idx="100">
                  <c:v>1.09699999999998</c:v>
                </c:pt>
                <c:pt idx="101">
                  <c:v>0.1169999999999618</c:v>
                </c:pt>
                <c:pt idx="102">
                  <c:v>1.4470000000000027</c:v>
                </c:pt>
                <c:pt idx="103">
                  <c:v>0.1430000000000291</c:v>
                </c:pt>
                <c:pt idx="104">
                  <c:v>0.33499999999992269</c:v>
                </c:pt>
                <c:pt idx="105">
                  <c:v>0.31600000000003092</c:v>
                </c:pt>
                <c:pt idx="106">
                  <c:v>0.20199999999999818</c:v>
                </c:pt>
                <c:pt idx="107">
                  <c:v>0.29300000000000637</c:v>
                </c:pt>
                <c:pt idx="108">
                  <c:v>0.37000000000000455</c:v>
                </c:pt>
                <c:pt idx="109">
                  <c:v>0.1129999999999427</c:v>
                </c:pt>
                <c:pt idx="110">
                  <c:v>0.55700000000001637</c:v>
                </c:pt>
                <c:pt idx="111">
                  <c:v>1.1299999999999955</c:v>
                </c:pt>
                <c:pt idx="112">
                  <c:v>0.10799999999994725</c:v>
                </c:pt>
                <c:pt idx="113">
                  <c:v>0.25099999999997635</c:v>
                </c:pt>
                <c:pt idx="114">
                  <c:v>3.6050000000000182</c:v>
                </c:pt>
                <c:pt idx="115">
                  <c:v>0.16899999999998272</c:v>
                </c:pt>
                <c:pt idx="116">
                  <c:v>0.39299999999991542</c:v>
                </c:pt>
                <c:pt idx="117">
                  <c:v>2.2039999999999509</c:v>
                </c:pt>
                <c:pt idx="118">
                  <c:v>0.25</c:v>
                </c:pt>
                <c:pt idx="119">
                  <c:v>9.9000000000046384E-2</c:v>
                </c:pt>
                <c:pt idx="120">
                  <c:v>0.51499999999998636</c:v>
                </c:pt>
                <c:pt idx="121">
                  <c:v>0.47900000000004184</c:v>
                </c:pt>
                <c:pt idx="122">
                  <c:v>0.17999999999994998</c:v>
                </c:pt>
                <c:pt idx="123">
                  <c:v>0.12799999999992906</c:v>
                </c:pt>
                <c:pt idx="124">
                  <c:v>0.78899999999998727</c:v>
                </c:pt>
                <c:pt idx="125">
                  <c:v>0.39099999999996271</c:v>
                </c:pt>
                <c:pt idx="126">
                  <c:v>0.3930000000000291</c:v>
                </c:pt>
                <c:pt idx="127">
                  <c:v>1.9020000000000437</c:v>
                </c:pt>
                <c:pt idx="128">
                  <c:v>1.63900000000001</c:v>
                </c:pt>
                <c:pt idx="129">
                  <c:v>1.6849999999999454</c:v>
                </c:pt>
                <c:pt idx="130">
                  <c:v>1.66599999999994</c:v>
                </c:pt>
                <c:pt idx="131">
                  <c:v>1.63900000000001</c:v>
                </c:pt>
                <c:pt idx="132">
                  <c:v>0.81200000000001182</c:v>
                </c:pt>
                <c:pt idx="133">
                  <c:v>0.51099999999996726</c:v>
                </c:pt>
                <c:pt idx="134">
                  <c:v>2.100000000007185E-2</c:v>
                </c:pt>
                <c:pt idx="135">
                  <c:v>0.52300000000002456</c:v>
                </c:pt>
                <c:pt idx="136">
                  <c:v>0.36599999999998545</c:v>
                </c:pt>
                <c:pt idx="137">
                  <c:v>0.59100000000000819</c:v>
                </c:pt>
                <c:pt idx="138">
                  <c:v>0.48699999999996635</c:v>
                </c:pt>
                <c:pt idx="139">
                  <c:v>0.85800000000006094</c:v>
                </c:pt>
                <c:pt idx="140">
                  <c:v>0.59400000000005093</c:v>
                </c:pt>
                <c:pt idx="141">
                  <c:v>0.90999999999996817</c:v>
                </c:pt>
                <c:pt idx="142">
                  <c:v>0.36200000000008004</c:v>
                </c:pt>
                <c:pt idx="143">
                  <c:v>2.0380000000000109</c:v>
                </c:pt>
                <c:pt idx="144">
                  <c:v>2.0799999999999272</c:v>
                </c:pt>
                <c:pt idx="145">
                  <c:v>0.42400000000009186</c:v>
                </c:pt>
                <c:pt idx="146">
                  <c:v>0.8930000000000291</c:v>
                </c:pt>
                <c:pt idx="147">
                  <c:v>0.83000000000004093</c:v>
                </c:pt>
                <c:pt idx="148">
                  <c:v>0.25599999999997181</c:v>
                </c:pt>
                <c:pt idx="149">
                  <c:v>0.42799999999999727</c:v>
                </c:pt>
                <c:pt idx="150">
                  <c:v>0.21800000000007458</c:v>
                </c:pt>
                <c:pt idx="151">
                  <c:v>2.1779999999999973</c:v>
                </c:pt>
                <c:pt idx="152">
                  <c:v>0.87599999999997635</c:v>
                </c:pt>
                <c:pt idx="153">
                  <c:v>1.6299999999999955</c:v>
                </c:pt>
                <c:pt idx="154">
                  <c:v>0.56999999999993634</c:v>
                </c:pt>
                <c:pt idx="155">
                  <c:v>9.0000000000031832E-2</c:v>
                </c:pt>
                <c:pt idx="156">
                  <c:v>1.5589999999999691</c:v>
                </c:pt>
                <c:pt idx="157">
                  <c:v>0.60799999999994725</c:v>
                </c:pt>
                <c:pt idx="158">
                  <c:v>0.57999999999992724</c:v>
                </c:pt>
                <c:pt idx="159">
                  <c:v>0.18799999999998818</c:v>
                </c:pt>
                <c:pt idx="160">
                  <c:v>1.2709999999999582</c:v>
                </c:pt>
                <c:pt idx="161">
                  <c:v>0.58500000000003638</c:v>
                </c:pt>
                <c:pt idx="162">
                  <c:v>1.3299999999999272</c:v>
                </c:pt>
                <c:pt idx="163">
                  <c:v>1.8700000000000045</c:v>
                </c:pt>
                <c:pt idx="164">
                  <c:v>2.6000000000067303E-2</c:v>
                </c:pt>
                <c:pt idx="165">
                  <c:v>0.44299999999998363</c:v>
                </c:pt>
                <c:pt idx="166">
                  <c:v>1.3550000000000182</c:v>
                </c:pt>
                <c:pt idx="167">
                  <c:v>1.4660000000000082</c:v>
                </c:pt>
                <c:pt idx="168">
                  <c:v>3.7000000000034561E-2</c:v>
                </c:pt>
                <c:pt idx="169">
                  <c:v>0.90699999999992542</c:v>
                </c:pt>
                <c:pt idx="170">
                  <c:v>0.38199999999994816</c:v>
                </c:pt>
                <c:pt idx="171">
                  <c:v>0.70299999999997453</c:v>
                </c:pt>
                <c:pt idx="172">
                  <c:v>0.61900000000002819</c:v>
                </c:pt>
                <c:pt idx="173">
                  <c:v>0.63199999999994816</c:v>
                </c:pt>
                <c:pt idx="174">
                  <c:v>1.3299999999999272</c:v>
                </c:pt>
                <c:pt idx="175">
                  <c:v>6.4000000000078217E-2</c:v>
                </c:pt>
                <c:pt idx="176">
                  <c:v>0.80700000000001637</c:v>
                </c:pt>
                <c:pt idx="177">
                  <c:v>0.81200000000001182</c:v>
                </c:pt>
                <c:pt idx="178">
                  <c:v>1.1420000000000528</c:v>
                </c:pt>
                <c:pt idx="179">
                  <c:v>2.1779999999999973</c:v>
                </c:pt>
                <c:pt idx="180">
                  <c:v>1.7280000000000655</c:v>
                </c:pt>
                <c:pt idx="181">
                  <c:v>0.36399999999991905</c:v>
                </c:pt>
                <c:pt idx="182">
                  <c:v>1.2839999999999918</c:v>
                </c:pt>
                <c:pt idx="183">
                  <c:v>8.0000000000381988E-3</c:v>
                </c:pt>
                <c:pt idx="184">
                  <c:v>1.4410000000000309</c:v>
                </c:pt>
                <c:pt idx="185">
                  <c:v>0.98000000000001819</c:v>
                </c:pt>
                <c:pt idx="186">
                  <c:v>1.1179999999999382</c:v>
                </c:pt>
                <c:pt idx="187">
                  <c:v>2.1069999999999709</c:v>
                </c:pt>
                <c:pt idx="188">
                  <c:v>2.8050000000000637</c:v>
                </c:pt>
                <c:pt idx="189">
                  <c:v>1.19500000000005</c:v>
                </c:pt>
                <c:pt idx="190">
                  <c:v>0.29499999999995907</c:v>
                </c:pt>
                <c:pt idx="191">
                  <c:v>0.59999999999990905</c:v>
                </c:pt>
                <c:pt idx="192">
                  <c:v>1.6649999999999636</c:v>
                </c:pt>
                <c:pt idx="193">
                  <c:v>0.42899999999997362</c:v>
                </c:pt>
                <c:pt idx="194">
                  <c:v>4.0589999999999691</c:v>
                </c:pt>
                <c:pt idx="195">
                  <c:v>0.63400000000001455</c:v>
                </c:pt>
                <c:pt idx="196">
                  <c:v>0.60599999999999454</c:v>
                </c:pt>
                <c:pt idx="197">
                  <c:v>0.77599999999995362</c:v>
                </c:pt>
                <c:pt idx="198">
                  <c:v>2.0190000000000055</c:v>
                </c:pt>
                <c:pt idx="199">
                  <c:v>0.37800000000004275</c:v>
                </c:pt>
                <c:pt idx="200">
                  <c:v>2.1809999999999263</c:v>
                </c:pt>
                <c:pt idx="201">
                  <c:v>1.1159999999999854</c:v>
                </c:pt>
                <c:pt idx="202">
                  <c:v>1.4329999999999927</c:v>
                </c:pt>
                <c:pt idx="203">
                  <c:v>9.6999999999979991E-2</c:v>
                </c:pt>
                <c:pt idx="204">
                  <c:v>0.65199999999992997</c:v>
                </c:pt>
                <c:pt idx="205">
                  <c:v>0.98299999999994725</c:v>
                </c:pt>
                <c:pt idx="206">
                  <c:v>0.85599999999999454</c:v>
                </c:pt>
                <c:pt idx="207">
                  <c:v>1.7390000000000327</c:v>
                </c:pt>
                <c:pt idx="208">
                  <c:v>2.3659999999999854</c:v>
                </c:pt>
                <c:pt idx="209">
                  <c:v>0.16399999999998727</c:v>
                </c:pt>
                <c:pt idx="210">
                  <c:v>1.3460000000000036</c:v>
                </c:pt>
                <c:pt idx="211">
                  <c:v>0.36499999999989541</c:v>
                </c:pt>
                <c:pt idx="212">
                  <c:v>0.88899999999989632</c:v>
                </c:pt>
                <c:pt idx="213">
                  <c:v>0.40499999999997272</c:v>
                </c:pt>
                <c:pt idx="214">
                  <c:v>1.1649999999999636</c:v>
                </c:pt>
                <c:pt idx="215">
                  <c:v>1.9869999999999663</c:v>
                </c:pt>
                <c:pt idx="216">
                  <c:v>0.16800000000000637</c:v>
                </c:pt>
                <c:pt idx="217">
                  <c:v>2.2169999999999845</c:v>
                </c:pt>
                <c:pt idx="218">
                  <c:v>1.4930000000000518</c:v>
                </c:pt>
                <c:pt idx="219">
                  <c:v>0.93499999999994543</c:v>
                </c:pt>
                <c:pt idx="220">
                  <c:v>0.28700000000003456</c:v>
                </c:pt>
                <c:pt idx="221">
                  <c:v>1.1320000000000618</c:v>
                </c:pt>
                <c:pt idx="222">
                  <c:v>1.6130000000000564</c:v>
                </c:pt>
                <c:pt idx="223">
                  <c:v>1.0710000000000264</c:v>
                </c:pt>
                <c:pt idx="224">
                  <c:v>0.66899999999998272</c:v>
                </c:pt>
                <c:pt idx="225">
                  <c:v>0.23599999999999</c:v>
                </c:pt>
                <c:pt idx="226">
                  <c:v>0.27699999999992997</c:v>
                </c:pt>
                <c:pt idx="227">
                  <c:v>0.35100000000011278</c:v>
                </c:pt>
                <c:pt idx="228">
                  <c:v>0.22200000000009368</c:v>
                </c:pt>
                <c:pt idx="229">
                  <c:v>0.23900000000003274</c:v>
                </c:pt>
                <c:pt idx="230">
                  <c:v>1.5370000000000346</c:v>
                </c:pt>
                <c:pt idx="231">
                  <c:v>3.3240000000000691</c:v>
                </c:pt>
                <c:pt idx="232">
                  <c:v>1.8670000000000755</c:v>
                </c:pt>
                <c:pt idx="233">
                  <c:v>7.4000000000069122E-2</c:v>
                </c:pt>
                <c:pt idx="234">
                  <c:v>0.46800000000007458</c:v>
                </c:pt>
                <c:pt idx="235">
                  <c:v>6.9000000000073669E-2</c:v>
                </c:pt>
                <c:pt idx="236">
                  <c:v>0.24900000000002365</c:v>
                </c:pt>
                <c:pt idx="237">
                  <c:v>1.38900000000001</c:v>
                </c:pt>
                <c:pt idx="238">
                  <c:v>1.3779999999999291</c:v>
                </c:pt>
                <c:pt idx="239">
                  <c:v>4.2000000000030013E-2</c:v>
                </c:pt>
                <c:pt idx="240">
                  <c:v>9.0000000000145519E-3</c:v>
                </c:pt>
                <c:pt idx="241">
                  <c:v>1.08299999999997</c:v>
                </c:pt>
                <c:pt idx="242">
                  <c:v>2.8129999999999882</c:v>
                </c:pt>
                <c:pt idx="243">
                  <c:v>1.4890000000000327</c:v>
                </c:pt>
                <c:pt idx="244">
                  <c:v>0.83299999999996999</c:v>
                </c:pt>
                <c:pt idx="245">
                  <c:v>1.8379999999999654</c:v>
                </c:pt>
                <c:pt idx="246">
                  <c:v>1.6730000000000018</c:v>
                </c:pt>
                <c:pt idx="247">
                  <c:v>1.3630000000000564</c:v>
                </c:pt>
                <c:pt idx="248">
                  <c:v>0.42300000000000182</c:v>
                </c:pt>
                <c:pt idx="249">
                  <c:v>1.5030000000000427</c:v>
                </c:pt>
                <c:pt idx="250">
                  <c:v>0.89599999999995816</c:v>
                </c:pt>
                <c:pt idx="251">
                  <c:v>1.1949999999999363</c:v>
                </c:pt>
                <c:pt idx="252">
                  <c:v>0.46500000000003183</c:v>
                </c:pt>
                <c:pt idx="253">
                  <c:v>0.16799999999989268</c:v>
                </c:pt>
                <c:pt idx="254">
                  <c:v>0.16299999999989723</c:v>
                </c:pt>
                <c:pt idx="255">
                  <c:v>0.89800000000002456</c:v>
                </c:pt>
                <c:pt idx="256">
                  <c:v>1.4109999999999445</c:v>
                </c:pt>
                <c:pt idx="257">
                  <c:v>0.62200000000007094</c:v>
                </c:pt>
                <c:pt idx="258">
                  <c:v>0.73899999999991905</c:v>
                </c:pt>
                <c:pt idx="259">
                  <c:v>2.8589999999999236</c:v>
                </c:pt>
                <c:pt idx="260">
                  <c:v>5.4000000000087311E-2</c:v>
                </c:pt>
                <c:pt idx="261">
                  <c:v>2.3550000000000182</c:v>
                </c:pt>
                <c:pt idx="262">
                  <c:v>1.8650000000000091</c:v>
                </c:pt>
                <c:pt idx="263">
                  <c:v>0.63999999999998636</c:v>
                </c:pt>
                <c:pt idx="264">
                  <c:v>0.46800000000007458</c:v>
                </c:pt>
                <c:pt idx="265">
                  <c:v>0.18399999999996908</c:v>
                </c:pt>
                <c:pt idx="266">
                  <c:v>1.4000000000010004E-2</c:v>
                </c:pt>
                <c:pt idx="267">
                  <c:v>0.68799999999998818</c:v>
                </c:pt>
                <c:pt idx="268">
                  <c:v>0.2319999999999709</c:v>
                </c:pt>
                <c:pt idx="269">
                  <c:v>0.26699999999993906</c:v>
                </c:pt>
                <c:pt idx="270">
                  <c:v>0.45500000000004093</c:v>
                </c:pt>
                <c:pt idx="271">
                  <c:v>1.3129999999999882</c:v>
                </c:pt>
                <c:pt idx="272">
                  <c:v>2.3709999999999809</c:v>
                </c:pt>
                <c:pt idx="273">
                  <c:v>0.23599999999999</c:v>
                </c:pt>
                <c:pt idx="274">
                  <c:v>0.63800000000003365</c:v>
                </c:pt>
                <c:pt idx="275">
                  <c:v>0.92200000000002547</c:v>
                </c:pt>
                <c:pt idx="276">
                  <c:v>5.2000000000020918E-2</c:v>
                </c:pt>
                <c:pt idx="277">
                  <c:v>0.81700000000000728</c:v>
                </c:pt>
                <c:pt idx="278">
                  <c:v>0.35500000000001819</c:v>
                </c:pt>
                <c:pt idx="279">
                  <c:v>1.0979999999999563</c:v>
                </c:pt>
                <c:pt idx="280">
                  <c:v>0.22199999999997999</c:v>
                </c:pt>
                <c:pt idx="281">
                  <c:v>0.1209999999999809</c:v>
                </c:pt>
                <c:pt idx="282">
                  <c:v>0.43600000000003547</c:v>
                </c:pt>
                <c:pt idx="283">
                  <c:v>0.45199999999999818</c:v>
                </c:pt>
                <c:pt idx="284">
                  <c:v>0.45500000000004093</c:v>
                </c:pt>
                <c:pt idx="285">
                  <c:v>0.53300000000001546</c:v>
                </c:pt>
                <c:pt idx="286">
                  <c:v>0.10099999999999909</c:v>
                </c:pt>
                <c:pt idx="287">
                  <c:v>1.3300000000000409</c:v>
                </c:pt>
                <c:pt idx="288">
                  <c:v>0.47400000000004638</c:v>
                </c:pt>
                <c:pt idx="289">
                  <c:v>1.75</c:v>
                </c:pt>
                <c:pt idx="290">
                  <c:v>0.28599999999994452</c:v>
                </c:pt>
                <c:pt idx="291">
                  <c:v>3.3600000000000136</c:v>
                </c:pt>
                <c:pt idx="292">
                  <c:v>2.8239999999999554</c:v>
                </c:pt>
                <c:pt idx="293">
                  <c:v>1.9999999999527063E-3</c:v>
                </c:pt>
                <c:pt idx="294">
                  <c:v>0.81499999999994088</c:v>
                </c:pt>
                <c:pt idx="295">
                  <c:v>0.91999999999995907</c:v>
                </c:pt>
                <c:pt idx="296">
                  <c:v>0.92999999999994998</c:v>
                </c:pt>
                <c:pt idx="297">
                  <c:v>0.37999999999999545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F2-4CD5-9BFD-B47B27CB9AC5}"/>
            </c:ext>
          </c:extLst>
        </c:ser>
        <c:ser>
          <c:idx val="1"/>
          <c:order val="1"/>
          <c:tx>
            <c:strRef>
              <c:f>HYBOX2_Thickness_SPC!$I$10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HYBOX2_Thickness_SPC!$I$11:$I$308</c:f>
              <c:numCache>
                <c:formatCode>General</c:formatCode>
                <c:ptCount val="298"/>
                <c:pt idx="0">
                  <c:v>3.1164320000000014</c:v>
                </c:pt>
                <c:pt idx="1">
                  <c:v>3.1164320000000014</c:v>
                </c:pt>
                <c:pt idx="2">
                  <c:v>3.1164320000000014</c:v>
                </c:pt>
                <c:pt idx="3">
                  <c:v>3.1164320000000014</c:v>
                </c:pt>
                <c:pt idx="4">
                  <c:v>3.1164320000000014</c:v>
                </c:pt>
                <c:pt idx="5">
                  <c:v>3.1164320000000014</c:v>
                </c:pt>
                <c:pt idx="6">
                  <c:v>3.1164320000000014</c:v>
                </c:pt>
                <c:pt idx="7">
                  <c:v>3.1164320000000014</c:v>
                </c:pt>
                <c:pt idx="8">
                  <c:v>3.1164320000000014</c:v>
                </c:pt>
                <c:pt idx="9">
                  <c:v>3.1164320000000014</c:v>
                </c:pt>
                <c:pt idx="10">
                  <c:v>3.1164320000000014</c:v>
                </c:pt>
                <c:pt idx="11">
                  <c:v>3.1164320000000014</c:v>
                </c:pt>
                <c:pt idx="12">
                  <c:v>3.1164320000000014</c:v>
                </c:pt>
                <c:pt idx="13">
                  <c:v>3.1164320000000014</c:v>
                </c:pt>
                <c:pt idx="14">
                  <c:v>3.1164320000000014</c:v>
                </c:pt>
                <c:pt idx="15">
                  <c:v>3.1164320000000014</c:v>
                </c:pt>
                <c:pt idx="16">
                  <c:v>3.1164320000000014</c:v>
                </c:pt>
                <c:pt idx="17">
                  <c:v>3.1164320000000014</c:v>
                </c:pt>
                <c:pt idx="18">
                  <c:v>3.1164320000000014</c:v>
                </c:pt>
                <c:pt idx="19">
                  <c:v>3.1164320000000014</c:v>
                </c:pt>
                <c:pt idx="20">
                  <c:v>3.1164320000000014</c:v>
                </c:pt>
                <c:pt idx="21">
                  <c:v>3.1164320000000014</c:v>
                </c:pt>
                <c:pt idx="22">
                  <c:v>3.1164320000000014</c:v>
                </c:pt>
                <c:pt idx="23">
                  <c:v>3.1164320000000014</c:v>
                </c:pt>
                <c:pt idx="24">
                  <c:v>3.1164320000000014</c:v>
                </c:pt>
                <c:pt idx="25">
                  <c:v>3.1164320000000014</c:v>
                </c:pt>
                <c:pt idx="26">
                  <c:v>3.1164320000000014</c:v>
                </c:pt>
                <c:pt idx="27">
                  <c:v>3.1164320000000014</c:v>
                </c:pt>
                <c:pt idx="28">
                  <c:v>3.1164320000000014</c:v>
                </c:pt>
                <c:pt idx="29">
                  <c:v>3.1164320000000014</c:v>
                </c:pt>
                <c:pt idx="30">
                  <c:v>3.1164320000000014</c:v>
                </c:pt>
                <c:pt idx="31">
                  <c:v>3.1164320000000014</c:v>
                </c:pt>
                <c:pt idx="32">
                  <c:v>3.1164320000000014</c:v>
                </c:pt>
                <c:pt idx="33">
                  <c:v>3.1164320000000014</c:v>
                </c:pt>
                <c:pt idx="34">
                  <c:v>3.1164320000000014</c:v>
                </c:pt>
                <c:pt idx="35">
                  <c:v>3.1164320000000014</c:v>
                </c:pt>
                <c:pt idx="36">
                  <c:v>3.1164320000000014</c:v>
                </c:pt>
                <c:pt idx="37">
                  <c:v>3.1164320000000014</c:v>
                </c:pt>
                <c:pt idx="38">
                  <c:v>3.1164320000000014</c:v>
                </c:pt>
                <c:pt idx="39">
                  <c:v>3.1164320000000014</c:v>
                </c:pt>
                <c:pt idx="40">
                  <c:v>3.1164320000000014</c:v>
                </c:pt>
                <c:pt idx="41">
                  <c:v>3.1164320000000014</c:v>
                </c:pt>
                <c:pt idx="42">
                  <c:v>3.1164320000000014</c:v>
                </c:pt>
                <c:pt idx="43">
                  <c:v>3.1164320000000014</c:v>
                </c:pt>
                <c:pt idx="44">
                  <c:v>3.1164320000000014</c:v>
                </c:pt>
                <c:pt idx="45">
                  <c:v>3.1164320000000014</c:v>
                </c:pt>
                <c:pt idx="46">
                  <c:v>3.1164320000000014</c:v>
                </c:pt>
                <c:pt idx="47">
                  <c:v>3.1164320000000014</c:v>
                </c:pt>
                <c:pt idx="48">
                  <c:v>3.1164320000000014</c:v>
                </c:pt>
                <c:pt idx="49">
                  <c:v>3.1164320000000014</c:v>
                </c:pt>
                <c:pt idx="50">
                  <c:v>3.1164320000000014</c:v>
                </c:pt>
                <c:pt idx="51">
                  <c:v>3.1164320000000014</c:v>
                </c:pt>
                <c:pt idx="52">
                  <c:v>3.1164320000000014</c:v>
                </c:pt>
                <c:pt idx="53">
                  <c:v>3.1164320000000014</c:v>
                </c:pt>
                <c:pt idx="54">
                  <c:v>3.1164320000000014</c:v>
                </c:pt>
                <c:pt idx="55">
                  <c:v>3.1164320000000014</c:v>
                </c:pt>
                <c:pt idx="56">
                  <c:v>3.1164320000000014</c:v>
                </c:pt>
                <c:pt idx="57">
                  <c:v>3.1164320000000014</c:v>
                </c:pt>
                <c:pt idx="58">
                  <c:v>3.1164320000000014</c:v>
                </c:pt>
                <c:pt idx="59">
                  <c:v>3.1164320000000014</c:v>
                </c:pt>
                <c:pt idx="60">
                  <c:v>3.1164320000000014</c:v>
                </c:pt>
                <c:pt idx="61">
                  <c:v>3.1164320000000014</c:v>
                </c:pt>
                <c:pt idx="62">
                  <c:v>3.1164320000000014</c:v>
                </c:pt>
                <c:pt idx="63">
                  <c:v>3.1164320000000014</c:v>
                </c:pt>
                <c:pt idx="64">
                  <c:v>3.1164320000000014</c:v>
                </c:pt>
                <c:pt idx="65">
                  <c:v>3.1164320000000014</c:v>
                </c:pt>
                <c:pt idx="66">
                  <c:v>3.1164320000000014</c:v>
                </c:pt>
                <c:pt idx="67">
                  <c:v>3.1164320000000014</c:v>
                </c:pt>
                <c:pt idx="68">
                  <c:v>3.1164320000000014</c:v>
                </c:pt>
                <c:pt idx="69">
                  <c:v>3.1164320000000014</c:v>
                </c:pt>
                <c:pt idx="70">
                  <c:v>3.1164320000000014</c:v>
                </c:pt>
                <c:pt idx="71">
                  <c:v>3.1164320000000014</c:v>
                </c:pt>
                <c:pt idx="72">
                  <c:v>3.1164320000000014</c:v>
                </c:pt>
                <c:pt idx="73">
                  <c:v>3.1164320000000014</c:v>
                </c:pt>
                <c:pt idx="74">
                  <c:v>3.1164320000000014</c:v>
                </c:pt>
                <c:pt idx="75">
                  <c:v>3.1164320000000014</c:v>
                </c:pt>
                <c:pt idx="76">
                  <c:v>3.1164320000000014</c:v>
                </c:pt>
                <c:pt idx="77">
                  <c:v>3.1164320000000014</c:v>
                </c:pt>
                <c:pt idx="78">
                  <c:v>3.1164320000000014</c:v>
                </c:pt>
                <c:pt idx="79">
                  <c:v>3.1164320000000014</c:v>
                </c:pt>
                <c:pt idx="80">
                  <c:v>3.1164320000000014</c:v>
                </c:pt>
                <c:pt idx="81">
                  <c:v>3.1164320000000014</c:v>
                </c:pt>
                <c:pt idx="82">
                  <c:v>3.1164320000000014</c:v>
                </c:pt>
                <c:pt idx="83">
                  <c:v>3.1164320000000014</c:v>
                </c:pt>
                <c:pt idx="84">
                  <c:v>3.1164320000000014</c:v>
                </c:pt>
                <c:pt idx="85">
                  <c:v>3.1164320000000014</c:v>
                </c:pt>
                <c:pt idx="86">
                  <c:v>3.1164320000000014</c:v>
                </c:pt>
                <c:pt idx="87">
                  <c:v>3.1164320000000014</c:v>
                </c:pt>
                <c:pt idx="88">
                  <c:v>3.1164320000000014</c:v>
                </c:pt>
                <c:pt idx="89">
                  <c:v>3.1164320000000014</c:v>
                </c:pt>
                <c:pt idx="90">
                  <c:v>3.1164320000000014</c:v>
                </c:pt>
                <c:pt idx="91">
                  <c:v>3.1164320000000014</c:v>
                </c:pt>
                <c:pt idx="92">
                  <c:v>3.1164320000000014</c:v>
                </c:pt>
                <c:pt idx="93">
                  <c:v>3.1164320000000014</c:v>
                </c:pt>
                <c:pt idx="94">
                  <c:v>3.1164320000000014</c:v>
                </c:pt>
                <c:pt idx="95">
                  <c:v>3.1164320000000014</c:v>
                </c:pt>
                <c:pt idx="96">
                  <c:v>3.1164320000000014</c:v>
                </c:pt>
                <c:pt idx="97">
                  <c:v>3.1164320000000014</c:v>
                </c:pt>
                <c:pt idx="98">
                  <c:v>3.1164320000000014</c:v>
                </c:pt>
                <c:pt idx="99">
                  <c:v>3.1164320000000014</c:v>
                </c:pt>
                <c:pt idx="100">
                  <c:v>3.1164320000000014</c:v>
                </c:pt>
                <c:pt idx="101">
                  <c:v>3.1164320000000014</c:v>
                </c:pt>
                <c:pt idx="102">
                  <c:v>3.1164320000000014</c:v>
                </c:pt>
                <c:pt idx="103">
                  <c:v>3.1164320000000014</c:v>
                </c:pt>
                <c:pt idx="104">
                  <c:v>3.1164320000000014</c:v>
                </c:pt>
                <c:pt idx="105">
                  <c:v>3.1164320000000014</c:v>
                </c:pt>
                <c:pt idx="106">
                  <c:v>3.1164320000000014</c:v>
                </c:pt>
                <c:pt idx="107">
                  <c:v>3.1164320000000014</c:v>
                </c:pt>
                <c:pt idx="108">
                  <c:v>3.1164320000000014</c:v>
                </c:pt>
                <c:pt idx="109">
                  <c:v>3.1164320000000014</c:v>
                </c:pt>
                <c:pt idx="110">
                  <c:v>3.1164320000000014</c:v>
                </c:pt>
                <c:pt idx="111">
                  <c:v>3.1164320000000014</c:v>
                </c:pt>
                <c:pt idx="112">
                  <c:v>3.1164320000000014</c:v>
                </c:pt>
                <c:pt idx="113">
                  <c:v>3.1164320000000014</c:v>
                </c:pt>
                <c:pt idx="114">
                  <c:v>3.1164320000000014</c:v>
                </c:pt>
                <c:pt idx="115">
                  <c:v>3.1164320000000014</c:v>
                </c:pt>
                <c:pt idx="116">
                  <c:v>3.1164320000000014</c:v>
                </c:pt>
                <c:pt idx="117">
                  <c:v>3.1164320000000014</c:v>
                </c:pt>
                <c:pt idx="118">
                  <c:v>3.1164320000000014</c:v>
                </c:pt>
                <c:pt idx="119">
                  <c:v>3.1164320000000014</c:v>
                </c:pt>
                <c:pt idx="120">
                  <c:v>3.1164320000000014</c:v>
                </c:pt>
                <c:pt idx="121">
                  <c:v>3.1164320000000014</c:v>
                </c:pt>
                <c:pt idx="122">
                  <c:v>3.1164320000000014</c:v>
                </c:pt>
                <c:pt idx="123">
                  <c:v>3.1164320000000014</c:v>
                </c:pt>
                <c:pt idx="124">
                  <c:v>3.1164320000000014</c:v>
                </c:pt>
                <c:pt idx="125">
                  <c:v>3.1164320000000014</c:v>
                </c:pt>
                <c:pt idx="126">
                  <c:v>3.1164320000000014</c:v>
                </c:pt>
                <c:pt idx="127">
                  <c:v>3.1164320000000014</c:v>
                </c:pt>
                <c:pt idx="128">
                  <c:v>3.1164320000000014</c:v>
                </c:pt>
                <c:pt idx="129">
                  <c:v>3.1164320000000014</c:v>
                </c:pt>
                <c:pt idx="130">
                  <c:v>3.1164320000000014</c:v>
                </c:pt>
                <c:pt idx="131">
                  <c:v>3.1164320000000014</c:v>
                </c:pt>
                <c:pt idx="132">
                  <c:v>3.1164320000000014</c:v>
                </c:pt>
                <c:pt idx="133">
                  <c:v>3.1164320000000014</c:v>
                </c:pt>
                <c:pt idx="134">
                  <c:v>3.1164320000000014</c:v>
                </c:pt>
                <c:pt idx="135">
                  <c:v>3.1164320000000014</c:v>
                </c:pt>
                <c:pt idx="136">
                  <c:v>3.1164320000000014</c:v>
                </c:pt>
                <c:pt idx="137">
                  <c:v>3.1164320000000014</c:v>
                </c:pt>
                <c:pt idx="138">
                  <c:v>3.1164320000000014</c:v>
                </c:pt>
                <c:pt idx="139">
                  <c:v>3.1164320000000014</c:v>
                </c:pt>
                <c:pt idx="140">
                  <c:v>3.1164320000000014</c:v>
                </c:pt>
                <c:pt idx="141">
                  <c:v>3.1164320000000014</c:v>
                </c:pt>
                <c:pt idx="142">
                  <c:v>3.1164320000000014</c:v>
                </c:pt>
                <c:pt idx="143">
                  <c:v>3.1164320000000014</c:v>
                </c:pt>
                <c:pt idx="144">
                  <c:v>3.1164320000000014</c:v>
                </c:pt>
                <c:pt idx="145">
                  <c:v>3.1164320000000014</c:v>
                </c:pt>
                <c:pt idx="146">
                  <c:v>3.1164320000000014</c:v>
                </c:pt>
                <c:pt idx="147">
                  <c:v>3.1164320000000014</c:v>
                </c:pt>
                <c:pt idx="148">
                  <c:v>3.1164320000000014</c:v>
                </c:pt>
                <c:pt idx="149">
                  <c:v>3.1164320000000014</c:v>
                </c:pt>
                <c:pt idx="150">
                  <c:v>3.1164320000000014</c:v>
                </c:pt>
                <c:pt idx="151">
                  <c:v>3.1164320000000014</c:v>
                </c:pt>
                <c:pt idx="152">
                  <c:v>3.1164320000000014</c:v>
                </c:pt>
                <c:pt idx="153">
                  <c:v>3.1164320000000014</c:v>
                </c:pt>
                <c:pt idx="154">
                  <c:v>3.1164320000000014</c:v>
                </c:pt>
                <c:pt idx="155">
                  <c:v>3.1164320000000014</c:v>
                </c:pt>
                <c:pt idx="156">
                  <c:v>3.1164320000000014</c:v>
                </c:pt>
                <c:pt idx="157">
                  <c:v>3.1164320000000014</c:v>
                </c:pt>
                <c:pt idx="158">
                  <c:v>3.1164320000000014</c:v>
                </c:pt>
                <c:pt idx="159">
                  <c:v>3.1164320000000014</c:v>
                </c:pt>
                <c:pt idx="160">
                  <c:v>3.1164320000000014</c:v>
                </c:pt>
                <c:pt idx="161">
                  <c:v>3.1164320000000014</c:v>
                </c:pt>
                <c:pt idx="162">
                  <c:v>3.1164320000000014</c:v>
                </c:pt>
                <c:pt idx="163">
                  <c:v>3.1164320000000014</c:v>
                </c:pt>
                <c:pt idx="164">
                  <c:v>3.1164320000000014</c:v>
                </c:pt>
                <c:pt idx="165">
                  <c:v>3.1164320000000014</c:v>
                </c:pt>
                <c:pt idx="166">
                  <c:v>3.1164320000000014</c:v>
                </c:pt>
                <c:pt idx="167">
                  <c:v>3.1164320000000014</c:v>
                </c:pt>
                <c:pt idx="168">
                  <c:v>3.1164320000000014</c:v>
                </c:pt>
                <c:pt idx="169">
                  <c:v>3.1164320000000014</c:v>
                </c:pt>
                <c:pt idx="170">
                  <c:v>3.1164320000000014</c:v>
                </c:pt>
                <c:pt idx="171">
                  <c:v>3.1164320000000014</c:v>
                </c:pt>
                <c:pt idx="172">
                  <c:v>3.1164320000000014</c:v>
                </c:pt>
                <c:pt idx="173">
                  <c:v>3.1164320000000014</c:v>
                </c:pt>
                <c:pt idx="174">
                  <c:v>3.1164320000000014</c:v>
                </c:pt>
                <c:pt idx="175">
                  <c:v>3.1164320000000014</c:v>
                </c:pt>
                <c:pt idx="176">
                  <c:v>3.1164320000000014</c:v>
                </c:pt>
                <c:pt idx="177">
                  <c:v>3.1164320000000014</c:v>
                </c:pt>
                <c:pt idx="178">
                  <c:v>3.1164320000000014</c:v>
                </c:pt>
                <c:pt idx="179">
                  <c:v>3.1164320000000014</c:v>
                </c:pt>
                <c:pt idx="180">
                  <c:v>3.1164320000000014</c:v>
                </c:pt>
                <c:pt idx="181">
                  <c:v>3.1164320000000014</c:v>
                </c:pt>
                <c:pt idx="182">
                  <c:v>3.1164320000000014</c:v>
                </c:pt>
                <c:pt idx="183">
                  <c:v>3.1164320000000014</c:v>
                </c:pt>
                <c:pt idx="184">
                  <c:v>3.1164320000000014</c:v>
                </c:pt>
                <c:pt idx="185">
                  <c:v>3.1164320000000014</c:v>
                </c:pt>
                <c:pt idx="186">
                  <c:v>3.1164320000000014</c:v>
                </c:pt>
                <c:pt idx="187">
                  <c:v>3.1164320000000014</c:v>
                </c:pt>
                <c:pt idx="188">
                  <c:v>3.1164320000000014</c:v>
                </c:pt>
                <c:pt idx="189">
                  <c:v>3.1164320000000014</c:v>
                </c:pt>
                <c:pt idx="190">
                  <c:v>3.1164320000000014</c:v>
                </c:pt>
                <c:pt idx="191">
                  <c:v>3.1164320000000014</c:v>
                </c:pt>
                <c:pt idx="192">
                  <c:v>3.1164320000000014</c:v>
                </c:pt>
                <c:pt idx="193">
                  <c:v>3.1164320000000014</c:v>
                </c:pt>
                <c:pt idx="194">
                  <c:v>3.1164320000000014</c:v>
                </c:pt>
                <c:pt idx="195">
                  <c:v>3.1164320000000014</c:v>
                </c:pt>
                <c:pt idx="196">
                  <c:v>3.1164320000000014</c:v>
                </c:pt>
                <c:pt idx="197">
                  <c:v>3.1164320000000014</c:v>
                </c:pt>
                <c:pt idx="198">
                  <c:v>3.1164320000000014</c:v>
                </c:pt>
                <c:pt idx="199">
                  <c:v>3.1164320000000014</c:v>
                </c:pt>
                <c:pt idx="200">
                  <c:v>3.1164320000000014</c:v>
                </c:pt>
                <c:pt idx="201">
                  <c:v>3.1164320000000014</c:v>
                </c:pt>
                <c:pt idx="202">
                  <c:v>3.1164320000000014</c:v>
                </c:pt>
                <c:pt idx="203">
                  <c:v>3.1164320000000014</c:v>
                </c:pt>
                <c:pt idx="204">
                  <c:v>3.1164320000000014</c:v>
                </c:pt>
                <c:pt idx="205">
                  <c:v>3.1164320000000014</c:v>
                </c:pt>
                <c:pt idx="206">
                  <c:v>3.1164320000000014</c:v>
                </c:pt>
                <c:pt idx="207">
                  <c:v>3.1164320000000014</c:v>
                </c:pt>
                <c:pt idx="208">
                  <c:v>3.1164320000000014</c:v>
                </c:pt>
                <c:pt idx="209">
                  <c:v>3.1164320000000014</c:v>
                </c:pt>
                <c:pt idx="210">
                  <c:v>3.1164320000000014</c:v>
                </c:pt>
                <c:pt idx="211">
                  <c:v>3.1164320000000014</c:v>
                </c:pt>
                <c:pt idx="212">
                  <c:v>3.1164320000000014</c:v>
                </c:pt>
                <c:pt idx="213">
                  <c:v>3.1164320000000014</c:v>
                </c:pt>
                <c:pt idx="214">
                  <c:v>3.1164320000000014</c:v>
                </c:pt>
                <c:pt idx="215">
                  <c:v>3.1164320000000014</c:v>
                </c:pt>
                <c:pt idx="216">
                  <c:v>3.1164320000000014</c:v>
                </c:pt>
                <c:pt idx="217">
                  <c:v>3.1164320000000014</c:v>
                </c:pt>
                <c:pt idx="218">
                  <c:v>3.1164320000000014</c:v>
                </c:pt>
                <c:pt idx="219">
                  <c:v>3.1164320000000014</c:v>
                </c:pt>
                <c:pt idx="220">
                  <c:v>3.1164320000000014</c:v>
                </c:pt>
                <c:pt idx="221">
                  <c:v>3.1164320000000014</c:v>
                </c:pt>
                <c:pt idx="222">
                  <c:v>3.1164320000000014</c:v>
                </c:pt>
                <c:pt idx="223">
                  <c:v>3.1164320000000014</c:v>
                </c:pt>
                <c:pt idx="224">
                  <c:v>3.1164320000000014</c:v>
                </c:pt>
                <c:pt idx="225">
                  <c:v>3.1164320000000014</c:v>
                </c:pt>
                <c:pt idx="226">
                  <c:v>3.1164320000000014</c:v>
                </c:pt>
                <c:pt idx="227">
                  <c:v>3.1164320000000014</c:v>
                </c:pt>
                <c:pt idx="228">
                  <c:v>3.1164320000000014</c:v>
                </c:pt>
                <c:pt idx="229">
                  <c:v>3.1164320000000014</c:v>
                </c:pt>
                <c:pt idx="230">
                  <c:v>3.1164320000000014</c:v>
                </c:pt>
                <c:pt idx="231">
                  <c:v>3.1164320000000014</c:v>
                </c:pt>
                <c:pt idx="232">
                  <c:v>3.1164320000000014</c:v>
                </c:pt>
                <c:pt idx="233">
                  <c:v>3.1164320000000014</c:v>
                </c:pt>
                <c:pt idx="234">
                  <c:v>3.1164320000000014</c:v>
                </c:pt>
                <c:pt idx="235">
                  <c:v>3.1164320000000014</c:v>
                </c:pt>
                <c:pt idx="236">
                  <c:v>3.1164320000000014</c:v>
                </c:pt>
                <c:pt idx="237">
                  <c:v>3.1164320000000014</c:v>
                </c:pt>
                <c:pt idx="238">
                  <c:v>3.1164320000000014</c:v>
                </c:pt>
                <c:pt idx="239">
                  <c:v>3.1164320000000014</c:v>
                </c:pt>
                <c:pt idx="240">
                  <c:v>3.1164320000000014</c:v>
                </c:pt>
                <c:pt idx="241">
                  <c:v>3.1164320000000014</c:v>
                </c:pt>
                <c:pt idx="242">
                  <c:v>3.1164320000000014</c:v>
                </c:pt>
                <c:pt idx="243">
                  <c:v>3.1164320000000014</c:v>
                </c:pt>
                <c:pt idx="244">
                  <c:v>3.1164320000000014</c:v>
                </c:pt>
                <c:pt idx="245">
                  <c:v>3.1164320000000014</c:v>
                </c:pt>
                <c:pt idx="246">
                  <c:v>3.1164320000000014</c:v>
                </c:pt>
                <c:pt idx="247">
                  <c:v>3.1164320000000014</c:v>
                </c:pt>
                <c:pt idx="248">
                  <c:v>3.1164320000000014</c:v>
                </c:pt>
                <c:pt idx="249">
                  <c:v>3.1164320000000014</c:v>
                </c:pt>
                <c:pt idx="250">
                  <c:v>3.1164320000000014</c:v>
                </c:pt>
                <c:pt idx="251">
                  <c:v>3.1164320000000014</c:v>
                </c:pt>
                <c:pt idx="252">
                  <c:v>3.1164320000000014</c:v>
                </c:pt>
                <c:pt idx="253">
                  <c:v>3.1164320000000014</c:v>
                </c:pt>
                <c:pt idx="254">
                  <c:v>3.1164320000000014</c:v>
                </c:pt>
                <c:pt idx="255">
                  <c:v>3.1164320000000014</c:v>
                </c:pt>
                <c:pt idx="256">
                  <c:v>3.1164320000000014</c:v>
                </c:pt>
                <c:pt idx="257">
                  <c:v>3.1164320000000014</c:v>
                </c:pt>
                <c:pt idx="258">
                  <c:v>3.1164320000000014</c:v>
                </c:pt>
                <c:pt idx="259">
                  <c:v>3.1164320000000014</c:v>
                </c:pt>
                <c:pt idx="260">
                  <c:v>3.1164320000000014</c:v>
                </c:pt>
                <c:pt idx="261">
                  <c:v>3.1164320000000014</c:v>
                </c:pt>
                <c:pt idx="262">
                  <c:v>3.1164320000000014</c:v>
                </c:pt>
                <c:pt idx="263">
                  <c:v>3.1164320000000014</c:v>
                </c:pt>
                <c:pt idx="264">
                  <c:v>3.1164320000000014</c:v>
                </c:pt>
                <c:pt idx="265">
                  <c:v>3.1164320000000014</c:v>
                </c:pt>
                <c:pt idx="266">
                  <c:v>3.1164320000000014</c:v>
                </c:pt>
                <c:pt idx="267">
                  <c:v>3.1164320000000014</c:v>
                </c:pt>
                <c:pt idx="268">
                  <c:v>3.1164320000000014</c:v>
                </c:pt>
                <c:pt idx="269">
                  <c:v>3.1164320000000014</c:v>
                </c:pt>
                <c:pt idx="270">
                  <c:v>3.1164320000000014</c:v>
                </c:pt>
                <c:pt idx="271">
                  <c:v>3.1164320000000014</c:v>
                </c:pt>
                <c:pt idx="272">
                  <c:v>3.1164320000000014</c:v>
                </c:pt>
                <c:pt idx="273">
                  <c:v>3.1164320000000014</c:v>
                </c:pt>
                <c:pt idx="274">
                  <c:v>3.1164320000000014</c:v>
                </c:pt>
                <c:pt idx="275">
                  <c:v>3.1164320000000014</c:v>
                </c:pt>
                <c:pt idx="276">
                  <c:v>3.1164320000000014</c:v>
                </c:pt>
                <c:pt idx="277">
                  <c:v>3.1164320000000014</c:v>
                </c:pt>
                <c:pt idx="278">
                  <c:v>3.1164320000000014</c:v>
                </c:pt>
                <c:pt idx="279">
                  <c:v>3.1164320000000014</c:v>
                </c:pt>
                <c:pt idx="280">
                  <c:v>3.1164320000000014</c:v>
                </c:pt>
                <c:pt idx="281">
                  <c:v>3.1164320000000014</c:v>
                </c:pt>
                <c:pt idx="282">
                  <c:v>3.1164320000000014</c:v>
                </c:pt>
                <c:pt idx="283">
                  <c:v>3.1164320000000014</c:v>
                </c:pt>
                <c:pt idx="284">
                  <c:v>3.1164320000000014</c:v>
                </c:pt>
                <c:pt idx="285">
                  <c:v>3.1164320000000014</c:v>
                </c:pt>
                <c:pt idx="286">
                  <c:v>3.1164320000000014</c:v>
                </c:pt>
                <c:pt idx="287">
                  <c:v>3.1164320000000014</c:v>
                </c:pt>
                <c:pt idx="288">
                  <c:v>3.1164320000000014</c:v>
                </c:pt>
                <c:pt idx="289">
                  <c:v>3.1164320000000014</c:v>
                </c:pt>
                <c:pt idx="290">
                  <c:v>3.1164320000000014</c:v>
                </c:pt>
                <c:pt idx="291">
                  <c:v>3.1164320000000014</c:v>
                </c:pt>
                <c:pt idx="292">
                  <c:v>3.1164320000000014</c:v>
                </c:pt>
                <c:pt idx="293">
                  <c:v>3.1164320000000014</c:v>
                </c:pt>
                <c:pt idx="294">
                  <c:v>3.1164320000000014</c:v>
                </c:pt>
                <c:pt idx="295">
                  <c:v>3.1164320000000014</c:v>
                </c:pt>
                <c:pt idx="296">
                  <c:v>3.1164320000000014</c:v>
                </c:pt>
                <c:pt idx="297">
                  <c:v>3.1164320000000014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F2-4CD5-9BFD-B47B27CB9AC5}"/>
            </c:ext>
          </c:extLst>
        </c:ser>
        <c:ser>
          <c:idx val="2"/>
          <c:order val="2"/>
          <c:tx>
            <c:strRef>
              <c:f>HYBOX2_Thickness_SPC!$J$10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HYBOX2_Thickness_SPC!$A$11:$A$308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HYBOX2_Thickness_SPC!$J$11:$J$308</c:f>
              <c:numCache>
                <c:formatCode>General</c:formatCode>
                <c:ptCount val="298"/>
                <c:pt idx="0">
                  <c:v>0.95391245791245838</c:v>
                </c:pt>
                <c:pt idx="1">
                  <c:v>0.95391245791245838</c:v>
                </c:pt>
                <c:pt idx="2">
                  <c:v>0.95391245791245838</c:v>
                </c:pt>
                <c:pt idx="3">
                  <c:v>0.95391245791245838</c:v>
                </c:pt>
                <c:pt idx="4">
                  <c:v>0.95391245791245838</c:v>
                </c:pt>
                <c:pt idx="5">
                  <c:v>0.95391245791245838</c:v>
                </c:pt>
                <c:pt idx="6">
                  <c:v>0.95391245791245838</c:v>
                </c:pt>
                <c:pt idx="7">
                  <c:v>0.95391245791245838</c:v>
                </c:pt>
                <c:pt idx="8">
                  <c:v>0.95391245791245838</c:v>
                </c:pt>
                <c:pt idx="9">
                  <c:v>0.95391245791245838</c:v>
                </c:pt>
                <c:pt idx="10">
                  <c:v>0.95391245791245838</c:v>
                </c:pt>
                <c:pt idx="11">
                  <c:v>0.95391245791245838</c:v>
                </c:pt>
                <c:pt idx="12">
                  <c:v>0.95391245791245838</c:v>
                </c:pt>
                <c:pt idx="13">
                  <c:v>0.95391245791245838</c:v>
                </c:pt>
                <c:pt idx="14">
                  <c:v>0.95391245791245838</c:v>
                </c:pt>
                <c:pt idx="15">
                  <c:v>0.95391245791245838</c:v>
                </c:pt>
                <c:pt idx="16">
                  <c:v>0.95391245791245838</c:v>
                </c:pt>
                <c:pt idx="17">
                  <c:v>0.95391245791245838</c:v>
                </c:pt>
                <c:pt idx="18">
                  <c:v>0.95391245791245838</c:v>
                </c:pt>
                <c:pt idx="19">
                  <c:v>0.95391245791245838</c:v>
                </c:pt>
                <c:pt idx="20">
                  <c:v>0.95391245791245838</c:v>
                </c:pt>
                <c:pt idx="21">
                  <c:v>0.95391245791245838</c:v>
                </c:pt>
                <c:pt idx="22">
                  <c:v>0.95391245791245838</c:v>
                </c:pt>
                <c:pt idx="23">
                  <c:v>0.95391245791245838</c:v>
                </c:pt>
                <c:pt idx="24">
                  <c:v>0.95391245791245838</c:v>
                </c:pt>
                <c:pt idx="25">
                  <c:v>0.95391245791245838</c:v>
                </c:pt>
                <c:pt idx="26">
                  <c:v>0.95391245791245838</c:v>
                </c:pt>
                <c:pt idx="27">
                  <c:v>0.95391245791245838</c:v>
                </c:pt>
                <c:pt idx="28">
                  <c:v>0.95391245791245838</c:v>
                </c:pt>
                <c:pt idx="29">
                  <c:v>0.95391245791245838</c:v>
                </c:pt>
                <c:pt idx="30">
                  <c:v>0.95391245791245838</c:v>
                </c:pt>
                <c:pt idx="31">
                  <c:v>0.95391245791245838</c:v>
                </c:pt>
                <c:pt idx="32">
                  <c:v>0.95391245791245838</c:v>
                </c:pt>
                <c:pt idx="33">
                  <c:v>0.95391245791245838</c:v>
                </c:pt>
                <c:pt idx="34">
                  <c:v>0.95391245791245838</c:v>
                </c:pt>
                <c:pt idx="35">
                  <c:v>0.95391245791245838</c:v>
                </c:pt>
                <c:pt idx="36">
                  <c:v>0.95391245791245838</c:v>
                </c:pt>
                <c:pt idx="37">
                  <c:v>0.95391245791245838</c:v>
                </c:pt>
                <c:pt idx="38">
                  <c:v>0.95391245791245838</c:v>
                </c:pt>
                <c:pt idx="39">
                  <c:v>0.95391245791245838</c:v>
                </c:pt>
                <c:pt idx="40">
                  <c:v>0.95391245791245838</c:v>
                </c:pt>
                <c:pt idx="41">
                  <c:v>0.95391245791245838</c:v>
                </c:pt>
                <c:pt idx="42">
                  <c:v>0.95391245791245838</c:v>
                </c:pt>
                <c:pt idx="43">
                  <c:v>0.95391245791245838</c:v>
                </c:pt>
                <c:pt idx="44">
                  <c:v>0.95391245791245838</c:v>
                </c:pt>
                <c:pt idx="45">
                  <c:v>0.95391245791245838</c:v>
                </c:pt>
                <c:pt idx="46">
                  <c:v>0.95391245791245838</c:v>
                </c:pt>
                <c:pt idx="47">
                  <c:v>0.95391245791245838</c:v>
                </c:pt>
                <c:pt idx="48">
                  <c:v>0.95391245791245838</c:v>
                </c:pt>
                <c:pt idx="49">
                  <c:v>0.95391245791245838</c:v>
                </c:pt>
                <c:pt idx="50">
                  <c:v>0.95391245791245838</c:v>
                </c:pt>
                <c:pt idx="51">
                  <c:v>0.95391245791245838</c:v>
                </c:pt>
                <c:pt idx="52">
                  <c:v>0.95391245791245838</c:v>
                </c:pt>
                <c:pt idx="53">
                  <c:v>0.95391245791245838</c:v>
                </c:pt>
                <c:pt idx="54">
                  <c:v>0.95391245791245838</c:v>
                </c:pt>
                <c:pt idx="55">
                  <c:v>0.95391245791245838</c:v>
                </c:pt>
                <c:pt idx="56">
                  <c:v>0.95391245791245838</c:v>
                </c:pt>
                <c:pt idx="57">
                  <c:v>0.95391245791245838</c:v>
                </c:pt>
                <c:pt idx="58">
                  <c:v>0.95391245791245838</c:v>
                </c:pt>
                <c:pt idx="59">
                  <c:v>0.95391245791245838</c:v>
                </c:pt>
                <c:pt idx="60">
                  <c:v>0.95391245791245838</c:v>
                </c:pt>
                <c:pt idx="61">
                  <c:v>0.95391245791245838</c:v>
                </c:pt>
                <c:pt idx="62">
                  <c:v>0.95391245791245838</c:v>
                </c:pt>
                <c:pt idx="63">
                  <c:v>0.95391245791245838</c:v>
                </c:pt>
                <c:pt idx="64">
                  <c:v>0.95391245791245838</c:v>
                </c:pt>
                <c:pt idx="65">
                  <c:v>0.95391245791245838</c:v>
                </c:pt>
                <c:pt idx="66">
                  <c:v>0.95391245791245838</c:v>
                </c:pt>
                <c:pt idx="67">
                  <c:v>0.95391245791245838</c:v>
                </c:pt>
                <c:pt idx="68">
                  <c:v>0.95391245791245838</c:v>
                </c:pt>
                <c:pt idx="69">
                  <c:v>0.95391245791245838</c:v>
                </c:pt>
                <c:pt idx="70">
                  <c:v>0.95391245791245838</c:v>
                </c:pt>
                <c:pt idx="71">
                  <c:v>0.95391245791245838</c:v>
                </c:pt>
                <c:pt idx="72">
                  <c:v>0.95391245791245838</c:v>
                </c:pt>
                <c:pt idx="73">
                  <c:v>0.95391245791245838</c:v>
                </c:pt>
                <c:pt idx="74">
                  <c:v>0.95391245791245838</c:v>
                </c:pt>
                <c:pt idx="75">
                  <c:v>0.95391245791245838</c:v>
                </c:pt>
                <c:pt idx="76">
                  <c:v>0.95391245791245838</c:v>
                </c:pt>
                <c:pt idx="77">
                  <c:v>0.95391245791245838</c:v>
                </c:pt>
                <c:pt idx="78">
                  <c:v>0.95391245791245838</c:v>
                </c:pt>
                <c:pt idx="79">
                  <c:v>0.95391245791245838</c:v>
                </c:pt>
                <c:pt idx="80">
                  <c:v>0.95391245791245838</c:v>
                </c:pt>
                <c:pt idx="81">
                  <c:v>0.95391245791245838</c:v>
                </c:pt>
                <c:pt idx="82">
                  <c:v>0.95391245791245838</c:v>
                </c:pt>
                <c:pt idx="83">
                  <c:v>0.95391245791245838</c:v>
                </c:pt>
                <c:pt idx="84">
                  <c:v>0.95391245791245838</c:v>
                </c:pt>
                <c:pt idx="85">
                  <c:v>0.95391245791245838</c:v>
                </c:pt>
                <c:pt idx="86">
                  <c:v>0.95391245791245838</c:v>
                </c:pt>
                <c:pt idx="87">
                  <c:v>0.95391245791245838</c:v>
                </c:pt>
                <c:pt idx="88">
                  <c:v>0.95391245791245838</c:v>
                </c:pt>
                <c:pt idx="89">
                  <c:v>0.95391245791245838</c:v>
                </c:pt>
                <c:pt idx="90">
                  <c:v>0.95391245791245838</c:v>
                </c:pt>
                <c:pt idx="91">
                  <c:v>0.95391245791245838</c:v>
                </c:pt>
                <c:pt idx="92">
                  <c:v>0.95391245791245838</c:v>
                </c:pt>
                <c:pt idx="93">
                  <c:v>0.95391245791245838</c:v>
                </c:pt>
                <c:pt idx="94">
                  <c:v>0.95391245791245838</c:v>
                </c:pt>
                <c:pt idx="95">
                  <c:v>0.95391245791245838</c:v>
                </c:pt>
                <c:pt idx="96">
                  <c:v>0.95391245791245838</c:v>
                </c:pt>
                <c:pt idx="97">
                  <c:v>0.95391245791245838</c:v>
                </c:pt>
                <c:pt idx="98">
                  <c:v>0.95391245791245838</c:v>
                </c:pt>
                <c:pt idx="99">
                  <c:v>0.95391245791245838</c:v>
                </c:pt>
                <c:pt idx="100">
                  <c:v>0.95391245791245838</c:v>
                </c:pt>
                <c:pt idx="101">
                  <c:v>0.95391245791245838</c:v>
                </c:pt>
                <c:pt idx="102">
                  <c:v>0.95391245791245838</c:v>
                </c:pt>
                <c:pt idx="103">
                  <c:v>0.95391245791245838</c:v>
                </c:pt>
                <c:pt idx="104">
                  <c:v>0.95391245791245838</c:v>
                </c:pt>
                <c:pt idx="105">
                  <c:v>0.95391245791245838</c:v>
                </c:pt>
                <c:pt idx="106">
                  <c:v>0.95391245791245838</c:v>
                </c:pt>
                <c:pt idx="107">
                  <c:v>0.95391245791245838</c:v>
                </c:pt>
                <c:pt idx="108">
                  <c:v>0.95391245791245838</c:v>
                </c:pt>
                <c:pt idx="109">
                  <c:v>0.95391245791245838</c:v>
                </c:pt>
                <c:pt idx="110">
                  <c:v>0.95391245791245838</c:v>
                </c:pt>
                <c:pt idx="111">
                  <c:v>0.95391245791245838</c:v>
                </c:pt>
                <c:pt idx="112">
                  <c:v>0.95391245791245838</c:v>
                </c:pt>
                <c:pt idx="113">
                  <c:v>0.95391245791245838</c:v>
                </c:pt>
                <c:pt idx="114">
                  <c:v>0.95391245791245838</c:v>
                </c:pt>
                <c:pt idx="115">
                  <c:v>0.95391245791245838</c:v>
                </c:pt>
                <c:pt idx="116">
                  <c:v>0.95391245791245838</c:v>
                </c:pt>
                <c:pt idx="117">
                  <c:v>0.95391245791245838</c:v>
                </c:pt>
                <c:pt idx="118">
                  <c:v>0.95391245791245838</c:v>
                </c:pt>
                <c:pt idx="119">
                  <c:v>0.95391245791245838</c:v>
                </c:pt>
                <c:pt idx="120">
                  <c:v>0.95391245791245838</c:v>
                </c:pt>
                <c:pt idx="121">
                  <c:v>0.95391245791245838</c:v>
                </c:pt>
                <c:pt idx="122">
                  <c:v>0.95391245791245838</c:v>
                </c:pt>
                <c:pt idx="123">
                  <c:v>0.95391245791245838</c:v>
                </c:pt>
                <c:pt idx="124">
                  <c:v>0.95391245791245838</c:v>
                </c:pt>
                <c:pt idx="125">
                  <c:v>0.95391245791245838</c:v>
                </c:pt>
                <c:pt idx="126">
                  <c:v>0.95391245791245838</c:v>
                </c:pt>
                <c:pt idx="127">
                  <c:v>0.95391245791245838</c:v>
                </c:pt>
                <c:pt idx="128">
                  <c:v>0.95391245791245838</c:v>
                </c:pt>
                <c:pt idx="129">
                  <c:v>0.95391245791245838</c:v>
                </c:pt>
                <c:pt idx="130">
                  <c:v>0.95391245791245838</c:v>
                </c:pt>
                <c:pt idx="131">
                  <c:v>0.95391245791245838</c:v>
                </c:pt>
                <c:pt idx="132">
                  <c:v>0.95391245791245838</c:v>
                </c:pt>
                <c:pt idx="133">
                  <c:v>0.95391245791245838</c:v>
                </c:pt>
                <c:pt idx="134">
                  <c:v>0.95391245791245838</c:v>
                </c:pt>
                <c:pt idx="135">
                  <c:v>0.95391245791245838</c:v>
                </c:pt>
                <c:pt idx="136">
                  <c:v>0.95391245791245838</c:v>
                </c:pt>
                <c:pt idx="137">
                  <c:v>0.95391245791245838</c:v>
                </c:pt>
                <c:pt idx="138">
                  <c:v>0.95391245791245838</c:v>
                </c:pt>
                <c:pt idx="139">
                  <c:v>0.95391245791245838</c:v>
                </c:pt>
                <c:pt idx="140">
                  <c:v>0.95391245791245838</c:v>
                </c:pt>
                <c:pt idx="141">
                  <c:v>0.95391245791245838</c:v>
                </c:pt>
                <c:pt idx="142">
                  <c:v>0.95391245791245838</c:v>
                </c:pt>
                <c:pt idx="143">
                  <c:v>0.95391245791245838</c:v>
                </c:pt>
                <c:pt idx="144">
                  <c:v>0.95391245791245838</c:v>
                </c:pt>
                <c:pt idx="145">
                  <c:v>0.95391245791245838</c:v>
                </c:pt>
                <c:pt idx="146">
                  <c:v>0.95391245791245838</c:v>
                </c:pt>
                <c:pt idx="147">
                  <c:v>0.95391245791245838</c:v>
                </c:pt>
                <c:pt idx="148">
                  <c:v>0.95391245791245838</c:v>
                </c:pt>
                <c:pt idx="149">
                  <c:v>0.95391245791245838</c:v>
                </c:pt>
                <c:pt idx="150">
                  <c:v>0.95391245791245838</c:v>
                </c:pt>
                <c:pt idx="151">
                  <c:v>0.95391245791245838</c:v>
                </c:pt>
                <c:pt idx="152">
                  <c:v>0.95391245791245838</c:v>
                </c:pt>
                <c:pt idx="153">
                  <c:v>0.95391245791245838</c:v>
                </c:pt>
                <c:pt idx="154">
                  <c:v>0.95391245791245838</c:v>
                </c:pt>
                <c:pt idx="155">
                  <c:v>0.95391245791245838</c:v>
                </c:pt>
                <c:pt idx="156">
                  <c:v>0.95391245791245838</c:v>
                </c:pt>
                <c:pt idx="157">
                  <c:v>0.95391245791245838</c:v>
                </c:pt>
                <c:pt idx="158">
                  <c:v>0.95391245791245838</c:v>
                </c:pt>
                <c:pt idx="159">
                  <c:v>0.95391245791245838</c:v>
                </c:pt>
                <c:pt idx="160">
                  <c:v>0.95391245791245838</c:v>
                </c:pt>
                <c:pt idx="161">
                  <c:v>0.95391245791245838</c:v>
                </c:pt>
                <c:pt idx="162">
                  <c:v>0.95391245791245838</c:v>
                </c:pt>
                <c:pt idx="163">
                  <c:v>0.95391245791245838</c:v>
                </c:pt>
                <c:pt idx="164">
                  <c:v>0.95391245791245838</c:v>
                </c:pt>
                <c:pt idx="165">
                  <c:v>0.95391245791245838</c:v>
                </c:pt>
                <c:pt idx="166">
                  <c:v>0.95391245791245838</c:v>
                </c:pt>
                <c:pt idx="167">
                  <c:v>0.95391245791245838</c:v>
                </c:pt>
                <c:pt idx="168">
                  <c:v>0.95391245791245838</c:v>
                </c:pt>
                <c:pt idx="169">
                  <c:v>0.95391245791245838</c:v>
                </c:pt>
                <c:pt idx="170">
                  <c:v>0.95391245791245838</c:v>
                </c:pt>
                <c:pt idx="171">
                  <c:v>0.95391245791245838</c:v>
                </c:pt>
                <c:pt idx="172">
                  <c:v>0.95391245791245838</c:v>
                </c:pt>
                <c:pt idx="173">
                  <c:v>0.95391245791245838</c:v>
                </c:pt>
                <c:pt idx="174">
                  <c:v>0.95391245791245838</c:v>
                </c:pt>
                <c:pt idx="175">
                  <c:v>0.95391245791245838</c:v>
                </c:pt>
                <c:pt idx="176">
                  <c:v>0.95391245791245838</c:v>
                </c:pt>
                <c:pt idx="177">
                  <c:v>0.95391245791245838</c:v>
                </c:pt>
                <c:pt idx="178">
                  <c:v>0.95391245791245838</c:v>
                </c:pt>
                <c:pt idx="179">
                  <c:v>0.95391245791245838</c:v>
                </c:pt>
                <c:pt idx="180">
                  <c:v>0.95391245791245838</c:v>
                </c:pt>
                <c:pt idx="181">
                  <c:v>0.95391245791245838</c:v>
                </c:pt>
                <c:pt idx="182">
                  <c:v>0.95391245791245838</c:v>
                </c:pt>
                <c:pt idx="183">
                  <c:v>0.95391245791245838</c:v>
                </c:pt>
                <c:pt idx="184">
                  <c:v>0.95391245791245838</c:v>
                </c:pt>
                <c:pt idx="185">
                  <c:v>0.95391245791245838</c:v>
                </c:pt>
                <c:pt idx="186">
                  <c:v>0.95391245791245838</c:v>
                </c:pt>
                <c:pt idx="187">
                  <c:v>0.95391245791245838</c:v>
                </c:pt>
                <c:pt idx="188">
                  <c:v>0.95391245791245838</c:v>
                </c:pt>
                <c:pt idx="189">
                  <c:v>0.95391245791245838</c:v>
                </c:pt>
                <c:pt idx="190">
                  <c:v>0.95391245791245838</c:v>
                </c:pt>
                <c:pt idx="191">
                  <c:v>0.95391245791245838</c:v>
                </c:pt>
                <c:pt idx="192">
                  <c:v>0.95391245791245838</c:v>
                </c:pt>
                <c:pt idx="193">
                  <c:v>0.95391245791245838</c:v>
                </c:pt>
                <c:pt idx="194">
                  <c:v>0.95391245791245838</c:v>
                </c:pt>
                <c:pt idx="195">
                  <c:v>0.95391245791245838</c:v>
                </c:pt>
                <c:pt idx="196">
                  <c:v>0.95391245791245838</c:v>
                </c:pt>
                <c:pt idx="197">
                  <c:v>0.95391245791245838</c:v>
                </c:pt>
                <c:pt idx="198">
                  <c:v>0.95391245791245838</c:v>
                </c:pt>
                <c:pt idx="199">
                  <c:v>0.95391245791245838</c:v>
                </c:pt>
                <c:pt idx="200">
                  <c:v>0.95391245791245838</c:v>
                </c:pt>
                <c:pt idx="201">
                  <c:v>0.95391245791245838</c:v>
                </c:pt>
                <c:pt idx="202">
                  <c:v>0.95391245791245838</c:v>
                </c:pt>
                <c:pt idx="203">
                  <c:v>0.95391245791245838</c:v>
                </c:pt>
                <c:pt idx="204">
                  <c:v>0.95391245791245838</c:v>
                </c:pt>
                <c:pt idx="205">
                  <c:v>0.95391245791245838</c:v>
                </c:pt>
                <c:pt idx="206">
                  <c:v>0.95391245791245838</c:v>
                </c:pt>
                <c:pt idx="207">
                  <c:v>0.95391245791245838</c:v>
                </c:pt>
                <c:pt idx="208">
                  <c:v>0.95391245791245838</c:v>
                </c:pt>
                <c:pt idx="209">
                  <c:v>0.95391245791245838</c:v>
                </c:pt>
                <c:pt idx="210">
                  <c:v>0.95391245791245838</c:v>
                </c:pt>
                <c:pt idx="211">
                  <c:v>0.95391245791245838</c:v>
                </c:pt>
                <c:pt idx="212">
                  <c:v>0.95391245791245838</c:v>
                </c:pt>
                <c:pt idx="213">
                  <c:v>0.95391245791245838</c:v>
                </c:pt>
                <c:pt idx="214">
                  <c:v>0.95391245791245838</c:v>
                </c:pt>
                <c:pt idx="215">
                  <c:v>0.95391245791245838</c:v>
                </c:pt>
                <c:pt idx="216">
                  <c:v>0.95391245791245838</c:v>
                </c:pt>
                <c:pt idx="217">
                  <c:v>0.95391245791245838</c:v>
                </c:pt>
                <c:pt idx="218">
                  <c:v>0.95391245791245838</c:v>
                </c:pt>
                <c:pt idx="219">
                  <c:v>0.95391245791245838</c:v>
                </c:pt>
                <c:pt idx="220">
                  <c:v>0.95391245791245838</c:v>
                </c:pt>
                <c:pt idx="221">
                  <c:v>0.95391245791245838</c:v>
                </c:pt>
                <c:pt idx="222">
                  <c:v>0.95391245791245838</c:v>
                </c:pt>
                <c:pt idx="223">
                  <c:v>0.95391245791245838</c:v>
                </c:pt>
                <c:pt idx="224">
                  <c:v>0.95391245791245838</c:v>
                </c:pt>
                <c:pt idx="225">
                  <c:v>0.95391245791245838</c:v>
                </c:pt>
                <c:pt idx="226">
                  <c:v>0.95391245791245838</c:v>
                </c:pt>
                <c:pt idx="227">
                  <c:v>0.95391245791245838</c:v>
                </c:pt>
                <c:pt idx="228">
                  <c:v>0.95391245791245838</c:v>
                </c:pt>
                <c:pt idx="229">
                  <c:v>0.95391245791245838</c:v>
                </c:pt>
                <c:pt idx="230">
                  <c:v>0.95391245791245838</c:v>
                </c:pt>
                <c:pt idx="231">
                  <c:v>0.95391245791245838</c:v>
                </c:pt>
                <c:pt idx="232">
                  <c:v>0.95391245791245838</c:v>
                </c:pt>
                <c:pt idx="233">
                  <c:v>0.95391245791245838</c:v>
                </c:pt>
                <c:pt idx="234">
                  <c:v>0.95391245791245838</c:v>
                </c:pt>
                <c:pt idx="235">
                  <c:v>0.95391245791245838</c:v>
                </c:pt>
                <c:pt idx="236">
                  <c:v>0.95391245791245838</c:v>
                </c:pt>
                <c:pt idx="237">
                  <c:v>0.95391245791245838</c:v>
                </c:pt>
                <c:pt idx="238">
                  <c:v>0.95391245791245838</c:v>
                </c:pt>
                <c:pt idx="239">
                  <c:v>0.95391245791245838</c:v>
                </c:pt>
                <c:pt idx="240">
                  <c:v>0.95391245791245838</c:v>
                </c:pt>
                <c:pt idx="241">
                  <c:v>0.95391245791245838</c:v>
                </c:pt>
                <c:pt idx="242">
                  <c:v>0.95391245791245838</c:v>
                </c:pt>
                <c:pt idx="243">
                  <c:v>0.95391245791245838</c:v>
                </c:pt>
                <c:pt idx="244">
                  <c:v>0.95391245791245838</c:v>
                </c:pt>
                <c:pt idx="245">
                  <c:v>0.95391245791245838</c:v>
                </c:pt>
                <c:pt idx="246">
                  <c:v>0.95391245791245838</c:v>
                </c:pt>
                <c:pt idx="247">
                  <c:v>0.95391245791245838</c:v>
                </c:pt>
                <c:pt idx="248">
                  <c:v>0.95391245791245838</c:v>
                </c:pt>
                <c:pt idx="249">
                  <c:v>0.95391245791245838</c:v>
                </c:pt>
                <c:pt idx="250">
                  <c:v>0.95391245791245838</c:v>
                </c:pt>
                <c:pt idx="251">
                  <c:v>0.95391245791245838</c:v>
                </c:pt>
                <c:pt idx="252">
                  <c:v>0.95391245791245838</c:v>
                </c:pt>
                <c:pt idx="253">
                  <c:v>0.95391245791245838</c:v>
                </c:pt>
                <c:pt idx="254">
                  <c:v>0.95391245791245838</c:v>
                </c:pt>
                <c:pt idx="255">
                  <c:v>0.95391245791245838</c:v>
                </c:pt>
                <c:pt idx="256">
                  <c:v>0.95391245791245838</c:v>
                </c:pt>
                <c:pt idx="257">
                  <c:v>0.95391245791245838</c:v>
                </c:pt>
                <c:pt idx="258">
                  <c:v>0.95391245791245838</c:v>
                </c:pt>
                <c:pt idx="259">
                  <c:v>0.95391245791245838</c:v>
                </c:pt>
                <c:pt idx="260">
                  <c:v>0.95391245791245838</c:v>
                </c:pt>
                <c:pt idx="261">
                  <c:v>0.95391245791245838</c:v>
                </c:pt>
                <c:pt idx="262">
                  <c:v>0.95391245791245838</c:v>
                </c:pt>
                <c:pt idx="263">
                  <c:v>0.95391245791245838</c:v>
                </c:pt>
                <c:pt idx="264">
                  <c:v>0.95391245791245838</c:v>
                </c:pt>
                <c:pt idx="265">
                  <c:v>0.95391245791245838</c:v>
                </c:pt>
                <c:pt idx="266">
                  <c:v>0.95391245791245838</c:v>
                </c:pt>
                <c:pt idx="267">
                  <c:v>0.95391245791245838</c:v>
                </c:pt>
                <c:pt idx="268">
                  <c:v>0.95391245791245838</c:v>
                </c:pt>
                <c:pt idx="269">
                  <c:v>0.95391245791245838</c:v>
                </c:pt>
                <c:pt idx="270">
                  <c:v>0.95391245791245838</c:v>
                </c:pt>
                <c:pt idx="271">
                  <c:v>0.95391245791245838</c:v>
                </c:pt>
                <c:pt idx="272">
                  <c:v>0.95391245791245838</c:v>
                </c:pt>
                <c:pt idx="273">
                  <c:v>0.95391245791245838</c:v>
                </c:pt>
                <c:pt idx="274">
                  <c:v>0.95391245791245838</c:v>
                </c:pt>
                <c:pt idx="275">
                  <c:v>0.95391245791245838</c:v>
                </c:pt>
                <c:pt idx="276">
                  <c:v>0.95391245791245838</c:v>
                </c:pt>
                <c:pt idx="277">
                  <c:v>0.95391245791245838</c:v>
                </c:pt>
                <c:pt idx="278">
                  <c:v>0.95391245791245838</c:v>
                </c:pt>
                <c:pt idx="279">
                  <c:v>0.95391245791245838</c:v>
                </c:pt>
                <c:pt idx="280">
                  <c:v>0.95391245791245838</c:v>
                </c:pt>
                <c:pt idx="281">
                  <c:v>0.95391245791245838</c:v>
                </c:pt>
                <c:pt idx="282">
                  <c:v>0.95391245791245838</c:v>
                </c:pt>
                <c:pt idx="283">
                  <c:v>0.95391245791245838</c:v>
                </c:pt>
                <c:pt idx="284">
                  <c:v>0.95391245791245838</c:v>
                </c:pt>
                <c:pt idx="285">
                  <c:v>0.95391245791245838</c:v>
                </c:pt>
                <c:pt idx="286">
                  <c:v>0.95391245791245838</c:v>
                </c:pt>
                <c:pt idx="287">
                  <c:v>0.95391245791245838</c:v>
                </c:pt>
                <c:pt idx="288">
                  <c:v>0.95391245791245838</c:v>
                </c:pt>
                <c:pt idx="289">
                  <c:v>0.95391245791245838</c:v>
                </c:pt>
                <c:pt idx="290">
                  <c:v>0.95391245791245838</c:v>
                </c:pt>
                <c:pt idx="291">
                  <c:v>0.95391245791245838</c:v>
                </c:pt>
                <c:pt idx="292">
                  <c:v>0.95391245791245838</c:v>
                </c:pt>
                <c:pt idx="293">
                  <c:v>0.95391245791245838</c:v>
                </c:pt>
                <c:pt idx="294">
                  <c:v>0.95391245791245838</c:v>
                </c:pt>
                <c:pt idx="295">
                  <c:v>0.95391245791245838</c:v>
                </c:pt>
                <c:pt idx="296">
                  <c:v>0.95391245791245838</c:v>
                </c:pt>
                <c:pt idx="297">
                  <c:v>0.95391245791245838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F2-4CD5-9BFD-B47B27CB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TTV_SPC Individuals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TTV_SPC!$F$10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TTV_SPC!$F$11:$F$607</c:f>
              <c:numCache>
                <c:formatCode>0.000</c:formatCode>
                <c:ptCount val="597"/>
                <c:pt idx="0">
                  <c:v>0.32600000000000001</c:v>
                </c:pt>
                <c:pt idx="1">
                  <c:v>0.49299999999999999</c:v>
                </c:pt>
                <c:pt idx="2">
                  <c:v>0.27400000000000002</c:v>
                </c:pt>
                <c:pt idx="3">
                  <c:v>0.156</c:v>
                </c:pt>
                <c:pt idx="4">
                  <c:v>0.25800000000000001</c:v>
                </c:pt>
                <c:pt idx="5">
                  <c:v>0.153</c:v>
                </c:pt>
                <c:pt idx="6">
                  <c:v>0.38600000000000001</c:v>
                </c:pt>
                <c:pt idx="7">
                  <c:v>0.36299999999999999</c:v>
                </c:pt>
                <c:pt idx="8">
                  <c:v>0.20899999999999999</c:v>
                </c:pt>
                <c:pt idx="9">
                  <c:v>0.16900000000000001</c:v>
                </c:pt>
                <c:pt idx="10">
                  <c:v>0.46</c:v>
                </c:pt>
                <c:pt idx="11">
                  <c:v>0.4</c:v>
                </c:pt>
                <c:pt idx="12">
                  <c:v>0.33600000000000002</c:v>
                </c:pt>
                <c:pt idx="13">
                  <c:v>0.50800000000000001</c:v>
                </c:pt>
                <c:pt idx="14">
                  <c:v>0.59199999999999997</c:v>
                </c:pt>
                <c:pt idx="15">
                  <c:v>0.32900000000000001</c:v>
                </c:pt>
                <c:pt idx="16">
                  <c:v>0.24</c:v>
                </c:pt>
                <c:pt idx="17">
                  <c:v>7.3999999999999996E-2</c:v>
                </c:pt>
                <c:pt idx="18">
                  <c:v>0.36099999999999999</c:v>
                </c:pt>
                <c:pt idx="19">
                  <c:v>0.312</c:v>
                </c:pt>
                <c:pt idx="20">
                  <c:v>0.36099999999999999</c:v>
                </c:pt>
                <c:pt idx="21">
                  <c:v>0.23</c:v>
                </c:pt>
                <c:pt idx="22">
                  <c:v>0.28199999999999997</c:v>
                </c:pt>
                <c:pt idx="23">
                  <c:v>0.20699999999999999</c:v>
                </c:pt>
                <c:pt idx="24">
                  <c:v>0.34799999999999998</c:v>
                </c:pt>
                <c:pt idx="25">
                  <c:v>0.26700000000000002</c:v>
                </c:pt>
                <c:pt idx="26">
                  <c:v>0.28299999999999997</c:v>
                </c:pt>
                <c:pt idx="27">
                  <c:v>0.19</c:v>
                </c:pt>
                <c:pt idx="28">
                  <c:v>0.19900000000000001</c:v>
                </c:pt>
                <c:pt idx="29">
                  <c:v>0.37</c:v>
                </c:pt>
                <c:pt idx="30">
                  <c:v>0.155</c:v>
                </c:pt>
                <c:pt idx="31">
                  <c:v>0.48199999999999998</c:v>
                </c:pt>
                <c:pt idx="32">
                  <c:v>0.23799999999999999</c:v>
                </c:pt>
                <c:pt idx="33">
                  <c:v>0.20699999999999999</c:v>
                </c:pt>
                <c:pt idx="34">
                  <c:v>0.247</c:v>
                </c:pt>
                <c:pt idx="35">
                  <c:v>0.30099999999999999</c:v>
                </c:pt>
                <c:pt idx="36">
                  <c:v>0.36899999999999999</c:v>
                </c:pt>
                <c:pt idx="37">
                  <c:v>0.29699999999999999</c:v>
                </c:pt>
                <c:pt idx="38">
                  <c:v>0.33</c:v>
                </c:pt>
                <c:pt idx="39">
                  <c:v>0.39</c:v>
                </c:pt>
                <c:pt idx="40">
                  <c:v>0.245</c:v>
                </c:pt>
                <c:pt idx="41">
                  <c:v>0.40200000000000002</c:v>
                </c:pt>
                <c:pt idx="42">
                  <c:v>0.251</c:v>
                </c:pt>
                <c:pt idx="43">
                  <c:v>0.32100000000000001</c:v>
                </c:pt>
                <c:pt idx="44">
                  <c:v>0.312</c:v>
                </c:pt>
                <c:pt idx="45">
                  <c:v>0.32800000000000001</c:v>
                </c:pt>
                <c:pt idx="46">
                  <c:v>0.33900000000000002</c:v>
                </c:pt>
                <c:pt idx="47">
                  <c:v>0.34699999999999998</c:v>
                </c:pt>
                <c:pt idx="48">
                  <c:v>0.23200000000000001</c:v>
                </c:pt>
                <c:pt idx="49">
                  <c:v>0.29499999999999998</c:v>
                </c:pt>
                <c:pt idx="50">
                  <c:v>0.33800000000000002</c:v>
                </c:pt>
                <c:pt idx="51">
                  <c:v>0.29599999999999999</c:v>
                </c:pt>
                <c:pt idx="52">
                  <c:v>0.308</c:v>
                </c:pt>
                <c:pt idx="53">
                  <c:v>0.252</c:v>
                </c:pt>
                <c:pt idx="54">
                  <c:v>0.26400000000000001</c:v>
                </c:pt>
                <c:pt idx="55">
                  <c:v>0.55800000000000005</c:v>
                </c:pt>
                <c:pt idx="56">
                  <c:v>0.29799999999999999</c:v>
                </c:pt>
                <c:pt idx="57">
                  <c:v>0.23699999999999999</c:v>
                </c:pt>
                <c:pt idx="58">
                  <c:v>0.29499999999999998</c:v>
                </c:pt>
                <c:pt idx="59">
                  <c:v>0.59099999999999997</c:v>
                </c:pt>
                <c:pt idx="60">
                  <c:v>0.54700000000000004</c:v>
                </c:pt>
                <c:pt idx="61">
                  <c:v>0.44900000000000001</c:v>
                </c:pt>
                <c:pt idx="62">
                  <c:v>0.22</c:v>
                </c:pt>
                <c:pt idx="63">
                  <c:v>0.28299999999999997</c:v>
                </c:pt>
                <c:pt idx="64">
                  <c:v>0.23899999999999999</c:v>
                </c:pt>
                <c:pt idx="65">
                  <c:v>0.18099999999999999</c:v>
                </c:pt>
                <c:pt idx="66">
                  <c:v>0.191</c:v>
                </c:pt>
                <c:pt idx="67">
                  <c:v>9.4E-2</c:v>
                </c:pt>
                <c:pt idx="68">
                  <c:v>0.13100000000000001</c:v>
                </c:pt>
                <c:pt idx="69">
                  <c:v>0.2</c:v>
                </c:pt>
                <c:pt idx="70">
                  <c:v>0.30399999999999999</c:v>
                </c:pt>
                <c:pt idx="71">
                  <c:v>0.36699999999999999</c:v>
                </c:pt>
                <c:pt idx="72">
                  <c:v>0.29899999999999999</c:v>
                </c:pt>
                <c:pt idx="73">
                  <c:v>0.23400000000000001</c:v>
                </c:pt>
                <c:pt idx="74">
                  <c:v>0.54200000000000004</c:v>
                </c:pt>
                <c:pt idx="75">
                  <c:v>0.42</c:v>
                </c:pt>
                <c:pt idx="76">
                  <c:v>0.41599999999999998</c:v>
                </c:pt>
                <c:pt idx="77">
                  <c:v>0.38100000000000001</c:v>
                </c:pt>
                <c:pt idx="78">
                  <c:v>0.16500000000000001</c:v>
                </c:pt>
                <c:pt idx="79">
                  <c:v>0.189</c:v>
                </c:pt>
                <c:pt idx="80">
                  <c:v>0.504</c:v>
                </c:pt>
                <c:pt idx="81">
                  <c:v>0.439</c:v>
                </c:pt>
                <c:pt idx="82">
                  <c:v>0.16400000000000001</c:v>
                </c:pt>
                <c:pt idx="83">
                  <c:v>0.35699999999999998</c:v>
                </c:pt>
                <c:pt idx="84">
                  <c:v>0.188</c:v>
                </c:pt>
                <c:pt idx="85">
                  <c:v>0.441</c:v>
                </c:pt>
                <c:pt idx="86">
                  <c:v>0.36899999999999999</c:v>
                </c:pt>
                <c:pt idx="87">
                  <c:v>0.35</c:v>
                </c:pt>
                <c:pt idx="88">
                  <c:v>0.245</c:v>
                </c:pt>
                <c:pt idx="89">
                  <c:v>0.17399999999999999</c:v>
                </c:pt>
                <c:pt idx="90">
                  <c:v>0.24</c:v>
                </c:pt>
                <c:pt idx="91">
                  <c:v>0.17599999999999999</c:v>
                </c:pt>
                <c:pt idx="92">
                  <c:v>8.5999999999999993E-2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0.38300000000000001</c:v>
                </c:pt>
                <c:pt idx="96">
                  <c:v>0.40200000000000002</c:v>
                </c:pt>
                <c:pt idx="97">
                  <c:v>0.57999999999999996</c:v>
                </c:pt>
                <c:pt idx="98">
                  <c:v>0.35199999999999998</c:v>
                </c:pt>
                <c:pt idx="99">
                  <c:v>0.28299999999999997</c:v>
                </c:pt>
                <c:pt idx="100">
                  <c:v>0.20899999999999999</c:v>
                </c:pt>
                <c:pt idx="101">
                  <c:v>0.27</c:v>
                </c:pt>
                <c:pt idx="102">
                  <c:v>0.22</c:v>
                </c:pt>
                <c:pt idx="103">
                  <c:v>0.502</c:v>
                </c:pt>
                <c:pt idx="104">
                  <c:v>0.20499999999999999</c:v>
                </c:pt>
                <c:pt idx="105">
                  <c:v>8.1000000000000003E-2</c:v>
                </c:pt>
                <c:pt idx="106">
                  <c:v>0.308</c:v>
                </c:pt>
                <c:pt idx="107">
                  <c:v>0.41199999999999998</c:v>
                </c:pt>
                <c:pt idx="108">
                  <c:v>0.57899999999999996</c:v>
                </c:pt>
                <c:pt idx="109">
                  <c:v>0.497</c:v>
                </c:pt>
                <c:pt idx="110">
                  <c:v>0.373</c:v>
                </c:pt>
                <c:pt idx="111">
                  <c:v>0.20699999999999999</c:v>
                </c:pt>
                <c:pt idx="112">
                  <c:v>0.46500000000000002</c:v>
                </c:pt>
                <c:pt idx="113">
                  <c:v>0.379</c:v>
                </c:pt>
                <c:pt idx="114">
                  <c:v>0.317</c:v>
                </c:pt>
                <c:pt idx="115">
                  <c:v>0.57399999999999995</c:v>
                </c:pt>
                <c:pt idx="116">
                  <c:v>0.51100000000000001</c:v>
                </c:pt>
                <c:pt idx="117">
                  <c:v>0.25800000000000001</c:v>
                </c:pt>
                <c:pt idx="118">
                  <c:v>0.49299999999999999</c:v>
                </c:pt>
                <c:pt idx="119">
                  <c:v>0.61599999999999999</c:v>
                </c:pt>
                <c:pt idx="120">
                  <c:v>0.23100000000000001</c:v>
                </c:pt>
                <c:pt idx="121">
                  <c:v>0.216</c:v>
                </c:pt>
                <c:pt idx="122">
                  <c:v>0.34</c:v>
                </c:pt>
                <c:pt idx="123">
                  <c:v>0.25600000000000001</c:v>
                </c:pt>
                <c:pt idx="124">
                  <c:v>0.48</c:v>
                </c:pt>
                <c:pt idx="125">
                  <c:v>0.56699999999999995</c:v>
                </c:pt>
                <c:pt idx="126">
                  <c:v>0.21299999999999999</c:v>
                </c:pt>
                <c:pt idx="127">
                  <c:v>0.14199999999999999</c:v>
                </c:pt>
                <c:pt idx="128">
                  <c:v>0.17899999999999999</c:v>
                </c:pt>
                <c:pt idx="129">
                  <c:v>0.41799999999999998</c:v>
                </c:pt>
                <c:pt idx="130">
                  <c:v>0.26</c:v>
                </c:pt>
                <c:pt idx="131">
                  <c:v>0.17299999999999999</c:v>
                </c:pt>
                <c:pt idx="132">
                  <c:v>0.221</c:v>
                </c:pt>
                <c:pt idx="133">
                  <c:v>0.35699999999999998</c:v>
                </c:pt>
                <c:pt idx="134">
                  <c:v>0.38</c:v>
                </c:pt>
                <c:pt idx="135">
                  <c:v>0.33400000000000002</c:v>
                </c:pt>
                <c:pt idx="136">
                  <c:v>0.27</c:v>
                </c:pt>
                <c:pt idx="137">
                  <c:v>0.378</c:v>
                </c:pt>
                <c:pt idx="138">
                  <c:v>0.39600000000000002</c:v>
                </c:pt>
                <c:pt idx="139">
                  <c:v>8.7999999999999995E-2</c:v>
                </c:pt>
                <c:pt idx="140">
                  <c:v>0.435</c:v>
                </c:pt>
                <c:pt idx="141">
                  <c:v>0.39500000000000002</c:v>
                </c:pt>
                <c:pt idx="142">
                  <c:v>0.23400000000000001</c:v>
                </c:pt>
                <c:pt idx="143">
                  <c:v>0.311</c:v>
                </c:pt>
                <c:pt idx="144">
                  <c:v>0.123</c:v>
                </c:pt>
                <c:pt idx="145">
                  <c:v>0.222</c:v>
                </c:pt>
                <c:pt idx="146">
                  <c:v>0.51200000000000001</c:v>
                </c:pt>
                <c:pt idx="147">
                  <c:v>0.34</c:v>
                </c:pt>
                <c:pt idx="148">
                  <c:v>0.219</c:v>
                </c:pt>
                <c:pt idx="149">
                  <c:v>0.318</c:v>
                </c:pt>
                <c:pt idx="150">
                  <c:v>0.25900000000000001</c:v>
                </c:pt>
                <c:pt idx="151">
                  <c:v>0.254</c:v>
                </c:pt>
                <c:pt idx="152">
                  <c:v>0.49199999999999999</c:v>
                </c:pt>
                <c:pt idx="153">
                  <c:v>0.13700000000000001</c:v>
                </c:pt>
                <c:pt idx="154">
                  <c:v>0.23300000000000001</c:v>
                </c:pt>
                <c:pt idx="155">
                  <c:v>0.29899999999999999</c:v>
                </c:pt>
                <c:pt idx="156">
                  <c:v>0.10299999999999999</c:v>
                </c:pt>
                <c:pt idx="157">
                  <c:v>0.14499999999999999</c:v>
                </c:pt>
                <c:pt idx="158">
                  <c:v>0.40500000000000003</c:v>
                </c:pt>
                <c:pt idx="159">
                  <c:v>0.40799999999999997</c:v>
                </c:pt>
                <c:pt idx="160">
                  <c:v>0.16200000000000001</c:v>
                </c:pt>
                <c:pt idx="161">
                  <c:v>0.15</c:v>
                </c:pt>
                <c:pt idx="162">
                  <c:v>0.55100000000000005</c:v>
                </c:pt>
                <c:pt idx="163">
                  <c:v>0.246</c:v>
                </c:pt>
                <c:pt idx="164">
                  <c:v>0.46600000000000003</c:v>
                </c:pt>
                <c:pt idx="165">
                  <c:v>0.42299999999999999</c:v>
                </c:pt>
                <c:pt idx="166">
                  <c:v>0.33500000000000002</c:v>
                </c:pt>
                <c:pt idx="167">
                  <c:v>1.1080000000000001</c:v>
                </c:pt>
                <c:pt idx="168">
                  <c:v>0.36099999999999999</c:v>
                </c:pt>
                <c:pt idx="169">
                  <c:v>0.13700000000000001</c:v>
                </c:pt>
                <c:pt idx="170">
                  <c:v>0.47499999999999998</c:v>
                </c:pt>
                <c:pt idx="171">
                  <c:v>0.41799999999999998</c:v>
                </c:pt>
                <c:pt idx="172">
                  <c:v>0.114</c:v>
                </c:pt>
                <c:pt idx="173">
                  <c:v>0.23499999999999999</c:v>
                </c:pt>
                <c:pt idx="174">
                  <c:v>0.497</c:v>
                </c:pt>
                <c:pt idx="175">
                  <c:v>0.27200000000000002</c:v>
                </c:pt>
                <c:pt idx="176">
                  <c:v>0.19800000000000001</c:v>
                </c:pt>
                <c:pt idx="177">
                  <c:v>0.20899999999999999</c:v>
                </c:pt>
                <c:pt idx="178">
                  <c:v>0.44</c:v>
                </c:pt>
                <c:pt idx="179">
                  <c:v>0.35199999999999998</c:v>
                </c:pt>
                <c:pt idx="180">
                  <c:v>0.35099999999999998</c:v>
                </c:pt>
                <c:pt idx="181">
                  <c:v>0.50600000000000001</c:v>
                </c:pt>
                <c:pt idx="182">
                  <c:v>0.27600000000000002</c:v>
                </c:pt>
                <c:pt idx="183">
                  <c:v>0.26500000000000001</c:v>
                </c:pt>
                <c:pt idx="184">
                  <c:v>8.8999999999999996E-2</c:v>
                </c:pt>
                <c:pt idx="185">
                  <c:v>0.307</c:v>
                </c:pt>
                <c:pt idx="186">
                  <c:v>0.34300000000000003</c:v>
                </c:pt>
                <c:pt idx="187">
                  <c:v>0.184</c:v>
                </c:pt>
                <c:pt idx="188">
                  <c:v>0.36699999999999999</c:v>
                </c:pt>
                <c:pt idx="189">
                  <c:v>0.35099999999999998</c:v>
                </c:pt>
                <c:pt idx="190">
                  <c:v>0.34699999999999998</c:v>
                </c:pt>
                <c:pt idx="191">
                  <c:v>0.28799999999999998</c:v>
                </c:pt>
                <c:pt idx="192">
                  <c:v>0.502</c:v>
                </c:pt>
                <c:pt idx="193">
                  <c:v>0.219</c:v>
                </c:pt>
                <c:pt idx="194">
                  <c:v>0.35599999999999998</c:v>
                </c:pt>
                <c:pt idx="195">
                  <c:v>0.16800000000000001</c:v>
                </c:pt>
                <c:pt idx="196">
                  <c:v>0.61699999999999999</c:v>
                </c:pt>
                <c:pt idx="197">
                  <c:v>0.65200000000000002</c:v>
                </c:pt>
                <c:pt idx="198">
                  <c:v>0.60499999999999998</c:v>
                </c:pt>
                <c:pt idx="199">
                  <c:v>0.16700000000000001</c:v>
                </c:pt>
                <c:pt idx="200">
                  <c:v>0.317</c:v>
                </c:pt>
                <c:pt idx="201">
                  <c:v>0.27400000000000002</c:v>
                </c:pt>
                <c:pt idx="202">
                  <c:v>0.442</c:v>
                </c:pt>
                <c:pt idx="203">
                  <c:v>0.34300000000000003</c:v>
                </c:pt>
                <c:pt idx="204">
                  <c:v>0.33400000000000002</c:v>
                </c:pt>
                <c:pt idx="205">
                  <c:v>0.44400000000000001</c:v>
                </c:pt>
                <c:pt idx="206">
                  <c:v>0.30299999999999999</c:v>
                </c:pt>
                <c:pt idx="207">
                  <c:v>0.34200000000000003</c:v>
                </c:pt>
                <c:pt idx="208">
                  <c:v>0.29499999999999998</c:v>
                </c:pt>
                <c:pt idx="209">
                  <c:v>0.29099999999999998</c:v>
                </c:pt>
                <c:pt idx="210">
                  <c:v>0.43</c:v>
                </c:pt>
                <c:pt idx="211">
                  <c:v>0.33200000000000002</c:v>
                </c:pt>
                <c:pt idx="212">
                  <c:v>0.26</c:v>
                </c:pt>
                <c:pt idx="213">
                  <c:v>0.371</c:v>
                </c:pt>
                <c:pt idx="214">
                  <c:v>0.154</c:v>
                </c:pt>
                <c:pt idx="215">
                  <c:v>0.11799999999999999</c:v>
                </c:pt>
                <c:pt idx="216">
                  <c:v>0.25600000000000001</c:v>
                </c:pt>
                <c:pt idx="217">
                  <c:v>0.23699999999999999</c:v>
                </c:pt>
                <c:pt idx="218">
                  <c:v>0.17899999999999999</c:v>
                </c:pt>
                <c:pt idx="219">
                  <c:v>0.19500000000000001</c:v>
                </c:pt>
                <c:pt idx="220">
                  <c:v>0.24399999999999999</c:v>
                </c:pt>
                <c:pt idx="221">
                  <c:v>0.246</c:v>
                </c:pt>
                <c:pt idx="222">
                  <c:v>0.218</c:v>
                </c:pt>
                <c:pt idx="223">
                  <c:v>0.19</c:v>
                </c:pt>
                <c:pt idx="224">
                  <c:v>0.29899999999999999</c:v>
                </c:pt>
                <c:pt idx="225">
                  <c:v>0.44400000000000001</c:v>
                </c:pt>
                <c:pt idx="226">
                  <c:v>0.252</c:v>
                </c:pt>
                <c:pt idx="227">
                  <c:v>0.48699999999999999</c:v>
                </c:pt>
                <c:pt idx="228">
                  <c:v>0.28899999999999998</c:v>
                </c:pt>
                <c:pt idx="229">
                  <c:v>0.34300000000000003</c:v>
                </c:pt>
                <c:pt idx="230">
                  <c:v>0.19700000000000001</c:v>
                </c:pt>
                <c:pt idx="231">
                  <c:v>0.47499999999999998</c:v>
                </c:pt>
                <c:pt idx="232">
                  <c:v>0.48699999999999999</c:v>
                </c:pt>
                <c:pt idx="233">
                  <c:v>0.39500000000000002</c:v>
                </c:pt>
                <c:pt idx="234">
                  <c:v>0.56499999999999995</c:v>
                </c:pt>
                <c:pt idx="235">
                  <c:v>0.182</c:v>
                </c:pt>
                <c:pt idx="236">
                  <c:v>0.44</c:v>
                </c:pt>
                <c:pt idx="237">
                  <c:v>0.309</c:v>
                </c:pt>
                <c:pt idx="238">
                  <c:v>0.29199999999999998</c:v>
                </c:pt>
                <c:pt idx="239">
                  <c:v>0.14399999999999999</c:v>
                </c:pt>
                <c:pt idx="240">
                  <c:v>0.32900000000000001</c:v>
                </c:pt>
                <c:pt idx="241">
                  <c:v>0.22600000000000001</c:v>
                </c:pt>
                <c:pt idx="242">
                  <c:v>0.30099999999999999</c:v>
                </c:pt>
                <c:pt idx="243">
                  <c:v>0.245</c:v>
                </c:pt>
                <c:pt idx="244">
                  <c:v>0.17499999999999999</c:v>
                </c:pt>
                <c:pt idx="245">
                  <c:v>0.16500000000000001</c:v>
                </c:pt>
                <c:pt idx="246">
                  <c:v>0.14899999999999999</c:v>
                </c:pt>
                <c:pt idx="247">
                  <c:v>0.33500000000000002</c:v>
                </c:pt>
                <c:pt idx="248">
                  <c:v>0.27400000000000002</c:v>
                </c:pt>
                <c:pt idx="249">
                  <c:v>0.188</c:v>
                </c:pt>
                <c:pt idx="250">
                  <c:v>0.19600000000000001</c:v>
                </c:pt>
                <c:pt idx="251">
                  <c:v>0.312</c:v>
                </c:pt>
                <c:pt idx="252">
                  <c:v>0.45800000000000002</c:v>
                </c:pt>
                <c:pt idx="253">
                  <c:v>0.27400000000000002</c:v>
                </c:pt>
                <c:pt idx="254">
                  <c:v>0.89200000000000002</c:v>
                </c:pt>
                <c:pt idx="255">
                  <c:v>0.495</c:v>
                </c:pt>
                <c:pt idx="256">
                  <c:v>0.17699999999999999</c:v>
                </c:pt>
                <c:pt idx="257">
                  <c:v>0.35599999999999998</c:v>
                </c:pt>
                <c:pt idx="258">
                  <c:v>0.19600000000000001</c:v>
                </c:pt>
                <c:pt idx="259">
                  <c:v>0.47499999999999998</c:v>
                </c:pt>
                <c:pt idx="260">
                  <c:v>0.188</c:v>
                </c:pt>
                <c:pt idx="261">
                  <c:v>0.124</c:v>
                </c:pt>
                <c:pt idx="262">
                  <c:v>0.40300000000000002</c:v>
                </c:pt>
                <c:pt idx="263">
                  <c:v>0.34799999999999998</c:v>
                </c:pt>
                <c:pt idx="264">
                  <c:v>0.26200000000000001</c:v>
                </c:pt>
                <c:pt idx="265">
                  <c:v>0.24</c:v>
                </c:pt>
                <c:pt idx="266">
                  <c:v>3.5999999999999997E-2</c:v>
                </c:pt>
                <c:pt idx="267">
                  <c:v>0.65500000000000003</c:v>
                </c:pt>
                <c:pt idx="268">
                  <c:v>0.193</c:v>
                </c:pt>
                <c:pt idx="269">
                  <c:v>0.376</c:v>
                </c:pt>
                <c:pt idx="270">
                  <c:v>0.438</c:v>
                </c:pt>
                <c:pt idx="271">
                  <c:v>0.32300000000000001</c:v>
                </c:pt>
                <c:pt idx="272">
                  <c:v>0.24099999999999999</c:v>
                </c:pt>
                <c:pt idx="273">
                  <c:v>0.33100000000000002</c:v>
                </c:pt>
                <c:pt idx="274">
                  <c:v>0.43</c:v>
                </c:pt>
                <c:pt idx="275">
                  <c:v>0.23899999999999999</c:v>
                </c:pt>
                <c:pt idx="276">
                  <c:v>0.21299999999999999</c:v>
                </c:pt>
                <c:pt idx="277">
                  <c:v>0.15</c:v>
                </c:pt>
                <c:pt idx="278">
                  <c:v>0.154</c:v>
                </c:pt>
                <c:pt idx="279">
                  <c:v>0.17599999999999999</c:v>
                </c:pt>
                <c:pt idx="280">
                  <c:v>0.2</c:v>
                </c:pt>
                <c:pt idx="281">
                  <c:v>0.33600000000000002</c:v>
                </c:pt>
                <c:pt idx="282">
                  <c:v>0.28699999999999998</c:v>
                </c:pt>
                <c:pt idx="283">
                  <c:v>0.38600000000000001</c:v>
                </c:pt>
                <c:pt idx="284">
                  <c:v>0.27700000000000002</c:v>
                </c:pt>
                <c:pt idx="285">
                  <c:v>0.36899999999999999</c:v>
                </c:pt>
                <c:pt idx="286">
                  <c:v>0.33500000000000002</c:v>
                </c:pt>
                <c:pt idx="287">
                  <c:v>0.248</c:v>
                </c:pt>
                <c:pt idx="288">
                  <c:v>0.24</c:v>
                </c:pt>
                <c:pt idx="289">
                  <c:v>0.249</c:v>
                </c:pt>
                <c:pt idx="290">
                  <c:v>0.17899999999999999</c:v>
                </c:pt>
                <c:pt idx="291">
                  <c:v>0.17299999999999999</c:v>
                </c:pt>
                <c:pt idx="292">
                  <c:v>0.66700000000000004</c:v>
                </c:pt>
                <c:pt idx="293">
                  <c:v>0.35099999999999998</c:v>
                </c:pt>
                <c:pt idx="294">
                  <c:v>0.501</c:v>
                </c:pt>
                <c:pt idx="295">
                  <c:v>0.48699999999999999</c:v>
                </c:pt>
                <c:pt idx="296">
                  <c:v>0.372</c:v>
                </c:pt>
                <c:pt idx="297">
                  <c:v>0.52900000000000003</c:v>
                </c:pt>
                <c:pt idx="298">
                  <c:v>0.46899999999999997</c:v>
                </c:pt>
                <c:pt idx="299">
                  <c:v>0.499</c:v>
                </c:pt>
                <c:pt idx="300">
                  <c:v>0.53400000000000003</c:v>
                </c:pt>
                <c:pt idx="301">
                  <c:v>0.51900000000000002</c:v>
                </c:pt>
                <c:pt idx="302">
                  <c:v>0.51600000000000001</c:v>
                </c:pt>
                <c:pt idx="303">
                  <c:v>0.245</c:v>
                </c:pt>
                <c:pt idx="304">
                  <c:v>0.44900000000000001</c:v>
                </c:pt>
                <c:pt idx="305">
                  <c:v>0.19900000000000001</c:v>
                </c:pt>
                <c:pt idx="306">
                  <c:v>0.249</c:v>
                </c:pt>
                <c:pt idx="307">
                  <c:v>0.36499999999999999</c:v>
                </c:pt>
                <c:pt idx="308">
                  <c:v>0.38400000000000001</c:v>
                </c:pt>
                <c:pt idx="309">
                  <c:v>0.155</c:v>
                </c:pt>
                <c:pt idx="310">
                  <c:v>0.59799999999999998</c:v>
                </c:pt>
                <c:pt idx="311">
                  <c:v>0.16300000000000001</c:v>
                </c:pt>
                <c:pt idx="312">
                  <c:v>0.35799999999999998</c:v>
                </c:pt>
                <c:pt idx="313">
                  <c:v>0.433</c:v>
                </c:pt>
                <c:pt idx="314">
                  <c:v>0.68300000000000005</c:v>
                </c:pt>
                <c:pt idx="315">
                  <c:v>0.28599999999999998</c:v>
                </c:pt>
                <c:pt idx="316">
                  <c:v>0.83399999999999996</c:v>
                </c:pt>
                <c:pt idx="317">
                  <c:v>0.28499999999999998</c:v>
                </c:pt>
                <c:pt idx="318">
                  <c:v>0.82799999999999996</c:v>
                </c:pt>
                <c:pt idx="319">
                  <c:v>0.19</c:v>
                </c:pt>
                <c:pt idx="320">
                  <c:v>0.308</c:v>
                </c:pt>
                <c:pt idx="321">
                  <c:v>0.20799999999999999</c:v>
                </c:pt>
                <c:pt idx="322">
                  <c:v>0.55400000000000005</c:v>
                </c:pt>
                <c:pt idx="323">
                  <c:v>0.34899999999999998</c:v>
                </c:pt>
                <c:pt idx="324">
                  <c:v>0.17199999999999999</c:v>
                </c:pt>
                <c:pt idx="325">
                  <c:v>0.4</c:v>
                </c:pt>
                <c:pt idx="326">
                  <c:v>0.42599999999999999</c:v>
                </c:pt>
                <c:pt idx="327">
                  <c:v>0.22700000000000001</c:v>
                </c:pt>
                <c:pt idx="328">
                  <c:v>0.30099999999999999</c:v>
                </c:pt>
                <c:pt idx="329">
                  <c:v>0.376</c:v>
                </c:pt>
                <c:pt idx="330">
                  <c:v>0.28999999999999998</c:v>
                </c:pt>
                <c:pt idx="331">
                  <c:v>0.29799999999999999</c:v>
                </c:pt>
                <c:pt idx="332">
                  <c:v>0.27800000000000002</c:v>
                </c:pt>
                <c:pt idx="333">
                  <c:v>0.432</c:v>
                </c:pt>
                <c:pt idx="334">
                  <c:v>0.46300000000000002</c:v>
                </c:pt>
                <c:pt idx="335">
                  <c:v>0.90100000000000002</c:v>
                </c:pt>
                <c:pt idx="336">
                  <c:v>0.56200000000000006</c:v>
                </c:pt>
                <c:pt idx="337">
                  <c:v>0.375</c:v>
                </c:pt>
                <c:pt idx="338">
                  <c:v>0.26</c:v>
                </c:pt>
                <c:pt idx="339">
                  <c:v>0.373</c:v>
                </c:pt>
                <c:pt idx="340">
                  <c:v>0.373</c:v>
                </c:pt>
                <c:pt idx="341">
                  <c:v>0.435</c:v>
                </c:pt>
                <c:pt idx="342">
                  <c:v>0.53300000000000003</c:v>
                </c:pt>
                <c:pt idx="343">
                  <c:v>0.39600000000000002</c:v>
                </c:pt>
                <c:pt idx="344">
                  <c:v>0.40899999999999997</c:v>
                </c:pt>
                <c:pt idx="345">
                  <c:v>0.33500000000000002</c:v>
                </c:pt>
                <c:pt idx="346">
                  <c:v>0.374</c:v>
                </c:pt>
                <c:pt idx="347">
                  <c:v>0.44900000000000001</c:v>
                </c:pt>
                <c:pt idx="348">
                  <c:v>0.49199999999999999</c:v>
                </c:pt>
                <c:pt idx="349">
                  <c:v>0.45500000000000002</c:v>
                </c:pt>
                <c:pt idx="350">
                  <c:v>0.51</c:v>
                </c:pt>
                <c:pt idx="351">
                  <c:v>0.47399999999999998</c:v>
                </c:pt>
                <c:pt idx="352">
                  <c:v>0.18099999999999999</c:v>
                </c:pt>
                <c:pt idx="353">
                  <c:v>0.31900000000000001</c:v>
                </c:pt>
                <c:pt idx="354">
                  <c:v>0.314</c:v>
                </c:pt>
                <c:pt idx="355">
                  <c:v>0.111</c:v>
                </c:pt>
                <c:pt idx="356">
                  <c:v>0.46300000000000002</c:v>
                </c:pt>
                <c:pt idx="357">
                  <c:v>0.245</c:v>
                </c:pt>
                <c:pt idx="358">
                  <c:v>0.19700000000000001</c:v>
                </c:pt>
                <c:pt idx="359">
                  <c:v>0.36299999999999999</c:v>
                </c:pt>
                <c:pt idx="360">
                  <c:v>0.20599999999999999</c:v>
                </c:pt>
                <c:pt idx="361">
                  <c:v>0.53300000000000003</c:v>
                </c:pt>
                <c:pt idx="362">
                  <c:v>0.27</c:v>
                </c:pt>
                <c:pt idx="363">
                  <c:v>0.52400000000000002</c:v>
                </c:pt>
                <c:pt idx="364">
                  <c:v>0.625</c:v>
                </c:pt>
                <c:pt idx="365">
                  <c:v>0.41699999999999998</c:v>
                </c:pt>
                <c:pt idx="366">
                  <c:v>0.57199999999999995</c:v>
                </c:pt>
                <c:pt idx="367">
                  <c:v>0.31900000000000001</c:v>
                </c:pt>
                <c:pt idx="368">
                  <c:v>0.11600000000000001</c:v>
                </c:pt>
                <c:pt idx="369">
                  <c:v>0.191</c:v>
                </c:pt>
                <c:pt idx="370">
                  <c:v>0.10100000000000001</c:v>
                </c:pt>
                <c:pt idx="371">
                  <c:v>0.40699999999999997</c:v>
                </c:pt>
                <c:pt idx="372">
                  <c:v>0.49099999999999999</c:v>
                </c:pt>
                <c:pt idx="373">
                  <c:v>0.13100000000000001</c:v>
                </c:pt>
                <c:pt idx="374">
                  <c:v>0.33700000000000002</c:v>
                </c:pt>
                <c:pt idx="375">
                  <c:v>0.377</c:v>
                </c:pt>
                <c:pt idx="376">
                  <c:v>0.129</c:v>
                </c:pt>
                <c:pt idx="377">
                  <c:v>0.49099999999999999</c:v>
                </c:pt>
                <c:pt idx="378">
                  <c:v>0.184</c:v>
                </c:pt>
                <c:pt idx="379">
                  <c:v>0.53800000000000003</c:v>
                </c:pt>
                <c:pt idx="380">
                  <c:v>0.39200000000000002</c:v>
                </c:pt>
                <c:pt idx="381">
                  <c:v>9.6000000000000002E-2</c:v>
                </c:pt>
                <c:pt idx="382">
                  <c:v>0.127</c:v>
                </c:pt>
                <c:pt idx="383">
                  <c:v>0.13</c:v>
                </c:pt>
                <c:pt idx="384">
                  <c:v>0.16200000000000001</c:v>
                </c:pt>
                <c:pt idx="385">
                  <c:v>0.31900000000000001</c:v>
                </c:pt>
                <c:pt idx="386">
                  <c:v>0.20799999999999999</c:v>
                </c:pt>
                <c:pt idx="387">
                  <c:v>0.13600000000000001</c:v>
                </c:pt>
                <c:pt idx="388">
                  <c:v>0.57599999999999996</c:v>
                </c:pt>
                <c:pt idx="389">
                  <c:v>0.78</c:v>
                </c:pt>
                <c:pt idx="390">
                  <c:v>0.78</c:v>
                </c:pt>
                <c:pt idx="391">
                  <c:v>0.65100000000000002</c:v>
                </c:pt>
                <c:pt idx="392">
                  <c:v>0.752</c:v>
                </c:pt>
                <c:pt idx="393">
                  <c:v>0.371</c:v>
                </c:pt>
                <c:pt idx="394">
                  <c:v>0.41</c:v>
                </c:pt>
                <c:pt idx="395">
                  <c:v>5.7000000000000002E-2</c:v>
                </c:pt>
                <c:pt idx="396">
                  <c:v>0.27500000000000002</c:v>
                </c:pt>
                <c:pt idx="397">
                  <c:v>0.377</c:v>
                </c:pt>
                <c:pt idx="398">
                  <c:v>0.24199999999999999</c:v>
                </c:pt>
                <c:pt idx="399">
                  <c:v>0.29399999999999998</c:v>
                </c:pt>
                <c:pt idx="400">
                  <c:v>0.33300000000000002</c:v>
                </c:pt>
                <c:pt idx="401">
                  <c:v>0.63800000000000001</c:v>
                </c:pt>
                <c:pt idx="402">
                  <c:v>0.34399999999999997</c:v>
                </c:pt>
                <c:pt idx="403">
                  <c:v>0.26900000000000002</c:v>
                </c:pt>
                <c:pt idx="404">
                  <c:v>0.23799999999999999</c:v>
                </c:pt>
                <c:pt idx="405">
                  <c:v>0.21199999999999999</c:v>
                </c:pt>
                <c:pt idx="406">
                  <c:v>0.44900000000000001</c:v>
                </c:pt>
                <c:pt idx="407">
                  <c:v>0.499</c:v>
                </c:pt>
                <c:pt idx="408">
                  <c:v>0.316</c:v>
                </c:pt>
                <c:pt idx="409">
                  <c:v>0.16900000000000001</c:v>
                </c:pt>
                <c:pt idx="410">
                  <c:v>0.435</c:v>
                </c:pt>
                <c:pt idx="411">
                  <c:v>0.191</c:v>
                </c:pt>
                <c:pt idx="412">
                  <c:v>0.19900000000000001</c:v>
                </c:pt>
                <c:pt idx="413">
                  <c:v>0.23799999999999999</c:v>
                </c:pt>
                <c:pt idx="414">
                  <c:v>7.4999999999999997E-2</c:v>
                </c:pt>
                <c:pt idx="415">
                  <c:v>0.20200000000000001</c:v>
                </c:pt>
                <c:pt idx="416">
                  <c:v>0.38500000000000001</c:v>
                </c:pt>
                <c:pt idx="417">
                  <c:v>0.35299999999999998</c:v>
                </c:pt>
                <c:pt idx="418">
                  <c:v>0.501</c:v>
                </c:pt>
                <c:pt idx="419">
                  <c:v>0.253</c:v>
                </c:pt>
                <c:pt idx="420">
                  <c:v>0.34799999999999998</c:v>
                </c:pt>
                <c:pt idx="421">
                  <c:v>0.29299999999999998</c:v>
                </c:pt>
                <c:pt idx="422">
                  <c:v>0.191</c:v>
                </c:pt>
                <c:pt idx="423">
                  <c:v>0.16500000000000001</c:v>
                </c:pt>
                <c:pt idx="424">
                  <c:v>0.161</c:v>
                </c:pt>
                <c:pt idx="425">
                  <c:v>0.124</c:v>
                </c:pt>
                <c:pt idx="426">
                  <c:v>7.0000000000000007E-2</c:v>
                </c:pt>
                <c:pt idx="427">
                  <c:v>0.22500000000000001</c:v>
                </c:pt>
                <c:pt idx="428">
                  <c:v>0.23100000000000001</c:v>
                </c:pt>
                <c:pt idx="429">
                  <c:v>0.32900000000000001</c:v>
                </c:pt>
                <c:pt idx="430">
                  <c:v>0.109</c:v>
                </c:pt>
                <c:pt idx="431">
                  <c:v>0.624</c:v>
                </c:pt>
                <c:pt idx="432">
                  <c:v>0.38200000000000001</c:v>
                </c:pt>
                <c:pt idx="433">
                  <c:v>0.436</c:v>
                </c:pt>
                <c:pt idx="434">
                  <c:v>0.621</c:v>
                </c:pt>
                <c:pt idx="435">
                  <c:v>0.33100000000000002</c:v>
                </c:pt>
                <c:pt idx="436">
                  <c:v>0.33800000000000002</c:v>
                </c:pt>
                <c:pt idx="437">
                  <c:v>0.64700000000000002</c:v>
                </c:pt>
                <c:pt idx="438">
                  <c:v>0.38400000000000001</c:v>
                </c:pt>
                <c:pt idx="439">
                  <c:v>0.53400000000000003</c:v>
                </c:pt>
                <c:pt idx="440">
                  <c:v>0.49299999999999999</c:v>
                </c:pt>
                <c:pt idx="441">
                  <c:v>0.28699999999999998</c:v>
                </c:pt>
                <c:pt idx="442">
                  <c:v>0.19700000000000001</c:v>
                </c:pt>
                <c:pt idx="443">
                  <c:v>0.30499999999999999</c:v>
                </c:pt>
                <c:pt idx="444">
                  <c:v>0.49099999999999999</c:v>
                </c:pt>
                <c:pt idx="445">
                  <c:v>0.28399999999999997</c:v>
                </c:pt>
                <c:pt idx="446">
                  <c:v>0.54400000000000004</c:v>
                </c:pt>
                <c:pt idx="447">
                  <c:v>0.13800000000000001</c:v>
                </c:pt>
                <c:pt idx="448">
                  <c:v>0.21099999999999999</c:v>
                </c:pt>
                <c:pt idx="449">
                  <c:v>0.251</c:v>
                </c:pt>
                <c:pt idx="450">
                  <c:v>0.27400000000000002</c:v>
                </c:pt>
                <c:pt idx="451">
                  <c:v>0.14399999999999999</c:v>
                </c:pt>
                <c:pt idx="452">
                  <c:v>0.106</c:v>
                </c:pt>
                <c:pt idx="453">
                  <c:v>0.24199999999999999</c:v>
                </c:pt>
                <c:pt idx="454">
                  <c:v>0.308</c:v>
                </c:pt>
                <c:pt idx="455">
                  <c:v>0.28899999999999998</c:v>
                </c:pt>
                <c:pt idx="456">
                  <c:v>0.32200000000000001</c:v>
                </c:pt>
                <c:pt idx="457">
                  <c:v>0.17499999999999999</c:v>
                </c:pt>
                <c:pt idx="458">
                  <c:v>0.245</c:v>
                </c:pt>
                <c:pt idx="459">
                  <c:v>0.26600000000000001</c:v>
                </c:pt>
                <c:pt idx="460">
                  <c:v>0.27600000000000002</c:v>
                </c:pt>
                <c:pt idx="461">
                  <c:v>0.18099999999999999</c:v>
                </c:pt>
                <c:pt idx="462">
                  <c:v>0.29799999999999999</c:v>
                </c:pt>
                <c:pt idx="463">
                  <c:v>0.23699999999999999</c:v>
                </c:pt>
                <c:pt idx="464">
                  <c:v>0.24199999999999999</c:v>
                </c:pt>
                <c:pt idx="465">
                  <c:v>0.23599999999999999</c:v>
                </c:pt>
                <c:pt idx="466">
                  <c:v>0.38400000000000001</c:v>
                </c:pt>
                <c:pt idx="467">
                  <c:v>0.48099999999999998</c:v>
                </c:pt>
                <c:pt idx="468">
                  <c:v>0.114</c:v>
                </c:pt>
                <c:pt idx="469">
                  <c:v>0.34799999999999998</c:v>
                </c:pt>
                <c:pt idx="470">
                  <c:v>0.34499999999999997</c:v>
                </c:pt>
                <c:pt idx="471">
                  <c:v>0.122</c:v>
                </c:pt>
                <c:pt idx="472">
                  <c:v>0.40600000000000003</c:v>
                </c:pt>
                <c:pt idx="473">
                  <c:v>0.495</c:v>
                </c:pt>
                <c:pt idx="474">
                  <c:v>0.439</c:v>
                </c:pt>
                <c:pt idx="475">
                  <c:v>0.14499999999999999</c:v>
                </c:pt>
                <c:pt idx="476">
                  <c:v>0.45800000000000002</c:v>
                </c:pt>
                <c:pt idx="477">
                  <c:v>0.53100000000000003</c:v>
                </c:pt>
                <c:pt idx="478">
                  <c:v>0.16800000000000001</c:v>
                </c:pt>
                <c:pt idx="479">
                  <c:v>0.19600000000000001</c:v>
                </c:pt>
                <c:pt idx="480">
                  <c:v>0.245</c:v>
                </c:pt>
                <c:pt idx="481">
                  <c:v>0.29599999999999999</c:v>
                </c:pt>
                <c:pt idx="482">
                  <c:v>0.35</c:v>
                </c:pt>
                <c:pt idx="483">
                  <c:v>0.20300000000000001</c:v>
                </c:pt>
                <c:pt idx="484">
                  <c:v>0.37</c:v>
                </c:pt>
                <c:pt idx="485">
                  <c:v>0.19700000000000001</c:v>
                </c:pt>
                <c:pt idx="486">
                  <c:v>0.29399999999999998</c:v>
                </c:pt>
                <c:pt idx="487">
                  <c:v>0.184</c:v>
                </c:pt>
                <c:pt idx="488">
                  <c:v>0.29399999999999998</c:v>
                </c:pt>
                <c:pt idx="489">
                  <c:v>0.39800000000000002</c:v>
                </c:pt>
                <c:pt idx="490">
                  <c:v>0.32500000000000001</c:v>
                </c:pt>
                <c:pt idx="491">
                  <c:v>0.18</c:v>
                </c:pt>
                <c:pt idx="492">
                  <c:v>6.9000000000000006E-2</c:v>
                </c:pt>
                <c:pt idx="493">
                  <c:v>0.34899999999999998</c:v>
                </c:pt>
                <c:pt idx="494">
                  <c:v>0.193</c:v>
                </c:pt>
                <c:pt idx="495">
                  <c:v>0.377</c:v>
                </c:pt>
                <c:pt idx="496">
                  <c:v>0.309</c:v>
                </c:pt>
                <c:pt idx="497">
                  <c:v>0.188</c:v>
                </c:pt>
                <c:pt idx="498">
                  <c:v>0.311</c:v>
                </c:pt>
                <c:pt idx="499">
                  <c:v>0.42899999999999999</c:v>
                </c:pt>
                <c:pt idx="500">
                  <c:v>0.23400000000000001</c:v>
                </c:pt>
                <c:pt idx="501">
                  <c:v>0.20300000000000001</c:v>
                </c:pt>
                <c:pt idx="502">
                  <c:v>0.59299999999999997</c:v>
                </c:pt>
                <c:pt idx="503">
                  <c:v>0.53300000000000003</c:v>
                </c:pt>
                <c:pt idx="504">
                  <c:v>0.308</c:v>
                </c:pt>
                <c:pt idx="505">
                  <c:v>0.67500000000000004</c:v>
                </c:pt>
                <c:pt idx="506">
                  <c:v>5.3999999999999999E-2</c:v>
                </c:pt>
                <c:pt idx="507">
                  <c:v>0.17399999999999999</c:v>
                </c:pt>
                <c:pt idx="508">
                  <c:v>0.218</c:v>
                </c:pt>
                <c:pt idx="509">
                  <c:v>0.432</c:v>
                </c:pt>
                <c:pt idx="510">
                  <c:v>0.38900000000000001</c:v>
                </c:pt>
                <c:pt idx="511">
                  <c:v>0.52100000000000002</c:v>
                </c:pt>
                <c:pt idx="512">
                  <c:v>0.40400000000000003</c:v>
                </c:pt>
                <c:pt idx="513">
                  <c:v>0.114</c:v>
                </c:pt>
                <c:pt idx="514">
                  <c:v>0.39500000000000002</c:v>
                </c:pt>
                <c:pt idx="515">
                  <c:v>0.46899999999999997</c:v>
                </c:pt>
                <c:pt idx="516">
                  <c:v>6.2E-2</c:v>
                </c:pt>
                <c:pt idx="517">
                  <c:v>0.50800000000000001</c:v>
                </c:pt>
                <c:pt idx="518">
                  <c:v>0.254</c:v>
                </c:pt>
                <c:pt idx="519">
                  <c:v>0.26500000000000001</c:v>
                </c:pt>
                <c:pt idx="520">
                  <c:v>0.39600000000000002</c:v>
                </c:pt>
                <c:pt idx="521">
                  <c:v>0.56200000000000006</c:v>
                </c:pt>
                <c:pt idx="522">
                  <c:v>0.27200000000000002</c:v>
                </c:pt>
                <c:pt idx="523">
                  <c:v>0.32600000000000001</c:v>
                </c:pt>
                <c:pt idx="524">
                  <c:v>0.622</c:v>
                </c:pt>
                <c:pt idx="525">
                  <c:v>0.373</c:v>
                </c:pt>
                <c:pt idx="526">
                  <c:v>0.40100000000000002</c:v>
                </c:pt>
                <c:pt idx="527">
                  <c:v>0.39</c:v>
                </c:pt>
                <c:pt idx="528">
                  <c:v>0.436</c:v>
                </c:pt>
                <c:pt idx="529">
                  <c:v>0.29199999999999998</c:v>
                </c:pt>
                <c:pt idx="530">
                  <c:v>0.193</c:v>
                </c:pt>
                <c:pt idx="531">
                  <c:v>0.13800000000000001</c:v>
                </c:pt>
                <c:pt idx="532">
                  <c:v>0.34399999999999997</c:v>
                </c:pt>
                <c:pt idx="533">
                  <c:v>0.187</c:v>
                </c:pt>
                <c:pt idx="534">
                  <c:v>0.152</c:v>
                </c:pt>
                <c:pt idx="535">
                  <c:v>0.41899999999999998</c:v>
                </c:pt>
                <c:pt idx="536">
                  <c:v>0.29799999999999999</c:v>
                </c:pt>
                <c:pt idx="537">
                  <c:v>0.47</c:v>
                </c:pt>
                <c:pt idx="538">
                  <c:v>0.40600000000000003</c:v>
                </c:pt>
                <c:pt idx="539">
                  <c:v>0.34899999999999998</c:v>
                </c:pt>
                <c:pt idx="540">
                  <c:v>9.5000000000000001E-2</c:v>
                </c:pt>
                <c:pt idx="541">
                  <c:v>0.30299999999999999</c:v>
                </c:pt>
                <c:pt idx="542">
                  <c:v>0.32700000000000001</c:v>
                </c:pt>
                <c:pt idx="543">
                  <c:v>0.53300000000000003</c:v>
                </c:pt>
                <c:pt idx="544">
                  <c:v>0.29299999999999998</c:v>
                </c:pt>
                <c:pt idx="545">
                  <c:v>0.86099999999999999</c:v>
                </c:pt>
                <c:pt idx="546">
                  <c:v>0.56100000000000005</c:v>
                </c:pt>
                <c:pt idx="547">
                  <c:v>0.13900000000000001</c:v>
                </c:pt>
                <c:pt idx="548">
                  <c:v>0.254</c:v>
                </c:pt>
                <c:pt idx="549">
                  <c:v>0.48599999999999999</c:v>
                </c:pt>
                <c:pt idx="550">
                  <c:v>4.3999999999999997E-2</c:v>
                </c:pt>
                <c:pt idx="551">
                  <c:v>0.308</c:v>
                </c:pt>
                <c:pt idx="552">
                  <c:v>0.28899999999999998</c:v>
                </c:pt>
                <c:pt idx="553">
                  <c:v>0.23699999999999999</c:v>
                </c:pt>
                <c:pt idx="554">
                  <c:v>0.42499999999999999</c:v>
                </c:pt>
                <c:pt idx="555">
                  <c:v>0.38700000000000001</c:v>
                </c:pt>
                <c:pt idx="556">
                  <c:v>0.434</c:v>
                </c:pt>
                <c:pt idx="557">
                  <c:v>0.183</c:v>
                </c:pt>
                <c:pt idx="558">
                  <c:v>0.44400000000000001</c:v>
                </c:pt>
                <c:pt idx="559">
                  <c:v>0.42</c:v>
                </c:pt>
                <c:pt idx="560">
                  <c:v>0.71699999999999997</c:v>
                </c:pt>
                <c:pt idx="561">
                  <c:v>0.52200000000000002</c:v>
                </c:pt>
                <c:pt idx="562">
                  <c:v>0.45400000000000001</c:v>
                </c:pt>
                <c:pt idx="563">
                  <c:v>0.47599999999999998</c:v>
                </c:pt>
                <c:pt idx="564">
                  <c:v>0.57699999999999996</c:v>
                </c:pt>
                <c:pt idx="565">
                  <c:v>0.16</c:v>
                </c:pt>
                <c:pt idx="566">
                  <c:v>0.25</c:v>
                </c:pt>
                <c:pt idx="567">
                  <c:v>0.17</c:v>
                </c:pt>
                <c:pt idx="568">
                  <c:v>0.14000000000000001</c:v>
                </c:pt>
                <c:pt idx="569">
                  <c:v>0.16900000000000001</c:v>
                </c:pt>
                <c:pt idx="570">
                  <c:v>0.34100000000000003</c:v>
                </c:pt>
                <c:pt idx="571">
                  <c:v>0.193</c:v>
                </c:pt>
                <c:pt idx="572">
                  <c:v>0.192</c:v>
                </c:pt>
                <c:pt idx="573">
                  <c:v>0.35499999999999998</c:v>
                </c:pt>
                <c:pt idx="574">
                  <c:v>0.48899999999999999</c:v>
                </c:pt>
                <c:pt idx="575">
                  <c:v>0.40100000000000002</c:v>
                </c:pt>
                <c:pt idx="576">
                  <c:v>0.20300000000000001</c:v>
                </c:pt>
                <c:pt idx="577">
                  <c:v>0.32600000000000001</c:v>
                </c:pt>
                <c:pt idx="578">
                  <c:v>0.219</c:v>
                </c:pt>
                <c:pt idx="579">
                  <c:v>0.17399999999999999</c:v>
                </c:pt>
                <c:pt idx="580">
                  <c:v>0.223</c:v>
                </c:pt>
                <c:pt idx="581">
                  <c:v>0.29899999999999999</c:v>
                </c:pt>
                <c:pt idx="582">
                  <c:v>0.13800000000000001</c:v>
                </c:pt>
                <c:pt idx="583">
                  <c:v>0.217</c:v>
                </c:pt>
                <c:pt idx="584">
                  <c:v>0.16300000000000001</c:v>
                </c:pt>
                <c:pt idx="585">
                  <c:v>8.8999999999999996E-2</c:v>
                </c:pt>
                <c:pt idx="586">
                  <c:v>0.18</c:v>
                </c:pt>
                <c:pt idx="587">
                  <c:v>0.45100000000000001</c:v>
                </c:pt>
                <c:pt idx="588">
                  <c:v>0.30399999999999999</c:v>
                </c:pt>
                <c:pt idx="589">
                  <c:v>0.39300000000000002</c:v>
                </c:pt>
                <c:pt idx="590">
                  <c:v>0.32200000000000001</c:v>
                </c:pt>
                <c:pt idx="591">
                  <c:v>0.40200000000000002</c:v>
                </c:pt>
                <c:pt idx="592">
                  <c:v>0.44900000000000001</c:v>
                </c:pt>
                <c:pt idx="593">
                  <c:v>0.253</c:v>
                </c:pt>
                <c:pt idx="594">
                  <c:v>0.34100000000000003</c:v>
                </c:pt>
                <c:pt idx="595">
                  <c:v>0.49399999999999999</c:v>
                </c:pt>
                <c:pt idx="596">
                  <c:v>0.193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8C-4DCE-910A-9F60EC61A79D}"/>
            </c:ext>
          </c:extLst>
        </c:ser>
        <c:ser>
          <c:idx val="1"/>
          <c:order val="1"/>
          <c:tx>
            <c:strRef>
              <c:f>TTV_SPC!$I$10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TTV_SPC!$I$11:$I$607</c:f>
              <c:numCache>
                <c:formatCode>0.000</c:formatCode>
                <c:ptCount val="597"/>
                <c:pt idx="0">
                  <c:v>0.71360741478107859</c:v>
                </c:pt>
                <c:pt idx="1">
                  <c:v>0.71360741478107859</c:v>
                </c:pt>
                <c:pt idx="2">
                  <c:v>0.71360741478107859</c:v>
                </c:pt>
                <c:pt idx="3">
                  <c:v>0.71360741478107859</c:v>
                </c:pt>
                <c:pt idx="4">
                  <c:v>0.71360741478107859</c:v>
                </c:pt>
                <c:pt idx="5">
                  <c:v>0.71360741478107859</c:v>
                </c:pt>
                <c:pt idx="6">
                  <c:v>0.71360741478107859</c:v>
                </c:pt>
                <c:pt idx="7">
                  <c:v>0.71360741478107859</c:v>
                </c:pt>
                <c:pt idx="8">
                  <c:v>0.71360741478107859</c:v>
                </c:pt>
                <c:pt idx="9">
                  <c:v>0.71360741478107859</c:v>
                </c:pt>
                <c:pt idx="10">
                  <c:v>0.71360741478107859</c:v>
                </c:pt>
                <c:pt idx="11">
                  <c:v>0.71360741478107859</c:v>
                </c:pt>
                <c:pt idx="12">
                  <c:v>0.71360741478107859</c:v>
                </c:pt>
                <c:pt idx="13">
                  <c:v>0.71360741478107859</c:v>
                </c:pt>
                <c:pt idx="14">
                  <c:v>0.71360741478107859</c:v>
                </c:pt>
                <c:pt idx="15">
                  <c:v>0.71360741478107859</c:v>
                </c:pt>
                <c:pt idx="16">
                  <c:v>0.71360741478107859</c:v>
                </c:pt>
                <c:pt idx="17">
                  <c:v>0.71360741478107859</c:v>
                </c:pt>
                <c:pt idx="18">
                  <c:v>0.71360741478107859</c:v>
                </c:pt>
                <c:pt idx="19">
                  <c:v>0.71360741478107859</c:v>
                </c:pt>
                <c:pt idx="20">
                  <c:v>0.71360741478107859</c:v>
                </c:pt>
                <c:pt idx="21">
                  <c:v>0.71360741478107859</c:v>
                </c:pt>
                <c:pt idx="22">
                  <c:v>0.71360741478107859</c:v>
                </c:pt>
                <c:pt idx="23">
                  <c:v>0.71360741478107859</c:v>
                </c:pt>
                <c:pt idx="24">
                  <c:v>0.71360741478107859</c:v>
                </c:pt>
                <c:pt idx="25">
                  <c:v>0.71360741478107859</c:v>
                </c:pt>
                <c:pt idx="26">
                  <c:v>0.71360741478107859</c:v>
                </c:pt>
                <c:pt idx="27">
                  <c:v>0.71360741478107859</c:v>
                </c:pt>
                <c:pt idx="28">
                  <c:v>0.71360741478107859</c:v>
                </c:pt>
                <c:pt idx="29">
                  <c:v>0.71360741478107859</c:v>
                </c:pt>
                <c:pt idx="30">
                  <c:v>0.71360741478107859</c:v>
                </c:pt>
                <c:pt idx="31">
                  <c:v>0.71360741478107859</c:v>
                </c:pt>
                <c:pt idx="32">
                  <c:v>0.71360741478107859</c:v>
                </c:pt>
                <c:pt idx="33">
                  <c:v>0.71360741478107859</c:v>
                </c:pt>
                <c:pt idx="34">
                  <c:v>0.71360741478107859</c:v>
                </c:pt>
                <c:pt idx="35">
                  <c:v>0.71360741478107859</c:v>
                </c:pt>
                <c:pt idx="36">
                  <c:v>0.71360741478107859</c:v>
                </c:pt>
                <c:pt idx="37">
                  <c:v>0.71360741478107859</c:v>
                </c:pt>
                <c:pt idx="38">
                  <c:v>0.71360741478107859</c:v>
                </c:pt>
                <c:pt idx="39">
                  <c:v>0.71360741478107859</c:v>
                </c:pt>
                <c:pt idx="40">
                  <c:v>0.71360741478107859</c:v>
                </c:pt>
                <c:pt idx="41">
                  <c:v>0.71360741478107859</c:v>
                </c:pt>
                <c:pt idx="42">
                  <c:v>0.71360741478107859</c:v>
                </c:pt>
                <c:pt idx="43">
                  <c:v>0.71360741478107859</c:v>
                </c:pt>
                <c:pt idx="44">
                  <c:v>0.71360741478107859</c:v>
                </c:pt>
                <c:pt idx="45">
                  <c:v>0.71360741478107859</c:v>
                </c:pt>
                <c:pt idx="46">
                  <c:v>0.71360741478107859</c:v>
                </c:pt>
                <c:pt idx="47">
                  <c:v>0.71360741478107859</c:v>
                </c:pt>
                <c:pt idx="48">
                  <c:v>0.71360741478107859</c:v>
                </c:pt>
                <c:pt idx="49">
                  <c:v>0.71360741478107859</c:v>
                </c:pt>
                <c:pt idx="50">
                  <c:v>0.71360741478107859</c:v>
                </c:pt>
                <c:pt idx="51">
                  <c:v>0.71360741478107859</c:v>
                </c:pt>
                <c:pt idx="52">
                  <c:v>0.71360741478107859</c:v>
                </c:pt>
                <c:pt idx="53">
                  <c:v>0.71360741478107859</c:v>
                </c:pt>
                <c:pt idx="54">
                  <c:v>0.71360741478107859</c:v>
                </c:pt>
                <c:pt idx="55">
                  <c:v>0.71360741478107859</c:v>
                </c:pt>
                <c:pt idx="56">
                  <c:v>0.71360741478107859</c:v>
                </c:pt>
                <c:pt idx="57">
                  <c:v>0.71360741478107859</c:v>
                </c:pt>
                <c:pt idx="58">
                  <c:v>0.71360741478107859</c:v>
                </c:pt>
                <c:pt idx="59">
                  <c:v>0.71360741478107859</c:v>
                </c:pt>
                <c:pt idx="60">
                  <c:v>0.71360741478107859</c:v>
                </c:pt>
                <c:pt idx="61">
                  <c:v>0.71360741478107859</c:v>
                </c:pt>
                <c:pt idx="62">
                  <c:v>0.71360741478107859</c:v>
                </c:pt>
                <c:pt idx="63">
                  <c:v>0.71360741478107859</c:v>
                </c:pt>
                <c:pt idx="64">
                  <c:v>0.71360741478107859</c:v>
                </c:pt>
                <c:pt idx="65">
                  <c:v>0.71360741478107859</c:v>
                </c:pt>
                <c:pt idx="66">
                  <c:v>0.71360741478107859</c:v>
                </c:pt>
                <c:pt idx="67">
                  <c:v>0.71360741478107859</c:v>
                </c:pt>
                <c:pt idx="68">
                  <c:v>0.71360741478107859</c:v>
                </c:pt>
                <c:pt idx="69">
                  <c:v>0.71360741478107859</c:v>
                </c:pt>
                <c:pt idx="70">
                  <c:v>0.71360741478107859</c:v>
                </c:pt>
                <c:pt idx="71">
                  <c:v>0.71360741478107859</c:v>
                </c:pt>
                <c:pt idx="72">
                  <c:v>0.71360741478107859</c:v>
                </c:pt>
                <c:pt idx="73">
                  <c:v>0.71360741478107859</c:v>
                </c:pt>
                <c:pt idx="74">
                  <c:v>0.71360741478107859</c:v>
                </c:pt>
                <c:pt idx="75">
                  <c:v>0.71360741478107859</c:v>
                </c:pt>
                <c:pt idx="76">
                  <c:v>0.71360741478107859</c:v>
                </c:pt>
                <c:pt idx="77">
                  <c:v>0.71360741478107859</c:v>
                </c:pt>
                <c:pt idx="78">
                  <c:v>0.71360741478107859</c:v>
                </c:pt>
                <c:pt idx="79">
                  <c:v>0.71360741478107859</c:v>
                </c:pt>
                <c:pt idx="80">
                  <c:v>0.71360741478107859</c:v>
                </c:pt>
                <c:pt idx="81">
                  <c:v>0.71360741478107859</c:v>
                </c:pt>
                <c:pt idx="82">
                  <c:v>0.71360741478107859</c:v>
                </c:pt>
                <c:pt idx="83">
                  <c:v>0.71360741478107859</c:v>
                </c:pt>
                <c:pt idx="84">
                  <c:v>0.71360741478107859</c:v>
                </c:pt>
                <c:pt idx="85">
                  <c:v>0.71360741478107859</c:v>
                </c:pt>
                <c:pt idx="86">
                  <c:v>0.71360741478107859</c:v>
                </c:pt>
                <c:pt idx="87">
                  <c:v>0.71360741478107859</c:v>
                </c:pt>
                <c:pt idx="88">
                  <c:v>0.71360741478107859</c:v>
                </c:pt>
                <c:pt idx="89">
                  <c:v>0.71360741478107859</c:v>
                </c:pt>
                <c:pt idx="90">
                  <c:v>0.71360741478107859</c:v>
                </c:pt>
                <c:pt idx="91">
                  <c:v>0.71360741478107859</c:v>
                </c:pt>
                <c:pt idx="92">
                  <c:v>0.71360741478107859</c:v>
                </c:pt>
                <c:pt idx="93">
                  <c:v>0.71360741478107859</c:v>
                </c:pt>
                <c:pt idx="94">
                  <c:v>0.71360741478107859</c:v>
                </c:pt>
                <c:pt idx="95">
                  <c:v>0.71360741478107859</c:v>
                </c:pt>
                <c:pt idx="96">
                  <c:v>0.71360741478107859</c:v>
                </c:pt>
                <c:pt idx="97">
                  <c:v>0.71360741478107859</c:v>
                </c:pt>
                <c:pt idx="98">
                  <c:v>0.71360741478107859</c:v>
                </c:pt>
                <c:pt idx="99">
                  <c:v>0.71360741478107859</c:v>
                </c:pt>
                <c:pt idx="100">
                  <c:v>0.71360741478107859</c:v>
                </c:pt>
                <c:pt idx="101">
                  <c:v>0.71360741478107859</c:v>
                </c:pt>
                <c:pt idx="102">
                  <c:v>0.71360741478107859</c:v>
                </c:pt>
                <c:pt idx="103">
                  <c:v>0.71360741478107859</c:v>
                </c:pt>
                <c:pt idx="104">
                  <c:v>0.71360741478107859</c:v>
                </c:pt>
                <c:pt idx="105">
                  <c:v>0.71360741478107859</c:v>
                </c:pt>
                <c:pt idx="106">
                  <c:v>0.71360741478107859</c:v>
                </c:pt>
                <c:pt idx="107">
                  <c:v>0.71360741478107859</c:v>
                </c:pt>
                <c:pt idx="108">
                  <c:v>0.71360741478107859</c:v>
                </c:pt>
                <c:pt idx="109">
                  <c:v>0.71360741478107859</c:v>
                </c:pt>
                <c:pt idx="110">
                  <c:v>0.71360741478107859</c:v>
                </c:pt>
                <c:pt idx="111">
                  <c:v>0.71360741478107859</c:v>
                </c:pt>
                <c:pt idx="112">
                  <c:v>0.71360741478107859</c:v>
                </c:pt>
                <c:pt idx="113">
                  <c:v>0.71360741478107859</c:v>
                </c:pt>
                <c:pt idx="114">
                  <c:v>0.71360741478107859</c:v>
                </c:pt>
                <c:pt idx="115">
                  <c:v>0.71360741478107859</c:v>
                </c:pt>
                <c:pt idx="116">
                  <c:v>0.71360741478107859</c:v>
                </c:pt>
                <c:pt idx="117">
                  <c:v>0.71360741478107859</c:v>
                </c:pt>
                <c:pt idx="118">
                  <c:v>0.71360741478107859</c:v>
                </c:pt>
                <c:pt idx="119">
                  <c:v>0.71360741478107859</c:v>
                </c:pt>
                <c:pt idx="120">
                  <c:v>0.71360741478107859</c:v>
                </c:pt>
                <c:pt idx="121">
                  <c:v>0.71360741478107859</c:v>
                </c:pt>
                <c:pt idx="122">
                  <c:v>0.71360741478107859</c:v>
                </c:pt>
                <c:pt idx="123">
                  <c:v>0.71360741478107859</c:v>
                </c:pt>
                <c:pt idx="124">
                  <c:v>0.71360741478107859</c:v>
                </c:pt>
                <c:pt idx="125">
                  <c:v>0.71360741478107859</c:v>
                </c:pt>
                <c:pt idx="126">
                  <c:v>0.71360741478107859</c:v>
                </c:pt>
                <c:pt idx="127">
                  <c:v>0.71360741478107859</c:v>
                </c:pt>
                <c:pt idx="128">
                  <c:v>0.71360741478107859</c:v>
                </c:pt>
                <c:pt idx="129">
                  <c:v>0.71360741478107859</c:v>
                </c:pt>
                <c:pt idx="130">
                  <c:v>0.71360741478107859</c:v>
                </c:pt>
                <c:pt idx="131">
                  <c:v>0.71360741478107859</c:v>
                </c:pt>
                <c:pt idx="132">
                  <c:v>0.71360741478107859</c:v>
                </c:pt>
                <c:pt idx="133">
                  <c:v>0.71360741478107859</c:v>
                </c:pt>
                <c:pt idx="134">
                  <c:v>0.71360741478107859</c:v>
                </c:pt>
                <c:pt idx="135">
                  <c:v>0.71360741478107859</c:v>
                </c:pt>
                <c:pt idx="136">
                  <c:v>0.71360741478107859</c:v>
                </c:pt>
                <c:pt idx="137">
                  <c:v>0.71360741478107859</c:v>
                </c:pt>
                <c:pt idx="138">
                  <c:v>0.71360741478107859</c:v>
                </c:pt>
                <c:pt idx="139">
                  <c:v>0.71360741478107859</c:v>
                </c:pt>
                <c:pt idx="140">
                  <c:v>0.71360741478107859</c:v>
                </c:pt>
                <c:pt idx="141">
                  <c:v>0.71360741478107859</c:v>
                </c:pt>
                <c:pt idx="142">
                  <c:v>0.71360741478107859</c:v>
                </c:pt>
                <c:pt idx="143">
                  <c:v>0.71360741478107859</c:v>
                </c:pt>
                <c:pt idx="144">
                  <c:v>0.71360741478107859</c:v>
                </c:pt>
                <c:pt idx="145">
                  <c:v>0.71360741478107859</c:v>
                </c:pt>
                <c:pt idx="146">
                  <c:v>0.71360741478107859</c:v>
                </c:pt>
                <c:pt idx="147">
                  <c:v>0.71360741478107859</c:v>
                </c:pt>
                <c:pt idx="148">
                  <c:v>0.71360741478107859</c:v>
                </c:pt>
                <c:pt idx="149">
                  <c:v>0.71360741478107859</c:v>
                </c:pt>
                <c:pt idx="150">
                  <c:v>0.71360741478107859</c:v>
                </c:pt>
                <c:pt idx="151">
                  <c:v>0.71360741478107859</c:v>
                </c:pt>
                <c:pt idx="152">
                  <c:v>0.71360741478107859</c:v>
                </c:pt>
                <c:pt idx="153">
                  <c:v>0.71360741478107859</c:v>
                </c:pt>
                <c:pt idx="154">
                  <c:v>0.71360741478107859</c:v>
                </c:pt>
                <c:pt idx="155">
                  <c:v>0.71360741478107859</c:v>
                </c:pt>
                <c:pt idx="156">
                  <c:v>0.71360741478107859</c:v>
                </c:pt>
                <c:pt idx="157">
                  <c:v>0.71360741478107859</c:v>
                </c:pt>
                <c:pt idx="158">
                  <c:v>0.71360741478107859</c:v>
                </c:pt>
                <c:pt idx="159">
                  <c:v>0.71360741478107859</c:v>
                </c:pt>
                <c:pt idx="160">
                  <c:v>0.71360741478107859</c:v>
                </c:pt>
                <c:pt idx="161">
                  <c:v>0.71360741478107859</c:v>
                </c:pt>
                <c:pt idx="162">
                  <c:v>0.71360741478107859</c:v>
                </c:pt>
                <c:pt idx="163">
                  <c:v>0.71360741478107859</c:v>
                </c:pt>
                <c:pt idx="164">
                  <c:v>0.71360741478107859</c:v>
                </c:pt>
                <c:pt idx="165">
                  <c:v>0.71360741478107859</c:v>
                </c:pt>
                <c:pt idx="166">
                  <c:v>0.71360741478107859</c:v>
                </c:pt>
                <c:pt idx="167">
                  <c:v>0.71360741478107859</c:v>
                </c:pt>
                <c:pt idx="168">
                  <c:v>0.71360741478107859</c:v>
                </c:pt>
                <c:pt idx="169">
                  <c:v>0.71360741478107859</c:v>
                </c:pt>
                <c:pt idx="170">
                  <c:v>0.71360741478107859</c:v>
                </c:pt>
                <c:pt idx="171">
                  <c:v>0.71360741478107859</c:v>
                </c:pt>
                <c:pt idx="172">
                  <c:v>0.71360741478107859</c:v>
                </c:pt>
                <c:pt idx="173">
                  <c:v>0.71360741478107859</c:v>
                </c:pt>
                <c:pt idx="174">
                  <c:v>0.71360741478107859</c:v>
                </c:pt>
                <c:pt idx="175">
                  <c:v>0.71360741478107859</c:v>
                </c:pt>
                <c:pt idx="176">
                  <c:v>0.71360741478107859</c:v>
                </c:pt>
                <c:pt idx="177">
                  <c:v>0.71360741478107859</c:v>
                </c:pt>
                <c:pt idx="178">
                  <c:v>0.71360741478107859</c:v>
                </c:pt>
                <c:pt idx="179">
                  <c:v>0.71360741478107859</c:v>
                </c:pt>
                <c:pt idx="180">
                  <c:v>0.71360741478107859</c:v>
                </c:pt>
                <c:pt idx="181">
                  <c:v>0.71360741478107859</c:v>
                </c:pt>
                <c:pt idx="182">
                  <c:v>0.71360741478107859</c:v>
                </c:pt>
                <c:pt idx="183">
                  <c:v>0.71360741478107859</c:v>
                </c:pt>
                <c:pt idx="184">
                  <c:v>0.71360741478107859</c:v>
                </c:pt>
                <c:pt idx="185">
                  <c:v>0.71360741478107859</c:v>
                </c:pt>
                <c:pt idx="186">
                  <c:v>0.71360741478107859</c:v>
                </c:pt>
                <c:pt idx="187">
                  <c:v>0.71360741478107859</c:v>
                </c:pt>
                <c:pt idx="188">
                  <c:v>0.71360741478107859</c:v>
                </c:pt>
                <c:pt idx="189">
                  <c:v>0.71360741478107859</c:v>
                </c:pt>
                <c:pt idx="190">
                  <c:v>0.71360741478107859</c:v>
                </c:pt>
                <c:pt idx="191">
                  <c:v>0.71360741478107859</c:v>
                </c:pt>
                <c:pt idx="192">
                  <c:v>0.71360741478107859</c:v>
                </c:pt>
                <c:pt idx="193">
                  <c:v>0.71360741478107859</c:v>
                </c:pt>
                <c:pt idx="194">
                  <c:v>0.71360741478107859</c:v>
                </c:pt>
                <c:pt idx="195">
                  <c:v>0.71360741478107859</c:v>
                </c:pt>
                <c:pt idx="196">
                  <c:v>0.71360741478107859</c:v>
                </c:pt>
                <c:pt idx="197">
                  <c:v>0.71360741478107859</c:v>
                </c:pt>
                <c:pt idx="198">
                  <c:v>0.71360741478107859</c:v>
                </c:pt>
                <c:pt idx="199">
                  <c:v>0.71360741478107859</c:v>
                </c:pt>
                <c:pt idx="200">
                  <c:v>0.71360741478107859</c:v>
                </c:pt>
                <c:pt idx="201">
                  <c:v>0.71360741478107859</c:v>
                </c:pt>
                <c:pt idx="202">
                  <c:v>0.71360741478107859</c:v>
                </c:pt>
                <c:pt idx="203">
                  <c:v>0.71360741478107859</c:v>
                </c:pt>
                <c:pt idx="204">
                  <c:v>0.71360741478107859</c:v>
                </c:pt>
                <c:pt idx="205">
                  <c:v>0.71360741478107859</c:v>
                </c:pt>
                <c:pt idx="206">
                  <c:v>0.71360741478107859</c:v>
                </c:pt>
                <c:pt idx="207">
                  <c:v>0.71360741478107859</c:v>
                </c:pt>
                <c:pt idx="208">
                  <c:v>0.71360741478107859</c:v>
                </c:pt>
                <c:pt idx="209">
                  <c:v>0.71360741478107859</c:v>
                </c:pt>
                <c:pt idx="210">
                  <c:v>0.71360741478107859</c:v>
                </c:pt>
                <c:pt idx="211">
                  <c:v>0.71360741478107859</c:v>
                </c:pt>
                <c:pt idx="212">
                  <c:v>0.71360741478107859</c:v>
                </c:pt>
                <c:pt idx="213">
                  <c:v>0.71360741478107859</c:v>
                </c:pt>
                <c:pt idx="214">
                  <c:v>0.71360741478107859</c:v>
                </c:pt>
                <c:pt idx="215">
                  <c:v>0.71360741478107859</c:v>
                </c:pt>
                <c:pt idx="216">
                  <c:v>0.71360741478107859</c:v>
                </c:pt>
                <c:pt idx="217">
                  <c:v>0.71360741478107859</c:v>
                </c:pt>
                <c:pt idx="218">
                  <c:v>0.71360741478107859</c:v>
                </c:pt>
                <c:pt idx="219">
                  <c:v>0.71360741478107859</c:v>
                </c:pt>
                <c:pt idx="220">
                  <c:v>0.71360741478107859</c:v>
                </c:pt>
                <c:pt idx="221">
                  <c:v>0.71360741478107859</c:v>
                </c:pt>
                <c:pt idx="222">
                  <c:v>0.71360741478107859</c:v>
                </c:pt>
                <c:pt idx="223">
                  <c:v>0.71360741478107859</c:v>
                </c:pt>
                <c:pt idx="224">
                  <c:v>0.71360741478107859</c:v>
                </c:pt>
                <c:pt idx="225">
                  <c:v>0.71360741478107859</c:v>
                </c:pt>
                <c:pt idx="226">
                  <c:v>0.71360741478107859</c:v>
                </c:pt>
                <c:pt idx="227">
                  <c:v>0.71360741478107859</c:v>
                </c:pt>
                <c:pt idx="228">
                  <c:v>0.71360741478107859</c:v>
                </c:pt>
                <c:pt idx="229">
                  <c:v>0.71360741478107859</c:v>
                </c:pt>
                <c:pt idx="230">
                  <c:v>0.71360741478107859</c:v>
                </c:pt>
                <c:pt idx="231">
                  <c:v>0.71360741478107859</c:v>
                </c:pt>
                <c:pt idx="232">
                  <c:v>0.71360741478107859</c:v>
                </c:pt>
                <c:pt idx="233">
                  <c:v>0.71360741478107859</c:v>
                </c:pt>
                <c:pt idx="234">
                  <c:v>0.71360741478107859</c:v>
                </c:pt>
                <c:pt idx="235">
                  <c:v>0.71360741478107859</c:v>
                </c:pt>
                <c:pt idx="236">
                  <c:v>0.71360741478107859</c:v>
                </c:pt>
                <c:pt idx="237">
                  <c:v>0.71360741478107859</c:v>
                </c:pt>
                <c:pt idx="238">
                  <c:v>0.71360741478107859</c:v>
                </c:pt>
                <c:pt idx="239">
                  <c:v>0.71360741478107859</c:v>
                </c:pt>
                <c:pt idx="240">
                  <c:v>0.71360741478107859</c:v>
                </c:pt>
                <c:pt idx="241">
                  <c:v>0.71360741478107859</c:v>
                </c:pt>
                <c:pt idx="242">
                  <c:v>0.71360741478107859</c:v>
                </c:pt>
                <c:pt idx="243">
                  <c:v>0.71360741478107859</c:v>
                </c:pt>
                <c:pt idx="244">
                  <c:v>0.71360741478107859</c:v>
                </c:pt>
                <c:pt idx="245">
                  <c:v>0.71360741478107859</c:v>
                </c:pt>
                <c:pt idx="246">
                  <c:v>0.71360741478107859</c:v>
                </c:pt>
                <c:pt idx="247">
                  <c:v>0.71360741478107859</c:v>
                </c:pt>
                <c:pt idx="248">
                  <c:v>0.71360741478107859</c:v>
                </c:pt>
                <c:pt idx="249">
                  <c:v>0.71360741478107859</c:v>
                </c:pt>
                <c:pt idx="250">
                  <c:v>0.71360741478107859</c:v>
                </c:pt>
                <c:pt idx="251">
                  <c:v>0.71360741478107859</c:v>
                </c:pt>
                <c:pt idx="252">
                  <c:v>0.71360741478107859</c:v>
                </c:pt>
                <c:pt idx="253">
                  <c:v>0.71360741478107859</c:v>
                </c:pt>
                <c:pt idx="254">
                  <c:v>0.71360741478107859</c:v>
                </c:pt>
                <c:pt idx="255">
                  <c:v>0.71360741478107859</c:v>
                </c:pt>
                <c:pt idx="256">
                  <c:v>0.71360741478107859</c:v>
                </c:pt>
                <c:pt idx="257">
                  <c:v>0.71360741478107859</c:v>
                </c:pt>
                <c:pt idx="258">
                  <c:v>0.71360741478107859</c:v>
                </c:pt>
                <c:pt idx="259">
                  <c:v>0.71360741478107859</c:v>
                </c:pt>
                <c:pt idx="260">
                  <c:v>0.71360741478107859</c:v>
                </c:pt>
                <c:pt idx="261">
                  <c:v>0.71360741478107859</c:v>
                </c:pt>
                <c:pt idx="262">
                  <c:v>0.71360741478107859</c:v>
                </c:pt>
                <c:pt idx="263">
                  <c:v>0.71360741478107859</c:v>
                </c:pt>
                <c:pt idx="264">
                  <c:v>0.71360741478107859</c:v>
                </c:pt>
                <c:pt idx="265">
                  <c:v>0.71360741478107859</c:v>
                </c:pt>
                <c:pt idx="266">
                  <c:v>0.71360741478107859</c:v>
                </c:pt>
                <c:pt idx="267">
                  <c:v>0.71360741478107859</c:v>
                </c:pt>
                <c:pt idx="268">
                  <c:v>0.71360741478107859</c:v>
                </c:pt>
                <c:pt idx="269">
                  <c:v>0.71360741478107859</c:v>
                </c:pt>
                <c:pt idx="270">
                  <c:v>0.71360741478107859</c:v>
                </c:pt>
                <c:pt idx="271">
                  <c:v>0.71360741478107859</c:v>
                </c:pt>
                <c:pt idx="272">
                  <c:v>0.71360741478107859</c:v>
                </c:pt>
                <c:pt idx="273">
                  <c:v>0.71360741478107859</c:v>
                </c:pt>
                <c:pt idx="274">
                  <c:v>0.71360741478107859</c:v>
                </c:pt>
                <c:pt idx="275">
                  <c:v>0.71360741478107859</c:v>
                </c:pt>
                <c:pt idx="276">
                  <c:v>0.71360741478107859</c:v>
                </c:pt>
                <c:pt idx="277">
                  <c:v>0.71360741478107859</c:v>
                </c:pt>
                <c:pt idx="278">
                  <c:v>0.71360741478107859</c:v>
                </c:pt>
                <c:pt idx="279">
                  <c:v>0.71360741478107859</c:v>
                </c:pt>
                <c:pt idx="280">
                  <c:v>0.71360741478107859</c:v>
                </c:pt>
                <c:pt idx="281">
                  <c:v>0.71360741478107859</c:v>
                </c:pt>
                <c:pt idx="282">
                  <c:v>0.71360741478107859</c:v>
                </c:pt>
                <c:pt idx="283">
                  <c:v>0.71360741478107859</c:v>
                </c:pt>
                <c:pt idx="284">
                  <c:v>0.71360741478107859</c:v>
                </c:pt>
                <c:pt idx="285">
                  <c:v>0.71360741478107859</c:v>
                </c:pt>
                <c:pt idx="286">
                  <c:v>0.71360741478107859</c:v>
                </c:pt>
                <c:pt idx="287">
                  <c:v>0.71360741478107859</c:v>
                </c:pt>
                <c:pt idx="288">
                  <c:v>0.71360741478107859</c:v>
                </c:pt>
                <c:pt idx="289">
                  <c:v>0.71360741478107859</c:v>
                </c:pt>
                <c:pt idx="290">
                  <c:v>0.71360741478107859</c:v>
                </c:pt>
                <c:pt idx="291">
                  <c:v>0.71360741478107859</c:v>
                </c:pt>
                <c:pt idx="292">
                  <c:v>0.71360741478107859</c:v>
                </c:pt>
                <c:pt idx="293">
                  <c:v>0.71360741478107859</c:v>
                </c:pt>
                <c:pt idx="294">
                  <c:v>0.71360741478107859</c:v>
                </c:pt>
                <c:pt idx="295">
                  <c:v>0.71360741478107859</c:v>
                </c:pt>
                <c:pt idx="296">
                  <c:v>0.71360741478107859</c:v>
                </c:pt>
                <c:pt idx="297">
                  <c:v>0.71360741478107859</c:v>
                </c:pt>
                <c:pt idx="298">
                  <c:v>0.71360741478107859</c:v>
                </c:pt>
                <c:pt idx="299">
                  <c:v>0.71360741478107859</c:v>
                </c:pt>
                <c:pt idx="300">
                  <c:v>0.71360741478107859</c:v>
                </c:pt>
                <c:pt idx="301">
                  <c:v>0.71360741478107859</c:v>
                </c:pt>
                <c:pt idx="302">
                  <c:v>0.71360741478107859</c:v>
                </c:pt>
                <c:pt idx="303">
                  <c:v>0.71360741478107859</c:v>
                </c:pt>
                <c:pt idx="304">
                  <c:v>0.71360741478107859</c:v>
                </c:pt>
                <c:pt idx="305">
                  <c:v>0.71360741478107859</c:v>
                </c:pt>
                <c:pt idx="306">
                  <c:v>0.71360741478107859</c:v>
                </c:pt>
                <c:pt idx="307">
                  <c:v>0.71360741478107859</c:v>
                </c:pt>
                <c:pt idx="308">
                  <c:v>0.71360741478107859</c:v>
                </c:pt>
                <c:pt idx="309">
                  <c:v>0.71360741478107859</c:v>
                </c:pt>
                <c:pt idx="310">
                  <c:v>0.71360741478107859</c:v>
                </c:pt>
                <c:pt idx="311">
                  <c:v>0.71360741478107859</c:v>
                </c:pt>
                <c:pt idx="312">
                  <c:v>0.71360741478107859</c:v>
                </c:pt>
                <c:pt idx="313">
                  <c:v>0.71360741478107859</c:v>
                </c:pt>
                <c:pt idx="314">
                  <c:v>0.71360741478107859</c:v>
                </c:pt>
                <c:pt idx="315">
                  <c:v>0.71360741478107859</c:v>
                </c:pt>
                <c:pt idx="316">
                  <c:v>0.71360741478107859</c:v>
                </c:pt>
                <c:pt idx="317">
                  <c:v>0.71360741478107859</c:v>
                </c:pt>
                <c:pt idx="318">
                  <c:v>0.71360741478107859</c:v>
                </c:pt>
                <c:pt idx="319">
                  <c:v>0.71360741478107859</c:v>
                </c:pt>
                <c:pt idx="320">
                  <c:v>0.71360741478107859</c:v>
                </c:pt>
                <c:pt idx="321">
                  <c:v>0.71360741478107859</c:v>
                </c:pt>
                <c:pt idx="322">
                  <c:v>0.71360741478107859</c:v>
                </c:pt>
                <c:pt idx="323">
                  <c:v>0.71360741478107859</c:v>
                </c:pt>
                <c:pt idx="324">
                  <c:v>0.71360741478107859</c:v>
                </c:pt>
                <c:pt idx="325">
                  <c:v>0.71360741478107859</c:v>
                </c:pt>
                <c:pt idx="326">
                  <c:v>0.71360741478107859</c:v>
                </c:pt>
                <c:pt idx="327">
                  <c:v>0.71360741478107859</c:v>
                </c:pt>
                <c:pt idx="328">
                  <c:v>0.71360741478107859</c:v>
                </c:pt>
                <c:pt idx="329">
                  <c:v>0.71360741478107859</c:v>
                </c:pt>
                <c:pt idx="330">
                  <c:v>0.71360741478107859</c:v>
                </c:pt>
                <c:pt idx="331">
                  <c:v>0.71360741478107859</c:v>
                </c:pt>
                <c:pt idx="332">
                  <c:v>0.71360741478107859</c:v>
                </c:pt>
                <c:pt idx="333">
                  <c:v>0.71360741478107859</c:v>
                </c:pt>
                <c:pt idx="334">
                  <c:v>0.71360741478107859</c:v>
                </c:pt>
                <c:pt idx="335">
                  <c:v>0.71360741478107859</c:v>
                </c:pt>
                <c:pt idx="336">
                  <c:v>0.71360741478107859</c:v>
                </c:pt>
                <c:pt idx="337">
                  <c:v>0.71360741478107859</c:v>
                </c:pt>
                <c:pt idx="338">
                  <c:v>0.71360741478107859</c:v>
                </c:pt>
                <c:pt idx="339">
                  <c:v>0.71360741478107859</c:v>
                </c:pt>
                <c:pt idx="340">
                  <c:v>0.71360741478107859</c:v>
                </c:pt>
                <c:pt idx="341">
                  <c:v>0.71360741478107859</c:v>
                </c:pt>
                <c:pt idx="342">
                  <c:v>0.71360741478107859</c:v>
                </c:pt>
                <c:pt idx="343">
                  <c:v>0.71360741478107859</c:v>
                </c:pt>
                <c:pt idx="344">
                  <c:v>0.71360741478107859</c:v>
                </c:pt>
                <c:pt idx="345">
                  <c:v>0.71360741478107859</c:v>
                </c:pt>
                <c:pt idx="346">
                  <c:v>0.71360741478107859</c:v>
                </c:pt>
                <c:pt idx="347">
                  <c:v>0.71360741478107859</c:v>
                </c:pt>
                <c:pt idx="348">
                  <c:v>0.71360741478107859</c:v>
                </c:pt>
                <c:pt idx="349">
                  <c:v>0.71360741478107859</c:v>
                </c:pt>
                <c:pt idx="350">
                  <c:v>0.71360741478107859</c:v>
                </c:pt>
                <c:pt idx="351">
                  <c:v>0.71360741478107859</c:v>
                </c:pt>
                <c:pt idx="352">
                  <c:v>0.71360741478107859</c:v>
                </c:pt>
                <c:pt idx="353">
                  <c:v>0.71360741478107859</c:v>
                </c:pt>
                <c:pt idx="354">
                  <c:v>0.71360741478107859</c:v>
                </c:pt>
                <c:pt idx="355">
                  <c:v>0.71360741478107859</c:v>
                </c:pt>
                <c:pt idx="356">
                  <c:v>0.71360741478107859</c:v>
                </c:pt>
                <c:pt idx="357">
                  <c:v>0.71360741478107859</c:v>
                </c:pt>
                <c:pt idx="358">
                  <c:v>0.71360741478107859</c:v>
                </c:pt>
                <c:pt idx="359">
                  <c:v>0.71360741478107859</c:v>
                </c:pt>
                <c:pt idx="360">
                  <c:v>0.71360741478107859</c:v>
                </c:pt>
                <c:pt idx="361">
                  <c:v>0.71360741478107859</c:v>
                </c:pt>
                <c:pt idx="362">
                  <c:v>0.71360741478107859</c:v>
                </c:pt>
                <c:pt idx="363">
                  <c:v>0.71360741478107859</c:v>
                </c:pt>
                <c:pt idx="364">
                  <c:v>0.71360741478107859</c:v>
                </c:pt>
                <c:pt idx="365">
                  <c:v>0.71360741478107859</c:v>
                </c:pt>
                <c:pt idx="366">
                  <c:v>0.71360741478107859</c:v>
                </c:pt>
                <c:pt idx="367">
                  <c:v>0.71360741478107859</c:v>
                </c:pt>
                <c:pt idx="368">
                  <c:v>0.71360741478107859</c:v>
                </c:pt>
                <c:pt idx="369">
                  <c:v>0.71360741478107859</c:v>
                </c:pt>
                <c:pt idx="370">
                  <c:v>0.71360741478107859</c:v>
                </c:pt>
                <c:pt idx="371">
                  <c:v>0.71360741478107859</c:v>
                </c:pt>
                <c:pt idx="372">
                  <c:v>0.71360741478107859</c:v>
                </c:pt>
                <c:pt idx="373">
                  <c:v>0.71360741478107859</c:v>
                </c:pt>
                <c:pt idx="374">
                  <c:v>0.71360741478107859</c:v>
                </c:pt>
                <c:pt idx="375">
                  <c:v>0.71360741478107859</c:v>
                </c:pt>
                <c:pt idx="376">
                  <c:v>0.71360741478107859</c:v>
                </c:pt>
                <c:pt idx="377">
                  <c:v>0.71360741478107859</c:v>
                </c:pt>
                <c:pt idx="378">
                  <c:v>0.71360741478107859</c:v>
                </c:pt>
                <c:pt idx="379">
                  <c:v>0.71360741478107859</c:v>
                </c:pt>
                <c:pt idx="380">
                  <c:v>0.71360741478107859</c:v>
                </c:pt>
                <c:pt idx="381">
                  <c:v>0.71360741478107859</c:v>
                </c:pt>
                <c:pt idx="382">
                  <c:v>0.71360741478107859</c:v>
                </c:pt>
                <c:pt idx="383">
                  <c:v>0.71360741478107859</c:v>
                </c:pt>
                <c:pt idx="384">
                  <c:v>0.71360741478107859</c:v>
                </c:pt>
                <c:pt idx="385">
                  <c:v>0.71360741478107859</c:v>
                </c:pt>
                <c:pt idx="386">
                  <c:v>0.71360741478107859</c:v>
                </c:pt>
                <c:pt idx="387">
                  <c:v>0.71360741478107859</c:v>
                </c:pt>
                <c:pt idx="388">
                  <c:v>0.71360741478107859</c:v>
                </c:pt>
                <c:pt idx="389">
                  <c:v>0.71360741478107859</c:v>
                </c:pt>
                <c:pt idx="390">
                  <c:v>0.71360741478107859</c:v>
                </c:pt>
                <c:pt idx="391">
                  <c:v>0.71360741478107859</c:v>
                </c:pt>
                <c:pt idx="392">
                  <c:v>0.71360741478107859</c:v>
                </c:pt>
                <c:pt idx="393">
                  <c:v>0.71360741478107859</c:v>
                </c:pt>
                <c:pt idx="394">
                  <c:v>0.71360741478107859</c:v>
                </c:pt>
                <c:pt idx="395">
                  <c:v>0.71360741478107859</c:v>
                </c:pt>
                <c:pt idx="396">
                  <c:v>0.71360741478107859</c:v>
                </c:pt>
                <c:pt idx="397">
                  <c:v>0.71360741478107859</c:v>
                </c:pt>
                <c:pt idx="398">
                  <c:v>0.71360741478107859</c:v>
                </c:pt>
                <c:pt idx="399">
                  <c:v>0.71360741478107859</c:v>
                </c:pt>
                <c:pt idx="400">
                  <c:v>0.71360741478107859</c:v>
                </c:pt>
                <c:pt idx="401">
                  <c:v>0.71360741478107859</c:v>
                </c:pt>
                <c:pt idx="402">
                  <c:v>0.71360741478107859</c:v>
                </c:pt>
                <c:pt idx="403">
                  <c:v>0.71360741478107859</c:v>
                </c:pt>
                <c:pt idx="404">
                  <c:v>0.71360741478107859</c:v>
                </c:pt>
                <c:pt idx="405">
                  <c:v>0.71360741478107859</c:v>
                </c:pt>
                <c:pt idx="406">
                  <c:v>0.71360741478107859</c:v>
                </c:pt>
                <c:pt idx="407">
                  <c:v>0.71360741478107859</c:v>
                </c:pt>
                <c:pt idx="408">
                  <c:v>0.71360741478107859</c:v>
                </c:pt>
                <c:pt idx="409">
                  <c:v>0.71360741478107859</c:v>
                </c:pt>
                <c:pt idx="410">
                  <c:v>0.71360741478107859</c:v>
                </c:pt>
                <c:pt idx="411">
                  <c:v>0.71360741478107859</c:v>
                </c:pt>
                <c:pt idx="412">
                  <c:v>0.71360741478107859</c:v>
                </c:pt>
                <c:pt idx="413">
                  <c:v>0.71360741478107859</c:v>
                </c:pt>
                <c:pt idx="414">
                  <c:v>0.71360741478107859</c:v>
                </c:pt>
                <c:pt idx="415">
                  <c:v>0.71360741478107859</c:v>
                </c:pt>
                <c:pt idx="416">
                  <c:v>0.71360741478107859</c:v>
                </c:pt>
                <c:pt idx="417">
                  <c:v>0.71360741478107859</c:v>
                </c:pt>
                <c:pt idx="418">
                  <c:v>0.71360741478107859</c:v>
                </c:pt>
                <c:pt idx="419">
                  <c:v>0.71360741478107859</c:v>
                </c:pt>
                <c:pt idx="420">
                  <c:v>0.71360741478107859</c:v>
                </c:pt>
                <c:pt idx="421">
                  <c:v>0.71360741478107859</c:v>
                </c:pt>
                <c:pt idx="422">
                  <c:v>0.71360741478107859</c:v>
                </c:pt>
                <c:pt idx="423">
                  <c:v>0.71360741478107859</c:v>
                </c:pt>
                <c:pt idx="424">
                  <c:v>0.71360741478107859</c:v>
                </c:pt>
                <c:pt idx="425">
                  <c:v>0.71360741478107859</c:v>
                </c:pt>
                <c:pt idx="426">
                  <c:v>0.71360741478107859</c:v>
                </c:pt>
                <c:pt idx="427">
                  <c:v>0.71360741478107859</c:v>
                </c:pt>
                <c:pt idx="428">
                  <c:v>0.71360741478107859</c:v>
                </c:pt>
                <c:pt idx="429">
                  <c:v>0.71360741478107859</c:v>
                </c:pt>
                <c:pt idx="430">
                  <c:v>0.71360741478107859</c:v>
                </c:pt>
                <c:pt idx="431">
                  <c:v>0.71360741478107859</c:v>
                </c:pt>
                <c:pt idx="432">
                  <c:v>0.71360741478107859</c:v>
                </c:pt>
                <c:pt idx="433">
                  <c:v>0.71360741478107859</c:v>
                </c:pt>
                <c:pt idx="434">
                  <c:v>0.71360741478107859</c:v>
                </c:pt>
                <c:pt idx="435">
                  <c:v>0.71360741478107859</c:v>
                </c:pt>
                <c:pt idx="436">
                  <c:v>0.71360741478107859</c:v>
                </c:pt>
                <c:pt idx="437">
                  <c:v>0.71360741478107859</c:v>
                </c:pt>
                <c:pt idx="438">
                  <c:v>0.71360741478107859</c:v>
                </c:pt>
                <c:pt idx="439">
                  <c:v>0.71360741478107859</c:v>
                </c:pt>
                <c:pt idx="440">
                  <c:v>0.71360741478107859</c:v>
                </c:pt>
                <c:pt idx="441">
                  <c:v>0.71360741478107859</c:v>
                </c:pt>
                <c:pt idx="442">
                  <c:v>0.71360741478107859</c:v>
                </c:pt>
                <c:pt idx="443">
                  <c:v>0.71360741478107859</c:v>
                </c:pt>
                <c:pt idx="444">
                  <c:v>0.71360741478107859</c:v>
                </c:pt>
                <c:pt idx="445">
                  <c:v>0.71360741478107859</c:v>
                </c:pt>
                <c:pt idx="446">
                  <c:v>0.71360741478107859</c:v>
                </c:pt>
                <c:pt idx="447">
                  <c:v>0.71360741478107859</c:v>
                </c:pt>
                <c:pt idx="448">
                  <c:v>0.71360741478107859</c:v>
                </c:pt>
                <c:pt idx="449">
                  <c:v>0.71360741478107859</c:v>
                </c:pt>
                <c:pt idx="450">
                  <c:v>0.71360741478107859</c:v>
                </c:pt>
                <c:pt idx="451">
                  <c:v>0.71360741478107859</c:v>
                </c:pt>
                <c:pt idx="452">
                  <c:v>0.71360741478107859</c:v>
                </c:pt>
                <c:pt idx="453">
                  <c:v>0.71360741478107859</c:v>
                </c:pt>
                <c:pt idx="454">
                  <c:v>0.71360741478107859</c:v>
                </c:pt>
                <c:pt idx="455">
                  <c:v>0.71360741478107859</c:v>
                </c:pt>
                <c:pt idx="456">
                  <c:v>0.71360741478107859</c:v>
                </c:pt>
                <c:pt idx="457">
                  <c:v>0.71360741478107859</c:v>
                </c:pt>
                <c:pt idx="458">
                  <c:v>0.71360741478107859</c:v>
                </c:pt>
                <c:pt idx="459">
                  <c:v>0.71360741478107859</c:v>
                </c:pt>
                <c:pt idx="460">
                  <c:v>0.71360741478107859</c:v>
                </c:pt>
                <c:pt idx="461">
                  <c:v>0.71360741478107859</c:v>
                </c:pt>
                <c:pt idx="462">
                  <c:v>0.71360741478107859</c:v>
                </c:pt>
                <c:pt idx="463">
                  <c:v>0.71360741478107859</c:v>
                </c:pt>
                <c:pt idx="464">
                  <c:v>0.71360741478107859</c:v>
                </c:pt>
                <c:pt idx="465">
                  <c:v>0.71360741478107859</c:v>
                </c:pt>
                <c:pt idx="466">
                  <c:v>0.71360741478107859</c:v>
                </c:pt>
                <c:pt idx="467">
                  <c:v>0.71360741478107859</c:v>
                </c:pt>
                <c:pt idx="468">
                  <c:v>0.71360741478107859</c:v>
                </c:pt>
                <c:pt idx="469">
                  <c:v>0.71360741478107859</c:v>
                </c:pt>
                <c:pt idx="470">
                  <c:v>0.71360741478107859</c:v>
                </c:pt>
                <c:pt idx="471">
                  <c:v>0.71360741478107859</c:v>
                </c:pt>
                <c:pt idx="472">
                  <c:v>0.71360741478107859</c:v>
                </c:pt>
                <c:pt idx="473">
                  <c:v>0.71360741478107859</c:v>
                </c:pt>
                <c:pt idx="474">
                  <c:v>0.71360741478107859</c:v>
                </c:pt>
                <c:pt idx="475">
                  <c:v>0.71360741478107859</c:v>
                </c:pt>
                <c:pt idx="476">
                  <c:v>0.71360741478107859</c:v>
                </c:pt>
                <c:pt idx="477">
                  <c:v>0.71360741478107859</c:v>
                </c:pt>
                <c:pt idx="478">
                  <c:v>0.71360741478107859</c:v>
                </c:pt>
                <c:pt idx="479">
                  <c:v>0.71360741478107859</c:v>
                </c:pt>
                <c:pt idx="480">
                  <c:v>0.71360741478107859</c:v>
                </c:pt>
                <c:pt idx="481">
                  <c:v>0.71360741478107859</c:v>
                </c:pt>
                <c:pt idx="482">
                  <c:v>0.71360741478107859</c:v>
                </c:pt>
                <c:pt idx="483">
                  <c:v>0.71360741478107859</c:v>
                </c:pt>
                <c:pt idx="484">
                  <c:v>0.71360741478107859</c:v>
                </c:pt>
                <c:pt idx="485">
                  <c:v>0.71360741478107859</c:v>
                </c:pt>
                <c:pt idx="486">
                  <c:v>0.71360741478107859</c:v>
                </c:pt>
                <c:pt idx="487">
                  <c:v>0.71360741478107859</c:v>
                </c:pt>
                <c:pt idx="488">
                  <c:v>0.71360741478107859</c:v>
                </c:pt>
                <c:pt idx="489">
                  <c:v>0.71360741478107859</c:v>
                </c:pt>
                <c:pt idx="490">
                  <c:v>0.71360741478107859</c:v>
                </c:pt>
                <c:pt idx="491">
                  <c:v>0.71360741478107859</c:v>
                </c:pt>
                <c:pt idx="492">
                  <c:v>0.71360741478107859</c:v>
                </c:pt>
                <c:pt idx="493">
                  <c:v>0.71360741478107859</c:v>
                </c:pt>
                <c:pt idx="494">
                  <c:v>0.71360741478107859</c:v>
                </c:pt>
                <c:pt idx="495">
                  <c:v>0.71360741478107859</c:v>
                </c:pt>
                <c:pt idx="496">
                  <c:v>0.71360741478107859</c:v>
                </c:pt>
                <c:pt idx="497">
                  <c:v>0.71360741478107859</c:v>
                </c:pt>
                <c:pt idx="498">
                  <c:v>0.71360741478107859</c:v>
                </c:pt>
                <c:pt idx="499">
                  <c:v>0.71360741478107859</c:v>
                </c:pt>
                <c:pt idx="500">
                  <c:v>0.71360741478107859</c:v>
                </c:pt>
                <c:pt idx="501">
                  <c:v>0.71360741478107859</c:v>
                </c:pt>
                <c:pt idx="502">
                  <c:v>0.71360741478107859</c:v>
                </c:pt>
                <c:pt idx="503">
                  <c:v>0.71360741478107859</c:v>
                </c:pt>
                <c:pt idx="504">
                  <c:v>0.71360741478107859</c:v>
                </c:pt>
                <c:pt idx="505">
                  <c:v>0.71360741478107859</c:v>
                </c:pt>
                <c:pt idx="506">
                  <c:v>0.71360741478107859</c:v>
                </c:pt>
                <c:pt idx="507">
                  <c:v>0.71360741478107859</c:v>
                </c:pt>
                <c:pt idx="508">
                  <c:v>0.71360741478107859</c:v>
                </c:pt>
                <c:pt idx="509">
                  <c:v>0.71360741478107859</c:v>
                </c:pt>
                <c:pt idx="510">
                  <c:v>0.71360741478107859</c:v>
                </c:pt>
                <c:pt idx="511">
                  <c:v>0.71360741478107859</c:v>
                </c:pt>
                <c:pt idx="512">
                  <c:v>0.71360741478107859</c:v>
                </c:pt>
                <c:pt idx="513">
                  <c:v>0.71360741478107859</c:v>
                </c:pt>
                <c:pt idx="514">
                  <c:v>0.71360741478107859</c:v>
                </c:pt>
                <c:pt idx="515">
                  <c:v>0.71360741478107859</c:v>
                </c:pt>
                <c:pt idx="516">
                  <c:v>0.71360741478107859</c:v>
                </c:pt>
                <c:pt idx="517">
                  <c:v>0.71360741478107859</c:v>
                </c:pt>
                <c:pt idx="518">
                  <c:v>0.71360741478107859</c:v>
                </c:pt>
                <c:pt idx="519">
                  <c:v>0.71360741478107859</c:v>
                </c:pt>
                <c:pt idx="520">
                  <c:v>0.71360741478107859</c:v>
                </c:pt>
                <c:pt idx="521">
                  <c:v>0.71360741478107859</c:v>
                </c:pt>
                <c:pt idx="522">
                  <c:v>0.71360741478107859</c:v>
                </c:pt>
                <c:pt idx="523">
                  <c:v>0.71360741478107859</c:v>
                </c:pt>
                <c:pt idx="524">
                  <c:v>0.71360741478107859</c:v>
                </c:pt>
                <c:pt idx="525">
                  <c:v>0.71360741478107859</c:v>
                </c:pt>
                <c:pt idx="526">
                  <c:v>0.71360741478107859</c:v>
                </c:pt>
                <c:pt idx="527">
                  <c:v>0.71360741478107859</c:v>
                </c:pt>
                <c:pt idx="528">
                  <c:v>0.71360741478107859</c:v>
                </c:pt>
                <c:pt idx="529">
                  <c:v>0.71360741478107859</c:v>
                </c:pt>
                <c:pt idx="530">
                  <c:v>0.71360741478107859</c:v>
                </c:pt>
                <c:pt idx="531">
                  <c:v>0.71360741478107859</c:v>
                </c:pt>
                <c:pt idx="532">
                  <c:v>0.71360741478107859</c:v>
                </c:pt>
                <c:pt idx="533">
                  <c:v>0.71360741478107859</c:v>
                </c:pt>
                <c:pt idx="534">
                  <c:v>0.71360741478107859</c:v>
                </c:pt>
                <c:pt idx="535">
                  <c:v>0.71360741478107859</c:v>
                </c:pt>
                <c:pt idx="536">
                  <c:v>0.71360741478107859</c:v>
                </c:pt>
                <c:pt idx="537">
                  <c:v>0.71360741478107859</c:v>
                </c:pt>
                <c:pt idx="538">
                  <c:v>0.71360741478107859</c:v>
                </c:pt>
                <c:pt idx="539">
                  <c:v>0.71360741478107859</c:v>
                </c:pt>
                <c:pt idx="540">
                  <c:v>0.71360741478107859</c:v>
                </c:pt>
                <c:pt idx="541">
                  <c:v>0.71360741478107859</c:v>
                </c:pt>
                <c:pt idx="542">
                  <c:v>0.71360741478107859</c:v>
                </c:pt>
                <c:pt idx="543">
                  <c:v>0.71360741478107859</c:v>
                </c:pt>
                <c:pt idx="544">
                  <c:v>0.71360741478107859</c:v>
                </c:pt>
                <c:pt idx="545">
                  <c:v>0.71360741478107859</c:v>
                </c:pt>
                <c:pt idx="546">
                  <c:v>0.71360741478107859</c:v>
                </c:pt>
                <c:pt idx="547">
                  <c:v>0.71360741478107859</c:v>
                </c:pt>
                <c:pt idx="548">
                  <c:v>0.71360741478107859</c:v>
                </c:pt>
                <c:pt idx="549">
                  <c:v>0.71360741478107859</c:v>
                </c:pt>
                <c:pt idx="550">
                  <c:v>0.71360741478107859</c:v>
                </c:pt>
                <c:pt idx="551">
                  <c:v>0.71360741478107859</c:v>
                </c:pt>
                <c:pt idx="552">
                  <c:v>0.71360741478107859</c:v>
                </c:pt>
                <c:pt idx="553">
                  <c:v>0.71360741478107859</c:v>
                </c:pt>
                <c:pt idx="554">
                  <c:v>0.71360741478107859</c:v>
                </c:pt>
                <c:pt idx="555">
                  <c:v>0.71360741478107859</c:v>
                </c:pt>
                <c:pt idx="556">
                  <c:v>0.71360741478107859</c:v>
                </c:pt>
                <c:pt idx="557">
                  <c:v>0.71360741478107859</c:v>
                </c:pt>
                <c:pt idx="558">
                  <c:v>0.71360741478107859</c:v>
                </c:pt>
                <c:pt idx="559">
                  <c:v>0.71360741478107859</c:v>
                </c:pt>
                <c:pt idx="560">
                  <c:v>0.71360741478107859</c:v>
                </c:pt>
                <c:pt idx="561">
                  <c:v>0.71360741478107859</c:v>
                </c:pt>
                <c:pt idx="562">
                  <c:v>0.71360741478107859</c:v>
                </c:pt>
                <c:pt idx="563">
                  <c:v>0.71360741478107859</c:v>
                </c:pt>
                <c:pt idx="564">
                  <c:v>0.71360741478107859</c:v>
                </c:pt>
                <c:pt idx="565">
                  <c:v>0.71360741478107859</c:v>
                </c:pt>
                <c:pt idx="566">
                  <c:v>0.71360741478107859</c:v>
                </c:pt>
                <c:pt idx="567">
                  <c:v>0.71360741478107859</c:v>
                </c:pt>
                <c:pt idx="568">
                  <c:v>0.71360741478107859</c:v>
                </c:pt>
                <c:pt idx="569">
                  <c:v>0.71360741478107859</c:v>
                </c:pt>
                <c:pt idx="570">
                  <c:v>0.71360741478107859</c:v>
                </c:pt>
                <c:pt idx="571">
                  <c:v>0.71360741478107859</c:v>
                </c:pt>
                <c:pt idx="572">
                  <c:v>0.71360741478107859</c:v>
                </c:pt>
                <c:pt idx="573">
                  <c:v>0.71360741478107859</c:v>
                </c:pt>
                <c:pt idx="574">
                  <c:v>0.71360741478107859</c:v>
                </c:pt>
                <c:pt idx="575">
                  <c:v>0.71360741478107859</c:v>
                </c:pt>
                <c:pt idx="576">
                  <c:v>0.71360741478107859</c:v>
                </c:pt>
                <c:pt idx="577">
                  <c:v>0.71360741478107859</c:v>
                </c:pt>
                <c:pt idx="578">
                  <c:v>0.71360741478107859</c:v>
                </c:pt>
                <c:pt idx="579">
                  <c:v>0.71360741478107859</c:v>
                </c:pt>
                <c:pt idx="580">
                  <c:v>0.71360741478107859</c:v>
                </c:pt>
                <c:pt idx="581">
                  <c:v>0.71360741478107859</c:v>
                </c:pt>
                <c:pt idx="582">
                  <c:v>0.71360741478107859</c:v>
                </c:pt>
                <c:pt idx="583">
                  <c:v>0.71360741478107859</c:v>
                </c:pt>
                <c:pt idx="584">
                  <c:v>0.71360741478107859</c:v>
                </c:pt>
                <c:pt idx="585">
                  <c:v>0.71360741478107859</c:v>
                </c:pt>
                <c:pt idx="586">
                  <c:v>0.71360741478107859</c:v>
                </c:pt>
                <c:pt idx="587">
                  <c:v>0.71360741478107859</c:v>
                </c:pt>
                <c:pt idx="588">
                  <c:v>0.71360741478107859</c:v>
                </c:pt>
                <c:pt idx="589">
                  <c:v>0.71360741478107859</c:v>
                </c:pt>
                <c:pt idx="590">
                  <c:v>0.71360741478107859</c:v>
                </c:pt>
                <c:pt idx="591">
                  <c:v>0.71360741478107859</c:v>
                </c:pt>
                <c:pt idx="592">
                  <c:v>0.71360741478107859</c:v>
                </c:pt>
                <c:pt idx="593">
                  <c:v>0.71360741478107859</c:v>
                </c:pt>
                <c:pt idx="594">
                  <c:v>0.71360741478107859</c:v>
                </c:pt>
                <c:pt idx="595">
                  <c:v>0.71360741478107859</c:v>
                </c:pt>
                <c:pt idx="596">
                  <c:v>0.71360741478107859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8C-4DCE-910A-9F60EC61A79D}"/>
            </c:ext>
          </c:extLst>
        </c:ser>
        <c:ser>
          <c:idx val="2"/>
          <c:order val="2"/>
          <c:tx>
            <c:strRef>
              <c:f>TTV_SPC!$H$10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TTV_SPC!$H$11:$H$607</c:f>
              <c:numCache>
                <c:formatCode>0.000</c:formatCode>
                <c:ptCount val="597"/>
                <c:pt idx="0">
                  <c:v>0.32666164154103872</c:v>
                </c:pt>
                <c:pt idx="1">
                  <c:v>0.32666164154103872</c:v>
                </c:pt>
                <c:pt idx="2">
                  <c:v>0.32666164154103872</c:v>
                </c:pt>
                <c:pt idx="3">
                  <c:v>0.32666164154103872</c:v>
                </c:pt>
                <c:pt idx="4">
                  <c:v>0.32666164154103872</c:v>
                </c:pt>
                <c:pt idx="5">
                  <c:v>0.32666164154103872</c:v>
                </c:pt>
                <c:pt idx="6">
                  <c:v>0.32666164154103872</c:v>
                </c:pt>
                <c:pt idx="7">
                  <c:v>0.32666164154103872</c:v>
                </c:pt>
                <c:pt idx="8">
                  <c:v>0.32666164154103872</c:v>
                </c:pt>
                <c:pt idx="9">
                  <c:v>0.32666164154103872</c:v>
                </c:pt>
                <c:pt idx="10">
                  <c:v>0.32666164154103872</c:v>
                </c:pt>
                <c:pt idx="11">
                  <c:v>0.32666164154103872</c:v>
                </c:pt>
                <c:pt idx="12">
                  <c:v>0.32666164154103872</c:v>
                </c:pt>
                <c:pt idx="13">
                  <c:v>0.32666164154103872</c:v>
                </c:pt>
                <c:pt idx="14">
                  <c:v>0.32666164154103872</c:v>
                </c:pt>
                <c:pt idx="15">
                  <c:v>0.32666164154103872</c:v>
                </c:pt>
                <c:pt idx="16">
                  <c:v>0.32666164154103872</c:v>
                </c:pt>
                <c:pt idx="17">
                  <c:v>0.32666164154103872</c:v>
                </c:pt>
                <c:pt idx="18">
                  <c:v>0.32666164154103872</c:v>
                </c:pt>
                <c:pt idx="19">
                  <c:v>0.32666164154103872</c:v>
                </c:pt>
                <c:pt idx="20">
                  <c:v>0.32666164154103872</c:v>
                </c:pt>
                <c:pt idx="21">
                  <c:v>0.32666164154103872</c:v>
                </c:pt>
                <c:pt idx="22">
                  <c:v>0.32666164154103872</c:v>
                </c:pt>
                <c:pt idx="23">
                  <c:v>0.32666164154103872</c:v>
                </c:pt>
                <c:pt idx="24">
                  <c:v>0.32666164154103872</c:v>
                </c:pt>
                <c:pt idx="25">
                  <c:v>0.32666164154103872</c:v>
                </c:pt>
                <c:pt idx="26">
                  <c:v>0.32666164154103872</c:v>
                </c:pt>
                <c:pt idx="27">
                  <c:v>0.32666164154103872</c:v>
                </c:pt>
                <c:pt idx="28">
                  <c:v>0.32666164154103872</c:v>
                </c:pt>
                <c:pt idx="29">
                  <c:v>0.32666164154103872</c:v>
                </c:pt>
                <c:pt idx="30">
                  <c:v>0.32666164154103872</c:v>
                </c:pt>
                <c:pt idx="31">
                  <c:v>0.32666164154103872</c:v>
                </c:pt>
                <c:pt idx="32">
                  <c:v>0.32666164154103872</c:v>
                </c:pt>
                <c:pt idx="33">
                  <c:v>0.32666164154103872</c:v>
                </c:pt>
                <c:pt idx="34">
                  <c:v>0.32666164154103872</c:v>
                </c:pt>
                <c:pt idx="35">
                  <c:v>0.32666164154103872</c:v>
                </c:pt>
                <c:pt idx="36">
                  <c:v>0.32666164154103872</c:v>
                </c:pt>
                <c:pt idx="37">
                  <c:v>0.32666164154103872</c:v>
                </c:pt>
                <c:pt idx="38">
                  <c:v>0.32666164154103872</c:v>
                </c:pt>
                <c:pt idx="39">
                  <c:v>0.32666164154103872</c:v>
                </c:pt>
                <c:pt idx="40">
                  <c:v>0.32666164154103872</c:v>
                </c:pt>
                <c:pt idx="41">
                  <c:v>0.32666164154103872</c:v>
                </c:pt>
                <c:pt idx="42">
                  <c:v>0.32666164154103872</c:v>
                </c:pt>
                <c:pt idx="43">
                  <c:v>0.32666164154103872</c:v>
                </c:pt>
                <c:pt idx="44">
                  <c:v>0.32666164154103872</c:v>
                </c:pt>
                <c:pt idx="45">
                  <c:v>0.32666164154103872</c:v>
                </c:pt>
                <c:pt idx="46">
                  <c:v>0.32666164154103872</c:v>
                </c:pt>
                <c:pt idx="47">
                  <c:v>0.32666164154103872</c:v>
                </c:pt>
                <c:pt idx="48">
                  <c:v>0.32666164154103872</c:v>
                </c:pt>
                <c:pt idx="49">
                  <c:v>0.32666164154103872</c:v>
                </c:pt>
                <c:pt idx="50">
                  <c:v>0.32666164154103872</c:v>
                </c:pt>
                <c:pt idx="51">
                  <c:v>0.32666164154103872</c:v>
                </c:pt>
                <c:pt idx="52">
                  <c:v>0.32666164154103872</c:v>
                </c:pt>
                <c:pt idx="53">
                  <c:v>0.32666164154103872</c:v>
                </c:pt>
                <c:pt idx="54">
                  <c:v>0.32666164154103872</c:v>
                </c:pt>
                <c:pt idx="55">
                  <c:v>0.32666164154103872</c:v>
                </c:pt>
                <c:pt idx="56">
                  <c:v>0.32666164154103872</c:v>
                </c:pt>
                <c:pt idx="57">
                  <c:v>0.32666164154103872</c:v>
                </c:pt>
                <c:pt idx="58">
                  <c:v>0.32666164154103872</c:v>
                </c:pt>
                <c:pt idx="59">
                  <c:v>0.32666164154103872</c:v>
                </c:pt>
                <c:pt idx="60">
                  <c:v>0.32666164154103872</c:v>
                </c:pt>
                <c:pt idx="61">
                  <c:v>0.32666164154103872</c:v>
                </c:pt>
                <c:pt idx="62">
                  <c:v>0.32666164154103872</c:v>
                </c:pt>
                <c:pt idx="63">
                  <c:v>0.32666164154103872</c:v>
                </c:pt>
                <c:pt idx="64">
                  <c:v>0.32666164154103872</c:v>
                </c:pt>
                <c:pt idx="65">
                  <c:v>0.32666164154103872</c:v>
                </c:pt>
                <c:pt idx="66">
                  <c:v>0.32666164154103872</c:v>
                </c:pt>
                <c:pt idx="67">
                  <c:v>0.32666164154103872</c:v>
                </c:pt>
                <c:pt idx="68">
                  <c:v>0.32666164154103872</c:v>
                </c:pt>
                <c:pt idx="69">
                  <c:v>0.32666164154103872</c:v>
                </c:pt>
                <c:pt idx="70">
                  <c:v>0.32666164154103872</c:v>
                </c:pt>
                <c:pt idx="71">
                  <c:v>0.32666164154103872</c:v>
                </c:pt>
                <c:pt idx="72">
                  <c:v>0.32666164154103872</c:v>
                </c:pt>
                <c:pt idx="73">
                  <c:v>0.32666164154103872</c:v>
                </c:pt>
                <c:pt idx="74">
                  <c:v>0.32666164154103872</c:v>
                </c:pt>
                <c:pt idx="75">
                  <c:v>0.32666164154103872</c:v>
                </c:pt>
                <c:pt idx="76">
                  <c:v>0.32666164154103872</c:v>
                </c:pt>
                <c:pt idx="77">
                  <c:v>0.32666164154103872</c:v>
                </c:pt>
                <c:pt idx="78">
                  <c:v>0.32666164154103872</c:v>
                </c:pt>
                <c:pt idx="79">
                  <c:v>0.32666164154103872</c:v>
                </c:pt>
                <c:pt idx="80">
                  <c:v>0.32666164154103872</c:v>
                </c:pt>
                <c:pt idx="81">
                  <c:v>0.32666164154103872</c:v>
                </c:pt>
                <c:pt idx="82">
                  <c:v>0.32666164154103872</c:v>
                </c:pt>
                <c:pt idx="83">
                  <c:v>0.32666164154103872</c:v>
                </c:pt>
                <c:pt idx="84">
                  <c:v>0.32666164154103872</c:v>
                </c:pt>
                <c:pt idx="85">
                  <c:v>0.32666164154103872</c:v>
                </c:pt>
                <c:pt idx="86">
                  <c:v>0.32666164154103872</c:v>
                </c:pt>
                <c:pt idx="87">
                  <c:v>0.32666164154103872</c:v>
                </c:pt>
                <c:pt idx="88">
                  <c:v>0.32666164154103872</c:v>
                </c:pt>
                <c:pt idx="89">
                  <c:v>0.32666164154103872</c:v>
                </c:pt>
                <c:pt idx="90">
                  <c:v>0.32666164154103872</c:v>
                </c:pt>
                <c:pt idx="91">
                  <c:v>0.32666164154103872</c:v>
                </c:pt>
                <c:pt idx="92">
                  <c:v>0.32666164154103872</c:v>
                </c:pt>
                <c:pt idx="93">
                  <c:v>0.32666164154103872</c:v>
                </c:pt>
                <c:pt idx="94">
                  <c:v>0.32666164154103872</c:v>
                </c:pt>
                <c:pt idx="95">
                  <c:v>0.32666164154103872</c:v>
                </c:pt>
                <c:pt idx="96">
                  <c:v>0.32666164154103872</c:v>
                </c:pt>
                <c:pt idx="97">
                  <c:v>0.32666164154103872</c:v>
                </c:pt>
                <c:pt idx="98">
                  <c:v>0.32666164154103872</c:v>
                </c:pt>
                <c:pt idx="99">
                  <c:v>0.32666164154103872</c:v>
                </c:pt>
                <c:pt idx="100">
                  <c:v>0.32666164154103872</c:v>
                </c:pt>
                <c:pt idx="101">
                  <c:v>0.32666164154103872</c:v>
                </c:pt>
                <c:pt idx="102">
                  <c:v>0.32666164154103872</c:v>
                </c:pt>
                <c:pt idx="103">
                  <c:v>0.32666164154103872</c:v>
                </c:pt>
                <c:pt idx="104">
                  <c:v>0.32666164154103872</c:v>
                </c:pt>
                <c:pt idx="105">
                  <c:v>0.32666164154103872</c:v>
                </c:pt>
                <c:pt idx="106">
                  <c:v>0.32666164154103872</c:v>
                </c:pt>
                <c:pt idx="107">
                  <c:v>0.32666164154103872</c:v>
                </c:pt>
                <c:pt idx="108">
                  <c:v>0.32666164154103872</c:v>
                </c:pt>
                <c:pt idx="109">
                  <c:v>0.32666164154103872</c:v>
                </c:pt>
                <c:pt idx="110">
                  <c:v>0.32666164154103872</c:v>
                </c:pt>
                <c:pt idx="111">
                  <c:v>0.32666164154103872</c:v>
                </c:pt>
                <c:pt idx="112">
                  <c:v>0.32666164154103872</c:v>
                </c:pt>
                <c:pt idx="113">
                  <c:v>0.32666164154103872</c:v>
                </c:pt>
                <c:pt idx="114">
                  <c:v>0.32666164154103872</c:v>
                </c:pt>
                <c:pt idx="115">
                  <c:v>0.32666164154103872</c:v>
                </c:pt>
                <c:pt idx="116">
                  <c:v>0.32666164154103872</c:v>
                </c:pt>
                <c:pt idx="117">
                  <c:v>0.32666164154103872</c:v>
                </c:pt>
                <c:pt idx="118">
                  <c:v>0.32666164154103872</c:v>
                </c:pt>
                <c:pt idx="119">
                  <c:v>0.32666164154103872</c:v>
                </c:pt>
                <c:pt idx="120">
                  <c:v>0.32666164154103872</c:v>
                </c:pt>
                <c:pt idx="121">
                  <c:v>0.32666164154103872</c:v>
                </c:pt>
                <c:pt idx="122">
                  <c:v>0.32666164154103872</c:v>
                </c:pt>
                <c:pt idx="123">
                  <c:v>0.32666164154103872</c:v>
                </c:pt>
                <c:pt idx="124">
                  <c:v>0.32666164154103872</c:v>
                </c:pt>
                <c:pt idx="125">
                  <c:v>0.32666164154103872</c:v>
                </c:pt>
                <c:pt idx="126">
                  <c:v>0.32666164154103872</c:v>
                </c:pt>
                <c:pt idx="127">
                  <c:v>0.32666164154103872</c:v>
                </c:pt>
                <c:pt idx="128">
                  <c:v>0.32666164154103872</c:v>
                </c:pt>
                <c:pt idx="129">
                  <c:v>0.32666164154103872</c:v>
                </c:pt>
                <c:pt idx="130">
                  <c:v>0.32666164154103872</c:v>
                </c:pt>
                <c:pt idx="131">
                  <c:v>0.32666164154103872</c:v>
                </c:pt>
                <c:pt idx="132">
                  <c:v>0.32666164154103872</c:v>
                </c:pt>
                <c:pt idx="133">
                  <c:v>0.32666164154103872</c:v>
                </c:pt>
                <c:pt idx="134">
                  <c:v>0.32666164154103872</c:v>
                </c:pt>
                <c:pt idx="135">
                  <c:v>0.32666164154103872</c:v>
                </c:pt>
                <c:pt idx="136">
                  <c:v>0.32666164154103872</c:v>
                </c:pt>
                <c:pt idx="137">
                  <c:v>0.32666164154103872</c:v>
                </c:pt>
                <c:pt idx="138">
                  <c:v>0.32666164154103872</c:v>
                </c:pt>
                <c:pt idx="139">
                  <c:v>0.32666164154103872</c:v>
                </c:pt>
                <c:pt idx="140">
                  <c:v>0.32666164154103872</c:v>
                </c:pt>
                <c:pt idx="141">
                  <c:v>0.32666164154103872</c:v>
                </c:pt>
                <c:pt idx="142">
                  <c:v>0.32666164154103872</c:v>
                </c:pt>
                <c:pt idx="143">
                  <c:v>0.32666164154103872</c:v>
                </c:pt>
                <c:pt idx="144">
                  <c:v>0.32666164154103872</c:v>
                </c:pt>
                <c:pt idx="145">
                  <c:v>0.32666164154103872</c:v>
                </c:pt>
                <c:pt idx="146">
                  <c:v>0.32666164154103872</c:v>
                </c:pt>
                <c:pt idx="147">
                  <c:v>0.32666164154103872</c:v>
                </c:pt>
                <c:pt idx="148">
                  <c:v>0.32666164154103872</c:v>
                </c:pt>
                <c:pt idx="149">
                  <c:v>0.32666164154103872</c:v>
                </c:pt>
                <c:pt idx="150">
                  <c:v>0.32666164154103872</c:v>
                </c:pt>
                <c:pt idx="151">
                  <c:v>0.32666164154103872</c:v>
                </c:pt>
                <c:pt idx="152">
                  <c:v>0.32666164154103872</c:v>
                </c:pt>
                <c:pt idx="153">
                  <c:v>0.32666164154103872</c:v>
                </c:pt>
                <c:pt idx="154">
                  <c:v>0.32666164154103872</c:v>
                </c:pt>
                <c:pt idx="155">
                  <c:v>0.32666164154103872</c:v>
                </c:pt>
                <c:pt idx="156">
                  <c:v>0.32666164154103872</c:v>
                </c:pt>
                <c:pt idx="157">
                  <c:v>0.32666164154103872</c:v>
                </c:pt>
                <c:pt idx="158">
                  <c:v>0.32666164154103872</c:v>
                </c:pt>
                <c:pt idx="159">
                  <c:v>0.32666164154103872</c:v>
                </c:pt>
                <c:pt idx="160">
                  <c:v>0.32666164154103872</c:v>
                </c:pt>
                <c:pt idx="161">
                  <c:v>0.32666164154103872</c:v>
                </c:pt>
                <c:pt idx="162">
                  <c:v>0.32666164154103872</c:v>
                </c:pt>
                <c:pt idx="163">
                  <c:v>0.32666164154103872</c:v>
                </c:pt>
                <c:pt idx="164">
                  <c:v>0.32666164154103872</c:v>
                </c:pt>
                <c:pt idx="165">
                  <c:v>0.32666164154103872</c:v>
                </c:pt>
                <c:pt idx="166">
                  <c:v>0.32666164154103872</c:v>
                </c:pt>
                <c:pt idx="167">
                  <c:v>0.32666164154103872</c:v>
                </c:pt>
                <c:pt idx="168">
                  <c:v>0.32666164154103872</c:v>
                </c:pt>
                <c:pt idx="169">
                  <c:v>0.32666164154103872</c:v>
                </c:pt>
                <c:pt idx="170">
                  <c:v>0.32666164154103872</c:v>
                </c:pt>
                <c:pt idx="171">
                  <c:v>0.32666164154103872</c:v>
                </c:pt>
                <c:pt idx="172">
                  <c:v>0.32666164154103872</c:v>
                </c:pt>
                <c:pt idx="173">
                  <c:v>0.32666164154103872</c:v>
                </c:pt>
                <c:pt idx="174">
                  <c:v>0.32666164154103872</c:v>
                </c:pt>
                <c:pt idx="175">
                  <c:v>0.32666164154103872</c:v>
                </c:pt>
                <c:pt idx="176">
                  <c:v>0.32666164154103872</c:v>
                </c:pt>
                <c:pt idx="177">
                  <c:v>0.32666164154103872</c:v>
                </c:pt>
                <c:pt idx="178">
                  <c:v>0.32666164154103872</c:v>
                </c:pt>
                <c:pt idx="179">
                  <c:v>0.32666164154103872</c:v>
                </c:pt>
                <c:pt idx="180">
                  <c:v>0.32666164154103872</c:v>
                </c:pt>
                <c:pt idx="181">
                  <c:v>0.32666164154103872</c:v>
                </c:pt>
                <c:pt idx="182">
                  <c:v>0.32666164154103872</c:v>
                </c:pt>
                <c:pt idx="183">
                  <c:v>0.32666164154103872</c:v>
                </c:pt>
                <c:pt idx="184">
                  <c:v>0.32666164154103872</c:v>
                </c:pt>
                <c:pt idx="185">
                  <c:v>0.32666164154103872</c:v>
                </c:pt>
                <c:pt idx="186">
                  <c:v>0.32666164154103872</c:v>
                </c:pt>
                <c:pt idx="187">
                  <c:v>0.32666164154103872</c:v>
                </c:pt>
                <c:pt idx="188">
                  <c:v>0.32666164154103872</c:v>
                </c:pt>
                <c:pt idx="189">
                  <c:v>0.32666164154103872</c:v>
                </c:pt>
                <c:pt idx="190">
                  <c:v>0.32666164154103872</c:v>
                </c:pt>
                <c:pt idx="191">
                  <c:v>0.32666164154103872</c:v>
                </c:pt>
                <c:pt idx="192">
                  <c:v>0.32666164154103872</c:v>
                </c:pt>
                <c:pt idx="193">
                  <c:v>0.32666164154103872</c:v>
                </c:pt>
                <c:pt idx="194">
                  <c:v>0.32666164154103872</c:v>
                </c:pt>
                <c:pt idx="195">
                  <c:v>0.32666164154103872</c:v>
                </c:pt>
                <c:pt idx="196">
                  <c:v>0.32666164154103872</c:v>
                </c:pt>
                <c:pt idx="197">
                  <c:v>0.32666164154103872</c:v>
                </c:pt>
                <c:pt idx="198">
                  <c:v>0.32666164154103872</c:v>
                </c:pt>
                <c:pt idx="199">
                  <c:v>0.32666164154103872</c:v>
                </c:pt>
                <c:pt idx="200">
                  <c:v>0.32666164154103872</c:v>
                </c:pt>
                <c:pt idx="201">
                  <c:v>0.32666164154103872</c:v>
                </c:pt>
                <c:pt idx="202">
                  <c:v>0.32666164154103872</c:v>
                </c:pt>
                <c:pt idx="203">
                  <c:v>0.32666164154103872</c:v>
                </c:pt>
                <c:pt idx="204">
                  <c:v>0.32666164154103872</c:v>
                </c:pt>
                <c:pt idx="205">
                  <c:v>0.32666164154103872</c:v>
                </c:pt>
                <c:pt idx="206">
                  <c:v>0.32666164154103872</c:v>
                </c:pt>
                <c:pt idx="207">
                  <c:v>0.32666164154103872</c:v>
                </c:pt>
                <c:pt idx="208">
                  <c:v>0.32666164154103872</c:v>
                </c:pt>
                <c:pt idx="209">
                  <c:v>0.32666164154103872</c:v>
                </c:pt>
                <c:pt idx="210">
                  <c:v>0.32666164154103872</c:v>
                </c:pt>
                <c:pt idx="211">
                  <c:v>0.32666164154103872</c:v>
                </c:pt>
                <c:pt idx="212">
                  <c:v>0.32666164154103872</c:v>
                </c:pt>
                <c:pt idx="213">
                  <c:v>0.32666164154103872</c:v>
                </c:pt>
                <c:pt idx="214">
                  <c:v>0.32666164154103872</c:v>
                </c:pt>
                <c:pt idx="215">
                  <c:v>0.32666164154103872</c:v>
                </c:pt>
                <c:pt idx="216">
                  <c:v>0.32666164154103872</c:v>
                </c:pt>
                <c:pt idx="217">
                  <c:v>0.32666164154103872</c:v>
                </c:pt>
                <c:pt idx="218">
                  <c:v>0.32666164154103872</c:v>
                </c:pt>
                <c:pt idx="219">
                  <c:v>0.32666164154103872</c:v>
                </c:pt>
                <c:pt idx="220">
                  <c:v>0.32666164154103872</c:v>
                </c:pt>
                <c:pt idx="221">
                  <c:v>0.32666164154103872</c:v>
                </c:pt>
                <c:pt idx="222">
                  <c:v>0.32666164154103872</c:v>
                </c:pt>
                <c:pt idx="223">
                  <c:v>0.32666164154103872</c:v>
                </c:pt>
                <c:pt idx="224">
                  <c:v>0.32666164154103872</c:v>
                </c:pt>
                <c:pt idx="225">
                  <c:v>0.32666164154103872</c:v>
                </c:pt>
                <c:pt idx="226">
                  <c:v>0.32666164154103872</c:v>
                </c:pt>
                <c:pt idx="227">
                  <c:v>0.32666164154103872</c:v>
                </c:pt>
                <c:pt idx="228">
                  <c:v>0.32666164154103872</c:v>
                </c:pt>
                <c:pt idx="229">
                  <c:v>0.32666164154103872</c:v>
                </c:pt>
                <c:pt idx="230">
                  <c:v>0.32666164154103872</c:v>
                </c:pt>
                <c:pt idx="231">
                  <c:v>0.32666164154103872</c:v>
                </c:pt>
                <c:pt idx="232">
                  <c:v>0.32666164154103872</c:v>
                </c:pt>
                <c:pt idx="233">
                  <c:v>0.32666164154103872</c:v>
                </c:pt>
                <c:pt idx="234">
                  <c:v>0.32666164154103872</c:v>
                </c:pt>
                <c:pt idx="235">
                  <c:v>0.32666164154103872</c:v>
                </c:pt>
                <c:pt idx="236">
                  <c:v>0.32666164154103872</c:v>
                </c:pt>
                <c:pt idx="237">
                  <c:v>0.32666164154103872</c:v>
                </c:pt>
                <c:pt idx="238">
                  <c:v>0.32666164154103872</c:v>
                </c:pt>
                <c:pt idx="239">
                  <c:v>0.32666164154103872</c:v>
                </c:pt>
                <c:pt idx="240">
                  <c:v>0.32666164154103872</c:v>
                </c:pt>
                <c:pt idx="241">
                  <c:v>0.32666164154103872</c:v>
                </c:pt>
                <c:pt idx="242">
                  <c:v>0.32666164154103872</c:v>
                </c:pt>
                <c:pt idx="243">
                  <c:v>0.32666164154103872</c:v>
                </c:pt>
                <c:pt idx="244">
                  <c:v>0.32666164154103872</c:v>
                </c:pt>
                <c:pt idx="245">
                  <c:v>0.32666164154103872</c:v>
                </c:pt>
                <c:pt idx="246">
                  <c:v>0.32666164154103872</c:v>
                </c:pt>
                <c:pt idx="247">
                  <c:v>0.32666164154103872</c:v>
                </c:pt>
                <c:pt idx="248">
                  <c:v>0.32666164154103872</c:v>
                </c:pt>
                <c:pt idx="249">
                  <c:v>0.32666164154103872</c:v>
                </c:pt>
                <c:pt idx="250">
                  <c:v>0.32666164154103872</c:v>
                </c:pt>
                <c:pt idx="251">
                  <c:v>0.32666164154103872</c:v>
                </c:pt>
                <c:pt idx="252">
                  <c:v>0.32666164154103872</c:v>
                </c:pt>
                <c:pt idx="253">
                  <c:v>0.32666164154103872</c:v>
                </c:pt>
                <c:pt idx="254">
                  <c:v>0.32666164154103872</c:v>
                </c:pt>
                <c:pt idx="255">
                  <c:v>0.32666164154103872</c:v>
                </c:pt>
                <c:pt idx="256">
                  <c:v>0.32666164154103872</c:v>
                </c:pt>
                <c:pt idx="257">
                  <c:v>0.32666164154103872</c:v>
                </c:pt>
                <c:pt idx="258">
                  <c:v>0.32666164154103872</c:v>
                </c:pt>
                <c:pt idx="259">
                  <c:v>0.32666164154103872</c:v>
                </c:pt>
                <c:pt idx="260">
                  <c:v>0.32666164154103872</c:v>
                </c:pt>
                <c:pt idx="261">
                  <c:v>0.32666164154103872</c:v>
                </c:pt>
                <c:pt idx="262">
                  <c:v>0.32666164154103872</c:v>
                </c:pt>
                <c:pt idx="263">
                  <c:v>0.32666164154103872</c:v>
                </c:pt>
                <c:pt idx="264">
                  <c:v>0.32666164154103872</c:v>
                </c:pt>
                <c:pt idx="265">
                  <c:v>0.32666164154103872</c:v>
                </c:pt>
                <c:pt idx="266">
                  <c:v>0.32666164154103872</c:v>
                </c:pt>
                <c:pt idx="267">
                  <c:v>0.32666164154103872</c:v>
                </c:pt>
                <c:pt idx="268">
                  <c:v>0.32666164154103872</c:v>
                </c:pt>
                <c:pt idx="269">
                  <c:v>0.32666164154103872</c:v>
                </c:pt>
                <c:pt idx="270">
                  <c:v>0.32666164154103872</c:v>
                </c:pt>
                <c:pt idx="271">
                  <c:v>0.32666164154103872</c:v>
                </c:pt>
                <c:pt idx="272">
                  <c:v>0.32666164154103872</c:v>
                </c:pt>
                <c:pt idx="273">
                  <c:v>0.32666164154103872</c:v>
                </c:pt>
                <c:pt idx="274">
                  <c:v>0.32666164154103872</c:v>
                </c:pt>
                <c:pt idx="275">
                  <c:v>0.32666164154103872</c:v>
                </c:pt>
                <c:pt idx="276">
                  <c:v>0.32666164154103872</c:v>
                </c:pt>
                <c:pt idx="277">
                  <c:v>0.32666164154103872</c:v>
                </c:pt>
                <c:pt idx="278">
                  <c:v>0.32666164154103872</c:v>
                </c:pt>
                <c:pt idx="279">
                  <c:v>0.32666164154103872</c:v>
                </c:pt>
                <c:pt idx="280">
                  <c:v>0.32666164154103872</c:v>
                </c:pt>
                <c:pt idx="281">
                  <c:v>0.32666164154103872</c:v>
                </c:pt>
                <c:pt idx="282">
                  <c:v>0.32666164154103872</c:v>
                </c:pt>
                <c:pt idx="283">
                  <c:v>0.32666164154103872</c:v>
                </c:pt>
                <c:pt idx="284">
                  <c:v>0.32666164154103872</c:v>
                </c:pt>
                <c:pt idx="285">
                  <c:v>0.32666164154103872</c:v>
                </c:pt>
                <c:pt idx="286">
                  <c:v>0.32666164154103872</c:v>
                </c:pt>
                <c:pt idx="287">
                  <c:v>0.32666164154103872</c:v>
                </c:pt>
                <c:pt idx="288">
                  <c:v>0.32666164154103872</c:v>
                </c:pt>
                <c:pt idx="289">
                  <c:v>0.32666164154103872</c:v>
                </c:pt>
                <c:pt idx="290">
                  <c:v>0.32666164154103872</c:v>
                </c:pt>
                <c:pt idx="291">
                  <c:v>0.32666164154103872</c:v>
                </c:pt>
                <c:pt idx="292">
                  <c:v>0.32666164154103872</c:v>
                </c:pt>
                <c:pt idx="293">
                  <c:v>0.32666164154103872</c:v>
                </c:pt>
                <c:pt idx="294">
                  <c:v>0.32666164154103872</c:v>
                </c:pt>
                <c:pt idx="295">
                  <c:v>0.32666164154103872</c:v>
                </c:pt>
                <c:pt idx="296">
                  <c:v>0.32666164154103872</c:v>
                </c:pt>
                <c:pt idx="297">
                  <c:v>0.32666164154103872</c:v>
                </c:pt>
                <c:pt idx="298">
                  <c:v>0.32666164154103872</c:v>
                </c:pt>
                <c:pt idx="299">
                  <c:v>0.32666164154103872</c:v>
                </c:pt>
                <c:pt idx="300">
                  <c:v>0.32666164154103872</c:v>
                </c:pt>
                <c:pt idx="301">
                  <c:v>0.32666164154103872</c:v>
                </c:pt>
                <c:pt idx="302">
                  <c:v>0.32666164154103872</c:v>
                </c:pt>
                <c:pt idx="303">
                  <c:v>0.32666164154103872</c:v>
                </c:pt>
                <c:pt idx="304">
                  <c:v>0.32666164154103872</c:v>
                </c:pt>
                <c:pt idx="305">
                  <c:v>0.32666164154103872</c:v>
                </c:pt>
                <c:pt idx="306">
                  <c:v>0.32666164154103872</c:v>
                </c:pt>
                <c:pt idx="307">
                  <c:v>0.32666164154103872</c:v>
                </c:pt>
                <c:pt idx="308">
                  <c:v>0.32666164154103872</c:v>
                </c:pt>
                <c:pt idx="309">
                  <c:v>0.32666164154103872</c:v>
                </c:pt>
                <c:pt idx="310">
                  <c:v>0.32666164154103872</c:v>
                </c:pt>
                <c:pt idx="311">
                  <c:v>0.32666164154103872</c:v>
                </c:pt>
                <c:pt idx="312">
                  <c:v>0.32666164154103872</c:v>
                </c:pt>
                <c:pt idx="313">
                  <c:v>0.32666164154103872</c:v>
                </c:pt>
                <c:pt idx="314">
                  <c:v>0.32666164154103872</c:v>
                </c:pt>
                <c:pt idx="315">
                  <c:v>0.32666164154103872</c:v>
                </c:pt>
                <c:pt idx="316">
                  <c:v>0.32666164154103872</c:v>
                </c:pt>
                <c:pt idx="317">
                  <c:v>0.32666164154103872</c:v>
                </c:pt>
                <c:pt idx="318">
                  <c:v>0.32666164154103872</c:v>
                </c:pt>
                <c:pt idx="319">
                  <c:v>0.32666164154103872</c:v>
                </c:pt>
                <c:pt idx="320">
                  <c:v>0.32666164154103872</c:v>
                </c:pt>
                <c:pt idx="321">
                  <c:v>0.32666164154103872</c:v>
                </c:pt>
                <c:pt idx="322">
                  <c:v>0.32666164154103872</c:v>
                </c:pt>
                <c:pt idx="323">
                  <c:v>0.32666164154103872</c:v>
                </c:pt>
                <c:pt idx="324">
                  <c:v>0.32666164154103872</c:v>
                </c:pt>
                <c:pt idx="325">
                  <c:v>0.32666164154103872</c:v>
                </c:pt>
                <c:pt idx="326">
                  <c:v>0.32666164154103872</c:v>
                </c:pt>
                <c:pt idx="327">
                  <c:v>0.32666164154103872</c:v>
                </c:pt>
                <c:pt idx="328">
                  <c:v>0.32666164154103872</c:v>
                </c:pt>
                <c:pt idx="329">
                  <c:v>0.32666164154103872</c:v>
                </c:pt>
                <c:pt idx="330">
                  <c:v>0.32666164154103872</c:v>
                </c:pt>
                <c:pt idx="331">
                  <c:v>0.32666164154103872</c:v>
                </c:pt>
                <c:pt idx="332">
                  <c:v>0.32666164154103872</c:v>
                </c:pt>
                <c:pt idx="333">
                  <c:v>0.32666164154103872</c:v>
                </c:pt>
                <c:pt idx="334">
                  <c:v>0.32666164154103872</c:v>
                </c:pt>
                <c:pt idx="335">
                  <c:v>0.32666164154103872</c:v>
                </c:pt>
                <c:pt idx="336">
                  <c:v>0.32666164154103872</c:v>
                </c:pt>
                <c:pt idx="337">
                  <c:v>0.32666164154103872</c:v>
                </c:pt>
                <c:pt idx="338">
                  <c:v>0.32666164154103872</c:v>
                </c:pt>
                <c:pt idx="339">
                  <c:v>0.32666164154103872</c:v>
                </c:pt>
                <c:pt idx="340">
                  <c:v>0.32666164154103872</c:v>
                </c:pt>
                <c:pt idx="341">
                  <c:v>0.32666164154103872</c:v>
                </c:pt>
                <c:pt idx="342">
                  <c:v>0.32666164154103872</c:v>
                </c:pt>
                <c:pt idx="343">
                  <c:v>0.32666164154103872</c:v>
                </c:pt>
                <c:pt idx="344">
                  <c:v>0.32666164154103872</c:v>
                </c:pt>
                <c:pt idx="345">
                  <c:v>0.32666164154103872</c:v>
                </c:pt>
                <c:pt idx="346">
                  <c:v>0.32666164154103872</c:v>
                </c:pt>
                <c:pt idx="347">
                  <c:v>0.32666164154103872</c:v>
                </c:pt>
                <c:pt idx="348">
                  <c:v>0.32666164154103872</c:v>
                </c:pt>
                <c:pt idx="349">
                  <c:v>0.32666164154103872</c:v>
                </c:pt>
                <c:pt idx="350">
                  <c:v>0.32666164154103872</c:v>
                </c:pt>
                <c:pt idx="351">
                  <c:v>0.32666164154103872</c:v>
                </c:pt>
                <c:pt idx="352">
                  <c:v>0.32666164154103872</c:v>
                </c:pt>
                <c:pt idx="353">
                  <c:v>0.32666164154103872</c:v>
                </c:pt>
                <c:pt idx="354">
                  <c:v>0.32666164154103872</c:v>
                </c:pt>
                <c:pt idx="355">
                  <c:v>0.32666164154103872</c:v>
                </c:pt>
                <c:pt idx="356">
                  <c:v>0.32666164154103872</c:v>
                </c:pt>
                <c:pt idx="357">
                  <c:v>0.32666164154103872</c:v>
                </c:pt>
                <c:pt idx="358">
                  <c:v>0.32666164154103872</c:v>
                </c:pt>
                <c:pt idx="359">
                  <c:v>0.32666164154103872</c:v>
                </c:pt>
                <c:pt idx="360">
                  <c:v>0.32666164154103872</c:v>
                </c:pt>
                <c:pt idx="361">
                  <c:v>0.32666164154103872</c:v>
                </c:pt>
                <c:pt idx="362">
                  <c:v>0.32666164154103872</c:v>
                </c:pt>
                <c:pt idx="363">
                  <c:v>0.32666164154103872</c:v>
                </c:pt>
                <c:pt idx="364">
                  <c:v>0.32666164154103872</c:v>
                </c:pt>
                <c:pt idx="365">
                  <c:v>0.32666164154103872</c:v>
                </c:pt>
                <c:pt idx="366">
                  <c:v>0.32666164154103872</c:v>
                </c:pt>
                <c:pt idx="367">
                  <c:v>0.32666164154103872</c:v>
                </c:pt>
                <c:pt idx="368">
                  <c:v>0.32666164154103872</c:v>
                </c:pt>
                <c:pt idx="369">
                  <c:v>0.32666164154103872</c:v>
                </c:pt>
                <c:pt idx="370">
                  <c:v>0.32666164154103872</c:v>
                </c:pt>
                <c:pt idx="371">
                  <c:v>0.32666164154103872</c:v>
                </c:pt>
                <c:pt idx="372">
                  <c:v>0.32666164154103872</c:v>
                </c:pt>
                <c:pt idx="373">
                  <c:v>0.32666164154103872</c:v>
                </c:pt>
                <c:pt idx="374">
                  <c:v>0.32666164154103872</c:v>
                </c:pt>
                <c:pt idx="375">
                  <c:v>0.32666164154103872</c:v>
                </c:pt>
                <c:pt idx="376">
                  <c:v>0.32666164154103872</c:v>
                </c:pt>
                <c:pt idx="377">
                  <c:v>0.32666164154103872</c:v>
                </c:pt>
                <c:pt idx="378">
                  <c:v>0.32666164154103872</c:v>
                </c:pt>
                <c:pt idx="379">
                  <c:v>0.32666164154103872</c:v>
                </c:pt>
                <c:pt idx="380">
                  <c:v>0.32666164154103872</c:v>
                </c:pt>
                <c:pt idx="381">
                  <c:v>0.32666164154103872</c:v>
                </c:pt>
                <c:pt idx="382">
                  <c:v>0.32666164154103872</c:v>
                </c:pt>
                <c:pt idx="383">
                  <c:v>0.32666164154103872</c:v>
                </c:pt>
                <c:pt idx="384">
                  <c:v>0.32666164154103872</c:v>
                </c:pt>
                <c:pt idx="385">
                  <c:v>0.32666164154103872</c:v>
                </c:pt>
                <c:pt idx="386">
                  <c:v>0.32666164154103872</c:v>
                </c:pt>
                <c:pt idx="387">
                  <c:v>0.32666164154103872</c:v>
                </c:pt>
                <c:pt idx="388">
                  <c:v>0.32666164154103872</c:v>
                </c:pt>
                <c:pt idx="389">
                  <c:v>0.32666164154103872</c:v>
                </c:pt>
                <c:pt idx="390">
                  <c:v>0.32666164154103872</c:v>
                </c:pt>
                <c:pt idx="391">
                  <c:v>0.32666164154103872</c:v>
                </c:pt>
                <c:pt idx="392">
                  <c:v>0.32666164154103872</c:v>
                </c:pt>
                <c:pt idx="393">
                  <c:v>0.32666164154103872</c:v>
                </c:pt>
                <c:pt idx="394">
                  <c:v>0.32666164154103872</c:v>
                </c:pt>
                <c:pt idx="395">
                  <c:v>0.32666164154103872</c:v>
                </c:pt>
                <c:pt idx="396">
                  <c:v>0.32666164154103872</c:v>
                </c:pt>
                <c:pt idx="397">
                  <c:v>0.32666164154103872</c:v>
                </c:pt>
                <c:pt idx="398">
                  <c:v>0.32666164154103872</c:v>
                </c:pt>
                <c:pt idx="399">
                  <c:v>0.32666164154103872</c:v>
                </c:pt>
                <c:pt idx="400">
                  <c:v>0.32666164154103872</c:v>
                </c:pt>
                <c:pt idx="401">
                  <c:v>0.32666164154103872</c:v>
                </c:pt>
                <c:pt idx="402">
                  <c:v>0.32666164154103872</c:v>
                </c:pt>
                <c:pt idx="403">
                  <c:v>0.32666164154103872</c:v>
                </c:pt>
                <c:pt idx="404">
                  <c:v>0.32666164154103872</c:v>
                </c:pt>
                <c:pt idx="405">
                  <c:v>0.32666164154103872</c:v>
                </c:pt>
                <c:pt idx="406">
                  <c:v>0.32666164154103872</c:v>
                </c:pt>
                <c:pt idx="407">
                  <c:v>0.32666164154103872</c:v>
                </c:pt>
                <c:pt idx="408">
                  <c:v>0.32666164154103872</c:v>
                </c:pt>
                <c:pt idx="409">
                  <c:v>0.32666164154103872</c:v>
                </c:pt>
                <c:pt idx="410">
                  <c:v>0.32666164154103872</c:v>
                </c:pt>
                <c:pt idx="411">
                  <c:v>0.32666164154103872</c:v>
                </c:pt>
                <c:pt idx="412">
                  <c:v>0.32666164154103872</c:v>
                </c:pt>
                <c:pt idx="413">
                  <c:v>0.32666164154103872</c:v>
                </c:pt>
                <c:pt idx="414">
                  <c:v>0.32666164154103872</c:v>
                </c:pt>
                <c:pt idx="415">
                  <c:v>0.32666164154103872</c:v>
                </c:pt>
                <c:pt idx="416">
                  <c:v>0.32666164154103872</c:v>
                </c:pt>
                <c:pt idx="417">
                  <c:v>0.32666164154103872</c:v>
                </c:pt>
                <c:pt idx="418">
                  <c:v>0.32666164154103872</c:v>
                </c:pt>
                <c:pt idx="419">
                  <c:v>0.32666164154103872</c:v>
                </c:pt>
                <c:pt idx="420">
                  <c:v>0.32666164154103872</c:v>
                </c:pt>
                <c:pt idx="421">
                  <c:v>0.32666164154103872</c:v>
                </c:pt>
                <c:pt idx="422">
                  <c:v>0.32666164154103872</c:v>
                </c:pt>
                <c:pt idx="423">
                  <c:v>0.32666164154103872</c:v>
                </c:pt>
                <c:pt idx="424">
                  <c:v>0.32666164154103872</c:v>
                </c:pt>
                <c:pt idx="425">
                  <c:v>0.32666164154103872</c:v>
                </c:pt>
                <c:pt idx="426">
                  <c:v>0.32666164154103872</c:v>
                </c:pt>
                <c:pt idx="427">
                  <c:v>0.32666164154103872</c:v>
                </c:pt>
                <c:pt idx="428">
                  <c:v>0.32666164154103872</c:v>
                </c:pt>
                <c:pt idx="429">
                  <c:v>0.32666164154103872</c:v>
                </c:pt>
                <c:pt idx="430">
                  <c:v>0.32666164154103872</c:v>
                </c:pt>
                <c:pt idx="431">
                  <c:v>0.32666164154103872</c:v>
                </c:pt>
                <c:pt idx="432">
                  <c:v>0.32666164154103872</c:v>
                </c:pt>
                <c:pt idx="433">
                  <c:v>0.32666164154103872</c:v>
                </c:pt>
                <c:pt idx="434">
                  <c:v>0.32666164154103872</c:v>
                </c:pt>
                <c:pt idx="435">
                  <c:v>0.32666164154103872</c:v>
                </c:pt>
                <c:pt idx="436">
                  <c:v>0.32666164154103872</c:v>
                </c:pt>
                <c:pt idx="437">
                  <c:v>0.32666164154103872</c:v>
                </c:pt>
                <c:pt idx="438">
                  <c:v>0.32666164154103872</c:v>
                </c:pt>
                <c:pt idx="439">
                  <c:v>0.32666164154103872</c:v>
                </c:pt>
                <c:pt idx="440">
                  <c:v>0.32666164154103872</c:v>
                </c:pt>
                <c:pt idx="441">
                  <c:v>0.32666164154103872</c:v>
                </c:pt>
                <c:pt idx="442">
                  <c:v>0.32666164154103872</c:v>
                </c:pt>
                <c:pt idx="443">
                  <c:v>0.32666164154103872</c:v>
                </c:pt>
                <c:pt idx="444">
                  <c:v>0.32666164154103872</c:v>
                </c:pt>
                <c:pt idx="445">
                  <c:v>0.32666164154103872</c:v>
                </c:pt>
                <c:pt idx="446">
                  <c:v>0.32666164154103872</c:v>
                </c:pt>
                <c:pt idx="447">
                  <c:v>0.32666164154103872</c:v>
                </c:pt>
                <c:pt idx="448">
                  <c:v>0.32666164154103872</c:v>
                </c:pt>
                <c:pt idx="449">
                  <c:v>0.32666164154103872</c:v>
                </c:pt>
                <c:pt idx="450">
                  <c:v>0.32666164154103872</c:v>
                </c:pt>
                <c:pt idx="451">
                  <c:v>0.32666164154103872</c:v>
                </c:pt>
                <c:pt idx="452">
                  <c:v>0.32666164154103872</c:v>
                </c:pt>
                <c:pt idx="453">
                  <c:v>0.32666164154103872</c:v>
                </c:pt>
                <c:pt idx="454">
                  <c:v>0.32666164154103872</c:v>
                </c:pt>
                <c:pt idx="455">
                  <c:v>0.32666164154103872</c:v>
                </c:pt>
                <c:pt idx="456">
                  <c:v>0.32666164154103872</c:v>
                </c:pt>
                <c:pt idx="457">
                  <c:v>0.32666164154103872</c:v>
                </c:pt>
                <c:pt idx="458">
                  <c:v>0.32666164154103872</c:v>
                </c:pt>
                <c:pt idx="459">
                  <c:v>0.32666164154103872</c:v>
                </c:pt>
                <c:pt idx="460">
                  <c:v>0.32666164154103872</c:v>
                </c:pt>
                <c:pt idx="461">
                  <c:v>0.32666164154103872</c:v>
                </c:pt>
                <c:pt idx="462">
                  <c:v>0.32666164154103872</c:v>
                </c:pt>
                <c:pt idx="463">
                  <c:v>0.32666164154103872</c:v>
                </c:pt>
                <c:pt idx="464">
                  <c:v>0.32666164154103872</c:v>
                </c:pt>
                <c:pt idx="465">
                  <c:v>0.32666164154103872</c:v>
                </c:pt>
                <c:pt idx="466">
                  <c:v>0.32666164154103872</c:v>
                </c:pt>
                <c:pt idx="467">
                  <c:v>0.32666164154103872</c:v>
                </c:pt>
                <c:pt idx="468">
                  <c:v>0.32666164154103872</c:v>
                </c:pt>
                <c:pt idx="469">
                  <c:v>0.32666164154103872</c:v>
                </c:pt>
                <c:pt idx="470">
                  <c:v>0.32666164154103872</c:v>
                </c:pt>
                <c:pt idx="471">
                  <c:v>0.32666164154103872</c:v>
                </c:pt>
                <c:pt idx="472">
                  <c:v>0.32666164154103872</c:v>
                </c:pt>
                <c:pt idx="473">
                  <c:v>0.32666164154103872</c:v>
                </c:pt>
                <c:pt idx="474">
                  <c:v>0.32666164154103872</c:v>
                </c:pt>
                <c:pt idx="475">
                  <c:v>0.32666164154103872</c:v>
                </c:pt>
                <c:pt idx="476">
                  <c:v>0.32666164154103872</c:v>
                </c:pt>
                <c:pt idx="477">
                  <c:v>0.32666164154103872</c:v>
                </c:pt>
                <c:pt idx="478">
                  <c:v>0.32666164154103872</c:v>
                </c:pt>
                <c:pt idx="479">
                  <c:v>0.32666164154103872</c:v>
                </c:pt>
                <c:pt idx="480">
                  <c:v>0.32666164154103872</c:v>
                </c:pt>
                <c:pt idx="481">
                  <c:v>0.32666164154103872</c:v>
                </c:pt>
                <c:pt idx="482">
                  <c:v>0.32666164154103872</c:v>
                </c:pt>
                <c:pt idx="483">
                  <c:v>0.32666164154103872</c:v>
                </c:pt>
                <c:pt idx="484">
                  <c:v>0.32666164154103872</c:v>
                </c:pt>
                <c:pt idx="485">
                  <c:v>0.32666164154103872</c:v>
                </c:pt>
                <c:pt idx="486">
                  <c:v>0.32666164154103872</c:v>
                </c:pt>
                <c:pt idx="487">
                  <c:v>0.32666164154103872</c:v>
                </c:pt>
                <c:pt idx="488">
                  <c:v>0.32666164154103872</c:v>
                </c:pt>
                <c:pt idx="489">
                  <c:v>0.32666164154103872</c:v>
                </c:pt>
                <c:pt idx="490">
                  <c:v>0.32666164154103872</c:v>
                </c:pt>
                <c:pt idx="491">
                  <c:v>0.32666164154103872</c:v>
                </c:pt>
                <c:pt idx="492">
                  <c:v>0.32666164154103872</c:v>
                </c:pt>
                <c:pt idx="493">
                  <c:v>0.32666164154103872</c:v>
                </c:pt>
                <c:pt idx="494">
                  <c:v>0.32666164154103872</c:v>
                </c:pt>
                <c:pt idx="495">
                  <c:v>0.32666164154103872</c:v>
                </c:pt>
                <c:pt idx="496">
                  <c:v>0.32666164154103872</c:v>
                </c:pt>
                <c:pt idx="497">
                  <c:v>0.32666164154103872</c:v>
                </c:pt>
                <c:pt idx="498">
                  <c:v>0.32666164154103872</c:v>
                </c:pt>
                <c:pt idx="499">
                  <c:v>0.32666164154103872</c:v>
                </c:pt>
                <c:pt idx="500">
                  <c:v>0.32666164154103872</c:v>
                </c:pt>
                <c:pt idx="501">
                  <c:v>0.32666164154103872</c:v>
                </c:pt>
                <c:pt idx="502">
                  <c:v>0.32666164154103872</c:v>
                </c:pt>
                <c:pt idx="503">
                  <c:v>0.32666164154103872</c:v>
                </c:pt>
                <c:pt idx="504">
                  <c:v>0.32666164154103872</c:v>
                </c:pt>
                <c:pt idx="505">
                  <c:v>0.32666164154103872</c:v>
                </c:pt>
                <c:pt idx="506">
                  <c:v>0.32666164154103872</c:v>
                </c:pt>
                <c:pt idx="507">
                  <c:v>0.32666164154103872</c:v>
                </c:pt>
                <c:pt idx="508">
                  <c:v>0.32666164154103872</c:v>
                </c:pt>
                <c:pt idx="509">
                  <c:v>0.32666164154103872</c:v>
                </c:pt>
                <c:pt idx="510">
                  <c:v>0.32666164154103872</c:v>
                </c:pt>
                <c:pt idx="511">
                  <c:v>0.32666164154103872</c:v>
                </c:pt>
                <c:pt idx="512">
                  <c:v>0.32666164154103872</c:v>
                </c:pt>
                <c:pt idx="513">
                  <c:v>0.32666164154103872</c:v>
                </c:pt>
                <c:pt idx="514">
                  <c:v>0.32666164154103872</c:v>
                </c:pt>
                <c:pt idx="515">
                  <c:v>0.32666164154103872</c:v>
                </c:pt>
                <c:pt idx="516">
                  <c:v>0.32666164154103872</c:v>
                </c:pt>
                <c:pt idx="517">
                  <c:v>0.32666164154103872</c:v>
                </c:pt>
                <c:pt idx="518">
                  <c:v>0.32666164154103872</c:v>
                </c:pt>
                <c:pt idx="519">
                  <c:v>0.32666164154103872</c:v>
                </c:pt>
                <c:pt idx="520">
                  <c:v>0.32666164154103872</c:v>
                </c:pt>
                <c:pt idx="521">
                  <c:v>0.32666164154103872</c:v>
                </c:pt>
                <c:pt idx="522">
                  <c:v>0.32666164154103872</c:v>
                </c:pt>
                <c:pt idx="523">
                  <c:v>0.32666164154103872</c:v>
                </c:pt>
                <c:pt idx="524">
                  <c:v>0.32666164154103872</c:v>
                </c:pt>
                <c:pt idx="525">
                  <c:v>0.32666164154103872</c:v>
                </c:pt>
                <c:pt idx="526">
                  <c:v>0.32666164154103872</c:v>
                </c:pt>
                <c:pt idx="527">
                  <c:v>0.32666164154103872</c:v>
                </c:pt>
                <c:pt idx="528">
                  <c:v>0.32666164154103872</c:v>
                </c:pt>
                <c:pt idx="529">
                  <c:v>0.32666164154103872</c:v>
                </c:pt>
                <c:pt idx="530">
                  <c:v>0.32666164154103872</c:v>
                </c:pt>
                <c:pt idx="531">
                  <c:v>0.32666164154103872</c:v>
                </c:pt>
                <c:pt idx="532">
                  <c:v>0.32666164154103872</c:v>
                </c:pt>
                <c:pt idx="533">
                  <c:v>0.32666164154103872</c:v>
                </c:pt>
                <c:pt idx="534">
                  <c:v>0.32666164154103872</c:v>
                </c:pt>
                <c:pt idx="535">
                  <c:v>0.32666164154103872</c:v>
                </c:pt>
                <c:pt idx="536">
                  <c:v>0.32666164154103872</c:v>
                </c:pt>
                <c:pt idx="537">
                  <c:v>0.32666164154103872</c:v>
                </c:pt>
                <c:pt idx="538">
                  <c:v>0.32666164154103872</c:v>
                </c:pt>
                <c:pt idx="539">
                  <c:v>0.32666164154103872</c:v>
                </c:pt>
                <c:pt idx="540">
                  <c:v>0.32666164154103872</c:v>
                </c:pt>
                <c:pt idx="541">
                  <c:v>0.32666164154103872</c:v>
                </c:pt>
                <c:pt idx="542">
                  <c:v>0.32666164154103872</c:v>
                </c:pt>
                <c:pt idx="543">
                  <c:v>0.32666164154103872</c:v>
                </c:pt>
                <c:pt idx="544">
                  <c:v>0.32666164154103872</c:v>
                </c:pt>
                <c:pt idx="545">
                  <c:v>0.32666164154103872</c:v>
                </c:pt>
                <c:pt idx="546">
                  <c:v>0.32666164154103872</c:v>
                </c:pt>
                <c:pt idx="547">
                  <c:v>0.32666164154103872</c:v>
                </c:pt>
                <c:pt idx="548">
                  <c:v>0.32666164154103872</c:v>
                </c:pt>
                <c:pt idx="549">
                  <c:v>0.32666164154103872</c:v>
                </c:pt>
                <c:pt idx="550">
                  <c:v>0.32666164154103872</c:v>
                </c:pt>
                <c:pt idx="551">
                  <c:v>0.32666164154103872</c:v>
                </c:pt>
                <c:pt idx="552">
                  <c:v>0.32666164154103872</c:v>
                </c:pt>
                <c:pt idx="553">
                  <c:v>0.32666164154103872</c:v>
                </c:pt>
                <c:pt idx="554">
                  <c:v>0.32666164154103872</c:v>
                </c:pt>
                <c:pt idx="555">
                  <c:v>0.32666164154103872</c:v>
                </c:pt>
                <c:pt idx="556">
                  <c:v>0.32666164154103872</c:v>
                </c:pt>
                <c:pt idx="557">
                  <c:v>0.32666164154103872</c:v>
                </c:pt>
                <c:pt idx="558">
                  <c:v>0.32666164154103872</c:v>
                </c:pt>
                <c:pt idx="559">
                  <c:v>0.32666164154103872</c:v>
                </c:pt>
                <c:pt idx="560">
                  <c:v>0.32666164154103872</c:v>
                </c:pt>
                <c:pt idx="561">
                  <c:v>0.32666164154103872</c:v>
                </c:pt>
                <c:pt idx="562">
                  <c:v>0.32666164154103872</c:v>
                </c:pt>
                <c:pt idx="563">
                  <c:v>0.32666164154103872</c:v>
                </c:pt>
                <c:pt idx="564">
                  <c:v>0.32666164154103872</c:v>
                </c:pt>
                <c:pt idx="565">
                  <c:v>0.32666164154103872</c:v>
                </c:pt>
                <c:pt idx="566">
                  <c:v>0.32666164154103872</c:v>
                </c:pt>
                <c:pt idx="567">
                  <c:v>0.32666164154103872</c:v>
                </c:pt>
                <c:pt idx="568">
                  <c:v>0.32666164154103872</c:v>
                </c:pt>
                <c:pt idx="569">
                  <c:v>0.32666164154103872</c:v>
                </c:pt>
                <c:pt idx="570">
                  <c:v>0.32666164154103872</c:v>
                </c:pt>
                <c:pt idx="571">
                  <c:v>0.32666164154103872</c:v>
                </c:pt>
                <c:pt idx="572">
                  <c:v>0.32666164154103872</c:v>
                </c:pt>
                <c:pt idx="573">
                  <c:v>0.32666164154103872</c:v>
                </c:pt>
                <c:pt idx="574">
                  <c:v>0.32666164154103872</c:v>
                </c:pt>
                <c:pt idx="575">
                  <c:v>0.32666164154103872</c:v>
                </c:pt>
                <c:pt idx="576">
                  <c:v>0.32666164154103872</c:v>
                </c:pt>
                <c:pt idx="577">
                  <c:v>0.32666164154103872</c:v>
                </c:pt>
                <c:pt idx="578">
                  <c:v>0.32666164154103872</c:v>
                </c:pt>
                <c:pt idx="579">
                  <c:v>0.32666164154103872</c:v>
                </c:pt>
                <c:pt idx="580">
                  <c:v>0.32666164154103872</c:v>
                </c:pt>
                <c:pt idx="581">
                  <c:v>0.32666164154103872</c:v>
                </c:pt>
                <c:pt idx="582">
                  <c:v>0.32666164154103872</c:v>
                </c:pt>
                <c:pt idx="583">
                  <c:v>0.32666164154103872</c:v>
                </c:pt>
                <c:pt idx="584">
                  <c:v>0.32666164154103872</c:v>
                </c:pt>
                <c:pt idx="585">
                  <c:v>0.32666164154103872</c:v>
                </c:pt>
                <c:pt idx="586">
                  <c:v>0.32666164154103872</c:v>
                </c:pt>
                <c:pt idx="587">
                  <c:v>0.32666164154103872</c:v>
                </c:pt>
                <c:pt idx="588">
                  <c:v>0.32666164154103872</c:v>
                </c:pt>
                <c:pt idx="589">
                  <c:v>0.32666164154103872</c:v>
                </c:pt>
                <c:pt idx="590">
                  <c:v>0.32666164154103872</c:v>
                </c:pt>
                <c:pt idx="591">
                  <c:v>0.32666164154103872</c:v>
                </c:pt>
                <c:pt idx="592">
                  <c:v>0.32666164154103872</c:v>
                </c:pt>
                <c:pt idx="593">
                  <c:v>0.32666164154103872</c:v>
                </c:pt>
                <c:pt idx="594">
                  <c:v>0.32666164154103872</c:v>
                </c:pt>
                <c:pt idx="595">
                  <c:v>0.32666164154103872</c:v>
                </c:pt>
                <c:pt idx="596">
                  <c:v>0.32666164154103872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8C-4DCE-910A-9F60EC61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TTV_SPC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TTV_SPC Moving Range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TTV_SPC!$G$10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TTV_SPC!$G$11:$G$607</c:f>
              <c:numCache>
                <c:formatCode>0.000</c:formatCode>
                <c:ptCount val="597"/>
                <c:pt idx="1">
                  <c:v>0.16699999999999998</c:v>
                </c:pt>
                <c:pt idx="2">
                  <c:v>0.21899999999999997</c:v>
                </c:pt>
                <c:pt idx="3">
                  <c:v>0.11800000000000002</c:v>
                </c:pt>
                <c:pt idx="4">
                  <c:v>0.10200000000000001</c:v>
                </c:pt>
                <c:pt idx="5">
                  <c:v>0.10500000000000001</c:v>
                </c:pt>
                <c:pt idx="6">
                  <c:v>0.23300000000000001</c:v>
                </c:pt>
                <c:pt idx="7">
                  <c:v>2.300000000000002E-2</c:v>
                </c:pt>
                <c:pt idx="8">
                  <c:v>0.154</c:v>
                </c:pt>
                <c:pt idx="9">
                  <c:v>3.999999999999998E-2</c:v>
                </c:pt>
                <c:pt idx="10">
                  <c:v>0.29100000000000004</c:v>
                </c:pt>
                <c:pt idx="11">
                  <c:v>0.06</c:v>
                </c:pt>
                <c:pt idx="12">
                  <c:v>6.4000000000000001E-2</c:v>
                </c:pt>
                <c:pt idx="13">
                  <c:v>0.17199999999999999</c:v>
                </c:pt>
                <c:pt idx="14">
                  <c:v>8.3999999999999964E-2</c:v>
                </c:pt>
                <c:pt idx="15">
                  <c:v>0.26299999999999996</c:v>
                </c:pt>
                <c:pt idx="16">
                  <c:v>8.9000000000000024E-2</c:v>
                </c:pt>
                <c:pt idx="17">
                  <c:v>0.16599999999999998</c:v>
                </c:pt>
                <c:pt idx="18">
                  <c:v>0.28699999999999998</c:v>
                </c:pt>
                <c:pt idx="19">
                  <c:v>4.8999999999999988E-2</c:v>
                </c:pt>
                <c:pt idx="20">
                  <c:v>4.8999999999999988E-2</c:v>
                </c:pt>
                <c:pt idx="21">
                  <c:v>0.13099999999999998</c:v>
                </c:pt>
                <c:pt idx="22">
                  <c:v>5.1999999999999963E-2</c:v>
                </c:pt>
                <c:pt idx="23">
                  <c:v>7.4999999999999983E-2</c:v>
                </c:pt>
                <c:pt idx="24">
                  <c:v>0.14099999999999999</c:v>
                </c:pt>
                <c:pt idx="25">
                  <c:v>8.0999999999999961E-2</c:v>
                </c:pt>
                <c:pt idx="26">
                  <c:v>1.5999999999999959E-2</c:v>
                </c:pt>
                <c:pt idx="27">
                  <c:v>9.2999999999999972E-2</c:v>
                </c:pt>
                <c:pt idx="28">
                  <c:v>9.000000000000008E-3</c:v>
                </c:pt>
                <c:pt idx="29">
                  <c:v>0.17099999999999999</c:v>
                </c:pt>
                <c:pt idx="30">
                  <c:v>0.215</c:v>
                </c:pt>
                <c:pt idx="31">
                  <c:v>0.32699999999999996</c:v>
                </c:pt>
                <c:pt idx="32">
                  <c:v>0.24399999999999999</c:v>
                </c:pt>
                <c:pt idx="33">
                  <c:v>3.1E-2</c:v>
                </c:pt>
                <c:pt idx="34">
                  <c:v>4.0000000000000008E-2</c:v>
                </c:pt>
                <c:pt idx="35">
                  <c:v>5.3999999999999992E-2</c:v>
                </c:pt>
                <c:pt idx="36">
                  <c:v>6.8000000000000005E-2</c:v>
                </c:pt>
                <c:pt idx="37">
                  <c:v>7.2000000000000008E-2</c:v>
                </c:pt>
                <c:pt idx="38">
                  <c:v>3.3000000000000029E-2</c:v>
                </c:pt>
                <c:pt idx="39">
                  <c:v>0.06</c:v>
                </c:pt>
                <c:pt idx="40">
                  <c:v>0.14500000000000002</c:v>
                </c:pt>
                <c:pt idx="41">
                  <c:v>0.15700000000000003</c:v>
                </c:pt>
                <c:pt idx="42">
                  <c:v>0.15100000000000002</c:v>
                </c:pt>
                <c:pt idx="43">
                  <c:v>7.0000000000000007E-2</c:v>
                </c:pt>
                <c:pt idx="44">
                  <c:v>9.000000000000008E-3</c:v>
                </c:pt>
                <c:pt idx="45">
                  <c:v>1.6000000000000014E-2</c:v>
                </c:pt>
                <c:pt idx="46">
                  <c:v>1.100000000000001E-2</c:v>
                </c:pt>
                <c:pt idx="47">
                  <c:v>7.9999999999999516E-3</c:v>
                </c:pt>
                <c:pt idx="48">
                  <c:v>0.11499999999999996</c:v>
                </c:pt>
                <c:pt idx="49">
                  <c:v>6.2999999999999973E-2</c:v>
                </c:pt>
                <c:pt idx="50">
                  <c:v>4.3000000000000038E-2</c:v>
                </c:pt>
                <c:pt idx="51">
                  <c:v>4.2000000000000037E-2</c:v>
                </c:pt>
                <c:pt idx="52">
                  <c:v>1.2000000000000011E-2</c:v>
                </c:pt>
                <c:pt idx="53">
                  <c:v>5.5999999999999994E-2</c:v>
                </c:pt>
                <c:pt idx="54">
                  <c:v>1.2000000000000011E-2</c:v>
                </c:pt>
                <c:pt idx="55">
                  <c:v>0.29400000000000004</c:v>
                </c:pt>
                <c:pt idx="56">
                  <c:v>0.26000000000000006</c:v>
                </c:pt>
                <c:pt idx="57">
                  <c:v>6.0999999999999999E-2</c:v>
                </c:pt>
                <c:pt idx="58">
                  <c:v>5.7999999999999996E-2</c:v>
                </c:pt>
                <c:pt idx="59">
                  <c:v>0.29599999999999999</c:v>
                </c:pt>
                <c:pt idx="60">
                  <c:v>4.3999999999999928E-2</c:v>
                </c:pt>
                <c:pt idx="61">
                  <c:v>9.8000000000000032E-2</c:v>
                </c:pt>
                <c:pt idx="62">
                  <c:v>0.22900000000000001</c:v>
                </c:pt>
                <c:pt idx="63">
                  <c:v>6.2999999999999973E-2</c:v>
                </c:pt>
                <c:pt idx="64">
                  <c:v>4.3999999999999984E-2</c:v>
                </c:pt>
                <c:pt idx="65">
                  <c:v>5.7999999999999996E-2</c:v>
                </c:pt>
                <c:pt idx="66">
                  <c:v>1.0000000000000009E-2</c:v>
                </c:pt>
                <c:pt idx="67">
                  <c:v>9.7000000000000003E-2</c:v>
                </c:pt>
                <c:pt idx="68">
                  <c:v>3.7000000000000005E-2</c:v>
                </c:pt>
                <c:pt idx="69">
                  <c:v>6.9000000000000006E-2</c:v>
                </c:pt>
                <c:pt idx="70">
                  <c:v>0.10399999999999998</c:v>
                </c:pt>
                <c:pt idx="71">
                  <c:v>6.3E-2</c:v>
                </c:pt>
                <c:pt idx="72">
                  <c:v>6.8000000000000005E-2</c:v>
                </c:pt>
                <c:pt idx="73">
                  <c:v>6.4999999999999974E-2</c:v>
                </c:pt>
                <c:pt idx="74">
                  <c:v>0.30800000000000005</c:v>
                </c:pt>
                <c:pt idx="75">
                  <c:v>0.12200000000000005</c:v>
                </c:pt>
                <c:pt idx="76">
                  <c:v>4.0000000000000036E-3</c:v>
                </c:pt>
                <c:pt idx="77">
                  <c:v>3.4999999999999976E-2</c:v>
                </c:pt>
                <c:pt idx="78">
                  <c:v>0.216</c:v>
                </c:pt>
                <c:pt idx="79">
                  <c:v>2.3999999999999994E-2</c:v>
                </c:pt>
                <c:pt idx="80">
                  <c:v>0.315</c:v>
                </c:pt>
                <c:pt idx="81">
                  <c:v>6.5000000000000002E-2</c:v>
                </c:pt>
                <c:pt idx="82">
                  <c:v>0.27500000000000002</c:v>
                </c:pt>
                <c:pt idx="83">
                  <c:v>0.19299999999999998</c:v>
                </c:pt>
                <c:pt idx="84">
                  <c:v>0.16899999999999998</c:v>
                </c:pt>
                <c:pt idx="85">
                  <c:v>0.253</c:v>
                </c:pt>
                <c:pt idx="86">
                  <c:v>7.2000000000000008E-2</c:v>
                </c:pt>
                <c:pt idx="87">
                  <c:v>1.9000000000000017E-2</c:v>
                </c:pt>
                <c:pt idx="88">
                  <c:v>0.10499999999999998</c:v>
                </c:pt>
                <c:pt idx="89">
                  <c:v>7.1000000000000008E-2</c:v>
                </c:pt>
                <c:pt idx="90">
                  <c:v>6.6000000000000003E-2</c:v>
                </c:pt>
                <c:pt idx="91">
                  <c:v>6.4000000000000001E-2</c:v>
                </c:pt>
                <c:pt idx="92">
                  <c:v>0.09</c:v>
                </c:pt>
                <c:pt idx="93">
                  <c:v>0.121</c:v>
                </c:pt>
                <c:pt idx="94">
                  <c:v>4.0000000000000036E-3</c:v>
                </c:pt>
                <c:pt idx="95">
                  <c:v>0.17200000000000001</c:v>
                </c:pt>
                <c:pt idx="96">
                  <c:v>1.9000000000000017E-2</c:v>
                </c:pt>
                <c:pt idx="97">
                  <c:v>0.17799999999999994</c:v>
                </c:pt>
                <c:pt idx="98">
                  <c:v>0.22799999999999998</c:v>
                </c:pt>
                <c:pt idx="99">
                  <c:v>6.9000000000000006E-2</c:v>
                </c:pt>
                <c:pt idx="100">
                  <c:v>7.3999999999999982E-2</c:v>
                </c:pt>
                <c:pt idx="101">
                  <c:v>6.1000000000000026E-2</c:v>
                </c:pt>
                <c:pt idx="102">
                  <c:v>5.0000000000000017E-2</c:v>
                </c:pt>
                <c:pt idx="103">
                  <c:v>0.28200000000000003</c:v>
                </c:pt>
                <c:pt idx="104">
                  <c:v>0.29700000000000004</c:v>
                </c:pt>
                <c:pt idx="105">
                  <c:v>0.12399999999999999</c:v>
                </c:pt>
                <c:pt idx="106">
                  <c:v>0.22699999999999998</c:v>
                </c:pt>
                <c:pt idx="107">
                  <c:v>0.10399999999999998</c:v>
                </c:pt>
                <c:pt idx="108">
                  <c:v>0.16699999999999998</c:v>
                </c:pt>
                <c:pt idx="109">
                  <c:v>8.1999999999999962E-2</c:v>
                </c:pt>
                <c:pt idx="110">
                  <c:v>0.124</c:v>
                </c:pt>
                <c:pt idx="111">
                  <c:v>0.16600000000000001</c:v>
                </c:pt>
                <c:pt idx="112">
                  <c:v>0.25800000000000001</c:v>
                </c:pt>
                <c:pt idx="113">
                  <c:v>8.6000000000000021E-2</c:v>
                </c:pt>
                <c:pt idx="114">
                  <c:v>6.2E-2</c:v>
                </c:pt>
                <c:pt idx="115">
                  <c:v>0.25699999999999995</c:v>
                </c:pt>
                <c:pt idx="116">
                  <c:v>6.2999999999999945E-2</c:v>
                </c:pt>
                <c:pt idx="117">
                  <c:v>0.253</c:v>
                </c:pt>
                <c:pt idx="118">
                  <c:v>0.23499999999999999</c:v>
                </c:pt>
                <c:pt idx="119">
                  <c:v>0.123</c:v>
                </c:pt>
                <c:pt idx="120">
                  <c:v>0.38500000000000001</c:v>
                </c:pt>
                <c:pt idx="121">
                  <c:v>1.5000000000000013E-2</c:v>
                </c:pt>
                <c:pt idx="122">
                  <c:v>0.12400000000000003</c:v>
                </c:pt>
                <c:pt idx="123">
                  <c:v>8.4000000000000019E-2</c:v>
                </c:pt>
                <c:pt idx="124">
                  <c:v>0.22399999999999998</c:v>
                </c:pt>
                <c:pt idx="125">
                  <c:v>8.6999999999999966E-2</c:v>
                </c:pt>
                <c:pt idx="126">
                  <c:v>0.35399999999999998</c:v>
                </c:pt>
                <c:pt idx="127">
                  <c:v>7.1000000000000008E-2</c:v>
                </c:pt>
                <c:pt idx="128">
                  <c:v>3.7000000000000005E-2</c:v>
                </c:pt>
                <c:pt idx="129">
                  <c:v>0.23899999999999999</c:v>
                </c:pt>
                <c:pt idx="130">
                  <c:v>0.15799999999999997</c:v>
                </c:pt>
                <c:pt idx="131">
                  <c:v>8.7000000000000022E-2</c:v>
                </c:pt>
                <c:pt idx="132">
                  <c:v>4.8000000000000015E-2</c:v>
                </c:pt>
                <c:pt idx="133">
                  <c:v>0.13599999999999998</c:v>
                </c:pt>
                <c:pt idx="134">
                  <c:v>2.300000000000002E-2</c:v>
                </c:pt>
                <c:pt idx="135">
                  <c:v>4.5999999999999985E-2</c:v>
                </c:pt>
                <c:pt idx="136">
                  <c:v>6.4000000000000001E-2</c:v>
                </c:pt>
                <c:pt idx="137">
                  <c:v>0.10799999999999998</c:v>
                </c:pt>
                <c:pt idx="138">
                  <c:v>1.8000000000000016E-2</c:v>
                </c:pt>
                <c:pt idx="139">
                  <c:v>0.30800000000000005</c:v>
                </c:pt>
                <c:pt idx="140">
                  <c:v>0.34699999999999998</c:v>
                </c:pt>
                <c:pt idx="141">
                  <c:v>3.999999999999998E-2</c:v>
                </c:pt>
                <c:pt idx="142">
                  <c:v>0.161</c:v>
                </c:pt>
                <c:pt idx="143">
                  <c:v>7.6999999999999985E-2</c:v>
                </c:pt>
                <c:pt idx="144">
                  <c:v>0.188</c:v>
                </c:pt>
                <c:pt idx="145">
                  <c:v>9.9000000000000005E-2</c:v>
                </c:pt>
                <c:pt idx="146">
                  <c:v>0.29000000000000004</c:v>
                </c:pt>
                <c:pt idx="147">
                  <c:v>0.17199999999999999</c:v>
                </c:pt>
                <c:pt idx="148">
                  <c:v>0.12100000000000002</c:v>
                </c:pt>
                <c:pt idx="149">
                  <c:v>9.9000000000000005E-2</c:v>
                </c:pt>
                <c:pt idx="150">
                  <c:v>5.8999999999999997E-2</c:v>
                </c:pt>
                <c:pt idx="151">
                  <c:v>5.0000000000000044E-3</c:v>
                </c:pt>
                <c:pt idx="152">
                  <c:v>0.23799999999999999</c:v>
                </c:pt>
                <c:pt idx="153">
                  <c:v>0.35499999999999998</c:v>
                </c:pt>
                <c:pt idx="154">
                  <c:v>9.6000000000000002E-2</c:v>
                </c:pt>
                <c:pt idx="155">
                  <c:v>6.5999999999999975E-2</c:v>
                </c:pt>
                <c:pt idx="156">
                  <c:v>0.19600000000000001</c:v>
                </c:pt>
                <c:pt idx="157">
                  <c:v>4.1999999999999996E-2</c:v>
                </c:pt>
                <c:pt idx="158">
                  <c:v>0.26</c:v>
                </c:pt>
                <c:pt idx="159">
                  <c:v>2.9999999999999472E-3</c:v>
                </c:pt>
                <c:pt idx="160">
                  <c:v>0.24599999999999997</c:v>
                </c:pt>
                <c:pt idx="161">
                  <c:v>1.2000000000000011E-2</c:v>
                </c:pt>
                <c:pt idx="162">
                  <c:v>0.40100000000000002</c:v>
                </c:pt>
                <c:pt idx="163">
                  <c:v>0.30500000000000005</c:v>
                </c:pt>
                <c:pt idx="164">
                  <c:v>0.22000000000000003</c:v>
                </c:pt>
                <c:pt idx="165">
                  <c:v>4.3000000000000038E-2</c:v>
                </c:pt>
                <c:pt idx="166">
                  <c:v>8.7999999999999967E-2</c:v>
                </c:pt>
                <c:pt idx="167">
                  <c:v>0.77300000000000013</c:v>
                </c:pt>
                <c:pt idx="168">
                  <c:v>0.74700000000000011</c:v>
                </c:pt>
                <c:pt idx="169">
                  <c:v>0.22399999999999998</c:v>
                </c:pt>
                <c:pt idx="170">
                  <c:v>0.33799999999999997</c:v>
                </c:pt>
                <c:pt idx="171">
                  <c:v>5.6999999999999995E-2</c:v>
                </c:pt>
                <c:pt idx="172">
                  <c:v>0.30399999999999999</c:v>
                </c:pt>
                <c:pt idx="173">
                  <c:v>0.12099999999999998</c:v>
                </c:pt>
                <c:pt idx="174">
                  <c:v>0.26200000000000001</c:v>
                </c:pt>
                <c:pt idx="175">
                  <c:v>0.22499999999999998</c:v>
                </c:pt>
                <c:pt idx="176">
                  <c:v>7.400000000000001E-2</c:v>
                </c:pt>
                <c:pt idx="177">
                  <c:v>1.0999999999999982E-2</c:v>
                </c:pt>
                <c:pt idx="178">
                  <c:v>0.23100000000000001</c:v>
                </c:pt>
                <c:pt idx="179">
                  <c:v>8.8000000000000023E-2</c:v>
                </c:pt>
                <c:pt idx="180">
                  <c:v>1.0000000000000009E-3</c:v>
                </c:pt>
                <c:pt idx="181">
                  <c:v>0.15500000000000003</c:v>
                </c:pt>
                <c:pt idx="182">
                  <c:v>0.22999999999999998</c:v>
                </c:pt>
                <c:pt idx="183">
                  <c:v>1.100000000000001E-2</c:v>
                </c:pt>
                <c:pt idx="184">
                  <c:v>0.17600000000000002</c:v>
                </c:pt>
                <c:pt idx="185">
                  <c:v>0.218</c:v>
                </c:pt>
                <c:pt idx="186">
                  <c:v>3.6000000000000032E-2</c:v>
                </c:pt>
                <c:pt idx="187">
                  <c:v>0.15900000000000003</c:v>
                </c:pt>
                <c:pt idx="188">
                  <c:v>0.183</c:v>
                </c:pt>
                <c:pt idx="189">
                  <c:v>1.6000000000000014E-2</c:v>
                </c:pt>
                <c:pt idx="190">
                  <c:v>4.0000000000000036E-3</c:v>
                </c:pt>
                <c:pt idx="191">
                  <c:v>5.8999999999999997E-2</c:v>
                </c:pt>
                <c:pt idx="192">
                  <c:v>0.21400000000000002</c:v>
                </c:pt>
                <c:pt idx="193">
                  <c:v>0.28300000000000003</c:v>
                </c:pt>
                <c:pt idx="194">
                  <c:v>0.13699999999999998</c:v>
                </c:pt>
                <c:pt idx="195">
                  <c:v>0.18799999999999997</c:v>
                </c:pt>
                <c:pt idx="196">
                  <c:v>0.44899999999999995</c:v>
                </c:pt>
                <c:pt idx="197">
                  <c:v>3.5000000000000031E-2</c:v>
                </c:pt>
                <c:pt idx="198">
                  <c:v>4.7000000000000042E-2</c:v>
                </c:pt>
                <c:pt idx="199">
                  <c:v>0.43799999999999994</c:v>
                </c:pt>
                <c:pt idx="200">
                  <c:v>0.15</c:v>
                </c:pt>
                <c:pt idx="201">
                  <c:v>4.2999999999999983E-2</c:v>
                </c:pt>
                <c:pt idx="202">
                  <c:v>0.16799999999999998</c:v>
                </c:pt>
                <c:pt idx="203">
                  <c:v>9.8999999999999977E-2</c:v>
                </c:pt>
                <c:pt idx="204">
                  <c:v>9.000000000000008E-3</c:v>
                </c:pt>
                <c:pt idx="205">
                  <c:v>0.10999999999999999</c:v>
                </c:pt>
                <c:pt idx="206">
                  <c:v>0.14100000000000001</c:v>
                </c:pt>
                <c:pt idx="207">
                  <c:v>3.9000000000000035E-2</c:v>
                </c:pt>
                <c:pt idx="208">
                  <c:v>4.7000000000000042E-2</c:v>
                </c:pt>
                <c:pt idx="209">
                  <c:v>4.0000000000000036E-3</c:v>
                </c:pt>
                <c:pt idx="210">
                  <c:v>0.13900000000000001</c:v>
                </c:pt>
                <c:pt idx="211">
                  <c:v>9.7999999999999976E-2</c:v>
                </c:pt>
                <c:pt idx="212">
                  <c:v>7.2000000000000008E-2</c:v>
                </c:pt>
                <c:pt idx="213">
                  <c:v>0.11099999999999999</c:v>
                </c:pt>
                <c:pt idx="214">
                  <c:v>0.217</c:v>
                </c:pt>
                <c:pt idx="215">
                  <c:v>3.6000000000000004E-2</c:v>
                </c:pt>
                <c:pt idx="216">
                  <c:v>0.13800000000000001</c:v>
                </c:pt>
                <c:pt idx="217">
                  <c:v>1.9000000000000017E-2</c:v>
                </c:pt>
                <c:pt idx="218">
                  <c:v>5.7999999999999996E-2</c:v>
                </c:pt>
                <c:pt idx="219">
                  <c:v>1.6000000000000014E-2</c:v>
                </c:pt>
                <c:pt idx="220">
                  <c:v>4.8999999999999988E-2</c:v>
                </c:pt>
                <c:pt idx="221">
                  <c:v>2.0000000000000018E-3</c:v>
                </c:pt>
                <c:pt idx="222">
                  <c:v>2.7999999999999997E-2</c:v>
                </c:pt>
                <c:pt idx="223">
                  <c:v>2.7999999999999997E-2</c:v>
                </c:pt>
                <c:pt idx="224">
                  <c:v>0.10899999999999999</c:v>
                </c:pt>
                <c:pt idx="225">
                  <c:v>0.14500000000000002</c:v>
                </c:pt>
                <c:pt idx="226">
                  <c:v>0.192</c:v>
                </c:pt>
                <c:pt idx="227">
                  <c:v>0.23499999999999999</c:v>
                </c:pt>
                <c:pt idx="228">
                  <c:v>0.19800000000000001</c:v>
                </c:pt>
                <c:pt idx="229">
                  <c:v>5.4000000000000048E-2</c:v>
                </c:pt>
                <c:pt idx="230">
                  <c:v>0.14600000000000002</c:v>
                </c:pt>
                <c:pt idx="231">
                  <c:v>0.27799999999999997</c:v>
                </c:pt>
                <c:pt idx="232">
                  <c:v>1.2000000000000011E-2</c:v>
                </c:pt>
                <c:pt idx="233">
                  <c:v>9.1999999999999971E-2</c:v>
                </c:pt>
                <c:pt idx="234">
                  <c:v>0.16999999999999993</c:v>
                </c:pt>
                <c:pt idx="235">
                  <c:v>0.38299999999999995</c:v>
                </c:pt>
                <c:pt idx="236">
                  <c:v>0.25800000000000001</c:v>
                </c:pt>
                <c:pt idx="237">
                  <c:v>0.13100000000000001</c:v>
                </c:pt>
                <c:pt idx="238">
                  <c:v>1.7000000000000015E-2</c:v>
                </c:pt>
                <c:pt idx="239">
                  <c:v>0.14799999999999999</c:v>
                </c:pt>
                <c:pt idx="240">
                  <c:v>0.18500000000000003</c:v>
                </c:pt>
                <c:pt idx="241">
                  <c:v>0.10300000000000001</c:v>
                </c:pt>
                <c:pt idx="242">
                  <c:v>7.4999999999999983E-2</c:v>
                </c:pt>
                <c:pt idx="243">
                  <c:v>5.5999999999999994E-2</c:v>
                </c:pt>
                <c:pt idx="244">
                  <c:v>7.0000000000000007E-2</c:v>
                </c:pt>
                <c:pt idx="245">
                  <c:v>9.9999999999999811E-3</c:v>
                </c:pt>
                <c:pt idx="246">
                  <c:v>1.6000000000000014E-2</c:v>
                </c:pt>
                <c:pt idx="247">
                  <c:v>0.18600000000000003</c:v>
                </c:pt>
                <c:pt idx="248">
                  <c:v>6.0999999999999999E-2</c:v>
                </c:pt>
                <c:pt idx="249">
                  <c:v>8.6000000000000021E-2</c:v>
                </c:pt>
                <c:pt idx="250">
                  <c:v>8.0000000000000071E-3</c:v>
                </c:pt>
                <c:pt idx="251">
                  <c:v>0.11599999999999999</c:v>
                </c:pt>
                <c:pt idx="252">
                  <c:v>0.14600000000000002</c:v>
                </c:pt>
                <c:pt idx="253">
                  <c:v>0.184</c:v>
                </c:pt>
                <c:pt idx="254">
                  <c:v>0.61799999999999999</c:v>
                </c:pt>
                <c:pt idx="255">
                  <c:v>0.39700000000000002</c:v>
                </c:pt>
                <c:pt idx="256">
                  <c:v>0.318</c:v>
                </c:pt>
                <c:pt idx="257">
                  <c:v>0.17899999999999999</c:v>
                </c:pt>
                <c:pt idx="258">
                  <c:v>0.15999999999999998</c:v>
                </c:pt>
                <c:pt idx="259">
                  <c:v>0.27899999999999997</c:v>
                </c:pt>
                <c:pt idx="260">
                  <c:v>0.28699999999999998</c:v>
                </c:pt>
                <c:pt idx="261">
                  <c:v>6.4000000000000001E-2</c:v>
                </c:pt>
                <c:pt idx="262">
                  <c:v>0.27900000000000003</c:v>
                </c:pt>
                <c:pt idx="263">
                  <c:v>5.5000000000000049E-2</c:v>
                </c:pt>
                <c:pt idx="264">
                  <c:v>8.5999999999999965E-2</c:v>
                </c:pt>
                <c:pt idx="265">
                  <c:v>2.200000000000002E-2</c:v>
                </c:pt>
                <c:pt idx="266">
                  <c:v>0.20399999999999999</c:v>
                </c:pt>
                <c:pt idx="267">
                  <c:v>0.61899999999999999</c:v>
                </c:pt>
                <c:pt idx="268">
                  <c:v>0.46200000000000002</c:v>
                </c:pt>
                <c:pt idx="269">
                  <c:v>0.183</c:v>
                </c:pt>
                <c:pt idx="270">
                  <c:v>6.2E-2</c:v>
                </c:pt>
                <c:pt idx="271">
                  <c:v>0.11499999999999999</c:v>
                </c:pt>
                <c:pt idx="272">
                  <c:v>8.2000000000000017E-2</c:v>
                </c:pt>
                <c:pt idx="273">
                  <c:v>9.0000000000000024E-2</c:v>
                </c:pt>
                <c:pt idx="274">
                  <c:v>9.8999999999999977E-2</c:v>
                </c:pt>
                <c:pt idx="275">
                  <c:v>0.191</c:v>
                </c:pt>
                <c:pt idx="276">
                  <c:v>2.5999999999999995E-2</c:v>
                </c:pt>
                <c:pt idx="277">
                  <c:v>6.3E-2</c:v>
                </c:pt>
                <c:pt idx="278">
                  <c:v>4.0000000000000036E-3</c:v>
                </c:pt>
                <c:pt idx="279">
                  <c:v>2.1999999999999992E-2</c:v>
                </c:pt>
                <c:pt idx="280">
                  <c:v>2.4000000000000021E-2</c:v>
                </c:pt>
                <c:pt idx="281">
                  <c:v>0.13600000000000001</c:v>
                </c:pt>
                <c:pt idx="282">
                  <c:v>4.9000000000000044E-2</c:v>
                </c:pt>
                <c:pt idx="283">
                  <c:v>9.9000000000000032E-2</c:v>
                </c:pt>
                <c:pt idx="284">
                  <c:v>0.10899999999999999</c:v>
                </c:pt>
                <c:pt idx="285">
                  <c:v>9.1999999999999971E-2</c:v>
                </c:pt>
                <c:pt idx="286">
                  <c:v>3.3999999999999975E-2</c:v>
                </c:pt>
                <c:pt idx="287">
                  <c:v>8.7000000000000022E-2</c:v>
                </c:pt>
                <c:pt idx="288">
                  <c:v>8.0000000000000071E-3</c:v>
                </c:pt>
                <c:pt idx="289">
                  <c:v>9.000000000000008E-3</c:v>
                </c:pt>
                <c:pt idx="290">
                  <c:v>7.0000000000000007E-2</c:v>
                </c:pt>
                <c:pt idx="291">
                  <c:v>6.0000000000000053E-3</c:v>
                </c:pt>
                <c:pt idx="292">
                  <c:v>0.49400000000000005</c:v>
                </c:pt>
                <c:pt idx="293">
                  <c:v>0.31600000000000006</c:v>
                </c:pt>
                <c:pt idx="294">
                  <c:v>0.15000000000000002</c:v>
                </c:pt>
                <c:pt idx="295">
                  <c:v>1.4000000000000012E-2</c:v>
                </c:pt>
                <c:pt idx="296">
                  <c:v>0.11499999999999999</c:v>
                </c:pt>
                <c:pt idx="297">
                  <c:v>0.15700000000000003</c:v>
                </c:pt>
                <c:pt idx="298">
                  <c:v>6.0000000000000053E-2</c:v>
                </c:pt>
                <c:pt idx="299">
                  <c:v>3.0000000000000027E-2</c:v>
                </c:pt>
                <c:pt idx="300">
                  <c:v>3.5000000000000031E-2</c:v>
                </c:pt>
                <c:pt idx="301">
                  <c:v>1.5000000000000013E-2</c:v>
                </c:pt>
                <c:pt idx="302">
                  <c:v>3.0000000000000027E-3</c:v>
                </c:pt>
                <c:pt idx="303">
                  <c:v>0.27100000000000002</c:v>
                </c:pt>
                <c:pt idx="304">
                  <c:v>0.20400000000000001</c:v>
                </c:pt>
                <c:pt idx="305">
                  <c:v>0.25</c:v>
                </c:pt>
                <c:pt idx="306">
                  <c:v>4.9999999999999989E-2</c:v>
                </c:pt>
                <c:pt idx="307">
                  <c:v>0.11599999999999999</c:v>
                </c:pt>
                <c:pt idx="308">
                  <c:v>1.9000000000000017E-2</c:v>
                </c:pt>
                <c:pt idx="309">
                  <c:v>0.22900000000000001</c:v>
                </c:pt>
                <c:pt idx="310">
                  <c:v>0.44299999999999995</c:v>
                </c:pt>
                <c:pt idx="311">
                  <c:v>0.43499999999999994</c:v>
                </c:pt>
                <c:pt idx="312">
                  <c:v>0.19499999999999998</c:v>
                </c:pt>
                <c:pt idx="313">
                  <c:v>7.5000000000000011E-2</c:v>
                </c:pt>
                <c:pt idx="314">
                  <c:v>0.25000000000000006</c:v>
                </c:pt>
                <c:pt idx="315">
                  <c:v>0.39700000000000008</c:v>
                </c:pt>
                <c:pt idx="316">
                  <c:v>0.54800000000000004</c:v>
                </c:pt>
                <c:pt idx="317">
                  <c:v>0.54899999999999993</c:v>
                </c:pt>
                <c:pt idx="318">
                  <c:v>0.54299999999999993</c:v>
                </c:pt>
                <c:pt idx="319">
                  <c:v>0.6379999999999999</c:v>
                </c:pt>
                <c:pt idx="320">
                  <c:v>0.11799999999999999</c:v>
                </c:pt>
                <c:pt idx="321">
                  <c:v>0.1</c:v>
                </c:pt>
                <c:pt idx="322">
                  <c:v>0.34600000000000009</c:v>
                </c:pt>
                <c:pt idx="323">
                  <c:v>0.20500000000000007</c:v>
                </c:pt>
                <c:pt idx="324">
                  <c:v>0.17699999999999999</c:v>
                </c:pt>
                <c:pt idx="325">
                  <c:v>0.22800000000000004</c:v>
                </c:pt>
                <c:pt idx="326">
                  <c:v>2.5999999999999968E-2</c:v>
                </c:pt>
                <c:pt idx="327">
                  <c:v>0.19899999999999998</c:v>
                </c:pt>
                <c:pt idx="328">
                  <c:v>7.3999999999999982E-2</c:v>
                </c:pt>
                <c:pt idx="329">
                  <c:v>7.5000000000000011E-2</c:v>
                </c:pt>
                <c:pt idx="330">
                  <c:v>8.6000000000000021E-2</c:v>
                </c:pt>
                <c:pt idx="331">
                  <c:v>8.0000000000000071E-3</c:v>
                </c:pt>
                <c:pt idx="332">
                  <c:v>1.9999999999999962E-2</c:v>
                </c:pt>
                <c:pt idx="333">
                  <c:v>0.15399999999999997</c:v>
                </c:pt>
                <c:pt idx="334">
                  <c:v>3.1000000000000028E-2</c:v>
                </c:pt>
                <c:pt idx="335">
                  <c:v>0.438</c:v>
                </c:pt>
                <c:pt idx="336">
                  <c:v>0.33899999999999997</c:v>
                </c:pt>
                <c:pt idx="337">
                  <c:v>0.18700000000000006</c:v>
                </c:pt>
                <c:pt idx="338">
                  <c:v>0.11499999999999999</c:v>
                </c:pt>
                <c:pt idx="339">
                  <c:v>0.11299999999999999</c:v>
                </c:pt>
                <c:pt idx="340">
                  <c:v>0</c:v>
                </c:pt>
                <c:pt idx="341">
                  <c:v>6.2E-2</c:v>
                </c:pt>
                <c:pt idx="342">
                  <c:v>9.8000000000000032E-2</c:v>
                </c:pt>
                <c:pt idx="343">
                  <c:v>0.13700000000000001</c:v>
                </c:pt>
                <c:pt idx="344">
                  <c:v>1.2999999999999956E-2</c:v>
                </c:pt>
                <c:pt idx="345">
                  <c:v>7.3999999999999955E-2</c:v>
                </c:pt>
                <c:pt idx="346">
                  <c:v>3.8999999999999979E-2</c:v>
                </c:pt>
                <c:pt idx="347">
                  <c:v>7.5000000000000011E-2</c:v>
                </c:pt>
                <c:pt idx="348">
                  <c:v>4.2999999999999983E-2</c:v>
                </c:pt>
                <c:pt idx="349">
                  <c:v>3.6999999999999977E-2</c:v>
                </c:pt>
                <c:pt idx="350">
                  <c:v>5.4999999999999993E-2</c:v>
                </c:pt>
                <c:pt idx="351">
                  <c:v>3.6000000000000032E-2</c:v>
                </c:pt>
                <c:pt idx="352">
                  <c:v>0.29299999999999998</c:v>
                </c:pt>
                <c:pt idx="353">
                  <c:v>0.13800000000000001</c:v>
                </c:pt>
                <c:pt idx="354">
                  <c:v>5.0000000000000044E-3</c:v>
                </c:pt>
                <c:pt idx="355">
                  <c:v>0.20300000000000001</c:v>
                </c:pt>
                <c:pt idx="356">
                  <c:v>0.35200000000000004</c:v>
                </c:pt>
                <c:pt idx="357">
                  <c:v>0.21800000000000003</c:v>
                </c:pt>
                <c:pt idx="358">
                  <c:v>4.7999999999999987E-2</c:v>
                </c:pt>
                <c:pt idx="359">
                  <c:v>0.16599999999999998</c:v>
                </c:pt>
                <c:pt idx="360">
                  <c:v>0.157</c:v>
                </c:pt>
                <c:pt idx="361">
                  <c:v>0.32700000000000007</c:v>
                </c:pt>
                <c:pt idx="362">
                  <c:v>0.26300000000000001</c:v>
                </c:pt>
                <c:pt idx="363">
                  <c:v>0.254</c:v>
                </c:pt>
                <c:pt idx="364">
                  <c:v>0.10099999999999998</c:v>
                </c:pt>
                <c:pt idx="365">
                  <c:v>0.20800000000000002</c:v>
                </c:pt>
                <c:pt idx="366">
                  <c:v>0.15499999999999997</c:v>
                </c:pt>
                <c:pt idx="367">
                  <c:v>0.25299999999999995</c:v>
                </c:pt>
                <c:pt idx="368">
                  <c:v>0.20300000000000001</c:v>
                </c:pt>
                <c:pt idx="369">
                  <c:v>7.4999999999999997E-2</c:v>
                </c:pt>
                <c:pt idx="370">
                  <c:v>0.09</c:v>
                </c:pt>
                <c:pt idx="371">
                  <c:v>0.30599999999999994</c:v>
                </c:pt>
                <c:pt idx="372">
                  <c:v>8.4000000000000019E-2</c:v>
                </c:pt>
                <c:pt idx="373">
                  <c:v>0.36</c:v>
                </c:pt>
                <c:pt idx="374">
                  <c:v>0.20600000000000002</c:v>
                </c:pt>
                <c:pt idx="375">
                  <c:v>3.999999999999998E-2</c:v>
                </c:pt>
                <c:pt idx="376">
                  <c:v>0.248</c:v>
                </c:pt>
                <c:pt idx="377">
                  <c:v>0.36199999999999999</c:v>
                </c:pt>
                <c:pt idx="378">
                  <c:v>0.307</c:v>
                </c:pt>
                <c:pt idx="379">
                  <c:v>0.35400000000000004</c:v>
                </c:pt>
                <c:pt idx="380">
                  <c:v>0.14600000000000002</c:v>
                </c:pt>
                <c:pt idx="381">
                  <c:v>0.29600000000000004</c:v>
                </c:pt>
                <c:pt idx="382">
                  <c:v>3.1E-2</c:v>
                </c:pt>
                <c:pt idx="383">
                  <c:v>3.0000000000000027E-3</c:v>
                </c:pt>
                <c:pt idx="384">
                  <c:v>3.2000000000000001E-2</c:v>
                </c:pt>
                <c:pt idx="385">
                  <c:v>0.157</c:v>
                </c:pt>
                <c:pt idx="386">
                  <c:v>0.11100000000000002</c:v>
                </c:pt>
                <c:pt idx="387">
                  <c:v>7.1999999999999981E-2</c:v>
                </c:pt>
                <c:pt idx="388">
                  <c:v>0.43999999999999995</c:v>
                </c:pt>
                <c:pt idx="389">
                  <c:v>0.20400000000000007</c:v>
                </c:pt>
                <c:pt idx="390">
                  <c:v>0</c:v>
                </c:pt>
                <c:pt idx="391">
                  <c:v>0.129</c:v>
                </c:pt>
                <c:pt idx="392">
                  <c:v>0.10099999999999998</c:v>
                </c:pt>
                <c:pt idx="393">
                  <c:v>0.38100000000000001</c:v>
                </c:pt>
                <c:pt idx="394">
                  <c:v>3.8999999999999979E-2</c:v>
                </c:pt>
                <c:pt idx="395">
                  <c:v>0.35299999999999998</c:v>
                </c:pt>
                <c:pt idx="396">
                  <c:v>0.21800000000000003</c:v>
                </c:pt>
                <c:pt idx="397">
                  <c:v>0.10199999999999998</c:v>
                </c:pt>
                <c:pt idx="398">
                  <c:v>0.13500000000000001</c:v>
                </c:pt>
                <c:pt idx="399">
                  <c:v>5.1999999999999991E-2</c:v>
                </c:pt>
                <c:pt idx="400">
                  <c:v>3.9000000000000035E-2</c:v>
                </c:pt>
                <c:pt idx="401">
                  <c:v>0.30499999999999999</c:v>
                </c:pt>
                <c:pt idx="402">
                  <c:v>0.29400000000000004</c:v>
                </c:pt>
                <c:pt idx="403">
                  <c:v>7.4999999999999956E-2</c:v>
                </c:pt>
                <c:pt idx="404">
                  <c:v>3.1000000000000028E-2</c:v>
                </c:pt>
                <c:pt idx="405">
                  <c:v>2.5999999999999995E-2</c:v>
                </c:pt>
                <c:pt idx="406">
                  <c:v>0.23700000000000002</c:v>
                </c:pt>
                <c:pt idx="407">
                  <c:v>4.9999999999999989E-2</c:v>
                </c:pt>
                <c:pt idx="408">
                  <c:v>0.183</c:v>
                </c:pt>
                <c:pt idx="409">
                  <c:v>0.14699999999999999</c:v>
                </c:pt>
                <c:pt idx="410">
                  <c:v>0.26600000000000001</c:v>
                </c:pt>
                <c:pt idx="411">
                  <c:v>0.24399999999999999</c:v>
                </c:pt>
                <c:pt idx="412">
                  <c:v>8.0000000000000071E-3</c:v>
                </c:pt>
                <c:pt idx="413">
                  <c:v>3.8999999999999979E-2</c:v>
                </c:pt>
                <c:pt idx="414">
                  <c:v>0.16299999999999998</c:v>
                </c:pt>
                <c:pt idx="415">
                  <c:v>0.127</c:v>
                </c:pt>
                <c:pt idx="416">
                  <c:v>0.183</c:v>
                </c:pt>
                <c:pt idx="417">
                  <c:v>3.2000000000000028E-2</c:v>
                </c:pt>
                <c:pt idx="418">
                  <c:v>0.14800000000000002</c:v>
                </c:pt>
                <c:pt idx="419">
                  <c:v>0.248</c:v>
                </c:pt>
                <c:pt idx="420">
                  <c:v>9.4999999999999973E-2</c:v>
                </c:pt>
                <c:pt idx="421">
                  <c:v>5.4999999999999993E-2</c:v>
                </c:pt>
                <c:pt idx="422">
                  <c:v>0.10199999999999998</c:v>
                </c:pt>
                <c:pt idx="423">
                  <c:v>2.5999999999999995E-2</c:v>
                </c:pt>
                <c:pt idx="424">
                  <c:v>4.0000000000000036E-3</c:v>
                </c:pt>
                <c:pt idx="425">
                  <c:v>3.7000000000000005E-2</c:v>
                </c:pt>
                <c:pt idx="426">
                  <c:v>5.3999999999999992E-2</c:v>
                </c:pt>
                <c:pt idx="427">
                  <c:v>0.155</c:v>
                </c:pt>
                <c:pt idx="428">
                  <c:v>6.0000000000000053E-3</c:v>
                </c:pt>
                <c:pt idx="429">
                  <c:v>9.8000000000000004E-2</c:v>
                </c:pt>
                <c:pt idx="430">
                  <c:v>0.22000000000000003</c:v>
                </c:pt>
                <c:pt idx="431">
                  <c:v>0.51500000000000001</c:v>
                </c:pt>
                <c:pt idx="432">
                  <c:v>0.24199999999999999</c:v>
                </c:pt>
                <c:pt idx="433">
                  <c:v>5.3999999999999992E-2</c:v>
                </c:pt>
                <c:pt idx="434">
                  <c:v>0.185</c:v>
                </c:pt>
                <c:pt idx="435">
                  <c:v>0.28999999999999998</c:v>
                </c:pt>
                <c:pt idx="436">
                  <c:v>7.0000000000000062E-3</c:v>
                </c:pt>
                <c:pt idx="437">
                  <c:v>0.309</c:v>
                </c:pt>
                <c:pt idx="438">
                  <c:v>0.26300000000000001</c:v>
                </c:pt>
                <c:pt idx="439">
                  <c:v>0.15000000000000002</c:v>
                </c:pt>
                <c:pt idx="440">
                  <c:v>4.1000000000000036E-2</c:v>
                </c:pt>
                <c:pt idx="441">
                  <c:v>0.20600000000000002</c:v>
                </c:pt>
                <c:pt idx="442">
                  <c:v>8.9999999999999969E-2</c:v>
                </c:pt>
                <c:pt idx="443">
                  <c:v>0.10799999999999998</c:v>
                </c:pt>
                <c:pt idx="444">
                  <c:v>0.186</c:v>
                </c:pt>
                <c:pt idx="445">
                  <c:v>0.20700000000000002</c:v>
                </c:pt>
                <c:pt idx="446">
                  <c:v>0.26000000000000006</c:v>
                </c:pt>
                <c:pt idx="447">
                  <c:v>0.40600000000000003</c:v>
                </c:pt>
                <c:pt idx="448">
                  <c:v>7.2999999999999982E-2</c:v>
                </c:pt>
                <c:pt idx="449">
                  <c:v>4.0000000000000008E-2</c:v>
                </c:pt>
                <c:pt idx="450">
                  <c:v>2.300000000000002E-2</c:v>
                </c:pt>
                <c:pt idx="451">
                  <c:v>0.13000000000000003</c:v>
                </c:pt>
                <c:pt idx="452">
                  <c:v>3.7999999999999992E-2</c:v>
                </c:pt>
                <c:pt idx="453">
                  <c:v>0.13600000000000001</c:v>
                </c:pt>
                <c:pt idx="454">
                  <c:v>6.6000000000000003E-2</c:v>
                </c:pt>
                <c:pt idx="455">
                  <c:v>1.9000000000000017E-2</c:v>
                </c:pt>
                <c:pt idx="456">
                  <c:v>3.3000000000000029E-2</c:v>
                </c:pt>
                <c:pt idx="457">
                  <c:v>0.14700000000000002</c:v>
                </c:pt>
                <c:pt idx="458">
                  <c:v>7.0000000000000007E-2</c:v>
                </c:pt>
                <c:pt idx="459">
                  <c:v>2.1000000000000019E-2</c:v>
                </c:pt>
                <c:pt idx="460">
                  <c:v>1.0000000000000009E-2</c:v>
                </c:pt>
                <c:pt idx="461">
                  <c:v>9.5000000000000029E-2</c:v>
                </c:pt>
                <c:pt idx="462">
                  <c:v>0.11699999999999999</c:v>
                </c:pt>
                <c:pt idx="463">
                  <c:v>6.0999999999999999E-2</c:v>
                </c:pt>
                <c:pt idx="464">
                  <c:v>5.0000000000000044E-3</c:v>
                </c:pt>
                <c:pt idx="465">
                  <c:v>6.0000000000000053E-3</c:v>
                </c:pt>
                <c:pt idx="466">
                  <c:v>0.14800000000000002</c:v>
                </c:pt>
                <c:pt idx="467">
                  <c:v>9.6999999999999975E-2</c:v>
                </c:pt>
                <c:pt idx="468">
                  <c:v>0.36699999999999999</c:v>
                </c:pt>
                <c:pt idx="469">
                  <c:v>0.23399999999999999</c:v>
                </c:pt>
                <c:pt idx="470">
                  <c:v>3.0000000000000027E-3</c:v>
                </c:pt>
                <c:pt idx="471">
                  <c:v>0.22299999999999998</c:v>
                </c:pt>
                <c:pt idx="472">
                  <c:v>0.28400000000000003</c:v>
                </c:pt>
                <c:pt idx="473">
                  <c:v>8.8999999999999968E-2</c:v>
                </c:pt>
                <c:pt idx="474">
                  <c:v>5.5999999999999994E-2</c:v>
                </c:pt>
                <c:pt idx="475">
                  <c:v>0.29400000000000004</c:v>
                </c:pt>
                <c:pt idx="476">
                  <c:v>0.31300000000000006</c:v>
                </c:pt>
                <c:pt idx="477">
                  <c:v>7.3000000000000009E-2</c:v>
                </c:pt>
                <c:pt idx="478">
                  <c:v>0.36299999999999999</c:v>
                </c:pt>
                <c:pt idx="479">
                  <c:v>2.7999999999999997E-2</c:v>
                </c:pt>
                <c:pt idx="480">
                  <c:v>4.8999999999999988E-2</c:v>
                </c:pt>
                <c:pt idx="481">
                  <c:v>5.099999999999999E-2</c:v>
                </c:pt>
                <c:pt idx="482">
                  <c:v>5.3999999999999992E-2</c:v>
                </c:pt>
                <c:pt idx="483">
                  <c:v>0.14699999999999996</c:v>
                </c:pt>
                <c:pt idx="484">
                  <c:v>0.16699999999999998</c:v>
                </c:pt>
                <c:pt idx="485">
                  <c:v>0.17299999999999999</c:v>
                </c:pt>
                <c:pt idx="486">
                  <c:v>9.6999999999999975E-2</c:v>
                </c:pt>
                <c:pt idx="487">
                  <c:v>0.10999999999999999</c:v>
                </c:pt>
                <c:pt idx="488">
                  <c:v>0.10999999999999999</c:v>
                </c:pt>
                <c:pt idx="489">
                  <c:v>0.10400000000000004</c:v>
                </c:pt>
                <c:pt idx="490">
                  <c:v>7.3000000000000009E-2</c:v>
                </c:pt>
                <c:pt idx="491">
                  <c:v>0.14500000000000002</c:v>
                </c:pt>
                <c:pt idx="492">
                  <c:v>0.11099999999999999</c:v>
                </c:pt>
                <c:pt idx="493">
                  <c:v>0.27999999999999997</c:v>
                </c:pt>
                <c:pt idx="494">
                  <c:v>0.15599999999999997</c:v>
                </c:pt>
                <c:pt idx="495">
                  <c:v>0.184</c:v>
                </c:pt>
                <c:pt idx="496">
                  <c:v>6.8000000000000005E-2</c:v>
                </c:pt>
                <c:pt idx="497">
                  <c:v>0.121</c:v>
                </c:pt>
                <c:pt idx="498">
                  <c:v>0.123</c:v>
                </c:pt>
                <c:pt idx="499">
                  <c:v>0.11799999999999999</c:v>
                </c:pt>
                <c:pt idx="500">
                  <c:v>0.19499999999999998</c:v>
                </c:pt>
                <c:pt idx="501">
                  <c:v>3.1E-2</c:v>
                </c:pt>
                <c:pt idx="502">
                  <c:v>0.38999999999999996</c:v>
                </c:pt>
                <c:pt idx="503">
                  <c:v>5.9999999999999942E-2</c:v>
                </c:pt>
                <c:pt idx="504">
                  <c:v>0.22500000000000003</c:v>
                </c:pt>
                <c:pt idx="505">
                  <c:v>0.36700000000000005</c:v>
                </c:pt>
                <c:pt idx="506">
                  <c:v>0.621</c:v>
                </c:pt>
                <c:pt idx="507">
                  <c:v>0.12</c:v>
                </c:pt>
                <c:pt idx="508">
                  <c:v>4.4000000000000011E-2</c:v>
                </c:pt>
                <c:pt idx="509">
                  <c:v>0.214</c:v>
                </c:pt>
                <c:pt idx="510">
                  <c:v>4.2999999999999983E-2</c:v>
                </c:pt>
                <c:pt idx="511">
                  <c:v>0.13200000000000001</c:v>
                </c:pt>
                <c:pt idx="512">
                  <c:v>0.11699999999999999</c:v>
                </c:pt>
                <c:pt idx="513">
                  <c:v>0.29000000000000004</c:v>
                </c:pt>
                <c:pt idx="514">
                  <c:v>0.28100000000000003</c:v>
                </c:pt>
                <c:pt idx="515">
                  <c:v>7.3999999999999955E-2</c:v>
                </c:pt>
                <c:pt idx="516">
                  <c:v>0.40699999999999997</c:v>
                </c:pt>
                <c:pt idx="517">
                  <c:v>0.44600000000000001</c:v>
                </c:pt>
                <c:pt idx="518">
                  <c:v>0.254</c:v>
                </c:pt>
                <c:pt idx="519">
                  <c:v>1.100000000000001E-2</c:v>
                </c:pt>
                <c:pt idx="520">
                  <c:v>0.13100000000000001</c:v>
                </c:pt>
                <c:pt idx="521">
                  <c:v>0.16600000000000004</c:v>
                </c:pt>
                <c:pt idx="522">
                  <c:v>0.29000000000000004</c:v>
                </c:pt>
                <c:pt idx="523">
                  <c:v>5.3999999999999992E-2</c:v>
                </c:pt>
                <c:pt idx="524">
                  <c:v>0.29599999999999999</c:v>
                </c:pt>
                <c:pt idx="525">
                  <c:v>0.249</c:v>
                </c:pt>
                <c:pt idx="526">
                  <c:v>2.8000000000000025E-2</c:v>
                </c:pt>
                <c:pt idx="527">
                  <c:v>1.100000000000001E-2</c:v>
                </c:pt>
                <c:pt idx="528">
                  <c:v>4.5999999999999985E-2</c:v>
                </c:pt>
                <c:pt idx="529">
                  <c:v>0.14400000000000002</c:v>
                </c:pt>
                <c:pt idx="530">
                  <c:v>9.8999999999999977E-2</c:v>
                </c:pt>
                <c:pt idx="531">
                  <c:v>5.4999999999999993E-2</c:v>
                </c:pt>
                <c:pt idx="532">
                  <c:v>0.20599999999999996</c:v>
                </c:pt>
                <c:pt idx="533">
                  <c:v>0.15699999999999997</c:v>
                </c:pt>
                <c:pt idx="534">
                  <c:v>3.5000000000000003E-2</c:v>
                </c:pt>
                <c:pt idx="535">
                  <c:v>0.26700000000000002</c:v>
                </c:pt>
                <c:pt idx="536">
                  <c:v>0.121</c:v>
                </c:pt>
                <c:pt idx="537">
                  <c:v>0.17199999999999999</c:v>
                </c:pt>
                <c:pt idx="538">
                  <c:v>6.3999999999999946E-2</c:v>
                </c:pt>
                <c:pt idx="539">
                  <c:v>5.7000000000000051E-2</c:v>
                </c:pt>
                <c:pt idx="540">
                  <c:v>0.254</c:v>
                </c:pt>
                <c:pt idx="541">
                  <c:v>0.20799999999999999</c:v>
                </c:pt>
                <c:pt idx="542">
                  <c:v>2.4000000000000021E-2</c:v>
                </c:pt>
                <c:pt idx="543">
                  <c:v>0.20600000000000002</c:v>
                </c:pt>
                <c:pt idx="544">
                  <c:v>0.24000000000000005</c:v>
                </c:pt>
                <c:pt idx="545">
                  <c:v>0.56800000000000006</c:v>
                </c:pt>
                <c:pt idx="546">
                  <c:v>0.29999999999999993</c:v>
                </c:pt>
                <c:pt idx="547">
                  <c:v>0.42200000000000004</c:v>
                </c:pt>
                <c:pt idx="548">
                  <c:v>0.11499999999999999</c:v>
                </c:pt>
                <c:pt idx="549">
                  <c:v>0.23199999999999998</c:v>
                </c:pt>
                <c:pt idx="550">
                  <c:v>0.442</c:v>
                </c:pt>
                <c:pt idx="551">
                  <c:v>0.26400000000000001</c:v>
                </c:pt>
                <c:pt idx="552">
                  <c:v>1.9000000000000017E-2</c:v>
                </c:pt>
                <c:pt idx="553">
                  <c:v>5.1999999999999991E-2</c:v>
                </c:pt>
                <c:pt idx="554">
                  <c:v>0.188</c:v>
                </c:pt>
                <c:pt idx="555">
                  <c:v>3.7999999999999978E-2</c:v>
                </c:pt>
                <c:pt idx="556">
                  <c:v>4.6999999999999986E-2</c:v>
                </c:pt>
                <c:pt idx="557">
                  <c:v>0.251</c:v>
                </c:pt>
                <c:pt idx="558">
                  <c:v>0.26100000000000001</c:v>
                </c:pt>
                <c:pt idx="559">
                  <c:v>2.4000000000000021E-2</c:v>
                </c:pt>
                <c:pt idx="560">
                  <c:v>0.29699999999999999</c:v>
                </c:pt>
                <c:pt idx="561">
                  <c:v>0.19499999999999995</c:v>
                </c:pt>
                <c:pt idx="562">
                  <c:v>6.8000000000000005E-2</c:v>
                </c:pt>
                <c:pt idx="563">
                  <c:v>2.1999999999999964E-2</c:v>
                </c:pt>
                <c:pt idx="564">
                  <c:v>0.10099999999999998</c:v>
                </c:pt>
                <c:pt idx="565">
                  <c:v>0.41699999999999993</c:v>
                </c:pt>
                <c:pt idx="566">
                  <c:v>0.09</c:v>
                </c:pt>
                <c:pt idx="567">
                  <c:v>7.9999999999999988E-2</c:v>
                </c:pt>
                <c:pt idx="568">
                  <c:v>0.03</c:v>
                </c:pt>
                <c:pt idx="569">
                  <c:v>2.8999999999999998E-2</c:v>
                </c:pt>
                <c:pt idx="570">
                  <c:v>0.17200000000000001</c:v>
                </c:pt>
                <c:pt idx="571">
                  <c:v>0.14800000000000002</c:v>
                </c:pt>
                <c:pt idx="572">
                  <c:v>1.0000000000000009E-3</c:v>
                </c:pt>
                <c:pt idx="573">
                  <c:v>0.16299999999999998</c:v>
                </c:pt>
                <c:pt idx="574">
                  <c:v>0.13400000000000001</c:v>
                </c:pt>
                <c:pt idx="575">
                  <c:v>8.7999999999999967E-2</c:v>
                </c:pt>
                <c:pt idx="576">
                  <c:v>0.19800000000000001</c:v>
                </c:pt>
                <c:pt idx="577">
                  <c:v>0.123</c:v>
                </c:pt>
                <c:pt idx="578">
                  <c:v>0.10700000000000001</c:v>
                </c:pt>
                <c:pt idx="579">
                  <c:v>4.5000000000000012E-2</c:v>
                </c:pt>
                <c:pt idx="580">
                  <c:v>4.9000000000000016E-2</c:v>
                </c:pt>
                <c:pt idx="581">
                  <c:v>7.5999999999999984E-2</c:v>
                </c:pt>
                <c:pt idx="582">
                  <c:v>0.16099999999999998</c:v>
                </c:pt>
                <c:pt idx="583">
                  <c:v>7.8999999999999987E-2</c:v>
                </c:pt>
                <c:pt idx="584">
                  <c:v>5.3999999999999992E-2</c:v>
                </c:pt>
                <c:pt idx="585">
                  <c:v>7.400000000000001E-2</c:v>
                </c:pt>
                <c:pt idx="586">
                  <c:v>9.0999999999999998E-2</c:v>
                </c:pt>
                <c:pt idx="587">
                  <c:v>0.27100000000000002</c:v>
                </c:pt>
                <c:pt idx="588">
                  <c:v>0.14700000000000002</c:v>
                </c:pt>
                <c:pt idx="589">
                  <c:v>8.9000000000000024E-2</c:v>
                </c:pt>
                <c:pt idx="590">
                  <c:v>7.1000000000000008E-2</c:v>
                </c:pt>
                <c:pt idx="591">
                  <c:v>8.0000000000000016E-2</c:v>
                </c:pt>
                <c:pt idx="592">
                  <c:v>4.6999999999999986E-2</c:v>
                </c:pt>
                <c:pt idx="593">
                  <c:v>0.19600000000000001</c:v>
                </c:pt>
                <c:pt idx="594">
                  <c:v>8.8000000000000023E-2</c:v>
                </c:pt>
                <c:pt idx="595">
                  <c:v>0.15299999999999997</c:v>
                </c:pt>
                <c:pt idx="596">
                  <c:v>0.30099999999999999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74-45D5-8EB5-93BF444097AA}"/>
            </c:ext>
          </c:extLst>
        </c:ser>
        <c:ser>
          <c:idx val="1"/>
          <c:order val="1"/>
          <c:tx>
            <c:strRef>
              <c:f>TTV_SPC!$J$10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TTV_SPC!$J$11:$J$607</c:f>
              <c:numCache>
                <c:formatCode>0.000</c:formatCode>
                <c:ptCount val="597"/>
                <c:pt idx="0">
                  <c:v>0.47532109228187902</c:v>
                </c:pt>
                <c:pt idx="1">
                  <c:v>0.47532109228187902</c:v>
                </c:pt>
                <c:pt idx="2">
                  <c:v>0.47532109228187902</c:v>
                </c:pt>
                <c:pt idx="3">
                  <c:v>0.47532109228187902</c:v>
                </c:pt>
                <c:pt idx="4">
                  <c:v>0.47532109228187902</c:v>
                </c:pt>
                <c:pt idx="5">
                  <c:v>0.47532109228187902</c:v>
                </c:pt>
                <c:pt idx="6">
                  <c:v>0.47532109228187902</c:v>
                </c:pt>
                <c:pt idx="7">
                  <c:v>0.47532109228187902</c:v>
                </c:pt>
                <c:pt idx="8">
                  <c:v>0.47532109228187902</c:v>
                </c:pt>
                <c:pt idx="9">
                  <c:v>0.47532109228187902</c:v>
                </c:pt>
                <c:pt idx="10">
                  <c:v>0.47532109228187902</c:v>
                </c:pt>
                <c:pt idx="11">
                  <c:v>0.47532109228187902</c:v>
                </c:pt>
                <c:pt idx="12">
                  <c:v>0.47532109228187902</c:v>
                </c:pt>
                <c:pt idx="13">
                  <c:v>0.47532109228187902</c:v>
                </c:pt>
                <c:pt idx="14">
                  <c:v>0.47532109228187902</c:v>
                </c:pt>
                <c:pt idx="15">
                  <c:v>0.47532109228187902</c:v>
                </c:pt>
                <c:pt idx="16">
                  <c:v>0.47532109228187902</c:v>
                </c:pt>
                <c:pt idx="17">
                  <c:v>0.47532109228187902</c:v>
                </c:pt>
                <c:pt idx="18">
                  <c:v>0.47532109228187902</c:v>
                </c:pt>
                <c:pt idx="19">
                  <c:v>0.47532109228187902</c:v>
                </c:pt>
                <c:pt idx="20">
                  <c:v>0.47532109228187902</c:v>
                </c:pt>
                <c:pt idx="21">
                  <c:v>0.47532109228187902</c:v>
                </c:pt>
                <c:pt idx="22">
                  <c:v>0.47532109228187902</c:v>
                </c:pt>
                <c:pt idx="23">
                  <c:v>0.47532109228187902</c:v>
                </c:pt>
                <c:pt idx="24">
                  <c:v>0.47532109228187902</c:v>
                </c:pt>
                <c:pt idx="25">
                  <c:v>0.47532109228187902</c:v>
                </c:pt>
                <c:pt idx="26">
                  <c:v>0.47532109228187902</c:v>
                </c:pt>
                <c:pt idx="27">
                  <c:v>0.47532109228187902</c:v>
                </c:pt>
                <c:pt idx="28">
                  <c:v>0.47532109228187902</c:v>
                </c:pt>
                <c:pt idx="29">
                  <c:v>0.47532109228187902</c:v>
                </c:pt>
                <c:pt idx="30">
                  <c:v>0.47532109228187902</c:v>
                </c:pt>
                <c:pt idx="31">
                  <c:v>0.47532109228187902</c:v>
                </c:pt>
                <c:pt idx="32">
                  <c:v>0.47532109228187902</c:v>
                </c:pt>
                <c:pt idx="33">
                  <c:v>0.47532109228187902</c:v>
                </c:pt>
                <c:pt idx="34">
                  <c:v>0.47532109228187902</c:v>
                </c:pt>
                <c:pt idx="35">
                  <c:v>0.47532109228187902</c:v>
                </c:pt>
                <c:pt idx="36">
                  <c:v>0.47532109228187902</c:v>
                </c:pt>
                <c:pt idx="37">
                  <c:v>0.47532109228187902</c:v>
                </c:pt>
                <c:pt idx="38">
                  <c:v>0.47532109228187902</c:v>
                </c:pt>
                <c:pt idx="39">
                  <c:v>0.47532109228187902</c:v>
                </c:pt>
                <c:pt idx="40">
                  <c:v>0.47532109228187902</c:v>
                </c:pt>
                <c:pt idx="41">
                  <c:v>0.47532109228187902</c:v>
                </c:pt>
                <c:pt idx="42">
                  <c:v>0.47532109228187902</c:v>
                </c:pt>
                <c:pt idx="43">
                  <c:v>0.47532109228187902</c:v>
                </c:pt>
                <c:pt idx="44">
                  <c:v>0.47532109228187902</c:v>
                </c:pt>
                <c:pt idx="45">
                  <c:v>0.47532109228187902</c:v>
                </c:pt>
                <c:pt idx="46">
                  <c:v>0.47532109228187902</c:v>
                </c:pt>
                <c:pt idx="47">
                  <c:v>0.47532109228187902</c:v>
                </c:pt>
                <c:pt idx="48">
                  <c:v>0.47532109228187902</c:v>
                </c:pt>
                <c:pt idx="49">
                  <c:v>0.47532109228187902</c:v>
                </c:pt>
                <c:pt idx="50">
                  <c:v>0.47532109228187902</c:v>
                </c:pt>
                <c:pt idx="51">
                  <c:v>0.47532109228187902</c:v>
                </c:pt>
                <c:pt idx="52">
                  <c:v>0.47532109228187902</c:v>
                </c:pt>
                <c:pt idx="53">
                  <c:v>0.47532109228187902</c:v>
                </c:pt>
                <c:pt idx="54">
                  <c:v>0.47532109228187902</c:v>
                </c:pt>
                <c:pt idx="55">
                  <c:v>0.47532109228187902</c:v>
                </c:pt>
                <c:pt idx="56">
                  <c:v>0.47532109228187902</c:v>
                </c:pt>
                <c:pt idx="57">
                  <c:v>0.47532109228187902</c:v>
                </c:pt>
                <c:pt idx="58">
                  <c:v>0.47532109228187902</c:v>
                </c:pt>
                <c:pt idx="59">
                  <c:v>0.47532109228187902</c:v>
                </c:pt>
                <c:pt idx="60">
                  <c:v>0.47532109228187902</c:v>
                </c:pt>
                <c:pt idx="61">
                  <c:v>0.47532109228187902</c:v>
                </c:pt>
                <c:pt idx="62">
                  <c:v>0.47532109228187902</c:v>
                </c:pt>
                <c:pt idx="63">
                  <c:v>0.47532109228187902</c:v>
                </c:pt>
                <c:pt idx="64">
                  <c:v>0.47532109228187902</c:v>
                </c:pt>
                <c:pt idx="65">
                  <c:v>0.47532109228187902</c:v>
                </c:pt>
                <c:pt idx="66">
                  <c:v>0.47532109228187902</c:v>
                </c:pt>
                <c:pt idx="67">
                  <c:v>0.47532109228187902</c:v>
                </c:pt>
                <c:pt idx="68">
                  <c:v>0.47532109228187902</c:v>
                </c:pt>
                <c:pt idx="69">
                  <c:v>0.47532109228187902</c:v>
                </c:pt>
                <c:pt idx="70">
                  <c:v>0.47532109228187902</c:v>
                </c:pt>
                <c:pt idx="71">
                  <c:v>0.47532109228187902</c:v>
                </c:pt>
                <c:pt idx="72">
                  <c:v>0.47532109228187902</c:v>
                </c:pt>
                <c:pt idx="73">
                  <c:v>0.47532109228187902</c:v>
                </c:pt>
                <c:pt idx="74">
                  <c:v>0.47532109228187902</c:v>
                </c:pt>
                <c:pt idx="75">
                  <c:v>0.47532109228187902</c:v>
                </c:pt>
                <c:pt idx="76">
                  <c:v>0.47532109228187902</c:v>
                </c:pt>
                <c:pt idx="77">
                  <c:v>0.47532109228187902</c:v>
                </c:pt>
                <c:pt idx="78">
                  <c:v>0.47532109228187902</c:v>
                </c:pt>
                <c:pt idx="79">
                  <c:v>0.47532109228187902</c:v>
                </c:pt>
                <c:pt idx="80">
                  <c:v>0.47532109228187902</c:v>
                </c:pt>
                <c:pt idx="81">
                  <c:v>0.47532109228187902</c:v>
                </c:pt>
                <c:pt idx="82">
                  <c:v>0.47532109228187902</c:v>
                </c:pt>
                <c:pt idx="83">
                  <c:v>0.47532109228187902</c:v>
                </c:pt>
                <c:pt idx="84">
                  <c:v>0.47532109228187902</c:v>
                </c:pt>
                <c:pt idx="85">
                  <c:v>0.47532109228187902</c:v>
                </c:pt>
                <c:pt idx="86">
                  <c:v>0.47532109228187902</c:v>
                </c:pt>
                <c:pt idx="87">
                  <c:v>0.47532109228187902</c:v>
                </c:pt>
                <c:pt idx="88">
                  <c:v>0.47532109228187902</c:v>
                </c:pt>
                <c:pt idx="89">
                  <c:v>0.47532109228187902</c:v>
                </c:pt>
                <c:pt idx="90">
                  <c:v>0.47532109228187902</c:v>
                </c:pt>
                <c:pt idx="91">
                  <c:v>0.47532109228187902</c:v>
                </c:pt>
                <c:pt idx="92">
                  <c:v>0.47532109228187902</c:v>
                </c:pt>
                <c:pt idx="93">
                  <c:v>0.47532109228187902</c:v>
                </c:pt>
                <c:pt idx="94">
                  <c:v>0.47532109228187902</c:v>
                </c:pt>
                <c:pt idx="95">
                  <c:v>0.47532109228187902</c:v>
                </c:pt>
                <c:pt idx="96">
                  <c:v>0.47532109228187902</c:v>
                </c:pt>
                <c:pt idx="97">
                  <c:v>0.47532109228187902</c:v>
                </c:pt>
                <c:pt idx="98">
                  <c:v>0.47532109228187902</c:v>
                </c:pt>
                <c:pt idx="99">
                  <c:v>0.47532109228187902</c:v>
                </c:pt>
                <c:pt idx="100">
                  <c:v>0.47532109228187902</c:v>
                </c:pt>
                <c:pt idx="101">
                  <c:v>0.47532109228187902</c:v>
                </c:pt>
                <c:pt idx="102">
                  <c:v>0.47532109228187902</c:v>
                </c:pt>
                <c:pt idx="103">
                  <c:v>0.47532109228187902</c:v>
                </c:pt>
                <c:pt idx="104">
                  <c:v>0.47532109228187902</c:v>
                </c:pt>
                <c:pt idx="105">
                  <c:v>0.47532109228187902</c:v>
                </c:pt>
                <c:pt idx="106">
                  <c:v>0.47532109228187902</c:v>
                </c:pt>
                <c:pt idx="107">
                  <c:v>0.47532109228187902</c:v>
                </c:pt>
                <c:pt idx="108">
                  <c:v>0.47532109228187902</c:v>
                </c:pt>
                <c:pt idx="109">
                  <c:v>0.47532109228187902</c:v>
                </c:pt>
                <c:pt idx="110">
                  <c:v>0.47532109228187902</c:v>
                </c:pt>
                <c:pt idx="111">
                  <c:v>0.47532109228187902</c:v>
                </c:pt>
                <c:pt idx="112">
                  <c:v>0.47532109228187902</c:v>
                </c:pt>
                <c:pt idx="113">
                  <c:v>0.47532109228187902</c:v>
                </c:pt>
                <c:pt idx="114">
                  <c:v>0.47532109228187902</c:v>
                </c:pt>
                <c:pt idx="115">
                  <c:v>0.47532109228187902</c:v>
                </c:pt>
                <c:pt idx="116">
                  <c:v>0.47532109228187902</c:v>
                </c:pt>
                <c:pt idx="117">
                  <c:v>0.47532109228187902</c:v>
                </c:pt>
                <c:pt idx="118">
                  <c:v>0.47532109228187902</c:v>
                </c:pt>
                <c:pt idx="119">
                  <c:v>0.47532109228187902</c:v>
                </c:pt>
                <c:pt idx="120">
                  <c:v>0.47532109228187902</c:v>
                </c:pt>
                <c:pt idx="121">
                  <c:v>0.47532109228187902</c:v>
                </c:pt>
                <c:pt idx="122">
                  <c:v>0.47532109228187902</c:v>
                </c:pt>
                <c:pt idx="123">
                  <c:v>0.47532109228187902</c:v>
                </c:pt>
                <c:pt idx="124">
                  <c:v>0.47532109228187902</c:v>
                </c:pt>
                <c:pt idx="125">
                  <c:v>0.47532109228187902</c:v>
                </c:pt>
                <c:pt idx="126">
                  <c:v>0.47532109228187902</c:v>
                </c:pt>
                <c:pt idx="127">
                  <c:v>0.47532109228187902</c:v>
                </c:pt>
                <c:pt idx="128">
                  <c:v>0.47532109228187902</c:v>
                </c:pt>
                <c:pt idx="129">
                  <c:v>0.47532109228187902</c:v>
                </c:pt>
                <c:pt idx="130">
                  <c:v>0.47532109228187902</c:v>
                </c:pt>
                <c:pt idx="131">
                  <c:v>0.47532109228187902</c:v>
                </c:pt>
                <c:pt idx="132">
                  <c:v>0.47532109228187902</c:v>
                </c:pt>
                <c:pt idx="133">
                  <c:v>0.47532109228187902</c:v>
                </c:pt>
                <c:pt idx="134">
                  <c:v>0.47532109228187902</c:v>
                </c:pt>
                <c:pt idx="135">
                  <c:v>0.47532109228187902</c:v>
                </c:pt>
                <c:pt idx="136">
                  <c:v>0.47532109228187902</c:v>
                </c:pt>
                <c:pt idx="137">
                  <c:v>0.47532109228187902</c:v>
                </c:pt>
                <c:pt idx="138">
                  <c:v>0.47532109228187902</c:v>
                </c:pt>
                <c:pt idx="139">
                  <c:v>0.47532109228187902</c:v>
                </c:pt>
                <c:pt idx="140">
                  <c:v>0.47532109228187902</c:v>
                </c:pt>
                <c:pt idx="141">
                  <c:v>0.47532109228187902</c:v>
                </c:pt>
                <c:pt idx="142">
                  <c:v>0.47532109228187902</c:v>
                </c:pt>
                <c:pt idx="143">
                  <c:v>0.47532109228187902</c:v>
                </c:pt>
                <c:pt idx="144">
                  <c:v>0.47532109228187902</c:v>
                </c:pt>
                <c:pt idx="145">
                  <c:v>0.47532109228187902</c:v>
                </c:pt>
                <c:pt idx="146">
                  <c:v>0.47532109228187902</c:v>
                </c:pt>
                <c:pt idx="147">
                  <c:v>0.47532109228187902</c:v>
                </c:pt>
                <c:pt idx="148">
                  <c:v>0.47532109228187902</c:v>
                </c:pt>
                <c:pt idx="149">
                  <c:v>0.47532109228187902</c:v>
                </c:pt>
                <c:pt idx="150">
                  <c:v>0.47532109228187902</c:v>
                </c:pt>
                <c:pt idx="151">
                  <c:v>0.47532109228187902</c:v>
                </c:pt>
                <c:pt idx="152">
                  <c:v>0.47532109228187902</c:v>
                </c:pt>
                <c:pt idx="153">
                  <c:v>0.47532109228187902</c:v>
                </c:pt>
                <c:pt idx="154">
                  <c:v>0.47532109228187902</c:v>
                </c:pt>
                <c:pt idx="155">
                  <c:v>0.47532109228187902</c:v>
                </c:pt>
                <c:pt idx="156">
                  <c:v>0.47532109228187902</c:v>
                </c:pt>
                <c:pt idx="157">
                  <c:v>0.47532109228187902</c:v>
                </c:pt>
                <c:pt idx="158">
                  <c:v>0.47532109228187902</c:v>
                </c:pt>
                <c:pt idx="159">
                  <c:v>0.47532109228187902</c:v>
                </c:pt>
                <c:pt idx="160">
                  <c:v>0.47532109228187902</c:v>
                </c:pt>
                <c:pt idx="161">
                  <c:v>0.47532109228187902</c:v>
                </c:pt>
                <c:pt idx="162">
                  <c:v>0.47532109228187902</c:v>
                </c:pt>
                <c:pt idx="163">
                  <c:v>0.47532109228187902</c:v>
                </c:pt>
                <c:pt idx="164">
                  <c:v>0.47532109228187902</c:v>
                </c:pt>
                <c:pt idx="165">
                  <c:v>0.47532109228187902</c:v>
                </c:pt>
                <c:pt idx="166">
                  <c:v>0.47532109228187902</c:v>
                </c:pt>
                <c:pt idx="167">
                  <c:v>0.47532109228187902</c:v>
                </c:pt>
                <c:pt idx="168">
                  <c:v>0.47532109228187902</c:v>
                </c:pt>
                <c:pt idx="169">
                  <c:v>0.47532109228187902</c:v>
                </c:pt>
                <c:pt idx="170">
                  <c:v>0.47532109228187902</c:v>
                </c:pt>
                <c:pt idx="171">
                  <c:v>0.47532109228187902</c:v>
                </c:pt>
                <c:pt idx="172">
                  <c:v>0.47532109228187902</c:v>
                </c:pt>
                <c:pt idx="173">
                  <c:v>0.47532109228187902</c:v>
                </c:pt>
                <c:pt idx="174">
                  <c:v>0.47532109228187902</c:v>
                </c:pt>
                <c:pt idx="175">
                  <c:v>0.47532109228187902</c:v>
                </c:pt>
                <c:pt idx="176">
                  <c:v>0.47532109228187902</c:v>
                </c:pt>
                <c:pt idx="177">
                  <c:v>0.47532109228187902</c:v>
                </c:pt>
                <c:pt idx="178">
                  <c:v>0.47532109228187902</c:v>
                </c:pt>
                <c:pt idx="179">
                  <c:v>0.47532109228187902</c:v>
                </c:pt>
                <c:pt idx="180">
                  <c:v>0.47532109228187902</c:v>
                </c:pt>
                <c:pt idx="181">
                  <c:v>0.47532109228187902</c:v>
                </c:pt>
                <c:pt idx="182">
                  <c:v>0.47532109228187902</c:v>
                </c:pt>
                <c:pt idx="183">
                  <c:v>0.47532109228187902</c:v>
                </c:pt>
                <c:pt idx="184">
                  <c:v>0.47532109228187902</c:v>
                </c:pt>
                <c:pt idx="185">
                  <c:v>0.47532109228187902</c:v>
                </c:pt>
                <c:pt idx="186">
                  <c:v>0.47532109228187902</c:v>
                </c:pt>
                <c:pt idx="187">
                  <c:v>0.47532109228187902</c:v>
                </c:pt>
                <c:pt idx="188">
                  <c:v>0.47532109228187902</c:v>
                </c:pt>
                <c:pt idx="189">
                  <c:v>0.47532109228187902</c:v>
                </c:pt>
                <c:pt idx="190">
                  <c:v>0.47532109228187902</c:v>
                </c:pt>
                <c:pt idx="191">
                  <c:v>0.47532109228187902</c:v>
                </c:pt>
                <c:pt idx="192">
                  <c:v>0.47532109228187902</c:v>
                </c:pt>
                <c:pt idx="193">
                  <c:v>0.47532109228187902</c:v>
                </c:pt>
                <c:pt idx="194">
                  <c:v>0.47532109228187902</c:v>
                </c:pt>
                <c:pt idx="195">
                  <c:v>0.47532109228187902</c:v>
                </c:pt>
                <c:pt idx="196">
                  <c:v>0.47532109228187902</c:v>
                </c:pt>
                <c:pt idx="197">
                  <c:v>0.47532109228187902</c:v>
                </c:pt>
                <c:pt idx="198">
                  <c:v>0.47532109228187902</c:v>
                </c:pt>
                <c:pt idx="199">
                  <c:v>0.47532109228187902</c:v>
                </c:pt>
                <c:pt idx="200">
                  <c:v>0.47532109228187902</c:v>
                </c:pt>
                <c:pt idx="201">
                  <c:v>0.47532109228187902</c:v>
                </c:pt>
                <c:pt idx="202">
                  <c:v>0.47532109228187902</c:v>
                </c:pt>
                <c:pt idx="203">
                  <c:v>0.47532109228187902</c:v>
                </c:pt>
                <c:pt idx="204">
                  <c:v>0.47532109228187902</c:v>
                </c:pt>
                <c:pt idx="205">
                  <c:v>0.47532109228187902</c:v>
                </c:pt>
                <c:pt idx="206">
                  <c:v>0.47532109228187902</c:v>
                </c:pt>
                <c:pt idx="207">
                  <c:v>0.47532109228187902</c:v>
                </c:pt>
                <c:pt idx="208">
                  <c:v>0.47532109228187902</c:v>
                </c:pt>
                <c:pt idx="209">
                  <c:v>0.47532109228187902</c:v>
                </c:pt>
                <c:pt idx="210">
                  <c:v>0.47532109228187902</c:v>
                </c:pt>
                <c:pt idx="211">
                  <c:v>0.47532109228187902</c:v>
                </c:pt>
                <c:pt idx="212">
                  <c:v>0.47532109228187902</c:v>
                </c:pt>
                <c:pt idx="213">
                  <c:v>0.47532109228187902</c:v>
                </c:pt>
                <c:pt idx="214">
                  <c:v>0.47532109228187902</c:v>
                </c:pt>
                <c:pt idx="215">
                  <c:v>0.47532109228187902</c:v>
                </c:pt>
                <c:pt idx="216">
                  <c:v>0.47532109228187902</c:v>
                </c:pt>
                <c:pt idx="217">
                  <c:v>0.47532109228187902</c:v>
                </c:pt>
                <c:pt idx="218">
                  <c:v>0.47532109228187902</c:v>
                </c:pt>
                <c:pt idx="219">
                  <c:v>0.47532109228187902</c:v>
                </c:pt>
                <c:pt idx="220">
                  <c:v>0.47532109228187902</c:v>
                </c:pt>
                <c:pt idx="221">
                  <c:v>0.47532109228187902</c:v>
                </c:pt>
                <c:pt idx="222">
                  <c:v>0.47532109228187902</c:v>
                </c:pt>
                <c:pt idx="223">
                  <c:v>0.47532109228187902</c:v>
                </c:pt>
                <c:pt idx="224">
                  <c:v>0.47532109228187902</c:v>
                </c:pt>
                <c:pt idx="225">
                  <c:v>0.47532109228187902</c:v>
                </c:pt>
                <c:pt idx="226">
                  <c:v>0.47532109228187902</c:v>
                </c:pt>
                <c:pt idx="227">
                  <c:v>0.47532109228187902</c:v>
                </c:pt>
                <c:pt idx="228">
                  <c:v>0.47532109228187902</c:v>
                </c:pt>
                <c:pt idx="229">
                  <c:v>0.47532109228187902</c:v>
                </c:pt>
                <c:pt idx="230">
                  <c:v>0.47532109228187902</c:v>
                </c:pt>
                <c:pt idx="231">
                  <c:v>0.47532109228187902</c:v>
                </c:pt>
                <c:pt idx="232">
                  <c:v>0.47532109228187902</c:v>
                </c:pt>
                <c:pt idx="233">
                  <c:v>0.47532109228187902</c:v>
                </c:pt>
                <c:pt idx="234">
                  <c:v>0.47532109228187902</c:v>
                </c:pt>
                <c:pt idx="235">
                  <c:v>0.47532109228187902</c:v>
                </c:pt>
                <c:pt idx="236">
                  <c:v>0.47532109228187902</c:v>
                </c:pt>
                <c:pt idx="237">
                  <c:v>0.47532109228187902</c:v>
                </c:pt>
                <c:pt idx="238">
                  <c:v>0.47532109228187902</c:v>
                </c:pt>
                <c:pt idx="239">
                  <c:v>0.47532109228187902</c:v>
                </c:pt>
                <c:pt idx="240">
                  <c:v>0.47532109228187902</c:v>
                </c:pt>
                <c:pt idx="241">
                  <c:v>0.47532109228187902</c:v>
                </c:pt>
                <c:pt idx="242">
                  <c:v>0.47532109228187902</c:v>
                </c:pt>
                <c:pt idx="243">
                  <c:v>0.47532109228187902</c:v>
                </c:pt>
                <c:pt idx="244">
                  <c:v>0.47532109228187902</c:v>
                </c:pt>
                <c:pt idx="245">
                  <c:v>0.47532109228187902</c:v>
                </c:pt>
                <c:pt idx="246">
                  <c:v>0.47532109228187902</c:v>
                </c:pt>
                <c:pt idx="247">
                  <c:v>0.47532109228187902</c:v>
                </c:pt>
                <c:pt idx="248">
                  <c:v>0.47532109228187902</c:v>
                </c:pt>
                <c:pt idx="249">
                  <c:v>0.47532109228187902</c:v>
                </c:pt>
                <c:pt idx="250">
                  <c:v>0.47532109228187902</c:v>
                </c:pt>
                <c:pt idx="251">
                  <c:v>0.47532109228187902</c:v>
                </c:pt>
                <c:pt idx="252">
                  <c:v>0.47532109228187902</c:v>
                </c:pt>
                <c:pt idx="253">
                  <c:v>0.47532109228187902</c:v>
                </c:pt>
                <c:pt idx="254">
                  <c:v>0.47532109228187902</c:v>
                </c:pt>
                <c:pt idx="255">
                  <c:v>0.47532109228187902</c:v>
                </c:pt>
                <c:pt idx="256">
                  <c:v>0.47532109228187902</c:v>
                </c:pt>
                <c:pt idx="257">
                  <c:v>0.47532109228187902</c:v>
                </c:pt>
                <c:pt idx="258">
                  <c:v>0.47532109228187902</c:v>
                </c:pt>
                <c:pt idx="259">
                  <c:v>0.47532109228187902</c:v>
                </c:pt>
                <c:pt idx="260">
                  <c:v>0.47532109228187902</c:v>
                </c:pt>
                <c:pt idx="261">
                  <c:v>0.47532109228187902</c:v>
                </c:pt>
                <c:pt idx="262">
                  <c:v>0.47532109228187902</c:v>
                </c:pt>
                <c:pt idx="263">
                  <c:v>0.47532109228187902</c:v>
                </c:pt>
                <c:pt idx="264">
                  <c:v>0.47532109228187902</c:v>
                </c:pt>
                <c:pt idx="265">
                  <c:v>0.47532109228187902</c:v>
                </c:pt>
                <c:pt idx="266">
                  <c:v>0.47532109228187902</c:v>
                </c:pt>
                <c:pt idx="267">
                  <c:v>0.47532109228187902</c:v>
                </c:pt>
                <c:pt idx="268">
                  <c:v>0.47532109228187902</c:v>
                </c:pt>
                <c:pt idx="269">
                  <c:v>0.47532109228187902</c:v>
                </c:pt>
                <c:pt idx="270">
                  <c:v>0.47532109228187902</c:v>
                </c:pt>
                <c:pt idx="271">
                  <c:v>0.47532109228187902</c:v>
                </c:pt>
                <c:pt idx="272">
                  <c:v>0.47532109228187902</c:v>
                </c:pt>
                <c:pt idx="273">
                  <c:v>0.47532109228187902</c:v>
                </c:pt>
                <c:pt idx="274">
                  <c:v>0.47532109228187902</c:v>
                </c:pt>
                <c:pt idx="275">
                  <c:v>0.47532109228187902</c:v>
                </c:pt>
                <c:pt idx="276">
                  <c:v>0.47532109228187902</c:v>
                </c:pt>
                <c:pt idx="277">
                  <c:v>0.47532109228187902</c:v>
                </c:pt>
                <c:pt idx="278">
                  <c:v>0.47532109228187902</c:v>
                </c:pt>
                <c:pt idx="279">
                  <c:v>0.47532109228187902</c:v>
                </c:pt>
                <c:pt idx="280">
                  <c:v>0.47532109228187902</c:v>
                </c:pt>
                <c:pt idx="281">
                  <c:v>0.47532109228187902</c:v>
                </c:pt>
                <c:pt idx="282">
                  <c:v>0.47532109228187902</c:v>
                </c:pt>
                <c:pt idx="283">
                  <c:v>0.47532109228187902</c:v>
                </c:pt>
                <c:pt idx="284">
                  <c:v>0.47532109228187902</c:v>
                </c:pt>
                <c:pt idx="285">
                  <c:v>0.47532109228187902</c:v>
                </c:pt>
                <c:pt idx="286">
                  <c:v>0.47532109228187902</c:v>
                </c:pt>
                <c:pt idx="287">
                  <c:v>0.47532109228187902</c:v>
                </c:pt>
                <c:pt idx="288">
                  <c:v>0.47532109228187902</c:v>
                </c:pt>
                <c:pt idx="289">
                  <c:v>0.47532109228187902</c:v>
                </c:pt>
                <c:pt idx="290">
                  <c:v>0.47532109228187902</c:v>
                </c:pt>
                <c:pt idx="291">
                  <c:v>0.47532109228187902</c:v>
                </c:pt>
                <c:pt idx="292">
                  <c:v>0.47532109228187902</c:v>
                </c:pt>
                <c:pt idx="293">
                  <c:v>0.47532109228187902</c:v>
                </c:pt>
                <c:pt idx="294">
                  <c:v>0.47532109228187902</c:v>
                </c:pt>
                <c:pt idx="295">
                  <c:v>0.47532109228187902</c:v>
                </c:pt>
                <c:pt idx="296">
                  <c:v>0.47532109228187902</c:v>
                </c:pt>
                <c:pt idx="297">
                  <c:v>0.47532109228187902</c:v>
                </c:pt>
                <c:pt idx="298">
                  <c:v>0.47532109228187902</c:v>
                </c:pt>
                <c:pt idx="299">
                  <c:v>0.47532109228187902</c:v>
                </c:pt>
                <c:pt idx="300">
                  <c:v>0.47532109228187902</c:v>
                </c:pt>
                <c:pt idx="301">
                  <c:v>0.47532109228187902</c:v>
                </c:pt>
                <c:pt idx="302">
                  <c:v>0.47532109228187902</c:v>
                </c:pt>
                <c:pt idx="303">
                  <c:v>0.47532109228187902</c:v>
                </c:pt>
                <c:pt idx="304">
                  <c:v>0.47532109228187902</c:v>
                </c:pt>
                <c:pt idx="305">
                  <c:v>0.47532109228187902</c:v>
                </c:pt>
                <c:pt idx="306">
                  <c:v>0.47532109228187902</c:v>
                </c:pt>
                <c:pt idx="307">
                  <c:v>0.47532109228187902</c:v>
                </c:pt>
                <c:pt idx="308">
                  <c:v>0.47532109228187902</c:v>
                </c:pt>
                <c:pt idx="309">
                  <c:v>0.47532109228187902</c:v>
                </c:pt>
                <c:pt idx="310">
                  <c:v>0.47532109228187902</c:v>
                </c:pt>
                <c:pt idx="311">
                  <c:v>0.47532109228187902</c:v>
                </c:pt>
                <c:pt idx="312">
                  <c:v>0.47532109228187902</c:v>
                </c:pt>
                <c:pt idx="313">
                  <c:v>0.47532109228187902</c:v>
                </c:pt>
                <c:pt idx="314">
                  <c:v>0.47532109228187902</c:v>
                </c:pt>
                <c:pt idx="315">
                  <c:v>0.47532109228187902</c:v>
                </c:pt>
                <c:pt idx="316">
                  <c:v>0.47532109228187902</c:v>
                </c:pt>
                <c:pt idx="317">
                  <c:v>0.47532109228187902</c:v>
                </c:pt>
                <c:pt idx="318">
                  <c:v>0.47532109228187902</c:v>
                </c:pt>
                <c:pt idx="319">
                  <c:v>0.47532109228187902</c:v>
                </c:pt>
                <c:pt idx="320">
                  <c:v>0.47532109228187902</c:v>
                </c:pt>
                <c:pt idx="321">
                  <c:v>0.47532109228187902</c:v>
                </c:pt>
                <c:pt idx="322">
                  <c:v>0.47532109228187902</c:v>
                </c:pt>
                <c:pt idx="323">
                  <c:v>0.47532109228187902</c:v>
                </c:pt>
                <c:pt idx="324">
                  <c:v>0.47532109228187902</c:v>
                </c:pt>
                <c:pt idx="325">
                  <c:v>0.47532109228187902</c:v>
                </c:pt>
                <c:pt idx="326">
                  <c:v>0.47532109228187902</c:v>
                </c:pt>
                <c:pt idx="327">
                  <c:v>0.47532109228187902</c:v>
                </c:pt>
                <c:pt idx="328">
                  <c:v>0.47532109228187902</c:v>
                </c:pt>
                <c:pt idx="329">
                  <c:v>0.47532109228187902</c:v>
                </c:pt>
                <c:pt idx="330">
                  <c:v>0.47532109228187902</c:v>
                </c:pt>
                <c:pt idx="331">
                  <c:v>0.47532109228187902</c:v>
                </c:pt>
                <c:pt idx="332">
                  <c:v>0.47532109228187902</c:v>
                </c:pt>
                <c:pt idx="333">
                  <c:v>0.47532109228187902</c:v>
                </c:pt>
                <c:pt idx="334">
                  <c:v>0.47532109228187902</c:v>
                </c:pt>
                <c:pt idx="335">
                  <c:v>0.47532109228187902</c:v>
                </c:pt>
                <c:pt idx="336">
                  <c:v>0.47532109228187902</c:v>
                </c:pt>
                <c:pt idx="337">
                  <c:v>0.47532109228187902</c:v>
                </c:pt>
                <c:pt idx="338">
                  <c:v>0.47532109228187902</c:v>
                </c:pt>
                <c:pt idx="339">
                  <c:v>0.47532109228187902</c:v>
                </c:pt>
                <c:pt idx="340">
                  <c:v>0.47532109228187902</c:v>
                </c:pt>
                <c:pt idx="341">
                  <c:v>0.47532109228187902</c:v>
                </c:pt>
                <c:pt idx="342">
                  <c:v>0.47532109228187902</c:v>
                </c:pt>
                <c:pt idx="343">
                  <c:v>0.47532109228187902</c:v>
                </c:pt>
                <c:pt idx="344">
                  <c:v>0.47532109228187902</c:v>
                </c:pt>
                <c:pt idx="345">
                  <c:v>0.47532109228187902</c:v>
                </c:pt>
                <c:pt idx="346">
                  <c:v>0.47532109228187902</c:v>
                </c:pt>
                <c:pt idx="347">
                  <c:v>0.47532109228187902</c:v>
                </c:pt>
                <c:pt idx="348">
                  <c:v>0.47532109228187902</c:v>
                </c:pt>
                <c:pt idx="349">
                  <c:v>0.47532109228187902</c:v>
                </c:pt>
                <c:pt idx="350">
                  <c:v>0.47532109228187902</c:v>
                </c:pt>
                <c:pt idx="351">
                  <c:v>0.47532109228187902</c:v>
                </c:pt>
                <c:pt idx="352">
                  <c:v>0.47532109228187902</c:v>
                </c:pt>
                <c:pt idx="353">
                  <c:v>0.47532109228187902</c:v>
                </c:pt>
                <c:pt idx="354">
                  <c:v>0.47532109228187902</c:v>
                </c:pt>
                <c:pt idx="355">
                  <c:v>0.47532109228187902</c:v>
                </c:pt>
                <c:pt idx="356">
                  <c:v>0.47532109228187902</c:v>
                </c:pt>
                <c:pt idx="357">
                  <c:v>0.47532109228187902</c:v>
                </c:pt>
                <c:pt idx="358">
                  <c:v>0.47532109228187902</c:v>
                </c:pt>
                <c:pt idx="359">
                  <c:v>0.47532109228187902</c:v>
                </c:pt>
                <c:pt idx="360">
                  <c:v>0.47532109228187902</c:v>
                </c:pt>
                <c:pt idx="361">
                  <c:v>0.47532109228187902</c:v>
                </c:pt>
                <c:pt idx="362">
                  <c:v>0.47532109228187902</c:v>
                </c:pt>
                <c:pt idx="363">
                  <c:v>0.47532109228187902</c:v>
                </c:pt>
                <c:pt idx="364">
                  <c:v>0.47532109228187902</c:v>
                </c:pt>
                <c:pt idx="365">
                  <c:v>0.47532109228187902</c:v>
                </c:pt>
                <c:pt idx="366">
                  <c:v>0.47532109228187902</c:v>
                </c:pt>
                <c:pt idx="367">
                  <c:v>0.47532109228187902</c:v>
                </c:pt>
                <c:pt idx="368">
                  <c:v>0.47532109228187902</c:v>
                </c:pt>
                <c:pt idx="369">
                  <c:v>0.47532109228187902</c:v>
                </c:pt>
                <c:pt idx="370">
                  <c:v>0.47532109228187902</c:v>
                </c:pt>
                <c:pt idx="371">
                  <c:v>0.47532109228187902</c:v>
                </c:pt>
                <c:pt idx="372">
                  <c:v>0.47532109228187902</c:v>
                </c:pt>
                <c:pt idx="373">
                  <c:v>0.47532109228187902</c:v>
                </c:pt>
                <c:pt idx="374">
                  <c:v>0.47532109228187902</c:v>
                </c:pt>
                <c:pt idx="375">
                  <c:v>0.47532109228187902</c:v>
                </c:pt>
                <c:pt idx="376">
                  <c:v>0.47532109228187902</c:v>
                </c:pt>
                <c:pt idx="377">
                  <c:v>0.47532109228187902</c:v>
                </c:pt>
                <c:pt idx="378">
                  <c:v>0.47532109228187902</c:v>
                </c:pt>
                <c:pt idx="379">
                  <c:v>0.47532109228187902</c:v>
                </c:pt>
                <c:pt idx="380">
                  <c:v>0.47532109228187902</c:v>
                </c:pt>
                <c:pt idx="381">
                  <c:v>0.47532109228187902</c:v>
                </c:pt>
                <c:pt idx="382">
                  <c:v>0.47532109228187902</c:v>
                </c:pt>
                <c:pt idx="383">
                  <c:v>0.47532109228187902</c:v>
                </c:pt>
                <c:pt idx="384">
                  <c:v>0.47532109228187902</c:v>
                </c:pt>
                <c:pt idx="385">
                  <c:v>0.47532109228187902</c:v>
                </c:pt>
                <c:pt idx="386">
                  <c:v>0.47532109228187902</c:v>
                </c:pt>
                <c:pt idx="387">
                  <c:v>0.47532109228187902</c:v>
                </c:pt>
                <c:pt idx="388">
                  <c:v>0.47532109228187902</c:v>
                </c:pt>
                <c:pt idx="389">
                  <c:v>0.47532109228187902</c:v>
                </c:pt>
                <c:pt idx="390">
                  <c:v>0.47532109228187902</c:v>
                </c:pt>
                <c:pt idx="391">
                  <c:v>0.47532109228187902</c:v>
                </c:pt>
                <c:pt idx="392">
                  <c:v>0.47532109228187902</c:v>
                </c:pt>
                <c:pt idx="393">
                  <c:v>0.47532109228187902</c:v>
                </c:pt>
                <c:pt idx="394">
                  <c:v>0.47532109228187902</c:v>
                </c:pt>
                <c:pt idx="395">
                  <c:v>0.47532109228187902</c:v>
                </c:pt>
                <c:pt idx="396">
                  <c:v>0.47532109228187902</c:v>
                </c:pt>
                <c:pt idx="397">
                  <c:v>0.47532109228187902</c:v>
                </c:pt>
                <c:pt idx="398">
                  <c:v>0.47532109228187902</c:v>
                </c:pt>
                <c:pt idx="399">
                  <c:v>0.47532109228187902</c:v>
                </c:pt>
                <c:pt idx="400">
                  <c:v>0.47532109228187902</c:v>
                </c:pt>
                <c:pt idx="401">
                  <c:v>0.47532109228187902</c:v>
                </c:pt>
                <c:pt idx="402">
                  <c:v>0.47532109228187902</c:v>
                </c:pt>
                <c:pt idx="403">
                  <c:v>0.47532109228187902</c:v>
                </c:pt>
                <c:pt idx="404">
                  <c:v>0.47532109228187902</c:v>
                </c:pt>
                <c:pt idx="405">
                  <c:v>0.47532109228187902</c:v>
                </c:pt>
                <c:pt idx="406">
                  <c:v>0.47532109228187902</c:v>
                </c:pt>
                <c:pt idx="407">
                  <c:v>0.47532109228187902</c:v>
                </c:pt>
                <c:pt idx="408">
                  <c:v>0.47532109228187902</c:v>
                </c:pt>
                <c:pt idx="409">
                  <c:v>0.47532109228187902</c:v>
                </c:pt>
                <c:pt idx="410">
                  <c:v>0.47532109228187902</c:v>
                </c:pt>
                <c:pt idx="411">
                  <c:v>0.47532109228187902</c:v>
                </c:pt>
                <c:pt idx="412">
                  <c:v>0.47532109228187902</c:v>
                </c:pt>
                <c:pt idx="413">
                  <c:v>0.47532109228187902</c:v>
                </c:pt>
                <c:pt idx="414">
                  <c:v>0.47532109228187902</c:v>
                </c:pt>
                <c:pt idx="415">
                  <c:v>0.47532109228187902</c:v>
                </c:pt>
                <c:pt idx="416">
                  <c:v>0.47532109228187902</c:v>
                </c:pt>
                <c:pt idx="417">
                  <c:v>0.47532109228187902</c:v>
                </c:pt>
                <c:pt idx="418">
                  <c:v>0.47532109228187902</c:v>
                </c:pt>
                <c:pt idx="419">
                  <c:v>0.47532109228187902</c:v>
                </c:pt>
                <c:pt idx="420">
                  <c:v>0.47532109228187902</c:v>
                </c:pt>
                <c:pt idx="421">
                  <c:v>0.47532109228187902</c:v>
                </c:pt>
                <c:pt idx="422">
                  <c:v>0.47532109228187902</c:v>
                </c:pt>
                <c:pt idx="423">
                  <c:v>0.47532109228187902</c:v>
                </c:pt>
                <c:pt idx="424">
                  <c:v>0.47532109228187902</c:v>
                </c:pt>
                <c:pt idx="425">
                  <c:v>0.47532109228187902</c:v>
                </c:pt>
                <c:pt idx="426">
                  <c:v>0.47532109228187902</c:v>
                </c:pt>
                <c:pt idx="427">
                  <c:v>0.47532109228187902</c:v>
                </c:pt>
                <c:pt idx="428">
                  <c:v>0.47532109228187902</c:v>
                </c:pt>
                <c:pt idx="429">
                  <c:v>0.47532109228187902</c:v>
                </c:pt>
                <c:pt idx="430">
                  <c:v>0.47532109228187902</c:v>
                </c:pt>
                <c:pt idx="431">
                  <c:v>0.47532109228187902</c:v>
                </c:pt>
                <c:pt idx="432">
                  <c:v>0.47532109228187902</c:v>
                </c:pt>
                <c:pt idx="433">
                  <c:v>0.47532109228187902</c:v>
                </c:pt>
                <c:pt idx="434">
                  <c:v>0.47532109228187902</c:v>
                </c:pt>
                <c:pt idx="435">
                  <c:v>0.47532109228187902</c:v>
                </c:pt>
                <c:pt idx="436">
                  <c:v>0.47532109228187902</c:v>
                </c:pt>
                <c:pt idx="437">
                  <c:v>0.47532109228187902</c:v>
                </c:pt>
                <c:pt idx="438">
                  <c:v>0.47532109228187902</c:v>
                </c:pt>
                <c:pt idx="439">
                  <c:v>0.47532109228187902</c:v>
                </c:pt>
                <c:pt idx="440">
                  <c:v>0.47532109228187902</c:v>
                </c:pt>
                <c:pt idx="441">
                  <c:v>0.47532109228187902</c:v>
                </c:pt>
                <c:pt idx="442">
                  <c:v>0.47532109228187902</c:v>
                </c:pt>
                <c:pt idx="443">
                  <c:v>0.47532109228187902</c:v>
                </c:pt>
                <c:pt idx="444">
                  <c:v>0.47532109228187902</c:v>
                </c:pt>
                <c:pt idx="445">
                  <c:v>0.47532109228187902</c:v>
                </c:pt>
                <c:pt idx="446">
                  <c:v>0.47532109228187902</c:v>
                </c:pt>
                <c:pt idx="447">
                  <c:v>0.47532109228187902</c:v>
                </c:pt>
                <c:pt idx="448">
                  <c:v>0.47532109228187902</c:v>
                </c:pt>
                <c:pt idx="449">
                  <c:v>0.47532109228187902</c:v>
                </c:pt>
                <c:pt idx="450">
                  <c:v>0.47532109228187902</c:v>
                </c:pt>
                <c:pt idx="451">
                  <c:v>0.47532109228187902</c:v>
                </c:pt>
                <c:pt idx="452">
                  <c:v>0.47532109228187902</c:v>
                </c:pt>
                <c:pt idx="453">
                  <c:v>0.47532109228187902</c:v>
                </c:pt>
                <c:pt idx="454">
                  <c:v>0.47532109228187902</c:v>
                </c:pt>
                <c:pt idx="455">
                  <c:v>0.47532109228187902</c:v>
                </c:pt>
                <c:pt idx="456">
                  <c:v>0.47532109228187902</c:v>
                </c:pt>
                <c:pt idx="457">
                  <c:v>0.47532109228187902</c:v>
                </c:pt>
                <c:pt idx="458">
                  <c:v>0.47532109228187902</c:v>
                </c:pt>
                <c:pt idx="459">
                  <c:v>0.47532109228187902</c:v>
                </c:pt>
                <c:pt idx="460">
                  <c:v>0.47532109228187902</c:v>
                </c:pt>
                <c:pt idx="461">
                  <c:v>0.47532109228187902</c:v>
                </c:pt>
                <c:pt idx="462">
                  <c:v>0.47532109228187902</c:v>
                </c:pt>
                <c:pt idx="463">
                  <c:v>0.47532109228187902</c:v>
                </c:pt>
                <c:pt idx="464">
                  <c:v>0.47532109228187902</c:v>
                </c:pt>
                <c:pt idx="465">
                  <c:v>0.47532109228187902</c:v>
                </c:pt>
                <c:pt idx="466">
                  <c:v>0.47532109228187902</c:v>
                </c:pt>
                <c:pt idx="467">
                  <c:v>0.47532109228187902</c:v>
                </c:pt>
                <c:pt idx="468">
                  <c:v>0.47532109228187902</c:v>
                </c:pt>
                <c:pt idx="469">
                  <c:v>0.47532109228187902</c:v>
                </c:pt>
                <c:pt idx="470">
                  <c:v>0.47532109228187902</c:v>
                </c:pt>
                <c:pt idx="471">
                  <c:v>0.47532109228187902</c:v>
                </c:pt>
                <c:pt idx="472">
                  <c:v>0.47532109228187902</c:v>
                </c:pt>
                <c:pt idx="473">
                  <c:v>0.47532109228187902</c:v>
                </c:pt>
                <c:pt idx="474">
                  <c:v>0.47532109228187902</c:v>
                </c:pt>
                <c:pt idx="475">
                  <c:v>0.47532109228187902</c:v>
                </c:pt>
                <c:pt idx="476">
                  <c:v>0.47532109228187902</c:v>
                </c:pt>
                <c:pt idx="477">
                  <c:v>0.47532109228187902</c:v>
                </c:pt>
                <c:pt idx="478">
                  <c:v>0.47532109228187902</c:v>
                </c:pt>
                <c:pt idx="479">
                  <c:v>0.47532109228187902</c:v>
                </c:pt>
                <c:pt idx="480">
                  <c:v>0.47532109228187902</c:v>
                </c:pt>
                <c:pt idx="481">
                  <c:v>0.47532109228187902</c:v>
                </c:pt>
                <c:pt idx="482">
                  <c:v>0.47532109228187902</c:v>
                </c:pt>
                <c:pt idx="483">
                  <c:v>0.47532109228187902</c:v>
                </c:pt>
                <c:pt idx="484">
                  <c:v>0.47532109228187902</c:v>
                </c:pt>
                <c:pt idx="485">
                  <c:v>0.47532109228187902</c:v>
                </c:pt>
                <c:pt idx="486">
                  <c:v>0.47532109228187902</c:v>
                </c:pt>
                <c:pt idx="487">
                  <c:v>0.47532109228187902</c:v>
                </c:pt>
                <c:pt idx="488">
                  <c:v>0.47532109228187902</c:v>
                </c:pt>
                <c:pt idx="489">
                  <c:v>0.47532109228187902</c:v>
                </c:pt>
                <c:pt idx="490">
                  <c:v>0.47532109228187902</c:v>
                </c:pt>
                <c:pt idx="491">
                  <c:v>0.47532109228187902</c:v>
                </c:pt>
                <c:pt idx="492">
                  <c:v>0.47532109228187902</c:v>
                </c:pt>
                <c:pt idx="493">
                  <c:v>0.47532109228187902</c:v>
                </c:pt>
                <c:pt idx="494">
                  <c:v>0.47532109228187902</c:v>
                </c:pt>
                <c:pt idx="495">
                  <c:v>0.47532109228187902</c:v>
                </c:pt>
                <c:pt idx="496">
                  <c:v>0.47532109228187902</c:v>
                </c:pt>
                <c:pt idx="497">
                  <c:v>0.47532109228187902</c:v>
                </c:pt>
                <c:pt idx="498">
                  <c:v>0.47532109228187902</c:v>
                </c:pt>
                <c:pt idx="499">
                  <c:v>0.47532109228187902</c:v>
                </c:pt>
                <c:pt idx="500">
                  <c:v>0.47532109228187902</c:v>
                </c:pt>
                <c:pt idx="501">
                  <c:v>0.47532109228187902</c:v>
                </c:pt>
                <c:pt idx="502">
                  <c:v>0.47532109228187902</c:v>
                </c:pt>
                <c:pt idx="503">
                  <c:v>0.47532109228187902</c:v>
                </c:pt>
                <c:pt idx="504">
                  <c:v>0.47532109228187902</c:v>
                </c:pt>
                <c:pt idx="505">
                  <c:v>0.47532109228187902</c:v>
                </c:pt>
                <c:pt idx="506">
                  <c:v>0.47532109228187902</c:v>
                </c:pt>
                <c:pt idx="507">
                  <c:v>0.47532109228187902</c:v>
                </c:pt>
                <c:pt idx="508">
                  <c:v>0.47532109228187902</c:v>
                </c:pt>
                <c:pt idx="509">
                  <c:v>0.47532109228187902</c:v>
                </c:pt>
                <c:pt idx="510">
                  <c:v>0.47532109228187902</c:v>
                </c:pt>
                <c:pt idx="511">
                  <c:v>0.47532109228187902</c:v>
                </c:pt>
                <c:pt idx="512">
                  <c:v>0.47532109228187902</c:v>
                </c:pt>
                <c:pt idx="513">
                  <c:v>0.47532109228187902</c:v>
                </c:pt>
                <c:pt idx="514">
                  <c:v>0.47532109228187902</c:v>
                </c:pt>
                <c:pt idx="515">
                  <c:v>0.47532109228187902</c:v>
                </c:pt>
                <c:pt idx="516">
                  <c:v>0.47532109228187902</c:v>
                </c:pt>
                <c:pt idx="517">
                  <c:v>0.47532109228187902</c:v>
                </c:pt>
                <c:pt idx="518">
                  <c:v>0.47532109228187902</c:v>
                </c:pt>
                <c:pt idx="519">
                  <c:v>0.47532109228187902</c:v>
                </c:pt>
                <c:pt idx="520">
                  <c:v>0.47532109228187902</c:v>
                </c:pt>
                <c:pt idx="521">
                  <c:v>0.47532109228187902</c:v>
                </c:pt>
                <c:pt idx="522">
                  <c:v>0.47532109228187902</c:v>
                </c:pt>
                <c:pt idx="523">
                  <c:v>0.47532109228187902</c:v>
                </c:pt>
                <c:pt idx="524">
                  <c:v>0.47532109228187902</c:v>
                </c:pt>
                <c:pt idx="525">
                  <c:v>0.47532109228187902</c:v>
                </c:pt>
                <c:pt idx="526">
                  <c:v>0.47532109228187902</c:v>
                </c:pt>
                <c:pt idx="527">
                  <c:v>0.47532109228187902</c:v>
                </c:pt>
                <c:pt idx="528">
                  <c:v>0.47532109228187902</c:v>
                </c:pt>
                <c:pt idx="529">
                  <c:v>0.47532109228187902</c:v>
                </c:pt>
                <c:pt idx="530">
                  <c:v>0.47532109228187902</c:v>
                </c:pt>
                <c:pt idx="531">
                  <c:v>0.47532109228187902</c:v>
                </c:pt>
                <c:pt idx="532">
                  <c:v>0.47532109228187902</c:v>
                </c:pt>
                <c:pt idx="533">
                  <c:v>0.47532109228187902</c:v>
                </c:pt>
                <c:pt idx="534">
                  <c:v>0.47532109228187902</c:v>
                </c:pt>
                <c:pt idx="535">
                  <c:v>0.47532109228187902</c:v>
                </c:pt>
                <c:pt idx="536">
                  <c:v>0.47532109228187902</c:v>
                </c:pt>
                <c:pt idx="537">
                  <c:v>0.47532109228187902</c:v>
                </c:pt>
                <c:pt idx="538">
                  <c:v>0.47532109228187902</c:v>
                </c:pt>
                <c:pt idx="539">
                  <c:v>0.47532109228187902</c:v>
                </c:pt>
                <c:pt idx="540">
                  <c:v>0.47532109228187902</c:v>
                </c:pt>
                <c:pt idx="541">
                  <c:v>0.47532109228187902</c:v>
                </c:pt>
                <c:pt idx="542">
                  <c:v>0.47532109228187902</c:v>
                </c:pt>
                <c:pt idx="543">
                  <c:v>0.47532109228187902</c:v>
                </c:pt>
                <c:pt idx="544">
                  <c:v>0.47532109228187902</c:v>
                </c:pt>
                <c:pt idx="545">
                  <c:v>0.47532109228187902</c:v>
                </c:pt>
                <c:pt idx="546">
                  <c:v>0.47532109228187902</c:v>
                </c:pt>
                <c:pt idx="547">
                  <c:v>0.47532109228187902</c:v>
                </c:pt>
                <c:pt idx="548">
                  <c:v>0.47532109228187902</c:v>
                </c:pt>
                <c:pt idx="549">
                  <c:v>0.47532109228187902</c:v>
                </c:pt>
                <c:pt idx="550">
                  <c:v>0.47532109228187902</c:v>
                </c:pt>
                <c:pt idx="551">
                  <c:v>0.47532109228187902</c:v>
                </c:pt>
                <c:pt idx="552">
                  <c:v>0.47532109228187902</c:v>
                </c:pt>
                <c:pt idx="553">
                  <c:v>0.47532109228187902</c:v>
                </c:pt>
                <c:pt idx="554">
                  <c:v>0.47532109228187902</c:v>
                </c:pt>
                <c:pt idx="555">
                  <c:v>0.47532109228187902</c:v>
                </c:pt>
                <c:pt idx="556">
                  <c:v>0.47532109228187902</c:v>
                </c:pt>
                <c:pt idx="557">
                  <c:v>0.47532109228187902</c:v>
                </c:pt>
                <c:pt idx="558">
                  <c:v>0.47532109228187902</c:v>
                </c:pt>
                <c:pt idx="559">
                  <c:v>0.47532109228187902</c:v>
                </c:pt>
                <c:pt idx="560">
                  <c:v>0.47532109228187902</c:v>
                </c:pt>
                <c:pt idx="561">
                  <c:v>0.47532109228187902</c:v>
                </c:pt>
                <c:pt idx="562">
                  <c:v>0.47532109228187902</c:v>
                </c:pt>
                <c:pt idx="563">
                  <c:v>0.47532109228187902</c:v>
                </c:pt>
                <c:pt idx="564">
                  <c:v>0.47532109228187902</c:v>
                </c:pt>
                <c:pt idx="565">
                  <c:v>0.47532109228187902</c:v>
                </c:pt>
                <c:pt idx="566">
                  <c:v>0.47532109228187902</c:v>
                </c:pt>
                <c:pt idx="567">
                  <c:v>0.47532109228187902</c:v>
                </c:pt>
                <c:pt idx="568">
                  <c:v>0.47532109228187902</c:v>
                </c:pt>
                <c:pt idx="569">
                  <c:v>0.47532109228187902</c:v>
                </c:pt>
                <c:pt idx="570">
                  <c:v>0.47532109228187902</c:v>
                </c:pt>
                <c:pt idx="571">
                  <c:v>0.47532109228187902</c:v>
                </c:pt>
                <c:pt idx="572">
                  <c:v>0.47532109228187902</c:v>
                </c:pt>
                <c:pt idx="573">
                  <c:v>0.47532109228187902</c:v>
                </c:pt>
                <c:pt idx="574">
                  <c:v>0.47532109228187902</c:v>
                </c:pt>
                <c:pt idx="575">
                  <c:v>0.47532109228187902</c:v>
                </c:pt>
                <c:pt idx="576">
                  <c:v>0.47532109228187902</c:v>
                </c:pt>
                <c:pt idx="577">
                  <c:v>0.47532109228187902</c:v>
                </c:pt>
                <c:pt idx="578">
                  <c:v>0.47532109228187902</c:v>
                </c:pt>
                <c:pt idx="579">
                  <c:v>0.47532109228187902</c:v>
                </c:pt>
                <c:pt idx="580">
                  <c:v>0.47532109228187902</c:v>
                </c:pt>
                <c:pt idx="581">
                  <c:v>0.47532109228187902</c:v>
                </c:pt>
                <c:pt idx="582">
                  <c:v>0.47532109228187902</c:v>
                </c:pt>
                <c:pt idx="583">
                  <c:v>0.47532109228187902</c:v>
                </c:pt>
                <c:pt idx="584">
                  <c:v>0.47532109228187902</c:v>
                </c:pt>
                <c:pt idx="585">
                  <c:v>0.47532109228187902</c:v>
                </c:pt>
                <c:pt idx="586">
                  <c:v>0.47532109228187902</c:v>
                </c:pt>
                <c:pt idx="587">
                  <c:v>0.47532109228187902</c:v>
                </c:pt>
                <c:pt idx="588">
                  <c:v>0.47532109228187902</c:v>
                </c:pt>
                <c:pt idx="589">
                  <c:v>0.47532109228187902</c:v>
                </c:pt>
                <c:pt idx="590">
                  <c:v>0.47532109228187902</c:v>
                </c:pt>
                <c:pt idx="591">
                  <c:v>0.47532109228187902</c:v>
                </c:pt>
                <c:pt idx="592">
                  <c:v>0.47532109228187902</c:v>
                </c:pt>
                <c:pt idx="593">
                  <c:v>0.47532109228187902</c:v>
                </c:pt>
                <c:pt idx="594">
                  <c:v>0.47532109228187902</c:v>
                </c:pt>
                <c:pt idx="595">
                  <c:v>0.47532109228187902</c:v>
                </c:pt>
                <c:pt idx="596">
                  <c:v>0.47532109228187902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74-45D5-8EB5-93BF444097AA}"/>
            </c:ext>
          </c:extLst>
        </c:ser>
        <c:ser>
          <c:idx val="2"/>
          <c:order val="2"/>
          <c:tx>
            <c:strRef>
              <c:f>TTV_SPC!$K$10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TTV_SPC!$A$11:$A$607</c:f>
              <c:numCache>
                <c:formatCode>0</c:formatCode>
                <c:ptCount val="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</c:numCache>
            </c:numRef>
          </c:cat>
          <c:val>
            <c:numRef>
              <c:f>TTV_SPC!$K$11:$K$607</c:f>
              <c:numCache>
                <c:formatCode>0.000</c:formatCode>
                <c:ptCount val="597"/>
                <c:pt idx="0">
                  <c:v>0.14549161073825498</c:v>
                </c:pt>
                <c:pt idx="1">
                  <c:v>0.14549161073825498</c:v>
                </c:pt>
                <c:pt idx="2">
                  <c:v>0.14549161073825498</c:v>
                </c:pt>
                <c:pt idx="3">
                  <c:v>0.14549161073825498</c:v>
                </c:pt>
                <c:pt idx="4">
                  <c:v>0.14549161073825498</c:v>
                </c:pt>
                <c:pt idx="5">
                  <c:v>0.14549161073825498</c:v>
                </c:pt>
                <c:pt idx="6">
                  <c:v>0.14549161073825498</c:v>
                </c:pt>
                <c:pt idx="7">
                  <c:v>0.14549161073825498</c:v>
                </c:pt>
                <c:pt idx="8">
                  <c:v>0.14549161073825498</c:v>
                </c:pt>
                <c:pt idx="9">
                  <c:v>0.14549161073825498</c:v>
                </c:pt>
                <c:pt idx="10">
                  <c:v>0.14549161073825498</c:v>
                </c:pt>
                <c:pt idx="11">
                  <c:v>0.14549161073825498</c:v>
                </c:pt>
                <c:pt idx="12">
                  <c:v>0.14549161073825498</c:v>
                </c:pt>
                <c:pt idx="13">
                  <c:v>0.14549161073825498</c:v>
                </c:pt>
                <c:pt idx="14">
                  <c:v>0.14549161073825498</c:v>
                </c:pt>
                <c:pt idx="15">
                  <c:v>0.14549161073825498</c:v>
                </c:pt>
                <c:pt idx="16">
                  <c:v>0.14549161073825498</c:v>
                </c:pt>
                <c:pt idx="17">
                  <c:v>0.14549161073825498</c:v>
                </c:pt>
                <c:pt idx="18">
                  <c:v>0.14549161073825498</c:v>
                </c:pt>
                <c:pt idx="19">
                  <c:v>0.14549161073825498</c:v>
                </c:pt>
                <c:pt idx="20">
                  <c:v>0.14549161073825498</c:v>
                </c:pt>
                <c:pt idx="21">
                  <c:v>0.14549161073825498</c:v>
                </c:pt>
                <c:pt idx="22">
                  <c:v>0.14549161073825498</c:v>
                </c:pt>
                <c:pt idx="23">
                  <c:v>0.14549161073825498</c:v>
                </c:pt>
                <c:pt idx="24">
                  <c:v>0.14549161073825498</c:v>
                </c:pt>
                <c:pt idx="25">
                  <c:v>0.14549161073825498</c:v>
                </c:pt>
                <c:pt idx="26">
                  <c:v>0.14549161073825498</c:v>
                </c:pt>
                <c:pt idx="27">
                  <c:v>0.14549161073825498</c:v>
                </c:pt>
                <c:pt idx="28">
                  <c:v>0.14549161073825498</c:v>
                </c:pt>
                <c:pt idx="29">
                  <c:v>0.14549161073825498</c:v>
                </c:pt>
                <c:pt idx="30">
                  <c:v>0.14549161073825498</c:v>
                </c:pt>
                <c:pt idx="31">
                  <c:v>0.14549161073825498</c:v>
                </c:pt>
                <c:pt idx="32">
                  <c:v>0.14549161073825498</c:v>
                </c:pt>
                <c:pt idx="33">
                  <c:v>0.14549161073825498</c:v>
                </c:pt>
                <c:pt idx="34">
                  <c:v>0.14549161073825498</c:v>
                </c:pt>
                <c:pt idx="35">
                  <c:v>0.14549161073825498</c:v>
                </c:pt>
                <c:pt idx="36">
                  <c:v>0.14549161073825498</c:v>
                </c:pt>
                <c:pt idx="37">
                  <c:v>0.14549161073825498</c:v>
                </c:pt>
                <c:pt idx="38">
                  <c:v>0.14549161073825498</c:v>
                </c:pt>
                <c:pt idx="39">
                  <c:v>0.14549161073825498</c:v>
                </c:pt>
                <c:pt idx="40">
                  <c:v>0.14549161073825498</c:v>
                </c:pt>
                <c:pt idx="41">
                  <c:v>0.14549161073825498</c:v>
                </c:pt>
                <c:pt idx="42">
                  <c:v>0.14549161073825498</c:v>
                </c:pt>
                <c:pt idx="43">
                  <c:v>0.14549161073825498</c:v>
                </c:pt>
                <c:pt idx="44">
                  <c:v>0.14549161073825498</c:v>
                </c:pt>
                <c:pt idx="45">
                  <c:v>0.14549161073825498</c:v>
                </c:pt>
                <c:pt idx="46">
                  <c:v>0.14549161073825498</c:v>
                </c:pt>
                <c:pt idx="47">
                  <c:v>0.14549161073825498</c:v>
                </c:pt>
                <c:pt idx="48">
                  <c:v>0.14549161073825498</c:v>
                </c:pt>
                <c:pt idx="49">
                  <c:v>0.14549161073825498</c:v>
                </c:pt>
                <c:pt idx="50">
                  <c:v>0.14549161073825498</c:v>
                </c:pt>
                <c:pt idx="51">
                  <c:v>0.14549161073825498</c:v>
                </c:pt>
                <c:pt idx="52">
                  <c:v>0.14549161073825498</c:v>
                </c:pt>
                <c:pt idx="53">
                  <c:v>0.14549161073825498</c:v>
                </c:pt>
                <c:pt idx="54">
                  <c:v>0.14549161073825498</c:v>
                </c:pt>
                <c:pt idx="55">
                  <c:v>0.14549161073825498</c:v>
                </c:pt>
                <c:pt idx="56">
                  <c:v>0.14549161073825498</c:v>
                </c:pt>
                <c:pt idx="57">
                  <c:v>0.14549161073825498</c:v>
                </c:pt>
                <c:pt idx="58">
                  <c:v>0.14549161073825498</c:v>
                </c:pt>
                <c:pt idx="59">
                  <c:v>0.14549161073825498</c:v>
                </c:pt>
                <c:pt idx="60">
                  <c:v>0.14549161073825498</c:v>
                </c:pt>
                <c:pt idx="61">
                  <c:v>0.14549161073825498</c:v>
                </c:pt>
                <c:pt idx="62">
                  <c:v>0.14549161073825498</c:v>
                </c:pt>
                <c:pt idx="63">
                  <c:v>0.14549161073825498</c:v>
                </c:pt>
                <c:pt idx="64">
                  <c:v>0.14549161073825498</c:v>
                </c:pt>
                <c:pt idx="65">
                  <c:v>0.14549161073825498</c:v>
                </c:pt>
                <c:pt idx="66">
                  <c:v>0.14549161073825498</c:v>
                </c:pt>
                <c:pt idx="67">
                  <c:v>0.14549161073825498</c:v>
                </c:pt>
                <c:pt idx="68">
                  <c:v>0.14549161073825498</c:v>
                </c:pt>
                <c:pt idx="69">
                  <c:v>0.14549161073825498</c:v>
                </c:pt>
                <c:pt idx="70">
                  <c:v>0.14549161073825498</c:v>
                </c:pt>
                <c:pt idx="71">
                  <c:v>0.14549161073825498</c:v>
                </c:pt>
                <c:pt idx="72">
                  <c:v>0.14549161073825498</c:v>
                </c:pt>
                <c:pt idx="73">
                  <c:v>0.14549161073825498</c:v>
                </c:pt>
                <c:pt idx="74">
                  <c:v>0.14549161073825498</c:v>
                </c:pt>
                <c:pt idx="75">
                  <c:v>0.14549161073825498</c:v>
                </c:pt>
                <c:pt idx="76">
                  <c:v>0.14549161073825498</c:v>
                </c:pt>
                <c:pt idx="77">
                  <c:v>0.14549161073825498</c:v>
                </c:pt>
                <c:pt idx="78">
                  <c:v>0.14549161073825498</c:v>
                </c:pt>
                <c:pt idx="79">
                  <c:v>0.14549161073825498</c:v>
                </c:pt>
                <c:pt idx="80">
                  <c:v>0.14549161073825498</c:v>
                </c:pt>
                <c:pt idx="81">
                  <c:v>0.14549161073825498</c:v>
                </c:pt>
                <c:pt idx="82">
                  <c:v>0.14549161073825498</c:v>
                </c:pt>
                <c:pt idx="83">
                  <c:v>0.14549161073825498</c:v>
                </c:pt>
                <c:pt idx="84">
                  <c:v>0.14549161073825498</c:v>
                </c:pt>
                <c:pt idx="85">
                  <c:v>0.14549161073825498</c:v>
                </c:pt>
                <c:pt idx="86">
                  <c:v>0.14549161073825498</c:v>
                </c:pt>
                <c:pt idx="87">
                  <c:v>0.14549161073825498</c:v>
                </c:pt>
                <c:pt idx="88">
                  <c:v>0.14549161073825498</c:v>
                </c:pt>
                <c:pt idx="89">
                  <c:v>0.14549161073825498</c:v>
                </c:pt>
                <c:pt idx="90">
                  <c:v>0.14549161073825498</c:v>
                </c:pt>
                <c:pt idx="91">
                  <c:v>0.14549161073825498</c:v>
                </c:pt>
                <c:pt idx="92">
                  <c:v>0.14549161073825498</c:v>
                </c:pt>
                <c:pt idx="93">
                  <c:v>0.14549161073825498</c:v>
                </c:pt>
                <c:pt idx="94">
                  <c:v>0.14549161073825498</c:v>
                </c:pt>
                <c:pt idx="95">
                  <c:v>0.14549161073825498</c:v>
                </c:pt>
                <c:pt idx="96">
                  <c:v>0.14549161073825498</c:v>
                </c:pt>
                <c:pt idx="97">
                  <c:v>0.14549161073825498</c:v>
                </c:pt>
                <c:pt idx="98">
                  <c:v>0.14549161073825498</c:v>
                </c:pt>
                <c:pt idx="99">
                  <c:v>0.14549161073825498</c:v>
                </c:pt>
                <c:pt idx="100">
                  <c:v>0.14549161073825498</c:v>
                </c:pt>
                <c:pt idx="101">
                  <c:v>0.14549161073825498</c:v>
                </c:pt>
                <c:pt idx="102">
                  <c:v>0.14549161073825498</c:v>
                </c:pt>
                <c:pt idx="103">
                  <c:v>0.14549161073825498</c:v>
                </c:pt>
                <c:pt idx="104">
                  <c:v>0.14549161073825498</c:v>
                </c:pt>
                <c:pt idx="105">
                  <c:v>0.14549161073825498</c:v>
                </c:pt>
                <c:pt idx="106">
                  <c:v>0.14549161073825498</c:v>
                </c:pt>
                <c:pt idx="107">
                  <c:v>0.14549161073825498</c:v>
                </c:pt>
                <c:pt idx="108">
                  <c:v>0.14549161073825498</c:v>
                </c:pt>
                <c:pt idx="109">
                  <c:v>0.14549161073825498</c:v>
                </c:pt>
                <c:pt idx="110">
                  <c:v>0.14549161073825498</c:v>
                </c:pt>
                <c:pt idx="111">
                  <c:v>0.14549161073825498</c:v>
                </c:pt>
                <c:pt idx="112">
                  <c:v>0.14549161073825498</c:v>
                </c:pt>
                <c:pt idx="113">
                  <c:v>0.14549161073825498</c:v>
                </c:pt>
                <c:pt idx="114">
                  <c:v>0.14549161073825498</c:v>
                </c:pt>
                <c:pt idx="115">
                  <c:v>0.14549161073825498</c:v>
                </c:pt>
                <c:pt idx="116">
                  <c:v>0.14549161073825498</c:v>
                </c:pt>
                <c:pt idx="117">
                  <c:v>0.14549161073825498</c:v>
                </c:pt>
                <c:pt idx="118">
                  <c:v>0.14549161073825498</c:v>
                </c:pt>
                <c:pt idx="119">
                  <c:v>0.14549161073825498</c:v>
                </c:pt>
                <c:pt idx="120">
                  <c:v>0.14549161073825498</c:v>
                </c:pt>
                <c:pt idx="121">
                  <c:v>0.14549161073825498</c:v>
                </c:pt>
                <c:pt idx="122">
                  <c:v>0.14549161073825498</c:v>
                </c:pt>
                <c:pt idx="123">
                  <c:v>0.14549161073825498</c:v>
                </c:pt>
                <c:pt idx="124">
                  <c:v>0.14549161073825498</c:v>
                </c:pt>
                <c:pt idx="125">
                  <c:v>0.14549161073825498</c:v>
                </c:pt>
                <c:pt idx="126">
                  <c:v>0.14549161073825498</c:v>
                </c:pt>
                <c:pt idx="127">
                  <c:v>0.14549161073825498</c:v>
                </c:pt>
                <c:pt idx="128">
                  <c:v>0.14549161073825498</c:v>
                </c:pt>
                <c:pt idx="129">
                  <c:v>0.14549161073825498</c:v>
                </c:pt>
                <c:pt idx="130">
                  <c:v>0.14549161073825498</c:v>
                </c:pt>
                <c:pt idx="131">
                  <c:v>0.14549161073825498</c:v>
                </c:pt>
                <c:pt idx="132">
                  <c:v>0.14549161073825498</c:v>
                </c:pt>
                <c:pt idx="133">
                  <c:v>0.14549161073825498</c:v>
                </c:pt>
                <c:pt idx="134">
                  <c:v>0.14549161073825498</c:v>
                </c:pt>
                <c:pt idx="135">
                  <c:v>0.14549161073825498</c:v>
                </c:pt>
                <c:pt idx="136">
                  <c:v>0.14549161073825498</c:v>
                </c:pt>
                <c:pt idx="137">
                  <c:v>0.14549161073825498</c:v>
                </c:pt>
                <c:pt idx="138">
                  <c:v>0.14549161073825498</c:v>
                </c:pt>
                <c:pt idx="139">
                  <c:v>0.14549161073825498</c:v>
                </c:pt>
                <c:pt idx="140">
                  <c:v>0.14549161073825498</c:v>
                </c:pt>
                <c:pt idx="141">
                  <c:v>0.14549161073825498</c:v>
                </c:pt>
                <c:pt idx="142">
                  <c:v>0.14549161073825498</c:v>
                </c:pt>
                <c:pt idx="143">
                  <c:v>0.14549161073825498</c:v>
                </c:pt>
                <c:pt idx="144">
                  <c:v>0.14549161073825498</c:v>
                </c:pt>
                <c:pt idx="145">
                  <c:v>0.14549161073825498</c:v>
                </c:pt>
                <c:pt idx="146">
                  <c:v>0.14549161073825498</c:v>
                </c:pt>
                <c:pt idx="147">
                  <c:v>0.14549161073825498</c:v>
                </c:pt>
                <c:pt idx="148">
                  <c:v>0.14549161073825498</c:v>
                </c:pt>
                <c:pt idx="149">
                  <c:v>0.14549161073825498</c:v>
                </c:pt>
                <c:pt idx="150">
                  <c:v>0.14549161073825498</c:v>
                </c:pt>
                <c:pt idx="151">
                  <c:v>0.14549161073825498</c:v>
                </c:pt>
                <c:pt idx="152">
                  <c:v>0.14549161073825498</c:v>
                </c:pt>
                <c:pt idx="153">
                  <c:v>0.14549161073825498</c:v>
                </c:pt>
                <c:pt idx="154">
                  <c:v>0.14549161073825498</c:v>
                </c:pt>
                <c:pt idx="155">
                  <c:v>0.14549161073825498</c:v>
                </c:pt>
                <c:pt idx="156">
                  <c:v>0.14549161073825498</c:v>
                </c:pt>
                <c:pt idx="157">
                  <c:v>0.14549161073825498</c:v>
                </c:pt>
                <c:pt idx="158">
                  <c:v>0.14549161073825498</c:v>
                </c:pt>
                <c:pt idx="159">
                  <c:v>0.14549161073825498</c:v>
                </c:pt>
                <c:pt idx="160">
                  <c:v>0.14549161073825498</c:v>
                </c:pt>
                <c:pt idx="161">
                  <c:v>0.14549161073825498</c:v>
                </c:pt>
                <c:pt idx="162">
                  <c:v>0.14549161073825498</c:v>
                </c:pt>
                <c:pt idx="163">
                  <c:v>0.14549161073825498</c:v>
                </c:pt>
                <c:pt idx="164">
                  <c:v>0.14549161073825498</c:v>
                </c:pt>
                <c:pt idx="165">
                  <c:v>0.14549161073825498</c:v>
                </c:pt>
                <c:pt idx="166">
                  <c:v>0.14549161073825498</c:v>
                </c:pt>
                <c:pt idx="167">
                  <c:v>0.14549161073825498</c:v>
                </c:pt>
                <c:pt idx="168">
                  <c:v>0.14549161073825498</c:v>
                </c:pt>
                <c:pt idx="169">
                  <c:v>0.14549161073825498</c:v>
                </c:pt>
                <c:pt idx="170">
                  <c:v>0.14549161073825498</c:v>
                </c:pt>
                <c:pt idx="171">
                  <c:v>0.14549161073825498</c:v>
                </c:pt>
                <c:pt idx="172">
                  <c:v>0.14549161073825498</c:v>
                </c:pt>
                <c:pt idx="173">
                  <c:v>0.14549161073825498</c:v>
                </c:pt>
                <c:pt idx="174">
                  <c:v>0.14549161073825498</c:v>
                </c:pt>
                <c:pt idx="175">
                  <c:v>0.14549161073825498</c:v>
                </c:pt>
                <c:pt idx="176">
                  <c:v>0.14549161073825498</c:v>
                </c:pt>
                <c:pt idx="177">
                  <c:v>0.14549161073825498</c:v>
                </c:pt>
                <c:pt idx="178">
                  <c:v>0.14549161073825498</c:v>
                </c:pt>
                <c:pt idx="179">
                  <c:v>0.14549161073825498</c:v>
                </c:pt>
                <c:pt idx="180">
                  <c:v>0.14549161073825498</c:v>
                </c:pt>
                <c:pt idx="181">
                  <c:v>0.14549161073825498</c:v>
                </c:pt>
                <c:pt idx="182">
                  <c:v>0.14549161073825498</c:v>
                </c:pt>
                <c:pt idx="183">
                  <c:v>0.14549161073825498</c:v>
                </c:pt>
                <c:pt idx="184">
                  <c:v>0.14549161073825498</c:v>
                </c:pt>
                <c:pt idx="185">
                  <c:v>0.14549161073825498</c:v>
                </c:pt>
                <c:pt idx="186">
                  <c:v>0.14549161073825498</c:v>
                </c:pt>
                <c:pt idx="187">
                  <c:v>0.14549161073825498</c:v>
                </c:pt>
                <c:pt idx="188">
                  <c:v>0.14549161073825498</c:v>
                </c:pt>
                <c:pt idx="189">
                  <c:v>0.14549161073825498</c:v>
                </c:pt>
                <c:pt idx="190">
                  <c:v>0.14549161073825498</c:v>
                </c:pt>
                <c:pt idx="191">
                  <c:v>0.14549161073825498</c:v>
                </c:pt>
                <c:pt idx="192">
                  <c:v>0.14549161073825498</c:v>
                </c:pt>
                <c:pt idx="193">
                  <c:v>0.14549161073825498</c:v>
                </c:pt>
                <c:pt idx="194">
                  <c:v>0.14549161073825498</c:v>
                </c:pt>
                <c:pt idx="195">
                  <c:v>0.14549161073825498</c:v>
                </c:pt>
                <c:pt idx="196">
                  <c:v>0.14549161073825498</c:v>
                </c:pt>
                <c:pt idx="197">
                  <c:v>0.14549161073825498</c:v>
                </c:pt>
                <c:pt idx="198">
                  <c:v>0.14549161073825498</c:v>
                </c:pt>
                <c:pt idx="199">
                  <c:v>0.14549161073825498</c:v>
                </c:pt>
                <c:pt idx="200">
                  <c:v>0.14549161073825498</c:v>
                </c:pt>
                <c:pt idx="201">
                  <c:v>0.14549161073825498</c:v>
                </c:pt>
                <c:pt idx="202">
                  <c:v>0.14549161073825498</c:v>
                </c:pt>
                <c:pt idx="203">
                  <c:v>0.14549161073825498</c:v>
                </c:pt>
                <c:pt idx="204">
                  <c:v>0.14549161073825498</c:v>
                </c:pt>
                <c:pt idx="205">
                  <c:v>0.14549161073825498</c:v>
                </c:pt>
                <c:pt idx="206">
                  <c:v>0.14549161073825498</c:v>
                </c:pt>
                <c:pt idx="207">
                  <c:v>0.14549161073825498</c:v>
                </c:pt>
                <c:pt idx="208">
                  <c:v>0.14549161073825498</c:v>
                </c:pt>
                <c:pt idx="209">
                  <c:v>0.14549161073825498</c:v>
                </c:pt>
                <c:pt idx="210">
                  <c:v>0.14549161073825498</c:v>
                </c:pt>
                <c:pt idx="211">
                  <c:v>0.14549161073825498</c:v>
                </c:pt>
                <c:pt idx="212">
                  <c:v>0.14549161073825498</c:v>
                </c:pt>
                <c:pt idx="213">
                  <c:v>0.14549161073825498</c:v>
                </c:pt>
                <c:pt idx="214">
                  <c:v>0.14549161073825498</c:v>
                </c:pt>
                <c:pt idx="215">
                  <c:v>0.14549161073825498</c:v>
                </c:pt>
                <c:pt idx="216">
                  <c:v>0.14549161073825498</c:v>
                </c:pt>
                <c:pt idx="217">
                  <c:v>0.14549161073825498</c:v>
                </c:pt>
                <c:pt idx="218">
                  <c:v>0.14549161073825498</c:v>
                </c:pt>
                <c:pt idx="219">
                  <c:v>0.14549161073825498</c:v>
                </c:pt>
                <c:pt idx="220">
                  <c:v>0.14549161073825498</c:v>
                </c:pt>
                <c:pt idx="221">
                  <c:v>0.14549161073825498</c:v>
                </c:pt>
                <c:pt idx="222">
                  <c:v>0.14549161073825498</c:v>
                </c:pt>
                <c:pt idx="223">
                  <c:v>0.14549161073825498</c:v>
                </c:pt>
                <c:pt idx="224">
                  <c:v>0.14549161073825498</c:v>
                </c:pt>
                <c:pt idx="225">
                  <c:v>0.14549161073825498</c:v>
                </c:pt>
                <c:pt idx="226">
                  <c:v>0.14549161073825498</c:v>
                </c:pt>
                <c:pt idx="227">
                  <c:v>0.14549161073825498</c:v>
                </c:pt>
                <c:pt idx="228">
                  <c:v>0.14549161073825498</c:v>
                </c:pt>
                <c:pt idx="229">
                  <c:v>0.14549161073825498</c:v>
                </c:pt>
                <c:pt idx="230">
                  <c:v>0.14549161073825498</c:v>
                </c:pt>
                <c:pt idx="231">
                  <c:v>0.14549161073825498</c:v>
                </c:pt>
                <c:pt idx="232">
                  <c:v>0.14549161073825498</c:v>
                </c:pt>
                <c:pt idx="233">
                  <c:v>0.14549161073825498</c:v>
                </c:pt>
                <c:pt idx="234">
                  <c:v>0.14549161073825498</c:v>
                </c:pt>
                <c:pt idx="235">
                  <c:v>0.14549161073825498</c:v>
                </c:pt>
                <c:pt idx="236">
                  <c:v>0.14549161073825498</c:v>
                </c:pt>
                <c:pt idx="237">
                  <c:v>0.14549161073825498</c:v>
                </c:pt>
                <c:pt idx="238">
                  <c:v>0.14549161073825498</c:v>
                </c:pt>
                <c:pt idx="239">
                  <c:v>0.14549161073825498</c:v>
                </c:pt>
                <c:pt idx="240">
                  <c:v>0.14549161073825498</c:v>
                </c:pt>
                <c:pt idx="241">
                  <c:v>0.14549161073825498</c:v>
                </c:pt>
                <c:pt idx="242">
                  <c:v>0.14549161073825498</c:v>
                </c:pt>
                <c:pt idx="243">
                  <c:v>0.14549161073825498</c:v>
                </c:pt>
                <c:pt idx="244">
                  <c:v>0.14549161073825498</c:v>
                </c:pt>
                <c:pt idx="245">
                  <c:v>0.14549161073825498</c:v>
                </c:pt>
                <c:pt idx="246">
                  <c:v>0.14549161073825498</c:v>
                </c:pt>
                <c:pt idx="247">
                  <c:v>0.14549161073825498</c:v>
                </c:pt>
                <c:pt idx="248">
                  <c:v>0.14549161073825498</c:v>
                </c:pt>
                <c:pt idx="249">
                  <c:v>0.14549161073825498</c:v>
                </c:pt>
                <c:pt idx="250">
                  <c:v>0.14549161073825498</c:v>
                </c:pt>
                <c:pt idx="251">
                  <c:v>0.14549161073825498</c:v>
                </c:pt>
                <c:pt idx="252">
                  <c:v>0.14549161073825498</c:v>
                </c:pt>
                <c:pt idx="253">
                  <c:v>0.14549161073825498</c:v>
                </c:pt>
                <c:pt idx="254">
                  <c:v>0.14549161073825498</c:v>
                </c:pt>
                <c:pt idx="255">
                  <c:v>0.14549161073825498</c:v>
                </c:pt>
                <c:pt idx="256">
                  <c:v>0.14549161073825498</c:v>
                </c:pt>
                <c:pt idx="257">
                  <c:v>0.14549161073825498</c:v>
                </c:pt>
                <c:pt idx="258">
                  <c:v>0.14549161073825498</c:v>
                </c:pt>
                <c:pt idx="259">
                  <c:v>0.14549161073825498</c:v>
                </c:pt>
                <c:pt idx="260">
                  <c:v>0.14549161073825498</c:v>
                </c:pt>
                <c:pt idx="261">
                  <c:v>0.14549161073825498</c:v>
                </c:pt>
                <c:pt idx="262">
                  <c:v>0.14549161073825498</c:v>
                </c:pt>
                <c:pt idx="263">
                  <c:v>0.14549161073825498</c:v>
                </c:pt>
                <c:pt idx="264">
                  <c:v>0.14549161073825498</c:v>
                </c:pt>
                <c:pt idx="265">
                  <c:v>0.14549161073825498</c:v>
                </c:pt>
                <c:pt idx="266">
                  <c:v>0.14549161073825498</c:v>
                </c:pt>
                <c:pt idx="267">
                  <c:v>0.14549161073825498</c:v>
                </c:pt>
                <c:pt idx="268">
                  <c:v>0.14549161073825498</c:v>
                </c:pt>
                <c:pt idx="269">
                  <c:v>0.14549161073825498</c:v>
                </c:pt>
                <c:pt idx="270">
                  <c:v>0.14549161073825498</c:v>
                </c:pt>
                <c:pt idx="271">
                  <c:v>0.14549161073825498</c:v>
                </c:pt>
                <c:pt idx="272">
                  <c:v>0.14549161073825498</c:v>
                </c:pt>
                <c:pt idx="273">
                  <c:v>0.14549161073825498</c:v>
                </c:pt>
                <c:pt idx="274">
                  <c:v>0.14549161073825498</c:v>
                </c:pt>
                <c:pt idx="275">
                  <c:v>0.14549161073825498</c:v>
                </c:pt>
                <c:pt idx="276">
                  <c:v>0.14549161073825498</c:v>
                </c:pt>
                <c:pt idx="277">
                  <c:v>0.14549161073825498</c:v>
                </c:pt>
                <c:pt idx="278">
                  <c:v>0.14549161073825498</c:v>
                </c:pt>
                <c:pt idx="279">
                  <c:v>0.14549161073825498</c:v>
                </c:pt>
                <c:pt idx="280">
                  <c:v>0.14549161073825498</c:v>
                </c:pt>
                <c:pt idx="281">
                  <c:v>0.14549161073825498</c:v>
                </c:pt>
                <c:pt idx="282">
                  <c:v>0.14549161073825498</c:v>
                </c:pt>
                <c:pt idx="283">
                  <c:v>0.14549161073825498</c:v>
                </c:pt>
                <c:pt idx="284">
                  <c:v>0.14549161073825498</c:v>
                </c:pt>
                <c:pt idx="285">
                  <c:v>0.14549161073825498</c:v>
                </c:pt>
                <c:pt idx="286">
                  <c:v>0.14549161073825498</c:v>
                </c:pt>
                <c:pt idx="287">
                  <c:v>0.14549161073825498</c:v>
                </c:pt>
                <c:pt idx="288">
                  <c:v>0.14549161073825498</c:v>
                </c:pt>
                <c:pt idx="289">
                  <c:v>0.14549161073825498</c:v>
                </c:pt>
                <c:pt idx="290">
                  <c:v>0.14549161073825498</c:v>
                </c:pt>
                <c:pt idx="291">
                  <c:v>0.14549161073825498</c:v>
                </c:pt>
                <c:pt idx="292">
                  <c:v>0.14549161073825498</c:v>
                </c:pt>
                <c:pt idx="293">
                  <c:v>0.14549161073825498</c:v>
                </c:pt>
                <c:pt idx="294">
                  <c:v>0.14549161073825498</c:v>
                </c:pt>
                <c:pt idx="295">
                  <c:v>0.14549161073825498</c:v>
                </c:pt>
                <c:pt idx="296">
                  <c:v>0.14549161073825498</c:v>
                </c:pt>
                <c:pt idx="297">
                  <c:v>0.14549161073825498</c:v>
                </c:pt>
                <c:pt idx="298">
                  <c:v>0.14549161073825498</c:v>
                </c:pt>
                <c:pt idx="299">
                  <c:v>0.14549161073825498</c:v>
                </c:pt>
                <c:pt idx="300">
                  <c:v>0.14549161073825498</c:v>
                </c:pt>
                <c:pt idx="301">
                  <c:v>0.14549161073825498</c:v>
                </c:pt>
                <c:pt idx="302">
                  <c:v>0.14549161073825498</c:v>
                </c:pt>
                <c:pt idx="303">
                  <c:v>0.14549161073825498</c:v>
                </c:pt>
                <c:pt idx="304">
                  <c:v>0.14549161073825498</c:v>
                </c:pt>
                <c:pt idx="305">
                  <c:v>0.14549161073825498</c:v>
                </c:pt>
                <c:pt idx="306">
                  <c:v>0.14549161073825498</c:v>
                </c:pt>
                <c:pt idx="307">
                  <c:v>0.14549161073825498</c:v>
                </c:pt>
                <c:pt idx="308">
                  <c:v>0.14549161073825498</c:v>
                </c:pt>
                <c:pt idx="309">
                  <c:v>0.14549161073825498</c:v>
                </c:pt>
                <c:pt idx="310">
                  <c:v>0.14549161073825498</c:v>
                </c:pt>
                <c:pt idx="311">
                  <c:v>0.14549161073825498</c:v>
                </c:pt>
                <c:pt idx="312">
                  <c:v>0.14549161073825498</c:v>
                </c:pt>
                <c:pt idx="313">
                  <c:v>0.14549161073825498</c:v>
                </c:pt>
                <c:pt idx="314">
                  <c:v>0.14549161073825498</c:v>
                </c:pt>
                <c:pt idx="315">
                  <c:v>0.14549161073825498</c:v>
                </c:pt>
                <c:pt idx="316">
                  <c:v>0.14549161073825498</c:v>
                </c:pt>
                <c:pt idx="317">
                  <c:v>0.14549161073825498</c:v>
                </c:pt>
                <c:pt idx="318">
                  <c:v>0.14549161073825498</c:v>
                </c:pt>
                <c:pt idx="319">
                  <c:v>0.14549161073825498</c:v>
                </c:pt>
                <c:pt idx="320">
                  <c:v>0.14549161073825498</c:v>
                </c:pt>
                <c:pt idx="321">
                  <c:v>0.14549161073825498</c:v>
                </c:pt>
                <c:pt idx="322">
                  <c:v>0.14549161073825498</c:v>
                </c:pt>
                <c:pt idx="323">
                  <c:v>0.14549161073825498</c:v>
                </c:pt>
                <c:pt idx="324">
                  <c:v>0.14549161073825498</c:v>
                </c:pt>
                <c:pt idx="325">
                  <c:v>0.14549161073825498</c:v>
                </c:pt>
                <c:pt idx="326">
                  <c:v>0.14549161073825498</c:v>
                </c:pt>
                <c:pt idx="327">
                  <c:v>0.14549161073825498</c:v>
                </c:pt>
                <c:pt idx="328">
                  <c:v>0.14549161073825498</c:v>
                </c:pt>
                <c:pt idx="329">
                  <c:v>0.14549161073825498</c:v>
                </c:pt>
                <c:pt idx="330">
                  <c:v>0.14549161073825498</c:v>
                </c:pt>
                <c:pt idx="331">
                  <c:v>0.14549161073825498</c:v>
                </c:pt>
                <c:pt idx="332">
                  <c:v>0.14549161073825498</c:v>
                </c:pt>
                <c:pt idx="333">
                  <c:v>0.14549161073825498</c:v>
                </c:pt>
                <c:pt idx="334">
                  <c:v>0.14549161073825498</c:v>
                </c:pt>
                <c:pt idx="335">
                  <c:v>0.14549161073825498</c:v>
                </c:pt>
                <c:pt idx="336">
                  <c:v>0.14549161073825498</c:v>
                </c:pt>
                <c:pt idx="337">
                  <c:v>0.14549161073825498</c:v>
                </c:pt>
                <c:pt idx="338">
                  <c:v>0.14549161073825498</c:v>
                </c:pt>
                <c:pt idx="339">
                  <c:v>0.14549161073825498</c:v>
                </c:pt>
                <c:pt idx="340">
                  <c:v>0.14549161073825498</c:v>
                </c:pt>
                <c:pt idx="341">
                  <c:v>0.14549161073825498</c:v>
                </c:pt>
                <c:pt idx="342">
                  <c:v>0.14549161073825498</c:v>
                </c:pt>
                <c:pt idx="343">
                  <c:v>0.14549161073825498</c:v>
                </c:pt>
                <c:pt idx="344">
                  <c:v>0.14549161073825498</c:v>
                </c:pt>
                <c:pt idx="345">
                  <c:v>0.14549161073825498</c:v>
                </c:pt>
                <c:pt idx="346">
                  <c:v>0.14549161073825498</c:v>
                </c:pt>
                <c:pt idx="347">
                  <c:v>0.14549161073825498</c:v>
                </c:pt>
                <c:pt idx="348">
                  <c:v>0.14549161073825498</c:v>
                </c:pt>
                <c:pt idx="349">
                  <c:v>0.14549161073825498</c:v>
                </c:pt>
                <c:pt idx="350">
                  <c:v>0.14549161073825498</c:v>
                </c:pt>
                <c:pt idx="351">
                  <c:v>0.14549161073825498</c:v>
                </c:pt>
                <c:pt idx="352">
                  <c:v>0.14549161073825498</c:v>
                </c:pt>
                <c:pt idx="353">
                  <c:v>0.14549161073825498</c:v>
                </c:pt>
                <c:pt idx="354">
                  <c:v>0.14549161073825498</c:v>
                </c:pt>
                <c:pt idx="355">
                  <c:v>0.14549161073825498</c:v>
                </c:pt>
                <c:pt idx="356">
                  <c:v>0.14549161073825498</c:v>
                </c:pt>
                <c:pt idx="357">
                  <c:v>0.14549161073825498</c:v>
                </c:pt>
                <c:pt idx="358">
                  <c:v>0.14549161073825498</c:v>
                </c:pt>
                <c:pt idx="359">
                  <c:v>0.14549161073825498</c:v>
                </c:pt>
                <c:pt idx="360">
                  <c:v>0.14549161073825498</c:v>
                </c:pt>
                <c:pt idx="361">
                  <c:v>0.14549161073825498</c:v>
                </c:pt>
                <c:pt idx="362">
                  <c:v>0.14549161073825498</c:v>
                </c:pt>
                <c:pt idx="363">
                  <c:v>0.14549161073825498</c:v>
                </c:pt>
                <c:pt idx="364">
                  <c:v>0.14549161073825498</c:v>
                </c:pt>
                <c:pt idx="365">
                  <c:v>0.14549161073825498</c:v>
                </c:pt>
                <c:pt idx="366">
                  <c:v>0.14549161073825498</c:v>
                </c:pt>
                <c:pt idx="367">
                  <c:v>0.14549161073825498</c:v>
                </c:pt>
                <c:pt idx="368">
                  <c:v>0.14549161073825498</c:v>
                </c:pt>
                <c:pt idx="369">
                  <c:v>0.14549161073825498</c:v>
                </c:pt>
                <c:pt idx="370">
                  <c:v>0.14549161073825498</c:v>
                </c:pt>
                <c:pt idx="371">
                  <c:v>0.14549161073825498</c:v>
                </c:pt>
                <c:pt idx="372">
                  <c:v>0.14549161073825498</c:v>
                </c:pt>
                <c:pt idx="373">
                  <c:v>0.14549161073825498</c:v>
                </c:pt>
                <c:pt idx="374">
                  <c:v>0.14549161073825498</c:v>
                </c:pt>
                <c:pt idx="375">
                  <c:v>0.14549161073825498</c:v>
                </c:pt>
                <c:pt idx="376">
                  <c:v>0.14549161073825498</c:v>
                </c:pt>
                <c:pt idx="377">
                  <c:v>0.14549161073825498</c:v>
                </c:pt>
                <c:pt idx="378">
                  <c:v>0.14549161073825498</c:v>
                </c:pt>
                <c:pt idx="379">
                  <c:v>0.14549161073825498</c:v>
                </c:pt>
                <c:pt idx="380">
                  <c:v>0.14549161073825498</c:v>
                </c:pt>
                <c:pt idx="381">
                  <c:v>0.14549161073825498</c:v>
                </c:pt>
                <c:pt idx="382">
                  <c:v>0.14549161073825498</c:v>
                </c:pt>
                <c:pt idx="383">
                  <c:v>0.14549161073825498</c:v>
                </c:pt>
                <c:pt idx="384">
                  <c:v>0.14549161073825498</c:v>
                </c:pt>
                <c:pt idx="385">
                  <c:v>0.14549161073825498</c:v>
                </c:pt>
                <c:pt idx="386">
                  <c:v>0.14549161073825498</c:v>
                </c:pt>
                <c:pt idx="387">
                  <c:v>0.14549161073825498</c:v>
                </c:pt>
                <c:pt idx="388">
                  <c:v>0.14549161073825498</c:v>
                </c:pt>
                <c:pt idx="389">
                  <c:v>0.14549161073825498</c:v>
                </c:pt>
                <c:pt idx="390">
                  <c:v>0.14549161073825498</c:v>
                </c:pt>
                <c:pt idx="391">
                  <c:v>0.14549161073825498</c:v>
                </c:pt>
                <c:pt idx="392">
                  <c:v>0.14549161073825498</c:v>
                </c:pt>
                <c:pt idx="393">
                  <c:v>0.14549161073825498</c:v>
                </c:pt>
                <c:pt idx="394">
                  <c:v>0.14549161073825498</c:v>
                </c:pt>
                <c:pt idx="395">
                  <c:v>0.14549161073825498</c:v>
                </c:pt>
                <c:pt idx="396">
                  <c:v>0.14549161073825498</c:v>
                </c:pt>
                <c:pt idx="397">
                  <c:v>0.14549161073825498</c:v>
                </c:pt>
                <c:pt idx="398">
                  <c:v>0.14549161073825498</c:v>
                </c:pt>
                <c:pt idx="399">
                  <c:v>0.14549161073825498</c:v>
                </c:pt>
                <c:pt idx="400">
                  <c:v>0.14549161073825498</c:v>
                </c:pt>
                <c:pt idx="401">
                  <c:v>0.14549161073825498</c:v>
                </c:pt>
                <c:pt idx="402">
                  <c:v>0.14549161073825498</c:v>
                </c:pt>
                <c:pt idx="403">
                  <c:v>0.14549161073825498</c:v>
                </c:pt>
                <c:pt idx="404">
                  <c:v>0.14549161073825498</c:v>
                </c:pt>
                <c:pt idx="405">
                  <c:v>0.14549161073825498</c:v>
                </c:pt>
                <c:pt idx="406">
                  <c:v>0.14549161073825498</c:v>
                </c:pt>
                <c:pt idx="407">
                  <c:v>0.14549161073825498</c:v>
                </c:pt>
                <c:pt idx="408">
                  <c:v>0.14549161073825498</c:v>
                </c:pt>
                <c:pt idx="409">
                  <c:v>0.14549161073825498</c:v>
                </c:pt>
                <c:pt idx="410">
                  <c:v>0.14549161073825498</c:v>
                </c:pt>
                <c:pt idx="411">
                  <c:v>0.14549161073825498</c:v>
                </c:pt>
                <c:pt idx="412">
                  <c:v>0.14549161073825498</c:v>
                </c:pt>
                <c:pt idx="413">
                  <c:v>0.14549161073825498</c:v>
                </c:pt>
                <c:pt idx="414">
                  <c:v>0.14549161073825498</c:v>
                </c:pt>
                <c:pt idx="415">
                  <c:v>0.14549161073825498</c:v>
                </c:pt>
                <c:pt idx="416">
                  <c:v>0.14549161073825498</c:v>
                </c:pt>
                <c:pt idx="417">
                  <c:v>0.14549161073825498</c:v>
                </c:pt>
                <c:pt idx="418">
                  <c:v>0.14549161073825498</c:v>
                </c:pt>
                <c:pt idx="419">
                  <c:v>0.14549161073825498</c:v>
                </c:pt>
                <c:pt idx="420">
                  <c:v>0.14549161073825498</c:v>
                </c:pt>
                <c:pt idx="421">
                  <c:v>0.14549161073825498</c:v>
                </c:pt>
                <c:pt idx="422">
                  <c:v>0.14549161073825498</c:v>
                </c:pt>
                <c:pt idx="423">
                  <c:v>0.14549161073825498</c:v>
                </c:pt>
                <c:pt idx="424">
                  <c:v>0.14549161073825498</c:v>
                </c:pt>
                <c:pt idx="425">
                  <c:v>0.14549161073825498</c:v>
                </c:pt>
                <c:pt idx="426">
                  <c:v>0.14549161073825498</c:v>
                </c:pt>
                <c:pt idx="427">
                  <c:v>0.14549161073825498</c:v>
                </c:pt>
                <c:pt idx="428">
                  <c:v>0.14549161073825498</c:v>
                </c:pt>
                <c:pt idx="429">
                  <c:v>0.14549161073825498</c:v>
                </c:pt>
                <c:pt idx="430">
                  <c:v>0.14549161073825498</c:v>
                </c:pt>
                <c:pt idx="431">
                  <c:v>0.14549161073825498</c:v>
                </c:pt>
                <c:pt idx="432">
                  <c:v>0.14549161073825498</c:v>
                </c:pt>
                <c:pt idx="433">
                  <c:v>0.14549161073825498</c:v>
                </c:pt>
                <c:pt idx="434">
                  <c:v>0.14549161073825498</c:v>
                </c:pt>
                <c:pt idx="435">
                  <c:v>0.14549161073825498</c:v>
                </c:pt>
                <c:pt idx="436">
                  <c:v>0.14549161073825498</c:v>
                </c:pt>
                <c:pt idx="437">
                  <c:v>0.14549161073825498</c:v>
                </c:pt>
                <c:pt idx="438">
                  <c:v>0.14549161073825498</c:v>
                </c:pt>
                <c:pt idx="439">
                  <c:v>0.14549161073825498</c:v>
                </c:pt>
                <c:pt idx="440">
                  <c:v>0.14549161073825498</c:v>
                </c:pt>
                <c:pt idx="441">
                  <c:v>0.14549161073825498</c:v>
                </c:pt>
                <c:pt idx="442">
                  <c:v>0.14549161073825498</c:v>
                </c:pt>
                <c:pt idx="443">
                  <c:v>0.14549161073825498</c:v>
                </c:pt>
                <c:pt idx="444">
                  <c:v>0.14549161073825498</c:v>
                </c:pt>
                <c:pt idx="445">
                  <c:v>0.14549161073825498</c:v>
                </c:pt>
                <c:pt idx="446">
                  <c:v>0.14549161073825498</c:v>
                </c:pt>
                <c:pt idx="447">
                  <c:v>0.14549161073825498</c:v>
                </c:pt>
                <c:pt idx="448">
                  <c:v>0.14549161073825498</c:v>
                </c:pt>
                <c:pt idx="449">
                  <c:v>0.14549161073825498</c:v>
                </c:pt>
                <c:pt idx="450">
                  <c:v>0.14549161073825498</c:v>
                </c:pt>
                <c:pt idx="451">
                  <c:v>0.14549161073825498</c:v>
                </c:pt>
                <c:pt idx="452">
                  <c:v>0.14549161073825498</c:v>
                </c:pt>
                <c:pt idx="453">
                  <c:v>0.14549161073825498</c:v>
                </c:pt>
                <c:pt idx="454">
                  <c:v>0.14549161073825498</c:v>
                </c:pt>
                <c:pt idx="455">
                  <c:v>0.14549161073825498</c:v>
                </c:pt>
                <c:pt idx="456">
                  <c:v>0.14549161073825498</c:v>
                </c:pt>
                <c:pt idx="457">
                  <c:v>0.14549161073825498</c:v>
                </c:pt>
                <c:pt idx="458">
                  <c:v>0.14549161073825498</c:v>
                </c:pt>
                <c:pt idx="459">
                  <c:v>0.14549161073825498</c:v>
                </c:pt>
                <c:pt idx="460">
                  <c:v>0.14549161073825498</c:v>
                </c:pt>
                <c:pt idx="461">
                  <c:v>0.14549161073825498</c:v>
                </c:pt>
                <c:pt idx="462">
                  <c:v>0.14549161073825498</c:v>
                </c:pt>
                <c:pt idx="463">
                  <c:v>0.14549161073825498</c:v>
                </c:pt>
                <c:pt idx="464">
                  <c:v>0.14549161073825498</c:v>
                </c:pt>
                <c:pt idx="465">
                  <c:v>0.14549161073825498</c:v>
                </c:pt>
                <c:pt idx="466">
                  <c:v>0.14549161073825498</c:v>
                </c:pt>
                <c:pt idx="467">
                  <c:v>0.14549161073825498</c:v>
                </c:pt>
                <c:pt idx="468">
                  <c:v>0.14549161073825498</c:v>
                </c:pt>
                <c:pt idx="469">
                  <c:v>0.14549161073825498</c:v>
                </c:pt>
                <c:pt idx="470">
                  <c:v>0.14549161073825498</c:v>
                </c:pt>
                <c:pt idx="471">
                  <c:v>0.14549161073825498</c:v>
                </c:pt>
                <c:pt idx="472">
                  <c:v>0.14549161073825498</c:v>
                </c:pt>
                <c:pt idx="473">
                  <c:v>0.14549161073825498</c:v>
                </c:pt>
                <c:pt idx="474">
                  <c:v>0.14549161073825498</c:v>
                </c:pt>
                <c:pt idx="475">
                  <c:v>0.14549161073825498</c:v>
                </c:pt>
                <c:pt idx="476">
                  <c:v>0.14549161073825498</c:v>
                </c:pt>
                <c:pt idx="477">
                  <c:v>0.14549161073825498</c:v>
                </c:pt>
                <c:pt idx="478">
                  <c:v>0.14549161073825498</c:v>
                </c:pt>
                <c:pt idx="479">
                  <c:v>0.14549161073825498</c:v>
                </c:pt>
                <c:pt idx="480">
                  <c:v>0.14549161073825498</c:v>
                </c:pt>
                <c:pt idx="481">
                  <c:v>0.14549161073825498</c:v>
                </c:pt>
                <c:pt idx="482">
                  <c:v>0.14549161073825498</c:v>
                </c:pt>
                <c:pt idx="483">
                  <c:v>0.14549161073825498</c:v>
                </c:pt>
                <c:pt idx="484">
                  <c:v>0.14549161073825498</c:v>
                </c:pt>
                <c:pt idx="485">
                  <c:v>0.14549161073825498</c:v>
                </c:pt>
                <c:pt idx="486">
                  <c:v>0.14549161073825498</c:v>
                </c:pt>
                <c:pt idx="487">
                  <c:v>0.14549161073825498</c:v>
                </c:pt>
                <c:pt idx="488">
                  <c:v>0.14549161073825498</c:v>
                </c:pt>
                <c:pt idx="489">
                  <c:v>0.14549161073825498</c:v>
                </c:pt>
                <c:pt idx="490">
                  <c:v>0.14549161073825498</c:v>
                </c:pt>
                <c:pt idx="491">
                  <c:v>0.14549161073825498</c:v>
                </c:pt>
                <c:pt idx="492">
                  <c:v>0.14549161073825498</c:v>
                </c:pt>
                <c:pt idx="493">
                  <c:v>0.14549161073825498</c:v>
                </c:pt>
                <c:pt idx="494">
                  <c:v>0.14549161073825498</c:v>
                </c:pt>
                <c:pt idx="495">
                  <c:v>0.14549161073825498</c:v>
                </c:pt>
                <c:pt idx="496">
                  <c:v>0.14549161073825498</c:v>
                </c:pt>
                <c:pt idx="497">
                  <c:v>0.14549161073825498</c:v>
                </c:pt>
                <c:pt idx="498">
                  <c:v>0.14549161073825498</c:v>
                </c:pt>
                <c:pt idx="499">
                  <c:v>0.14549161073825498</c:v>
                </c:pt>
                <c:pt idx="500">
                  <c:v>0.14549161073825498</c:v>
                </c:pt>
                <c:pt idx="501">
                  <c:v>0.14549161073825498</c:v>
                </c:pt>
                <c:pt idx="502">
                  <c:v>0.14549161073825498</c:v>
                </c:pt>
                <c:pt idx="503">
                  <c:v>0.14549161073825498</c:v>
                </c:pt>
                <c:pt idx="504">
                  <c:v>0.14549161073825498</c:v>
                </c:pt>
                <c:pt idx="505">
                  <c:v>0.14549161073825498</c:v>
                </c:pt>
                <c:pt idx="506">
                  <c:v>0.14549161073825498</c:v>
                </c:pt>
                <c:pt idx="507">
                  <c:v>0.14549161073825498</c:v>
                </c:pt>
                <c:pt idx="508">
                  <c:v>0.14549161073825498</c:v>
                </c:pt>
                <c:pt idx="509">
                  <c:v>0.14549161073825498</c:v>
                </c:pt>
                <c:pt idx="510">
                  <c:v>0.14549161073825498</c:v>
                </c:pt>
                <c:pt idx="511">
                  <c:v>0.14549161073825498</c:v>
                </c:pt>
                <c:pt idx="512">
                  <c:v>0.14549161073825498</c:v>
                </c:pt>
                <c:pt idx="513">
                  <c:v>0.14549161073825498</c:v>
                </c:pt>
                <c:pt idx="514">
                  <c:v>0.14549161073825498</c:v>
                </c:pt>
                <c:pt idx="515">
                  <c:v>0.14549161073825498</c:v>
                </c:pt>
                <c:pt idx="516">
                  <c:v>0.14549161073825498</c:v>
                </c:pt>
                <c:pt idx="517">
                  <c:v>0.14549161073825498</c:v>
                </c:pt>
                <c:pt idx="518">
                  <c:v>0.14549161073825498</c:v>
                </c:pt>
                <c:pt idx="519">
                  <c:v>0.14549161073825498</c:v>
                </c:pt>
                <c:pt idx="520">
                  <c:v>0.14549161073825498</c:v>
                </c:pt>
                <c:pt idx="521">
                  <c:v>0.14549161073825498</c:v>
                </c:pt>
                <c:pt idx="522">
                  <c:v>0.14549161073825498</c:v>
                </c:pt>
                <c:pt idx="523">
                  <c:v>0.14549161073825498</c:v>
                </c:pt>
                <c:pt idx="524">
                  <c:v>0.14549161073825498</c:v>
                </c:pt>
                <c:pt idx="525">
                  <c:v>0.14549161073825498</c:v>
                </c:pt>
                <c:pt idx="526">
                  <c:v>0.14549161073825498</c:v>
                </c:pt>
                <c:pt idx="527">
                  <c:v>0.14549161073825498</c:v>
                </c:pt>
                <c:pt idx="528">
                  <c:v>0.14549161073825498</c:v>
                </c:pt>
                <c:pt idx="529">
                  <c:v>0.14549161073825498</c:v>
                </c:pt>
                <c:pt idx="530">
                  <c:v>0.14549161073825498</c:v>
                </c:pt>
                <c:pt idx="531">
                  <c:v>0.14549161073825498</c:v>
                </c:pt>
                <c:pt idx="532">
                  <c:v>0.14549161073825498</c:v>
                </c:pt>
                <c:pt idx="533">
                  <c:v>0.14549161073825498</c:v>
                </c:pt>
                <c:pt idx="534">
                  <c:v>0.14549161073825498</c:v>
                </c:pt>
                <c:pt idx="535">
                  <c:v>0.14549161073825498</c:v>
                </c:pt>
                <c:pt idx="536">
                  <c:v>0.14549161073825498</c:v>
                </c:pt>
                <c:pt idx="537">
                  <c:v>0.14549161073825498</c:v>
                </c:pt>
                <c:pt idx="538">
                  <c:v>0.14549161073825498</c:v>
                </c:pt>
                <c:pt idx="539">
                  <c:v>0.14549161073825498</c:v>
                </c:pt>
                <c:pt idx="540">
                  <c:v>0.14549161073825498</c:v>
                </c:pt>
                <c:pt idx="541">
                  <c:v>0.14549161073825498</c:v>
                </c:pt>
                <c:pt idx="542">
                  <c:v>0.14549161073825498</c:v>
                </c:pt>
                <c:pt idx="543">
                  <c:v>0.14549161073825498</c:v>
                </c:pt>
                <c:pt idx="544">
                  <c:v>0.14549161073825498</c:v>
                </c:pt>
                <c:pt idx="545">
                  <c:v>0.14549161073825498</c:v>
                </c:pt>
                <c:pt idx="546">
                  <c:v>0.14549161073825498</c:v>
                </c:pt>
                <c:pt idx="547">
                  <c:v>0.14549161073825498</c:v>
                </c:pt>
                <c:pt idx="548">
                  <c:v>0.14549161073825498</c:v>
                </c:pt>
                <c:pt idx="549">
                  <c:v>0.14549161073825498</c:v>
                </c:pt>
                <c:pt idx="550">
                  <c:v>0.14549161073825498</c:v>
                </c:pt>
                <c:pt idx="551">
                  <c:v>0.14549161073825498</c:v>
                </c:pt>
                <c:pt idx="552">
                  <c:v>0.14549161073825498</c:v>
                </c:pt>
                <c:pt idx="553">
                  <c:v>0.14549161073825498</c:v>
                </c:pt>
                <c:pt idx="554">
                  <c:v>0.14549161073825498</c:v>
                </c:pt>
                <c:pt idx="555">
                  <c:v>0.14549161073825498</c:v>
                </c:pt>
                <c:pt idx="556">
                  <c:v>0.14549161073825498</c:v>
                </c:pt>
                <c:pt idx="557">
                  <c:v>0.14549161073825498</c:v>
                </c:pt>
                <c:pt idx="558">
                  <c:v>0.14549161073825498</c:v>
                </c:pt>
                <c:pt idx="559">
                  <c:v>0.14549161073825498</c:v>
                </c:pt>
                <c:pt idx="560">
                  <c:v>0.14549161073825498</c:v>
                </c:pt>
                <c:pt idx="561">
                  <c:v>0.14549161073825498</c:v>
                </c:pt>
                <c:pt idx="562">
                  <c:v>0.14549161073825498</c:v>
                </c:pt>
                <c:pt idx="563">
                  <c:v>0.14549161073825498</c:v>
                </c:pt>
                <c:pt idx="564">
                  <c:v>0.14549161073825498</c:v>
                </c:pt>
                <c:pt idx="565">
                  <c:v>0.14549161073825498</c:v>
                </c:pt>
                <c:pt idx="566">
                  <c:v>0.14549161073825498</c:v>
                </c:pt>
                <c:pt idx="567">
                  <c:v>0.14549161073825498</c:v>
                </c:pt>
                <c:pt idx="568">
                  <c:v>0.14549161073825498</c:v>
                </c:pt>
                <c:pt idx="569">
                  <c:v>0.14549161073825498</c:v>
                </c:pt>
                <c:pt idx="570">
                  <c:v>0.14549161073825498</c:v>
                </c:pt>
                <c:pt idx="571">
                  <c:v>0.14549161073825498</c:v>
                </c:pt>
                <c:pt idx="572">
                  <c:v>0.14549161073825498</c:v>
                </c:pt>
                <c:pt idx="573">
                  <c:v>0.14549161073825498</c:v>
                </c:pt>
                <c:pt idx="574">
                  <c:v>0.14549161073825498</c:v>
                </c:pt>
                <c:pt idx="575">
                  <c:v>0.14549161073825498</c:v>
                </c:pt>
                <c:pt idx="576">
                  <c:v>0.14549161073825498</c:v>
                </c:pt>
                <c:pt idx="577">
                  <c:v>0.14549161073825498</c:v>
                </c:pt>
                <c:pt idx="578">
                  <c:v>0.14549161073825498</c:v>
                </c:pt>
                <c:pt idx="579">
                  <c:v>0.14549161073825498</c:v>
                </c:pt>
                <c:pt idx="580">
                  <c:v>0.14549161073825498</c:v>
                </c:pt>
                <c:pt idx="581">
                  <c:v>0.14549161073825498</c:v>
                </c:pt>
                <c:pt idx="582">
                  <c:v>0.14549161073825498</c:v>
                </c:pt>
                <c:pt idx="583">
                  <c:v>0.14549161073825498</c:v>
                </c:pt>
                <c:pt idx="584">
                  <c:v>0.14549161073825498</c:v>
                </c:pt>
                <c:pt idx="585">
                  <c:v>0.14549161073825498</c:v>
                </c:pt>
                <c:pt idx="586">
                  <c:v>0.14549161073825498</c:v>
                </c:pt>
                <c:pt idx="587">
                  <c:v>0.14549161073825498</c:v>
                </c:pt>
                <c:pt idx="588">
                  <c:v>0.14549161073825498</c:v>
                </c:pt>
                <c:pt idx="589">
                  <c:v>0.14549161073825498</c:v>
                </c:pt>
                <c:pt idx="590">
                  <c:v>0.14549161073825498</c:v>
                </c:pt>
                <c:pt idx="591">
                  <c:v>0.14549161073825498</c:v>
                </c:pt>
                <c:pt idx="592">
                  <c:v>0.14549161073825498</c:v>
                </c:pt>
                <c:pt idx="593">
                  <c:v>0.14549161073825498</c:v>
                </c:pt>
                <c:pt idx="594">
                  <c:v>0.14549161073825498</c:v>
                </c:pt>
                <c:pt idx="595">
                  <c:v>0.14549161073825498</c:v>
                </c:pt>
                <c:pt idx="596">
                  <c:v>0.14549161073825498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74-45D5-8EB5-93BF44409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 Individuals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HYBOX1_TTV_SPC!$E$9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HYBOX1_TTV_SPC!$E$10:$E$308</c:f>
              <c:numCache>
                <c:formatCode>General</c:formatCode>
                <c:ptCount val="299"/>
                <c:pt idx="0">
                  <c:v>0.32600000000000001</c:v>
                </c:pt>
                <c:pt idx="1">
                  <c:v>0.49299999999999999</c:v>
                </c:pt>
                <c:pt idx="2">
                  <c:v>0.27400000000000002</c:v>
                </c:pt>
                <c:pt idx="3">
                  <c:v>0.156</c:v>
                </c:pt>
                <c:pt idx="4">
                  <c:v>0.25800000000000001</c:v>
                </c:pt>
                <c:pt idx="5">
                  <c:v>0.153</c:v>
                </c:pt>
                <c:pt idx="6">
                  <c:v>0.38600000000000001</c:v>
                </c:pt>
                <c:pt idx="7">
                  <c:v>0.36299999999999999</c:v>
                </c:pt>
                <c:pt idx="8">
                  <c:v>0.20899999999999999</c:v>
                </c:pt>
                <c:pt idx="9">
                  <c:v>0.16900000000000001</c:v>
                </c:pt>
                <c:pt idx="10">
                  <c:v>0.46</c:v>
                </c:pt>
                <c:pt idx="11">
                  <c:v>0.4</c:v>
                </c:pt>
                <c:pt idx="12">
                  <c:v>0.33600000000000002</c:v>
                </c:pt>
                <c:pt idx="13">
                  <c:v>0.50800000000000001</c:v>
                </c:pt>
                <c:pt idx="14">
                  <c:v>0.59199999999999997</c:v>
                </c:pt>
                <c:pt idx="15">
                  <c:v>0.32900000000000001</c:v>
                </c:pt>
                <c:pt idx="16">
                  <c:v>0.24</c:v>
                </c:pt>
                <c:pt idx="17">
                  <c:v>7.3999999999999996E-2</c:v>
                </c:pt>
                <c:pt idx="18">
                  <c:v>0.36099999999999999</c:v>
                </c:pt>
                <c:pt idx="19">
                  <c:v>0.312</c:v>
                </c:pt>
                <c:pt idx="20">
                  <c:v>0.36099999999999999</c:v>
                </c:pt>
                <c:pt idx="21">
                  <c:v>0.23</c:v>
                </c:pt>
                <c:pt idx="22">
                  <c:v>0.28199999999999997</c:v>
                </c:pt>
                <c:pt idx="23">
                  <c:v>0.20699999999999999</c:v>
                </c:pt>
                <c:pt idx="24">
                  <c:v>0.34799999999999998</c:v>
                </c:pt>
                <c:pt idx="25">
                  <c:v>0.26700000000000002</c:v>
                </c:pt>
                <c:pt idx="26">
                  <c:v>0.28299999999999997</c:v>
                </c:pt>
                <c:pt idx="27">
                  <c:v>0.19</c:v>
                </c:pt>
                <c:pt idx="28">
                  <c:v>0.19900000000000001</c:v>
                </c:pt>
                <c:pt idx="29">
                  <c:v>0.37</c:v>
                </c:pt>
                <c:pt idx="30">
                  <c:v>0.155</c:v>
                </c:pt>
                <c:pt idx="31">
                  <c:v>0.48199999999999998</c:v>
                </c:pt>
                <c:pt idx="32">
                  <c:v>0.23799999999999999</c:v>
                </c:pt>
                <c:pt idx="33">
                  <c:v>0.20699999999999999</c:v>
                </c:pt>
                <c:pt idx="34">
                  <c:v>0.247</c:v>
                </c:pt>
                <c:pt idx="35">
                  <c:v>0.30099999999999999</c:v>
                </c:pt>
                <c:pt idx="36">
                  <c:v>0.36899999999999999</c:v>
                </c:pt>
                <c:pt idx="37">
                  <c:v>0.29699999999999999</c:v>
                </c:pt>
                <c:pt idx="38">
                  <c:v>0.33</c:v>
                </c:pt>
                <c:pt idx="39">
                  <c:v>0.39</c:v>
                </c:pt>
                <c:pt idx="40">
                  <c:v>0.245</c:v>
                </c:pt>
                <c:pt idx="41">
                  <c:v>0.40200000000000002</c:v>
                </c:pt>
                <c:pt idx="42">
                  <c:v>0.251</c:v>
                </c:pt>
                <c:pt idx="43">
                  <c:v>0.32100000000000001</c:v>
                </c:pt>
                <c:pt idx="44">
                  <c:v>0.312</c:v>
                </c:pt>
                <c:pt idx="45">
                  <c:v>0.32800000000000001</c:v>
                </c:pt>
                <c:pt idx="46">
                  <c:v>0.33900000000000002</c:v>
                </c:pt>
                <c:pt idx="47">
                  <c:v>0.34699999999999998</c:v>
                </c:pt>
                <c:pt idx="48">
                  <c:v>0.23200000000000001</c:v>
                </c:pt>
                <c:pt idx="49">
                  <c:v>0.29499999999999998</c:v>
                </c:pt>
                <c:pt idx="50">
                  <c:v>0.33800000000000002</c:v>
                </c:pt>
                <c:pt idx="51">
                  <c:v>0.29599999999999999</c:v>
                </c:pt>
                <c:pt idx="52">
                  <c:v>0.308</c:v>
                </c:pt>
                <c:pt idx="53">
                  <c:v>0.252</c:v>
                </c:pt>
                <c:pt idx="54">
                  <c:v>0.26400000000000001</c:v>
                </c:pt>
                <c:pt idx="55">
                  <c:v>0.55800000000000005</c:v>
                </c:pt>
                <c:pt idx="56">
                  <c:v>0.29799999999999999</c:v>
                </c:pt>
                <c:pt idx="57">
                  <c:v>0.23699999999999999</c:v>
                </c:pt>
                <c:pt idx="58">
                  <c:v>0.29499999999999998</c:v>
                </c:pt>
                <c:pt idx="59">
                  <c:v>0.59099999999999997</c:v>
                </c:pt>
                <c:pt idx="60">
                  <c:v>0.54700000000000004</c:v>
                </c:pt>
                <c:pt idx="61">
                  <c:v>0.44900000000000001</c:v>
                </c:pt>
                <c:pt idx="62">
                  <c:v>0.22</c:v>
                </c:pt>
                <c:pt idx="63">
                  <c:v>0.28299999999999997</c:v>
                </c:pt>
                <c:pt idx="64">
                  <c:v>0.23899999999999999</c:v>
                </c:pt>
                <c:pt idx="65">
                  <c:v>0.18099999999999999</c:v>
                </c:pt>
                <c:pt idx="66">
                  <c:v>0.191</c:v>
                </c:pt>
                <c:pt idx="67">
                  <c:v>9.4E-2</c:v>
                </c:pt>
                <c:pt idx="68">
                  <c:v>0.13100000000000001</c:v>
                </c:pt>
                <c:pt idx="69">
                  <c:v>0.2</c:v>
                </c:pt>
                <c:pt idx="70">
                  <c:v>0.30399999999999999</c:v>
                </c:pt>
                <c:pt idx="71">
                  <c:v>0.36699999999999999</c:v>
                </c:pt>
                <c:pt idx="72">
                  <c:v>0.29899999999999999</c:v>
                </c:pt>
                <c:pt idx="73">
                  <c:v>0.23400000000000001</c:v>
                </c:pt>
                <c:pt idx="74">
                  <c:v>0.54200000000000004</c:v>
                </c:pt>
                <c:pt idx="75">
                  <c:v>0.42</c:v>
                </c:pt>
                <c:pt idx="76">
                  <c:v>0.41599999999999998</c:v>
                </c:pt>
                <c:pt idx="77">
                  <c:v>0.38100000000000001</c:v>
                </c:pt>
                <c:pt idx="78">
                  <c:v>0.16500000000000001</c:v>
                </c:pt>
                <c:pt idx="79">
                  <c:v>0.189</c:v>
                </c:pt>
                <c:pt idx="80">
                  <c:v>0.504</c:v>
                </c:pt>
                <c:pt idx="81">
                  <c:v>0.439</c:v>
                </c:pt>
                <c:pt idx="82">
                  <c:v>0.16400000000000001</c:v>
                </c:pt>
                <c:pt idx="83">
                  <c:v>0.35699999999999998</c:v>
                </c:pt>
                <c:pt idx="84">
                  <c:v>0.188</c:v>
                </c:pt>
                <c:pt idx="85">
                  <c:v>0.441</c:v>
                </c:pt>
                <c:pt idx="86">
                  <c:v>0.36899999999999999</c:v>
                </c:pt>
                <c:pt idx="87">
                  <c:v>0.35</c:v>
                </c:pt>
                <c:pt idx="88">
                  <c:v>0.245</c:v>
                </c:pt>
                <c:pt idx="89">
                  <c:v>0.17399999999999999</c:v>
                </c:pt>
                <c:pt idx="90">
                  <c:v>0.24</c:v>
                </c:pt>
                <c:pt idx="91">
                  <c:v>0.17599999999999999</c:v>
                </c:pt>
                <c:pt idx="92">
                  <c:v>8.5999999999999993E-2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0.38300000000000001</c:v>
                </c:pt>
                <c:pt idx="96">
                  <c:v>0.40200000000000002</c:v>
                </c:pt>
                <c:pt idx="97">
                  <c:v>0.57999999999999996</c:v>
                </c:pt>
                <c:pt idx="98">
                  <c:v>0.35199999999999998</c:v>
                </c:pt>
                <c:pt idx="99">
                  <c:v>0.28299999999999997</c:v>
                </c:pt>
                <c:pt idx="100">
                  <c:v>0.20899999999999999</c:v>
                </c:pt>
                <c:pt idx="101">
                  <c:v>0.27</c:v>
                </c:pt>
                <c:pt idx="102">
                  <c:v>0.22</c:v>
                </c:pt>
                <c:pt idx="103">
                  <c:v>0.502</c:v>
                </c:pt>
                <c:pt idx="104">
                  <c:v>0.20499999999999999</c:v>
                </c:pt>
                <c:pt idx="105">
                  <c:v>8.1000000000000003E-2</c:v>
                </c:pt>
                <c:pt idx="106">
                  <c:v>0.308</c:v>
                </c:pt>
                <c:pt idx="107">
                  <c:v>0.41199999999999998</c:v>
                </c:pt>
                <c:pt idx="108">
                  <c:v>0.57899999999999996</c:v>
                </c:pt>
                <c:pt idx="109">
                  <c:v>0.497</c:v>
                </c:pt>
                <c:pt idx="110">
                  <c:v>0.373</c:v>
                </c:pt>
                <c:pt idx="111">
                  <c:v>0.20699999999999999</c:v>
                </c:pt>
                <c:pt idx="112">
                  <c:v>0.46500000000000002</c:v>
                </c:pt>
                <c:pt idx="113">
                  <c:v>0.379</c:v>
                </c:pt>
                <c:pt idx="114">
                  <c:v>0.317</c:v>
                </c:pt>
                <c:pt idx="115">
                  <c:v>0.57399999999999995</c:v>
                </c:pt>
                <c:pt idx="116">
                  <c:v>0.51100000000000001</c:v>
                </c:pt>
                <c:pt idx="117">
                  <c:v>0.25800000000000001</c:v>
                </c:pt>
                <c:pt idx="118">
                  <c:v>0.49299999999999999</c:v>
                </c:pt>
                <c:pt idx="119">
                  <c:v>0.61599999999999999</c:v>
                </c:pt>
                <c:pt idx="120">
                  <c:v>0.23100000000000001</c:v>
                </c:pt>
                <c:pt idx="121">
                  <c:v>0.216</c:v>
                </c:pt>
                <c:pt idx="122">
                  <c:v>0.34</c:v>
                </c:pt>
                <c:pt idx="123">
                  <c:v>0.25600000000000001</c:v>
                </c:pt>
                <c:pt idx="124">
                  <c:v>0.48</c:v>
                </c:pt>
                <c:pt idx="125">
                  <c:v>0.56699999999999995</c:v>
                </c:pt>
                <c:pt idx="126">
                  <c:v>0.21299999999999999</c:v>
                </c:pt>
                <c:pt idx="127">
                  <c:v>0.14199999999999999</c:v>
                </c:pt>
                <c:pt idx="128">
                  <c:v>0.17899999999999999</c:v>
                </c:pt>
                <c:pt idx="129">
                  <c:v>0.41799999999999998</c:v>
                </c:pt>
                <c:pt idx="130">
                  <c:v>0.26</c:v>
                </c:pt>
                <c:pt idx="131">
                  <c:v>0.17299999999999999</c:v>
                </c:pt>
                <c:pt idx="132">
                  <c:v>0.221</c:v>
                </c:pt>
                <c:pt idx="133">
                  <c:v>0.35699999999999998</c:v>
                </c:pt>
                <c:pt idx="134">
                  <c:v>0.38</c:v>
                </c:pt>
                <c:pt idx="135">
                  <c:v>0.33400000000000002</c:v>
                </c:pt>
                <c:pt idx="136">
                  <c:v>0.27</c:v>
                </c:pt>
                <c:pt idx="137">
                  <c:v>0.378</c:v>
                </c:pt>
                <c:pt idx="138">
                  <c:v>0.39600000000000002</c:v>
                </c:pt>
                <c:pt idx="139">
                  <c:v>8.7999999999999995E-2</c:v>
                </c:pt>
                <c:pt idx="140">
                  <c:v>0.435</c:v>
                </c:pt>
                <c:pt idx="141">
                  <c:v>0.39500000000000002</c:v>
                </c:pt>
                <c:pt idx="142">
                  <c:v>0.23400000000000001</c:v>
                </c:pt>
                <c:pt idx="143">
                  <c:v>0.311</c:v>
                </c:pt>
                <c:pt idx="144">
                  <c:v>0.123</c:v>
                </c:pt>
                <c:pt idx="145">
                  <c:v>0.222</c:v>
                </c:pt>
                <c:pt idx="146">
                  <c:v>0.51200000000000001</c:v>
                </c:pt>
                <c:pt idx="147">
                  <c:v>0.34</c:v>
                </c:pt>
                <c:pt idx="148">
                  <c:v>0.219</c:v>
                </c:pt>
                <c:pt idx="149">
                  <c:v>0.318</c:v>
                </c:pt>
                <c:pt idx="150">
                  <c:v>0.25900000000000001</c:v>
                </c:pt>
                <c:pt idx="151">
                  <c:v>0.254</c:v>
                </c:pt>
                <c:pt idx="152">
                  <c:v>0.49199999999999999</c:v>
                </c:pt>
                <c:pt idx="153">
                  <c:v>0.13700000000000001</c:v>
                </c:pt>
                <c:pt idx="154">
                  <c:v>0.23300000000000001</c:v>
                </c:pt>
                <c:pt idx="155">
                  <c:v>0.29899999999999999</c:v>
                </c:pt>
                <c:pt idx="156">
                  <c:v>0.10299999999999999</c:v>
                </c:pt>
                <c:pt idx="157">
                  <c:v>0.14499999999999999</c:v>
                </c:pt>
                <c:pt idx="158">
                  <c:v>0.40500000000000003</c:v>
                </c:pt>
                <c:pt idx="159">
                  <c:v>0.40799999999999997</c:v>
                </c:pt>
                <c:pt idx="160">
                  <c:v>0.16200000000000001</c:v>
                </c:pt>
                <c:pt idx="161">
                  <c:v>0.15</c:v>
                </c:pt>
                <c:pt idx="162">
                  <c:v>0.55100000000000005</c:v>
                </c:pt>
                <c:pt idx="163">
                  <c:v>0.246</c:v>
                </c:pt>
                <c:pt idx="164">
                  <c:v>0.46600000000000003</c:v>
                </c:pt>
                <c:pt idx="165">
                  <c:v>0.42299999999999999</c:v>
                </c:pt>
                <c:pt idx="166">
                  <c:v>0.33500000000000002</c:v>
                </c:pt>
                <c:pt idx="167">
                  <c:v>1.1080000000000001</c:v>
                </c:pt>
                <c:pt idx="168">
                  <c:v>0.36099999999999999</c:v>
                </c:pt>
                <c:pt idx="169">
                  <c:v>0.13700000000000001</c:v>
                </c:pt>
                <c:pt idx="170">
                  <c:v>0.47499999999999998</c:v>
                </c:pt>
                <c:pt idx="171">
                  <c:v>0.41799999999999998</c:v>
                </c:pt>
                <c:pt idx="172">
                  <c:v>0.114</c:v>
                </c:pt>
                <c:pt idx="173">
                  <c:v>0.23499999999999999</c:v>
                </c:pt>
                <c:pt idx="174">
                  <c:v>0.497</c:v>
                </c:pt>
                <c:pt idx="175">
                  <c:v>0.27200000000000002</c:v>
                </c:pt>
                <c:pt idx="176">
                  <c:v>0.19800000000000001</c:v>
                </c:pt>
                <c:pt idx="177">
                  <c:v>0.20899999999999999</c:v>
                </c:pt>
                <c:pt idx="178">
                  <c:v>0.44</c:v>
                </c:pt>
                <c:pt idx="179">
                  <c:v>0.35199999999999998</c:v>
                </c:pt>
                <c:pt idx="180">
                  <c:v>0.35099999999999998</c:v>
                </c:pt>
                <c:pt idx="181">
                  <c:v>0.50600000000000001</c:v>
                </c:pt>
                <c:pt idx="182">
                  <c:v>0.27600000000000002</c:v>
                </c:pt>
                <c:pt idx="183">
                  <c:v>0.26500000000000001</c:v>
                </c:pt>
                <c:pt idx="184">
                  <c:v>8.8999999999999996E-2</c:v>
                </c:pt>
                <c:pt idx="185">
                  <c:v>0.307</c:v>
                </c:pt>
                <c:pt idx="186">
                  <c:v>0.34300000000000003</c:v>
                </c:pt>
                <c:pt idx="187">
                  <c:v>0.184</c:v>
                </c:pt>
                <c:pt idx="188">
                  <c:v>0.36699999999999999</c:v>
                </c:pt>
                <c:pt idx="189">
                  <c:v>0.35099999999999998</c:v>
                </c:pt>
                <c:pt idx="190">
                  <c:v>0.34699999999999998</c:v>
                </c:pt>
                <c:pt idx="191">
                  <c:v>0.28799999999999998</c:v>
                </c:pt>
                <c:pt idx="192">
                  <c:v>0.502</c:v>
                </c:pt>
                <c:pt idx="193">
                  <c:v>0.219</c:v>
                </c:pt>
                <c:pt idx="194">
                  <c:v>0.35599999999999998</c:v>
                </c:pt>
                <c:pt idx="195">
                  <c:v>0.16800000000000001</c:v>
                </c:pt>
                <c:pt idx="196">
                  <c:v>0.61699999999999999</c:v>
                </c:pt>
                <c:pt idx="197">
                  <c:v>0.65200000000000002</c:v>
                </c:pt>
                <c:pt idx="198">
                  <c:v>0.60499999999999998</c:v>
                </c:pt>
                <c:pt idx="199">
                  <c:v>0.16700000000000001</c:v>
                </c:pt>
                <c:pt idx="200">
                  <c:v>0.317</c:v>
                </c:pt>
                <c:pt idx="201">
                  <c:v>0.27400000000000002</c:v>
                </c:pt>
                <c:pt idx="202">
                  <c:v>0.442</c:v>
                </c:pt>
                <c:pt idx="203">
                  <c:v>0.34300000000000003</c:v>
                </c:pt>
                <c:pt idx="204">
                  <c:v>0.33400000000000002</c:v>
                </c:pt>
                <c:pt idx="205">
                  <c:v>0.44400000000000001</c:v>
                </c:pt>
                <c:pt idx="206">
                  <c:v>0.30299999999999999</c:v>
                </c:pt>
                <c:pt idx="207">
                  <c:v>0.34200000000000003</c:v>
                </c:pt>
                <c:pt idx="208">
                  <c:v>0.29499999999999998</c:v>
                </c:pt>
                <c:pt idx="209">
                  <c:v>0.29099999999999998</c:v>
                </c:pt>
                <c:pt idx="210">
                  <c:v>0.43</c:v>
                </c:pt>
                <c:pt idx="211">
                  <c:v>0.33200000000000002</c:v>
                </c:pt>
                <c:pt idx="212">
                  <c:v>0.26</c:v>
                </c:pt>
                <c:pt idx="213">
                  <c:v>0.371</c:v>
                </c:pt>
                <c:pt idx="214">
                  <c:v>0.154</c:v>
                </c:pt>
                <c:pt idx="215">
                  <c:v>0.11799999999999999</c:v>
                </c:pt>
                <c:pt idx="216">
                  <c:v>0.25600000000000001</c:v>
                </c:pt>
                <c:pt idx="217">
                  <c:v>0.23699999999999999</c:v>
                </c:pt>
                <c:pt idx="218">
                  <c:v>0.17899999999999999</c:v>
                </c:pt>
                <c:pt idx="219">
                  <c:v>0.19500000000000001</c:v>
                </c:pt>
                <c:pt idx="220">
                  <c:v>0.24399999999999999</c:v>
                </c:pt>
                <c:pt idx="221">
                  <c:v>0.246</c:v>
                </c:pt>
                <c:pt idx="222">
                  <c:v>0.218</c:v>
                </c:pt>
                <c:pt idx="223">
                  <c:v>0.19</c:v>
                </c:pt>
                <c:pt idx="224">
                  <c:v>0.29899999999999999</c:v>
                </c:pt>
                <c:pt idx="225">
                  <c:v>0.44400000000000001</c:v>
                </c:pt>
                <c:pt idx="226">
                  <c:v>0.252</c:v>
                </c:pt>
                <c:pt idx="227">
                  <c:v>0.48699999999999999</c:v>
                </c:pt>
                <c:pt idx="228">
                  <c:v>0.28899999999999998</c:v>
                </c:pt>
                <c:pt idx="229">
                  <c:v>0.34300000000000003</c:v>
                </c:pt>
                <c:pt idx="230">
                  <c:v>0.19700000000000001</c:v>
                </c:pt>
                <c:pt idx="231">
                  <c:v>0.47499999999999998</c:v>
                </c:pt>
                <c:pt idx="232">
                  <c:v>0.48699999999999999</c:v>
                </c:pt>
                <c:pt idx="233">
                  <c:v>0.39500000000000002</c:v>
                </c:pt>
                <c:pt idx="234">
                  <c:v>0.56499999999999995</c:v>
                </c:pt>
                <c:pt idx="235">
                  <c:v>0.182</c:v>
                </c:pt>
                <c:pt idx="236">
                  <c:v>0.44</c:v>
                </c:pt>
                <c:pt idx="237">
                  <c:v>0.309</c:v>
                </c:pt>
                <c:pt idx="238">
                  <c:v>0.29199999999999998</c:v>
                </c:pt>
                <c:pt idx="239">
                  <c:v>0.14399999999999999</c:v>
                </c:pt>
                <c:pt idx="240">
                  <c:v>0.32900000000000001</c:v>
                </c:pt>
                <c:pt idx="241">
                  <c:v>0.22600000000000001</c:v>
                </c:pt>
                <c:pt idx="242">
                  <c:v>0.30099999999999999</c:v>
                </c:pt>
                <c:pt idx="243">
                  <c:v>0.245</c:v>
                </c:pt>
                <c:pt idx="244">
                  <c:v>0.17499999999999999</c:v>
                </c:pt>
                <c:pt idx="245">
                  <c:v>0.16500000000000001</c:v>
                </c:pt>
                <c:pt idx="246">
                  <c:v>0.14899999999999999</c:v>
                </c:pt>
                <c:pt idx="247">
                  <c:v>0.33500000000000002</c:v>
                </c:pt>
                <c:pt idx="248">
                  <c:v>0.27400000000000002</c:v>
                </c:pt>
                <c:pt idx="249">
                  <c:v>0.188</c:v>
                </c:pt>
                <c:pt idx="250">
                  <c:v>0.19600000000000001</c:v>
                </c:pt>
                <c:pt idx="251">
                  <c:v>0.312</c:v>
                </c:pt>
                <c:pt idx="252">
                  <c:v>0.45800000000000002</c:v>
                </c:pt>
                <c:pt idx="253">
                  <c:v>0.27400000000000002</c:v>
                </c:pt>
                <c:pt idx="254">
                  <c:v>0.89200000000000002</c:v>
                </c:pt>
                <c:pt idx="255">
                  <c:v>0.495</c:v>
                </c:pt>
                <c:pt idx="256">
                  <c:v>0.17699999999999999</c:v>
                </c:pt>
                <c:pt idx="257">
                  <c:v>0.35599999999999998</c:v>
                </c:pt>
                <c:pt idx="258">
                  <c:v>0.19600000000000001</c:v>
                </c:pt>
                <c:pt idx="259">
                  <c:v>0.47499999999999998</c:v>
                </c:pt>
                <c:pt idx="260">
                  <c:v>0.188</c:v>
                </c:pt>
                <c:pt idx="261">
                  <c:v>0.124</c:v>
                </c:pt>
                <c:pt idx="262">
                  <c:v>0.40300000000000002</c:v>
                </c:pt>
                <c:pt idx="263">
                  <c:v>0.34799999999999998</c:v>
                </c:pt>
                <c:pt idx="264">
                  <c:v>0.26200000000000001</c:v>
                </c:pt>
                <c:pt idx="265">
                  <c:v>0.24</c:v>
                </c:pt>
                <c:pt idx="266">
                  <c:v>3.5999999999999997E-2</c:v>
                </c:pt>
                <c:pt idx="267">
                  <c:v>0.65500000000000003</c:v>
                </c:pt>
                <c:pt idx="268">
                  <c:v>0.193</c:v>
                </c:pt>
                <c:pt idx="269">
                  <c:v>0.376</c:v>
                </c:pt>
                <c:pt idx="270">
                  <c:v>0.438</c:v>
                </c:pt>
                <c:pt idx="271">
                  <c:v>0.32300000000000001</c:v>
                </c:pt>
                <c:pt idx="272">
                  <c:v>0.24099999999999999</c:v>
                </c:pt>
                <c:pt idx="273">
                  <c:v>0.33100000000000002</c:v>
                </c:pt>
                <c:pt idx="274">
                  <c:v>0.43</c:v>
                </c:pt>
                <c:pt idx="275">
                  <c:v>0.23899999999999999</c:v>
                </c:pt>
                <c:pt idx="276">
                  <c:v>0.21299999999999999</c:v>
                </c:pt>
                <c:pt idx="277">
                  <c:v>0.15</c:v>
                </c:pt>
                <c:pt idx="278">
                  <c:v>0.154</c:v>
                </c:pt>
                <c:pt idx="279">
                  <c:v>0.17599999999999999</c:v>
                </c:pt>
                <c:pt idx="280">
                  <c:v>0.2</c:v>
                </c:pt>
                <c:pt idx="281">
                  <c:v>0.33600000000000002</c:v>
                </c:pt>
                <c:pt idx="282">
                  <c:v>0.28699999999999998</c:v>
                </c:pt>
                <c:pt idx="283">
                  <c:v>0.38600000000000001</c:v>
                </c:pt>
                <c:pt idx="284">
                  <c:v>0.27700000000000002</c:v>
                </c:pt>
                <c:pt idx="285">
                  <c:v>0.36899999999999999</c:v>
                </c:pt>
                <c:pt idx="286">
                  <c:v>0.33500000000000002</c:v>
                </c:pt>
                <c:pt idx="287">
                  <c:v>0.248</c:v>
                </c:pt>
                <c:pt idx="288">
                  <c:v>0.24</c:v>
                </c:pt>
                <c:pt idx="289">
                  <c:v>0.249</c:v>
                </c:pt>
                <c:pt idx="290">
                  <c:v>0.17899999999999999</c:v>
                </c:pt>
                <c:pt idx="291">
                  <c:v>0.17299999999999999</c:v>
                </c:pt>
                <c:pt idx="292">
                  <c:v>0.66700000000000004</c:v>
                </c:pt>
                <c:pt idx="293">
                  <c:v>0.35099999999999998</c:v>
                </c:pt>
                <c:pt idx="294">
                  <c:v>0.501</c:v>
                </c:pt>
                <c:pt idx="295">
                  <c:v>0.48699999999999999</c:v>
                </c:pt>
                <c:pt idx="296">
                  <c:v>0.372</c:v>
                </c:pt>
                <c:pt idx="297">
                  <c:v>0.52900000000000003</c:v>
                </c:pt>
                <c:pt idx="298">
                  <c:v>0.46899999999999997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EF-4A61-8C4B-F85CC6D3FB9D}"/>
            </c:ext>
          </c:extLst>
        </c:ser>
        <c:ser>
          <c:idx val="1"/>
          <c:order val="1"/>
          <c:tx>
            <c:strRef>
              <c:f>HYBOX1_TTV_SPC!$H$9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HYBOX1_TTV_SPC!$H$10:$H$308</c:f>
              <c:numCache>
                <c:formatCode>General</c:formatCode>
                <c:ptCount val="299"/>
                <c:pt idx="0">
                  <c:v>0.67362725458797634</c:v>
                </c:pt>
                <c:pt idx="1">
                  <c:v>0.67362725458797634</c:v>
                </c:pt>
                <c:pt idx="2">
                  <c:v>0.67362725458797634</c:v>
                </c:pt>
                <c:pt idx="3">
                  <c:v>0.67362725458797634</c:v>
                </c:pt>
                <c:pt idx="4">
                  <c:v>0.67362725458797634</c:v>
                </c:pt>
                <c:pt idx="5">
                  <c:v>0.67362725458797634</c:v>
                </c:pt>
                <c:pt idx="6">
                  <c:v>0.67362725458797634</c:v>
                </c:pt>
                <c:pt idx="7">
                  <c:v>0.67362725458797634</c:v>
                </c:pt>
                <c:pt idx="8">
                  <c:v>0.67362725458797634</c:v>
                </c:pt>
                <c:pt idx="9">
                  <c:v>0.67362725458797634</c:v>
                </c:pt>
                <c:pt idx="10">
                  <c:v>0.67362725458797634</c:v>
                </c:pt>
                <c:pt idx="11">
                  <c:v>0.67362725458797634</c:v>
                </c:pt>
                <c:pt idx="12">
                  <c:v>0.67362725458797634</c:v>
                </c:pt>
                <c:pt idx="13">
                  <c:v>0.67362725458797634</c:v>
                </c:pt>
                <c:pt idx="14">
                  <c:v>0.67362725458797634</c:v>
                </c:pt>
                <c:pt idx="15">
                  <c:v>0.67362725458797634</c:v>
                </c:pt>
                <c:pt idx="16">
                  <c:v>0.67362725458797634</c:v>
                </c:pt>
                <c:pt idx="17">
                  <c:v>0.67362725458797634</c:v>
                </c:pt>
                <c:pt idx="18">
                  <c:v>0.67362725458797634</c:v>
                </c:pt>
                <c:pt idx="19">
                  <c:v>0.67362725458797634</c:v>
                </c:pt>
                <c:pt idx="20">
                  <c:v>0.67362725458797634</c:v>
                </c:pt>
                <c:pt idx="21">
                  <c:v>0.67362725458797634</c:v>
                </c:pt>
                <c:pt idx="22">
                  <c:v>0.67362725458797634</c:v>
                </c:pt>
                <c:pt idx="23">
                  <c:v>0.67362725458797634</c:v>
                </c:pt>
                <c:pt idx="24">
                  <c:v>0.67362725458797634</c:v>
                </c:pt>
                <c:pt idx="25">
                  <c:v>0.67362725458797634</c:v>
                </c:pt>
                <c:pt idx="26">
                  <c:v>0.67362725458797634</c:v>
                </c:pt>
                <c:pt idx="27">
                  <c:v>0.67362725458797634</c:v>
                </c:pt>
                <c:pt idx="28">
                  <c:v>0.67362725458797634</c:v>
                </c:pt>
                <c:pt idx="29">
                  <c:v>0.67362725458797634</c:v>
                </c:pt>
                <c:pt idx="30">
                  <c:v>0.67362725458797634</c:v>
                </c:pt>
                <c:pt idx="31">
                  <c:v>0.67362725458797634</c:v>
                </c:pt>
                <c:pt idx="32">
                  <c:v>0.67362725458797634</c:v>
                </c:pt>
                <c:pt idx="33">
                  <c:v>0.67362725458797634</c:v>
                </c:pt>
                <c:pt idx="34">
                  <c:v>0.67362725458797634</c:v>
                </c:pt>
                <c:pt idx="35">
                  <c:v>0.67362725458797634</c:v>
                </c:pt>
                <c:pt idx="36">
                  <c:v>0.67362725458797634</c:v>
                </c:pt>
                <c:pt idx="37">
                  <c:v>0.67362725458797634</c:v>
                </c:pt>
                <c:pt idx="38">
                  <c:v>0.67362725458797634</c:v>
                </c:pt>
                <c:pt idx="39">
                  <c:v>0.67362725458797634</c:v>
                </c:pt>
                <c:pt idx="40">
                  <c:v>0.67362725458797634</c:v>
                </c:pt>
                <c:pt idx="41">
                  <c:v>0.67362725458797634</c:v>
                </c:pt>
                <c:pt idx="42">
                  <c:v>0.67362725458797634</c:v>
                </c:pt>
                <c:pt idx="43">
                  <c:v>0.67362725458797634</c:v>
                </c:pt>
                <c:pt idx="44">
                  <c:v>0.67362725458797634</c:v>
                </c:pt>
                <c:pt idx="45">
                  <c:v>0.67362725458797634</c:v>
                </c:pt>
                <c:pt idx="46">
                  <c:v>0.67362725458797634</c:v>
                </c:pt>
                <c:pt idx="47">
                  <c:v>0.67362725458797634</c:v>
                </c:pt>
                <c:pt idx="48">
                  <c:v>0.67362725458797634</c:v>
                </c:pt>
                <c:pt idx="49">
                  <c:v>0.67362725458797634</c:v>
                </c:pt>
                <c:pt idx="50">
                  <c:v>0.67362725458797634</c:v>
                </c:pt>
                <c:pt idx="51">
                  <c:v>0.67362725458797634</c:v>
                </c:pt>
                <c:pt idx="52">
                  <c:v>0.67362725458797634</c:v>
                </c:pt>
                <c:pt idx="53">
                  <c:v>0.67362725458797634</c:v>
                </c:pt>
                <c:pt idx="54">
                  <c:v>0.67362725458797634</c:v>
                </c:pt>
                <c:pt idx="55">
                  <c:v>0.67362725458797634</c:v>
                </c:pt>
                <c:pt idx="56">
                  <c:v>0.67362725458797634</c:v>
                </c:pt>
                <c:pt idx="57">
                  <c:v>0.67362725458797634</c:v>
                </c:pt>
                <c:pt idx="58">
                  <c:v>0.67362725458797634</c:v>
                </c:pt>
                <c:pt idx="59">
                  <c:v>0.67362725458797634</c:v>
                </c:pt>
                <c:pt idx="60">
                  <c:v>0.67362725458797634</c:v>
                </c:pt>
                <c:pt idx="61">
                  <c:v>0.67362725458797634</c:v>
                </c:pt>
                <c:pt idx="62">
                  <c:v>0.67362725458797634</c:v>
                </c:pt>
                <c:pt idx="63">
                  <c:v>0.67362725458797634</c:v>
                </c:pt>
                <c:pt idx="64">
                  <c:v>0.67362725458797634</c:v>
                </c:pt>
                <c:pt idx="65">
                  <c:v>0.67362725458797634</c:v>
                </c:pt>
                <c:pt idx="66">
                  <c:v>0.67362725458797634</c:v>
                </c:pt>
                <c:pt idx="67">
                  <c:v>0.67362725458797634</c:v>
                </c:pt>
                <c:pt idx="68">
                  <c:v>0.67362725458797634</c:v>
                </c:pt>
                <c:pt idx="69">
                  <c:v>0.67362725458797634</c:v>
                </c:pt>
                <c:pt idx="70">
                  <c:v>0.67362725458797634</c:v>
                </c:pt>
                <c:pt idx="71">
                  <c:v>0.67362725458797634</c:v>
                </c:pt>
                <c:pt idx="72">
                  <c:v>0.67362725458797634</c:v>
                </c:pt>
                <c:pt idx="73">
                  <c:v>0.67362725458797634</c:v>
                </c:pt>
                <c:pt idx="74">
                  <c:v>0.67362725458797634</c:v>
                </c:pt>
                <c:pt idx="75">
                  <c:v>0.67362725458797634</c:v>
                </c:pt>
                <c:pt idx="76">
                  <c:v>0.67362725458797634</c:v>
                </c:pt>
                <c:pt idx="77">
                  <c:v>0.67362725458797634</c:v>
                </c:pt>
                <c:pt idx="78">
                  <c:v>0.67362725458797634</c:v>
                </c:pt>
                <c:pt idx="79">
                  <c:v>0.67362725458797634</c:v>
                </c:pt>
                <c:pt idx="80">
                  <c:v>0.67362725458797634</c:v>
                </c:pt>
                <c:pt idx="81">
                  <c:v>0.67362725458797634</c:v>
                </c:pt>
                <c:pt idx="82">
                  <c:v>0.67362725458797634</c:v>
                </c:pt>
                <c:pt idx="83">
                  <c:v>0.67362725458797634</c:v>
                </c:pt>
                <c:pt idx="84">
                  <c:v>0.67362725458797634</c:v>
                </c:pt>
                <c:pt idx="85">
                  <c:v>0.67362725458797634</c:v>
                </c:pt>
                <c:pt idx="86">
                  <c:v>0.67362725458797634</c:v>
                </c:pt>
                <c:pt idx="87">
                  <c:v>0.67362725458797634</c:v>
                </c:pt>
                <c:pt idx="88">
                  <c:v>0.67362725458797634</c:v>
                </c:pt>
                <c:pt idx="89">
                  <c:v>0.67362725458797634</c:v>
                </c:pt>
                <c:pt idx="90">
                  <c:v>0.67362725458797634</c:v>
                </c:pt>
                <c:pt idx="91">
                  <c:v>0.67362725458797634</c:v>
                </c:pt>
                <c:pt idx="92">
                  <c:v>0.67362725458797634</c:v>
                </c:pt>
                <c:pt idx="93">
                  <c:v>0.67362725458797634</c:v>
                </c:pt>
                <c:pt idx="94">
                  <c:v>0.67362725458797634</c:v>
                </c:pt>
                <c:pt idx="95">
                  <c:v>0.67362725458797634</c:v>
                </c:pt>
                <c:pt idx="96">
                  <c:v>0.67362725458797634</c:v>
                </c:pt>
                <c:pt idx="97">
                  <c:v>0.67362725458797634</c:v>
                </c:pt>
                <c:pt idx="98">
                  <c:v>0.67362725458797634</c:v>
                </c:pt>
                <c:pt idx="99">
                  <c:v>0.67362725458797634</c:v>
                </c:pt>
                <c:pt idx="100">
                  <c:v>0.67362725458797634</c:v>
                </c:pt>
                <c:pt idx="101">
                  <c:v>0.67362725458797634</c:v>
                </c:pt>
                <c:pt idx="102">
                  <c:v>0.67362725458797634</c:v>
                </c:pt>
                <c:pt idx="103">
                  <c:v>0.67362725458797634</c:v>
                </c:pt>
                <c:pt idx="104">
                  <c:v>0.67362725458797634</c:v>
                </c:pt>
                <c:pt idx="105">
                  <c:v>0.67362725458797634</c:v>
                </c:pt>
                <c:pt idx="106">
                  <c:v>0.67362725458797634</c:v>
                </c:pt>
                <c:pt idx="107">
                  <c:v>0.67362725458797634</c:v>
                </c:pt>
                <c:pt idx="108">
                  <c:v>0.67362725458797634</c:v>
                </c:pt>
                <c:pt idx="109">
                  <c:v>0.67362725458797634</c:v>
                </c:pt>
                <c:pt idx="110">
                  <c:v>0.67362725458797634</c:v>
                </c:pt>
                <c:pt idx="111">
                  <c:v>0.67362725458797634</c:v>
                </c:pt>
                <c:pt idx="112">
                  <c:v>0.67362725458797634</c:v>
                </c:pt>
                <c:pt idx="113">
                  <c:v>0.67362725458797634</c:v>
                </c:pt>
                <c:pt idx="114">
                  <c:v>0.67362725458797634</c:v>
                </c:pt>
                <c:pt idx="115">
                  <c:v>0.67362725458797634</c:v>
                </c:pt>
                <c:pt idx="116">
                  <c:v>0.67362725458797634</c:v>
                </c:pt>
                <c:pt idx="117">
                  <c:v>0.67362725458797634</c:v>
                </c:pt>
                <c:pt idx="118">
                  <c:v>0.67362725458797634</c:v>
                </c:pt>
                <c:pt idx="119">
                  <c:v>0.67362725458797634</c:v>
                </c:pt>
                <c:pt idx="120">
                  <c:v>0.67362725458797634</c:v>
                </c:pt>
                <c:pt idx="121">
                  <c:v>0.67362725458797634</c:v>
                </c:pt>
                <c:pt idx="122">
                  <c:v>0.67362725458797634</c:v>
                </c:pt>
                <c:pt idx="123">
                  <c:v>0.67362725458797634</c:v>
                </c:pt>
                <c:pt idx="124">
                  <c:v>0.67362725458797634</c:v>
                </c:pt>
                <c:pt idx="125">
                  <c:v>0.67362725458797634</c:v>
                </c:pt>
                <c:pt idx="126">
                  <c:v>0.67362725458797634</c:v>
                </c:pt>
                <c:pt idx="127">
                  <c:v>0.67362725458797634</c:v>
                </c:pt>
                <c:pt idx="128">
                  <c:v>0.67362725458797634</c:v>
                </c:pt>
                <c:pt idx="129">
                  <c:v>0.67362725458797634</c:v>
                </c:pt>
                <c:pt idx="130">
                  <c:v>0.67362725458797634</c:v>
                </c:pt>
                <c:pt idx="131">
                  <c:v>0.67362725458797634</c:v>
                </c:pt>
                <c:pt idx="132">
                  <c:v>0.67362725458797634</c:v>
                </c:pt>
                <c:pt idx="133">
                  <c:v>0.67362725458797634</c:v>
                </c:pt>
                <c:pt idx="134">
                  <c:v>0.67362725458797634</c:v>
                </c:pt>
                <c:pt idx="135">
                  <c:v>0.67362725458797634</c:v>
                </c:pt>
                <c:pt idx="136">
                  <c:v>0.67362725458797634</c:v>
                </c:pt>
                <c:pt idx="137">
                  <c:v>0.67362725458797634</c:v>
                </c:pt>
                <c:pt idx="138">
                  <c:v>0.67362725458797634</c:v>
                </c:pt>
                <c:pt idx="139">
                  <c:v>0.67362725458797634</c:v>
                </c:pt>
                <c:pt idx="140">
                  <c:v>0.67362725458797634</c:v>
                </c:pt>
                <c:pt idx="141">
                  <c:v>0.67362725458797634</c:v>
                </c:pt>
                <c:pt idx="142">
                  <c:v>0.67362725458797634</c:v>
                </c:pt>
                <c:pt idx="143">
                  <c:v>0.67362725458797634</c:v>
                </c:pt>
                <c:pt idx="144">
                  <c:v>0.67362725458797634</c:v>
                </c:pt>
                <c:pt idx="145">
                  <c:v>0.67362725458797634</c:v>
                </c:pt>
                <c:pt idx="146">
                  <c:v>0.67362725458797634</c:v>
                </c:pt>
                <c:pt idx="147">
                  <c:v>0.67362725458797634</c:v>
                </c:pt>
                <c:pt idx="148">
                  <c:v>0.67362725458797634</c:v>
                </c:pt>
                <c:pt idx="149">
                  <c:v>0.67362725458797634</c:v>
                </c:pt>
                <c:pt idx="150">
                  <c:v>0.67362725458797634</c:v>
                </c:pt>
                <c:pt idx="151">
                  <c:v>0.67362725458797634</c:v>
                </c:pt>
                <c:pt idx="152">
                  <c:v>0.67362725458797634</c:v>
                </c:pt>
                <c:pt idx="153">
                  <c:v>0.67362725458797634</c:v>
                </c:pt>
                <c:pt idx="154">
                  <c:v>0.67362725458797634</c:v>
                </c:pt>
                <c:pt idx="155">
                  <c:v>0.67362725458797634</c:v>
                </c:pt>
                <c:pt idx="156">
                  <c:v>0.67362725458797634</c:v>
                </c:pt>
                <c:pt idx="157">
                  <c:v>0.67362725458797634</c:v>
                </c:pt>
                <c:pt idx="158">
                  <c:v>0.67362725458797634</c:v>
                </c:pt>
                <c:pt idx="159">
                  <c:v>0.67362725458797634</c:v>
                </c:pt>
                <c:pt idx="160">
                  <c:v>0.67362725458797634</c:v>
                </c:pt>
                <c:pt idx="161">
                  <c:v>0.67362725458797634</c:v>
                </c:pt>
                <c:pt idx="162">
                  <c:v>0.67362725458797634</c:v>
                </c:pt>
                <c:pt idx="163">
                  <c:v>0.67362725458797634</c:v>
                </c:pt>
                <c:pt idx="164">
                  <c:v>0.67362725458797634</c:v>
                </c:pt>
                <c:pt idx="165">
                  <c:v>0.67362725458797634</c:v>
                </c:pt>
                <c:pt idx="166">
                  <c:v>0.67362725458797634</c:v>
                </c:pt>
                <c:pt idx="167">
                  <c:v>0.67362725458797634</c:v>
                </c:pt>
                <c:pt idx="168">
                  <c:v>0.67362725458797634</c:v>
                </c:pt>
                <c:pt idx="169">
                  <c:v>0.67362725458797634</c:v>
                </c:pt>
                <c:pt idx="170">
                  <c:v>0.67362725458797634</c:v>
                </c:pt>
                <c:pt idx="171">
                  <c:v>0.67362725458797634</c:v>
                </c:pt>
                <c:pt idx="172">
                  <c:v>0.67362725458797634</c:v>
                </c:pt>
                <c:pt idx="173">
                  <c:v>0.67362725458797634</c:v>
                </c:pt>
                <c:pt idx="174">
                  <c:v>0.67362725458797634</c:v>
                </c:pt>
                <c:pt idx="175">
                  <c:v>0.67362725458797634</c:v>
                </c:pt>
                <c:pt idx="176">
                  <c:v>0.67362725458797634</c:v>
                </c:pt>
                <c:pt idx="177">
                  <c:v>0.67362725458797634</c:v>
                </c:pt>
                <c:pt idx="178">
                  <c:v>0.67362725458797634</c:v>
                </c:pt>
                <c:pt idx="179">
                  <c:v>0.67362725458797634</c:v>
                </c:pt>
                <c:pt idx="180">
                  <c:v>0.67362725458797634</c:v>
                </c:pt>
                <c:pt idx="181">
                  <c:v>0.67362725458797634</c:v>
                </c:pt>
                <c:pt idx="182">
                  <c:v>0.67362725458797634</c:v>
                </c:pt>
                <c:pt idx="183">
                  <c:v>0.67362725458797634</c:v>
                </c:pt>
                <c:pt idx="184">
                  <c:v>0.67362725458797634</c:v>
                </c:pt>
                <c:pt idx="185">
                  <c:v>0.67362725458797634</c:v>
                </c:pt>
                <c:pt idx="186">
                  <c:v>0.67362725458797634</c:v>
                </c:pt>
                <c:pt idx="187">
                  <c:v>0.67362725458797634</c:v>
                </c:pt>
                <c:pt idx="188">
                  <c:v>0.67362725458797634</c:v>
                </c:pt>
                <c:pt idx="189">
                  <c:v>0.67362725458797634</c:v>
                </c:pt>
                <c:pt idx="190">
                  <c:v>0.67362725458797634</c:v>
                </c:pt>
                <c:pt idx="191">
                  <c:v>0.67362725458797634</c:v>
                </c:pt>
                <c:pt idx="192">
                  <c:v>0.67362725458797634</c:v>
                </c:pt>
                <c:pt idx="193">
                  <c:v>0.67362725458797634</c:v>
                </c:pt>
                <c:pt idx="194">
                  <c:v>0.67362725458797634</c:v>
                </c:pt>
                <c:pt idx="195">
                  <c:v>0.67362725458797634</c:v>
                </c:pt>
                <c:pt idx="196">
                  <c:v>0.67362725458797634</c:v>
                </c:pt>
                <c:pt idx="197">
                  <c:v>0.67362725458797634</c:v>
                </c:pt>
                <c:pt idx="198">
                  <c:v>0.67362725458797634</c:v>
                </c:pt>
                <c:pt idx="199">
                  <c:v>0.67362725458797634</c:v>
                </c:pt>
                <c:pt idx="200">
                  <c:v>0.67362725458797634</c:v>
                </c:pt>
                <c:pt idx="201">
                  <c:v>0.67362725458797634</c:v>
                </c:pt>
                <c:pt idx="202">
                  <c:v>0.67362725458797634</c:v>
                </c:pt>
                <c:pt idx="203">
                  <c:v>0.67362725458797634</c:v>
                </c:pt>
                <c:pt idx="204">
                  <c:v>0.67362725458797634</c:v>
                </c:pt>
                <c:pt idx="205">
                  <c:v>0.67362725458797634</c:v>
                </c:pt>
                <c:pt idx="206">
                  <c:v>0.67362725458797634</c:v>
                </c:pt>
                <c:pt idx="207">
                  <c:v>0.67362725458797634</c:v>
                </c:pt>
                <c:pt idx="208">
                  <c:v>0.67362725458797634</c:v>
                </c:pt>
                <c:pt idx="209">
                  <c:v>0.67362725458797634</c:v>
                </c:pt>
                <c:pt idx="210">
                  <c:v>0.67362725458797634</c:v>
                </c:pt>
                <c:pt idx="211">
                  <c:v>0.67362725458797634</c:v>
                </c:pt>
                <c:pt idx="212">
                  <c:v>0.67362725458797634</c:v>
                </c:pt>
                <c:pt idx="213">
                  <c:v>0.67362725458797634</c:v>
                </c:pt>
                <c:pt idx="214">
                  <c:v>0.67362725458797634</c:v>
                </c:pt>
                <c:pt idx="215">
                  <c:v>0.67362725458797634</c:v>
                </c:pt>
                <c:pt idx="216">
                  <c:v>0.67362725458797634</c:v>
                </c:pt>
                <c:pt idx="217">
                  <c:v>0.67362725458797634</c:v>
                </c:pt>
                <c:pt idx="218">
                  <c:v>0.67362725458797634</c:v>
                </c:pt>
                <c:pt idx="219">
                  <c:v>0.67362725458797634</c:v>
                </c:pt>
                <c:pt idx="220">
                  <c:v>0.67362725458797634</c:v>
                </c:pt>
                <c:pt idx="221">
                  <c:v>0.67362725458797634</c:v>
                </c:pt>
                <c:pt idx="222">
                  <c:v>0.67362725458797634</c:v>
                </c:pt>
                <c:pt idx="223">
                  <c:v>0.67362725458797634</c:v>
                </c:pt>
                <c:pt idx="224">
                  <c:v>0.67362725458797634</c:v>
                </c:pt>
                <c:pt idx="225">
                  <c:v>0.67362725458797634</c:v>
                </c:pt>
                <c:pt idx="226">
                  <c:v>0.67362725458797634</c:v>
                </c:pt>
                <c:pt idx="227">
                  <c:v>0.67362725458797634</c:v>
                </c:pt>
                <c:pt idx="228">
                  <c:v>0.67362725458797634</c:v>
                </c:pt>
                <c:pt idx="229">
                  <c:v>0.67362725458797634</c:v>
                </c:pt>
                <c:pt idx="230">
                  <c:v>0.67362725458797634</c:v>
                </c:pt>
                <c:pt idx="231">
                  <c:v>0.67362725458797634</c:v>
                </c:pt>
                <c:pt idx="232">
                  <c:v>0.67362725458797634</c:v>
                </c:pt>
                <c:pt idx="233">
                  <c:v>0.67362725458797634</c:v>
                </c:pt>
                <c:pt idx="234">
                  <c:v>0.67362725458797634</c:v>
                </c:pt>
                <c:pt idx="235">
                  <c:v>0.67362725458797634</c:v>
                </c:pt>
                <c:pt idx="236">
                  <c:v>0.67362725458797634</c:v>
                </c:pt>
                <c:pt idx="237">
                  <c:v>0.67362725458797634</c:v>
                </c:pt>
                <c:pt idx="238">
                  <c:v>0.67362725458797634</c:v>
                </c:pt>
                <c:pt idx="239">
                  <c:v>0.67362725458797634</c:v>
                </c:pt>
                <c:pt idx="240">
                  <c:v>0.67362725458797634</c:v>
                </c:pt>
                <c:pt idx="241">
                  <c:v>0.67362725458797634</c:v>
                </c:pt>
                <c:pt idx="242">
                  <c:v>0.67362725458797634</c:v>
                </c:pt>
                <c:pt idx="243">
                  <c:v>0.67362725458797634</c:v>
                </c:pt>
                <c:pt idx="244">
                  <c:v>0.67362725458797634</c:v>
                </c:pt>
                <c:pt idx="245">
                  <c:v>0.67362725458797634</c:v>
                </c:pt>
                <c:pt idx="246">
                  <c:v>0.67362725458797634</c:v>
                </c:pt>
                <c:pt idx="247">
                  <c:v>0.67362725458797634</c:v>
                </c:pt>
                <c:pt idx="248">
                  <c:v>0.67362725458797634</c:v>
                </c:pt>
                <c:pt idx="249">
                  <c:v>0.67362725458797634</c:v>
                </c:pt>
                <c:pt idx="250">
                  <c:v>0.67362725458797634</c:v>
                </c:pt>
                <c:pt idx="251">
                  <c:v>0.67362725458797634</c:v>
                </c:pt>
                <c:pt idx="252">
                  <c:v>0.67362725458797634</c:v>
                </c:pt>
                <c:pt idx="253">
                  <c:v>0.67362725458797634</c:v>
                </c:pt>
                <c:pt idx="254">
                  <c:v>0.67362725458797634</c:v>
                </c:pt>
                <c:pt idx="255">
                  <c:v>0.67362725458797634</c:v>
                </c:pt>
                <c:pt idx="256">
                  <c:v>0.67362725458797634</c:v>
                </c:pt>
                <c:pt idx="257">
                  <c:v>0.67362725458797634</c:v>
                </c:pt>
                <c:pt idx="258">
                  <c:v>0.67362725458797634</c:v>
                </c:pt>
                <c:pt idx="259">
                  <c:v>0.67362725458797634</c:v>
                </c:pt>
                <c:pt idx="260">
                  <c:v>0.67362725458797634</c:v>
                </c:pt>
                <c:pt idx="261">
                  <c:v>0.67362725458797634</c:v>
                </c:pt>
                <c:pt idx="262">
                  <c:v>0.67362725458797634</c:v>
                </c:pt>
                <c:pt idx="263">
                  <c:v>0.67362725458797634</c:v>
                </c:pt>
                <c:pt idx="264">
                  <c:v>0.67362725458797634</c:v>
                </c:pt>
                <c:pt idx="265">
                  <c:v>0.67362725458797634</c:v>
                </c:pt>
                <c:pt idx="266">
                  <c:v>0.67362725458797634</c:v>
                </c:pt>
                <c:pt idx="267">
                  <c:v>0.67362725458797634</c:v>
                </c:pt>
                <c:pt idx="268">
                  <c:v>0.67362725458797634</c:v>
                </c:pt>
                <c:pt idx="269">
                  <c:v>0.67362725458797634</c:v>
                </c:pt>
                <c:pt idx="270">
                  <c:v>0.67362725458797634</c:v>
                </c:pt>
                <c:pt idx="271">
                  <c:v>0.67362725458797634</c:v>
                </c:pt>
                <c:pt idx="272">
                  <c:v>0.67362725458797634</c:v>
                </c:pt>
                <c:pt idx="273">
                  <c:v>0.67362725458797634</c:v>
                </c:pt>
                <c:pt idx="274">
                  <c:v>0.67362725458797634</c:v>
                </c:pt>
                <c:pt idx="275">
                  <c:v>0.67362725458797634</c:v>
                </c:pt>
                <c:pt idx="276">
                  <c:v>0.67362725458797634</c:v>
                </c:pt>
                <c:pt idx="277">
                  <c:v>0.67362725458797634</c:v>
                </c:pt>
                <c:pt idx="278">
                  <c:v>0.67362725458797634</c:v>
                </c:pt>
                <c:pt idx="279">
                  <c:v>0.67362725458797634</c:v>
                </c:pt>
                <c:pt idx="280">
                  <c:v>0.67362725458797634</c:v>
                </c:pt>
                <c:pt idx="281">
                  <c:v>0.67362725458797634</c:v>
                </c:pt>
                <c:pt idx="282">
                  <c:v>0.67362725458797634</c:v>
                </c:pt>
                <c:pt idx="283">
                  <c:v>0.67362725458797634</c:v>
                </c:pt>
                <c:pt idx="284">
                  <c:v>0.67362725458797634</c:v>
                </c:pt>
                <c:pt idx="285">
                  <c:v>0.67362725458797634</c:v>
                </c:pt>
                <c:pt idx="286">
                  <c:v>0.67362725458797634</c:v>
                </c:pt>
                <c:pt idx="287">
                  <c:v>0.67362725458797634</c:v>
                </c:pt>
                <c:pt idx="288">
                  <c:v>0.67362725458797634</c:v>
                </c:pt>
                <c:pt idx="289">
                  <c:v>0.67362725458797634</c:v>
                </c:pt>
                <c:pt idx="290">
                  <c:v>0.67362725458797634</c:v>
                </c:pt>
                <c:pt idx="291">
                  <c:v>0.67362725458797634</c:v>
                </c:pt>
                <c:pt idx="292">
                  <c:v>0.67362725458797634</c:v>
                </c:pt>
                <c:pt idx="293">
                  <c:v>0.67362725458797634</c:v>
                </c:pt>
                <c:pt idx="294">
                  <c:v>0.67362725458797634</c:v>
                </c:pt>
                <c:pt idx="295">
                  <c:v>0.67362725458797634</c:v>
                </c:pt>
                <c:pt idx="296">
                  <c:v>0.67362725458797634</c:v>
                </c:pt>
                <c:pt idx="297">
                  <c:v>0.67362725458797634</c:v>
                </c:pt>
                <c:pt idx="298">
                  <c:v>0.67362725458797634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EF-4A61-8C4B-F85CC6D3FB9D}"/>
            </c:ext>
          </c:extLst>
        </c:ser>
        <c:ser>
          <c:idx val="2"/>
          <c:order val="2"/>
          <c:tx>
            <c:strRef>
              <c:f>HYBOX1_TTV_SPC!$G$9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HYBOX1_TTV_SPC!$G$10:$G$308</c:f>
              <c:numCache>
                <c:formatCode>General</c:formatCode>
                <c:ptCount val="299"/>
                <c:pt idx="0">
                  <c:v>0.31705685618729085</c:v>
                </c:pt>
                <c:pt idx="1">
                  <c:v>0.31705685618729085</c:v>
                </c:pt>
                <c:pt idx="2">
                  <c:v>0.31705685618729085</c:v>
                </c:pt>
                <c:pt idx="3">
                  <c:v>0.31705685618729085</c:v>
                </c:pt>
                <c:pt idx="4">
                  <c:v>0.31705685618729085</c:v>
                </c:pt>
                <c:pt idx="5">
                  <c:v>0.31705685618729085</c:v>
                </c:pt>
                <c:pt idx="6">
                  <c:v>0.31705685618729085</c:v>
                </c:pt>
                <c:pt idx="7">
                  <c:v>0.31705685618729085</c:v>
                </c:pt>
                <c:pt idx="8">
                  <c:v>0.31705685618729085</c:v>
                </c:pt>
                <c:pt idx="9">
                  <c:v>0.31705685618729085</c:v>
                </c:pt>
                <c:pt idx="10">
                  <c:v>0.31705685618729085</c:v>
                </c:pt>
                <c:pt idx="11">
                  <c:v>0.31705685618729085</c:v>
                </c:pt>
                <c:pt idx="12">
                  <c:v>0.31705685618729085</c:v>
                </c:pt>
                <c:pt idx="13">
                  <c:v>0.31705685618729085</c:v>
                </c:pt>
                <c:pt idx="14">
                  <c:v>0.31705685618729085</c:v>
                </c:pt>
                <c:pt idx="15">
                  <c:v>0.31705685618729085</c:v>
                </c:pt>
                <c:pt idx="16">
                  <c:v>0.31705685618729085</c:v>
                </c:pt>
                <c:pt idx="17">
                  <c:v>0.31705685618729085</c:v>
                </c:pt>
                <c:pt idx="18">
                  <c:v>0.31705685618729085</c:v>
                </c:pt>
                <c:pt idx="19">
                  <c:v>0.31705685618729085</c:v>
                </c:pt>
                <c:pt idx="20">
                  <c:v>0.31705685618729085</c:v>
                </c:pt>
                <c:pt idx="21">
                  <c:v>0.31705685618729085</c:v>
                </c:pt>
                <c:pt idx="22">
                  <c:v>0.31705685618729085</c:v>
                </c:pt>
                <c:pt idx="23">
                  <c:v>0.31705685618729085</c:v>
                </c:pt>
                <c:pt idx="24">
                  <c:v>0.31705685618729085</c:v>
                </c:pt>
                <c:pt idx="25">
                  <c:v>0.31705685618729085</c:v>
                </c:pt>
                <c:pt idx="26">
                  <c:v>0.31705685618729085</c:v>
                </c:pt>
                <c:pt idx="27">
                  <c:v>0.31705685618729085</c:v>
                </c:pt>
                <c:pt idx="28">
                  <c:v>0.31705685618729085</c:v>
                </c:pt>
                <c:pt idx="29">
                  <c:v>0.31705685618729085</c:v>
                </c:pt>
                <c:pt idx="30">
                  <c:v>0.31705685618729085</c:v>
                </c:pt>
                <c:pt idx="31">
                  <c:v>0.31705685618729085</c:v>
                </c:pt>
                <c:pt idx="32">
                  <c:v>0.31705685618729085</c:v>
                </c:pt>
                <c:pt idx="33">
                  <c:v>0.31705685618729085</c:v>
                </c:pt>
                <c:pt idx="34">
                  <c:v>0.31705685618729085</c:v>
                </c:pt>
                <c:pt idx="35">
                  <c:v>0.31705685618729085</c:v>
                </c:pt>
                <c:pt idx="36">
                  <c:v>0.31705685618729085</c:v>
                </c:pt>
                <c:pt idx="37">
                  <c:v>0.31705685618729085</c:v>
                </c:pt>
                <c:pt idx="38">
                  <c:v>0.31705685618729085</c:v>
                </c:pt>
                <c:pt idx="39">
                  <c:v>0.31705685618729085</c:v>
                </c:pt>
                <c:pt idx="40">
                  <c:v>0.31705685618729085</c:v>
                </c:pt>
                <c:pt idx="41">
                  <c:v>0.31705685618729085</c:v>
                </c:pt>
                <c:pt idx="42">
                  <c:v>0.31705685618729085</c:v>
                </c:pt>
                <c:pt idx="43">
                  <c:v>0.31705685618729085</c:v>
                </c:pt>
                <c:pt idx="44">
                  <c:v>0.31705685618729085</c:v>
                </c:pt>
                <c:pt idx="45">
                  <c:v>0.31705685618729085</c:v>
                </c:pt>
                <c:pt idx="46">
                  <c:v>0.31705685618729085</c:v>
                </c:pt>
                <c:pt idx="47">
                  <c:v>0.31705685618729085</c:v>
                </c:pt>
                <c:pt idx="48">
                  <c:v>0.31705685618729085</c:v>
                </c:pt>
                <c:pt idx="49">
                  <c:v>0.31705685618729085</c:v>
                </c:pt>
                <c:pt idx="50">
                  <c:v>0.31705685618729085</c:v>
                </c:pt>
                <c:pt idx="51">
                  <c:v>0.31705685618729085</c:v>
                </c:pt>
                <c:pt idx="52">
                  <c:v>0.31705685618729085</c:v>
                </c:pt>
                <c:pt idx="53">
                  <c:v>0.31705685618729085</c:v>
                </c:pt>
                <c:pt idx="54">
                  <c:v>0.31705685618729085</c:v>
                </c:pt>
                <c:pt idx="55">
                  <c:v>0.31705685618729085</c:v>
                </c:pt>
                <c:pt idx="56">
                  <c:v>0.31705685618729085</c:v>
                </c:pt>
                <c:pt idx="57">
                  <c:v>0.31705685618729085</c:v>
                </c:pt>
                <c:pt idx="58">
                  <c:v>0.31705685618729085</c:v>
                </c:pt>
                <c:pt idx="59">
                  <c:v>0.31705685618729085</c:v>
                </c:pt>
                <c:pt idx="60">
                  <c:v>0.31705685618729085</c:v>
                </c:pt>
                <c:pt idx="61">
                  <c:v>0.31705685618729085</c:v>
                </c:pt>
                <c:pt idx="62">
                  <c:v>0.31705685618729085</c:v>
                </c:pt>
                <c:pt idx="63">
                  <c:v>0.31705685618729085</c:v>
                </c:pt>
                <c:pt idx="64">
                  <c:v>0.31705685618729085</c:v>
                </c:pt>
                <c:pt idx="65">
                  <c:v>0.31705685618729085</c:v>
                </c:pt>
                <c:pt idx="66">
                  <c:v>0.31705685618729085</c:v>
                </c:pt>
                <c:pt idx="67">
                  <c:v>0.31705685618729085</c:v>
                </c:pt>
                <c:pt idx="68">
                  <c:v>0.31705685618729085</c:v>
                </c:pt>
                <c:pt idx="69">
                  <c:v>0.31705685618729085</c:v>
                </c:pt>
                <c:pt idx="70">
                  <c:v>0.31705685618729085</c:v>
                </c:pt>
                <c:pt idx="71">
                  <c:v>0.31705685618729085</c:v>
                </c:pt>
                <c:pt idx="72">
                  <c:v>0.31705685618729085</c:v>
                </c:pt>
                <c:pt idx="73">
                  <c:v>0.31705685618729085</c:v>
                </c:pt>
                <c:pt idx="74">
                  <c:v>0.31705685618729085</c:v>
                </c:pt>
                <c:pt idx="75">
                  <c:v>0.31705685618729085</c:v>
                </c:pt>
                <c:pt idx="76">
                  <c:v>0.31705685618729085</c:v>
                </c:pt>
                <c:pt idx="77">
                  <c:v>0.31705685618729085</c:v>
                </c:pt>
                <c:pt idx="78">
                  <c:v>0.31705685618729085</c:v>
                </c:pt>
                <c:pt idx="79">
                  <c:v>0.31705685618729085</c:v>
                </c:pt>
                <c:pt idx="80">
                  <c:v>0.31705685618729085</c:v>
                </c:pt>
                <c:pt idx="81">
                  <c:v>0.31705685618729085</c:v>
                </c:pt>
                <c:pt idx="82">
                  <c:v>0.31705685618729085</c:v>
                </c:pt>
                <c:pt idx="83">
                  <c:v>0.31705685618729085</c:v>
                </c:pt>
                <c:pt idx="84">
                  <c:v>0.31705685618729085</c:v>
                </c:pt>
                <c:pt idx="85">
                  <c:v>0.31705685618729085</c:v>
                </c:pt>
                <c:pt idx="86">
                  <c:v>0.31705685618729085</c:v>
                </c:pt>
                <c:pt idx="87">
                  <c:v>0.31705685618729085</c:v>
                </c:pt>
                <c:pt idx="88">
                  <c:v>0.31705685618729085</c:v>
                </c:pt>
                <c:pt idx="89">
                  <c:v>0.31705685618729085</c:v>
                </c:pt>
                <c:pt idx="90">
                  <c:v>0.31705685618729085</c:v>
                </c:pt>
                <c:pt idx="91">
                  <c:v>0.31705685618729085</c:v>
                </c:pt>
                <c:pt idx="92">
                  <c:v>0.31705685618729085</c:v>
                </c:pt>
                <c:pt idx="93">
                  <c:v>0.31705685618729085</c:v>
                </c:pt>
                <c:pt idx="94">
                  <c:v>0.31705685618729085</c:v>
                </c:pt>
                <c:pt idx="95">
                  <c:v>0.31705685618729085</c:v>
                </c:pt>
                <c:pt idx="96">
                  <c:v>0.31705685618729085</c:v>
                </c:pt>
                <c:pt idx="97">
                  <c:v>0.31705685618729085</c:v>
                </c:pt>
                <c:pt idx="98">
                  <c:v>0.31705685618729085</c:v>
                </c:pt>
                <c:pt idx="99">
                  <c:v>0.31705685618729085</c:v>
                </c:pt>
                <c:pt idx="100">
                  <c:v>0.31705685618729085</c:v>
                </c:pt>
                <c:pt idx="101">
                  <c:v>0.31705685618729085</c:v>
                </c:pt>
                <c:pt idx="102">
                  <c:v>0.31705685618729085</c:v>
                </c:pt>
                <c:pt idx="103">
                  <c:v>0.31705685618729085</c:v>
                </c:pt>
                <c:pt idx="104">
                  <c:v>0.31705685618729085</c:v>
                </c:pt>
                <c:pt idx="105">
                  <c:v>0.31705685618729085</c:v>
                </c:pt>
                <c:pt idx="106">
                  <c:v>0.31705685618729085</c:v>
                </c:pt>
                <c:pt idx="107">
                  <c:v>0.31705685618729085</c:v>
                </c:pt>
                <c:pt idx="108">
                  <c:v>0.31705685618729085</c:v>
                </c:pt>
                <c:pt idx="109">
                  <c:v>0.31705685618729085</c:v>
                </c:pt>
                <c:pt idx="110">
                  <c:v>0.31705685618729085</c:v>
                </c:pt>
                <c:pt idx="111">
                  <c:v>0.31705685618729085</c:v>
                </c:pt>
                <c:pt idx="112">
                  <c:v>0.31705685618729085</c:v>
                </c:pt>
                <c:pt idx="113">
                  <c:v>0.31705685618729085</c:v>
                </c:pt>
                <c:pt idx="114">
                  <c:v>0.31705685618729085</c:v>
                </c:pt>
                <c:pt idx="115">
                  <c:v>0.31705685618729085</c:v>
                </c:pt>
                <c:pt idx="116">
                  <c:v>0.31705685618729085</c:v>
                </c:pt>
                <c:pt idx="117">
                  <c:v>0.31705685618729085</c:v>
                </c:pt>
                <c:pt idx="118">
                  <c:v>0.31705685618729085</c:v>
                </c:pt>
                <c:pt idx="119">
                  <c:v>0.31705685618729085</c:v>
                </c:pt>
                <c:pt idx="120">
                  <c:v>0.31705685618729085</c:v>
                </c:pt>
                <c:pt idx="121">
                  <c:v>0.31705685618729085</c:v>
                </c:pt>
                <c:pt idx="122">
                  <c:v>0.31705685618729085</c:v>
                </c:pt>
                <c:pt idx="123">
                  <c:v>0.31705685618729085</c:v>
                </c:pt>
                <c:pt idx="124">
                  <c:v>0.31705685618729085</c:v>
                </c:pt>
                <c:pt idx="125">
                  <c:v>0.31705685618729085</c:v>
                </c:pt>
                <c:pt idx="126">
                  <c:v>0.31705685618729085</c:v>
                </c:pt>
                <c:pt idx="127">
                  <c:v>0.31705685618729085</c:v>
                </c:pt>
                <c:pt idx="128">
                  <c:v>0.31705685618729085</c:v>
                </c:pt>
                <c:pt idx="129">
                  <c:v>0.31705685618729085</c:v>
                </c:pt>
                <c:pt idx="130">
                  <c:v>0.31705685618729085</c:v>
                </c:pt>
                <c:pt idx="131">
                  <c:v>0.31705685618729085</c:v>
                </c:pt>
                <c:pt idx="132">
                  <c:v>0.31705685618729085</c:v>
                </c:pt>
                <c:pt idx="133">
                  <c:v>0.31705685618729085</c:v>
                </c:pt>
                <c:pt idx="134">
                  <c:v>0.31705685618729085</c:v>
                </c:pt>
                <c:pt idx="135">
                  <c:v>0.31705685618729085</c:v>
                </c:pt>
                <c:pt idx="136">
                  <c:v>0.31705685618729085</c:v>
                </c:pt>
                <c:pt idx="137">
                  <c:v>0.31705685618729085</c:v>
                </c:pt>
                <c:pt idx="138">
                  <c:v>0.31705685618729085</c:v>
                </c:pt>
                <c:pt idx="139">
                  <c:v>0.31705685618729085</c:v>
                </c:pt>
                <c:pt idx="140">
                  <c:v>0.31705685618729085</c:v>
                </c:pt>
                <c:pt idx="141">
                  <c:v>0.31705685618729085</c:v>
                </c:pt>
                <c:pt idx="142">
                  <c:v>0.31705685618729085</c:v>
                </c:pt>
                <c:pt idx="143">
                  <c:v>0.31705685618729085</c:v>
                </c:pt>
                <c:pt idx="144">
                  <c:v>0.31705685618729085</c:v>
                </c:pt>
                <c:pt idx="145">
                  <c:v>0.31705685618729085</c:v>
                </c:pt>
                <c:pt idx="146">
                  <c:v>0.31705685618729085</c:v>
                </c:pt>
                <c:pt idx="147">
                  <c:v>0.31705685618729085</c:v>
                </c:pt>
                <c:pt idx="148">
                  <c:v>0.31705685618729085</c:v>
                </c:pt>
                <c:pt idx="149">
                  <c:v>0.31705685618729085</c:v>
                </c:pt>
                <c:pt idx="150">
                  <c:v>0.31705685618729085</c:v>
                </c:pt>
                <c:pt idx="151">
                  <c:v>0.31705685618729085</c:v>
                </c:pt>
                <c:pt idx="152">
                  <c:v>0.31705685618729085</c:v>
                </c:pt>
                <c:pt idx="153">
                  <c:v>0.31705685618729085</c:v>
                </c:pt>
                <c:pt idx="154">
                  <c:v>0.31705685618729085</c:v>
                </c:pt>
                <c:pt idx="155">
                  <c:v>0.31705685618729085</c:v>
                </c:pt>
                <c:pt idx="156">
                  <c:v>0.31705685618729085</c:v>
                </c:pt>
                <c:pt idx="157">
                  <c:v>0.31705685618729085</c:v>
                </c:pt>
                <c:pt idx="158">
                  <c:v>0.31705685618729085</c:v>
                </c:pt>
                <c:pt idx="159">
                  <c:v>0.31705685618729085</c:v>
                </c:pt>
                <c:pt idx="160">
                  <c:v>0.31705685618729085</c:v>
                </c:pt>
                <c:pt idx="161">
                  <c:v>0.31705685618729085</c:v>
                </c:pt>
                <c:pt idx="162">
                  <c:v>0.31705685618729085</c:v>
                </c:pt>
                <c:pt idx="163">
                  <c:v>0.31705685618729085</c:v>
                </c:pt>
                <c:pt idx="164">
                  <c:v>0.31705685618729085</c:v>
                </c:pt>
                <c:pt idx="165">
                  <c:v>0.31705685618729085</c:v>
                </c:pt>
                <c:pt idx="166">
                  <c:v>0.31705685618729085</c:v>
                </c:pt>
                <c:pt idx="167">
                  <c:v>0.31705685618729085</c:v>
                </c:pt>
                <c:pt idx="168">
                  <c:v>0.31705685618729085</c:v>
                </c:pt>
                <c:pt idx="169">
                  <c:v>0.31705685618729085</c:v>
                </c:pt>
                <c:pt idx="170">
                  <c:v>0.31705685618729085</c:v>
                </c:pt>
                <c:pt idx="171">
                  <c:v>0.31705685618729085</c:v>
                </c:pt>
                <c:pt idx="172">
                  <c:v>0.31705685618729085</c:v>
                </c:pt>
                <c:pt idx="173">
                  <c:v>0.31705685618729085</c:v>
                </c:pt>
                <c:pt idx="174">
                  <c:v>0.31705685618729085</c:v>
                </c:pt>
                <c:pt idx="175">
                  <c:v>0.31705685618729085</c:v>
                </c:pt>
                <c:pt idx="176">
                  <c:v>0.31705685618729085</c:v>
                </c:pt>
                <c:pt idx="177">
                  <c:v>0.31705685618729085</c:v>
                </c:pt>
                <c:pt idx="178">
                  <c:v>0.31705685618729085</c:v>
                </c:pt>
                <c:pt idx="179">
                  <c:v>0.31705685618729085</c:v>
                </c:pt>
                <c:pt idx="180">
                  <c:v>0.31705685618729085</c:v>
                </c:pt>
                <c:pt idx="181">
                  <c:v>0.31705685618729085</c:v>
                </c:pt>
                <c:pt idx="182">
                  <c:v>0.31705685618729085</c:v>
                </c:pt>
                <c:pt idx="183">
                  <c:v>0.31705685618729085</c:v>
                </c:pt>
                <c:pt idx="184">
                  <c:v>0.31705685618729085</c:v>
                </c:pt>
                <c:pt idx="185">
                  <c:v>0.31705685618729085</c:v>
                </c:pt>
                <c:pt idx="186">
                  <c:v>0.31705685618729085</c:v>
                </c:pt>
                <c:pt idx="187">
                  <c:v>0.31705685618729085</c:v>
                </c:pt>
                <c:pt idx="188">
                  <c:v>0.31705685618729085</c:v>
                </c:pt>
                <c:pt idx="189">
                  <c:v>0.31705685618729085</c:v>
                </c:pt>
                <c:pt idx="190">
                  <c:v>0.31705685618729085</c:v>
                </c:pt>
                <c:pt idx="191">
                  <c:v>0.31705685618729085</c:v>
                </c:pt>
                <c:pt idx="192">
                  <c:v>0.31705685618729085</c:v>
                </c:pt>
                <c:pt idx="193">
                  <c:v>0.31705685618729085</c:v>
                </c:pt>
                <c:pt idx="194">
                  <c:v>0.31705685618729085</c:v>
                </c:pt>
                <c:pt idx="195">
                  <c:v>0.31705685618729085</c:v>
                </c:pt>
                <c:pt idx="196">
                  <c:v>0.31705685618729085</c:v>
                </c:pt>
                <c:pt idx="197">
                  <c:v>0.31705685618729085</c:v>
                </c:pt>
                <c:pt idx="198">
                  <c:v>0.31705685618729085</c:v>
                </c:pt>
                <c:pt idx="199">
                  <c:v>0.31705685618729085</c:v>
                </c:pt>
                <c:pt idx="200">
                  <c:v>0.31705685618729085</c:v>
                </c:pt>
                <c:pt idx="201">
                  <c:v>0.31705685618729085</c:v>
                </c:pt>
                <c:pt idx="202">
                  <c:v>0.31705685618729085</c:v>
                </c:pt>
                <c:pt idx="203">
                  <c:v>0.31705685618729085</c:v>
                </c:pt>
                <c:pt idx="204">
                  <c:v>0.31705685618729085</c:v>
                </c:pt>
                <c:pt idx="205">
                  <c:v>0.31705685618729085</c:v>
                </c:pt>
                <c:pt idx="206">
                  <c:v>0.31705685618729085</c:v>
                </c:pt>
                <c:pt idx="207">
                  <c:v>0.31705685618729085</c:v>
                </c:pt>
                <c:pt idx="208">
                  <c:v>0.31705685618729085</c:v>
                </c:pt>
                <c:pt idx="209">
                  <c:v>0.31705685618729085</c:v>
                </c:pt>
                <c:pt idx="210">
                  <c:v>0.31705685618729085</c:v>
                </c:pt>
                <c:pt idx="211">
                  <c:v>0.31705685618729085</c:v>
                </c:pt>
                <c:pt idx="212">
                  <c:v>0.31705685618729085</c:v>
                </c:pt>
                <c:pt idx="213">
                  <c:v>0.31705685618729085</c:v>
                </c:pt>
                <c:pt idx="214">
                  <c:v>0.31705685618729085</c:v>
                </c:pt>
                <c:pt idx="215">
                  <c:v>0.31705685618729085</c:v>
                </c:pt>
                <c:pt idx="216">
                  <c:v>0.31705685618729085</c:v>
                </c:pt>
                <c:pt idx="217">
                  <c:v>0.31705685618729085</c:v>
                </c:pt>
                <c:pt idx="218">
                  <c:v>0.31705685618729085</c:v>
                </c:pt>
                <c:pt idx="219">
                  <c:v>0.31705685618729085</c:v>
                </c:pt>
                <c:pt idx="220">
                  <c:v>0.31705685618729085</c:v>
                </c:pt>
                <c:pt idx="221">
                  <c:v>0.31705685618729085</c:v>
                </c:pt>
                <c:pt idx="222">
                  <c:v>0.31705685618729085</c:v>
                </c:pt>
                <c:pt idx="223">
                  <c:v>0.31705685618729085</c:v>
                </c:pt>
                <c:pt idx="224">
                  <c:v>0.31705685618729085</c:v>
                </c:pt>
                <c:pt idx="225">
                  <c:v>0.31705685618729085</c:v>
                </c:pt>
                <c:pt idx="226">
                  <c:v>0.31705685618729085</c:v>
                </c:pt>
                <c:pt idx="227">
                  <c:v>0.31705685618729085</c:v>
                </c:pt>
                <c:pt idx="228">
                  <c:v>0.31705685618729085</c:v>
                </c:pt>
                <c:pt idx="229">
                  <c:v>0.31705685618729085</c:v>
                </c:pt>
                <c:pt idx="230">
                  <c:v>0.31705685618729085</c:v>
                </c:pt>
                <c:pt idx="231">
                  <c:v>0.31705685618729085</c:v>
                </c:pt>
                <c:pt idx="232">
                  <c:v>0.31705685618729085</c:v>
                </c:pt>
                <c:pt idx="233">
                  <c:v>0.31705685618729085</c:v>
                </c:pt>
                <c:pt idx="234">
                  <c:v>0.31705685618729085</c:v>
                </c:pt>
                <c:pt idx="235">
                  <c:v>0.31705685618729085</c:v>
                </c:pt>
                <c:pt idx="236">
                  <c:v>0.31705685618729085</c:v>
                </c:pt>
                <c:pt idx="237">
                  <c:v>0.31705685618729085</c:v>
                </c:pt>
                <c:pt idx="238">
                  <c:v>0.31705685618729085</c:v>
                </c:pt>
                <c:pt idx="239">
                  <c:v>0.31705685618729085</c:v>
                </c:pt>
                <c:pt idx="240">
                  <c:v>0.31705685618729085</c:v>
                </c:pt>
                <c:pt idx="241">
                  <c:v>0.31705685618729085</c:v>
                </c:pt>
                <c:pt idx="242">
                  <c:v>0.31705685618729085</c:v>
                </c:pt>
                <c:pt idx="243">
                  <c:v>0.31705685618729085</c:v>
                </c:pt>
                <c:pt idx="244">
                  <c:v>0.31705685618729085</c:v>
                </c:pt>
                <c:pt idx="245">
                  <c:v>0.31705685618729085</c:v>
                </c:pt>
                <c:pt idx="246">
                  <c:v>0.31705685618729085</c:v>
                </c:pt>
                <c:pt idx="247">
                  <c:v>0.31705685618729085</c:v>
                </c:pt>
                <c:pt idx="248">
                  <c:v>0.31705685618729085</c:v>
                </c:pt>
                <c:pt idx="249">
                  <c:v>0.31705685618729085</c:v>
                </c:pt>
                <c:pt idx="250">
                  <c:v>0.31705685618729085</c:v>
                </c:pt>
                <c:pt idx="251">
                  <c:v>0.31705685618729085</c:v>
                </c:pt>
                <c:pt idx="252">
                  <c:v>0.31705685618729085</c:v>
                </c:pt>
                <c:pt idx="253">
                  <c:v>0.31705685618729085</c:v>
                </c:pt>
                <c:pt idx="254">
                  <c:v>0.31705685618729085</c:v>
                </c:pt>
                <c:pt idx="255">
                  <c:v>0.31705685618729085</c:v>
                </c:pt>
                <c:pt idx="256">
                  <c:v>0.31705685618729085</c:v>
                </c:pt>
                <c:pt idx="257">
                  <c:v>0.31705685618729085</c:v>
                </c:pt>
                <c:pt idx="258">
                  <c:v>0.31705685618729085</c:v>
                </c:pt>
                <c:pt idx="259">
                  <c:v>0.31705685618729085</c:v>
                </c:pt>
                <c:pt idx="260">
                  <c:v>0.31705685618729085</c:v>
                </c:pt>
                <c:pt idx="261">
                  <c:v>0.31705685618729085</c:v>
                </c:pt>
                <c:pt idx="262">
                  <c:v>0.31705685618729085</c:v>
                </c:pt>
                <c:pt idx="263">
                  <c:v>0.31705685618729085</c:v>
                </c:pt>
                <c:pt idx="264">
                  <c:v>0.31705685618729085</c:v>
                </c:pt>
                <c:pt idx="265">
                  <c:v>0.31705685618729085</c:v>
                </c:pt>
                <c:pt idx="266">
                  <c:v>0.31705685618729085</c:v>
                </c:pt>
                <c:pt idx="267">
                  <c:v>0.31705685618729085</c:v>
                </c:pt>
                <c:pt idx="268">
                  <c:v>0.31705685618729085</c:v>
                </c:pt>
                <c:pt idx="269">
                  <c:v>0.31705685618729085</c:v>
                </c:pt>
                <c:pt idx="270">
                  <c:v>0.31705685618729085</c:v>
                </c:pt>
                <c:pt idx="271">
                  <c:v>0.31705685618729085</c:v>
                </c:pt>
                <c:pt idx="272">
                  <c:v>0.31705685618729085</c:v>
                </c:pt>
                <c:pt idx="273">
                  <c:v>0.31705685618729085</c:v>
                </c:pt>
                <c:pt idx="274">
                  <c:v>0.31705685618729085</c:v>
                </c:pt>
                <c:pt idx="275">
                  <c:v>0.31705685618729085</c:v>
                </c:pt>
                <c:pt idx="276">
                  <c:v>0.31705685618729085</c:v>
                </c:pt>
                <c:pt idx="277">
                  <c:v>0.31705685618729085</c:v>
                </c:pt>
                <c:pt idx="278">
                  <c:v>0.31705685618729085</c:v>
                </c:pt>
                <c:pt idx="279">
                  <c:v>0.31705685618729085</c:v>
                </c:pt>
                <c:pt idx="280">
                  <c:v>0.31705685618729085</c:v>
                </c:pt>
                <c:pt idx="281">
                  <c:v>0.31705685618729085</c:v>
                </c:pt>
                <c:pt idx="282">
                  <c:v>0.31705685618729085</c:v>
                </c:pt>
                <c:pt idx="283">
                  <c:v>0.31705685618729085</c:v>
                </c:pt>
                <c:pt idx="284">
                  <c:v>0.31705685618729085</c:v>
                </c:pt>
                <c:pt idx="285">
                  <c:v>0.31705685618729085</c:v>
                </c:pt>
                <c:pt idx="286">
                  <c:v>0.31705685618729085</c:v>
                </c:pt>
                <c:pt idx="287">
                  <c:v>0.31705685618729085</c:v>
                </c:pt>
                <c:pt idx="288">
                  <c:v>0.31705685618729085</c:v>
                </c:pt>
                <c:pt idx="289">
                  <c:v>0.31705685618729085</c:v>
                </c:pt>
                <c:pt idx="290">
                  <c:v>0.31705685618729085</c:v>
                </c:pt>
                <c:pt idx="291">
                  <c:v>0.31705685618729085</c:v>
                </c:pt>
                <c:pt idx="292">
                  <c:v>0.31705685618729085</c:v>
                </c:pt>
                <c:pt idx="293">
                  <c:v>0.31705685618729085</c:v>
                </c:pt>
                <c:pt idx="294">
                  <c:v>0.31705685618729085</c:v>
                </c:pt>
                <c:pt idx="295">
                  <c:v>0.31705685618729085</c:v>
                </c:pt>
                <c:pt idx="296">
                  <c:v>0.31705685618729085</c:v>
                </c:pt>
                <c:pt idx="297">
                  <c:v>0.31705685618729085</c:v>
                </c:pt>
                <c:pt idx="298">
                  <c:v>0.31705685618729085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EF-4A61-8C4B-F85CC6D3F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TTV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 Moving Range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HYBOX1_TTV_SPC!$F$9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HYBOX1_TTV_SPC!$F$10:$F$308</c:f>
              <c:numCache>
                <c:formatCode>General</c:formatCode>
                <c:ptCount val="299"/>
                <c:pt idx="1">
                  <c:v>0.16699999999999998</c:v>
                </c:pt>
                <c:pt idx="2">
                  <c:v>0.21899999999999997</c:v>
                </c:pt>
                <c:pt idx="3">
                  <c:v>0.11800000000000002</c:v>
                </c:pt>
                <c:pt idx="4">
                  <c:v>0.10200000000000001</c:v>
                </c:pt>
                <c:pt idx="5">
                  <c:v>0.10500000000000001</c:v>
                </c:pt>
                <c:pt idx="6">
                  <c:v>0.23300000000000001</c:v>
                </c:pt>
                <c:pt idx="7">
                  <c:v>2.300000000000002E-2</c:v>
                </c:pt>
                <c:pt idx="8">
                  <c:v>0.154</c:v>
                </c:pt>
                <c:pt idx="9">
                  <c:v>3.999999999999998E-2</c:v>
                </c:pt>
                <c:pt idx="10">
                  <c:v>0.29100000000000004</c:v>
                </c:pt>
                <c:pt idx="11">
                  <c:v>0.06</c:v>
                </c:pt>
                <c:pt idx="12">
                  <c:v>6.4000000000000001E-2</c:v>
                </c:pt>
                <c:pt idx="13">
                  <c:v>0.17199999999999999</c:v>
                </c:pt>
                <c:pt idx="14">
                  <c:v>8.3999999999999964E-2</c:v>
                </c:pt>
                <c:pt idx="15">
                  <c:v>0.26299999999999996</c:v>
                </c:pt>
                <c:pt idx="16">
                  <c:v>8.9000000000000024E-2</c:v>
                </c:pt>
                <c:pt idx="17">
                  <c:v>0.16599999999999998</c:v>
                </c:pt>
                <c:pt idx="18">
                  <c:v>0.28699999999999998</c:v>
                </c:pt>
                <c:pt idx="19">
                  <c:v>4.8999999999999988E-2</c:v>
                </c:pt>
                <c:pt idx="20">
                  <c:v>4.8999999999999988E-2</c:v>
                </c:pt>
                <c:pt idx="21">
                  <c:v>0.13099999999999998</c:v>
                </c:pt>
                <c:pt idx="22">
                  <c:v>5.1999999999999963E-2</c:v>
                </c:pt>
                <c:pt idx="23">
                  <c:v>7.4999999999999983E-2</c:v>
                </c:pt>
                <c:pt idx="24">
                  <c:v>0.14099999999999999</c:v>
                </c:pt>
                <c:pt idx="25">
                  <c:v>8.0999999999999961E-2</c:v>
                </c:pt>
                <c:pt idx="26">
                  <c:v>1.5999999999999959E-2</c:v>
                </c:pt>
                <c:pt idx="27">
                  <c:v>9.2999999999999972E-2</c:v>
                </c:pt>
                <c:pt idx="28">
                  <c:v>9.000000000000008E-3</c:v>
                </c:pt>
                <c:pt idx="29">
                  <c:v>0.17099999999999999</c:v>
                </c:pt>
                <c:pt idx="30">
                  <c:v>0.215</c:v>
                </c:pt>
                <c:pt idx="31">
                  <c:v>0.32699999999999996</c:v>
                </c:pt>
                <c:pt idx="32">
                  <c:v>0.24399999999999999</c:v>
                </c:pt>
                <c:pt idx="33">
                  <c:v>3.1E-2</c:v>
                </c:pt>
                <c:pt idx="34">
                  <c:v>4.0000000000000008E-2</c:v>
                </c:pt>
                <c:pt idx="35">
                  <c:v>5.3999999999999992E-2</c:v>
                </c:pt>
                <c:pt idx="36">
                  <c:v>6.8000000000000005E-2</c:v>
                </c:pt>
                <c:pt idx="37">
                  <c:v>7.2000000000000008E-2</c:v>
                </c:pt>
                <c:pt idx="38">
                  <c:v>3.3000000000000029E-2</c:v>
                </c:pt>
                <c:pt idx="39">
                  <c:v>0.06</c:v>
                </c:pt>
                <c:pt idx="40">
                  <c:v>0.14500000000000002</c:v>
                </c:pt>
                <c:pt idx="41">
                  <c:v>0.15700000000000003</c:v>
                </c:pt>
                <c:pt idx="42">
                  <c:v>0.15100000000000002</c:v>
                </c:pt>
                <c:pt idx="43">
                  <c:v>7.0000000000000007E-2</c:v>
                </c:pt>
                <c:pt idx="44">
                  <c:v>9.000000000000008E-3</c:v>
                </c:pt>
                <c:pt idx="45">
                  <c:v>1.6000000000000014E-2</c:v>
                </c:pt>
                <c:pt idx="46">
                  <c:v>1.100000000000001E-2</c:v>
                </c:pt>
                <c:pt idx="47">
                  <c:v>7.9999999999999516E-3</c:v>
                </c:pt>
                <c:pt idx="48">
                  <c:v>0.11499999999999996</c:v>
                </c:pt>
                <c:pt idx="49">
                  <c:v>6.2999999999999973E-2</c:v>
                </c:pt>
                <c:pt idx="50">
                  <c:v>4.3000000000000038E-2</c:v>
                </c:pt>
                <c:pt idx="51">
                  <c:v>4.2000000000000037E-2</c:v>
                </c:pt>
                <c:pt idx="52">
                  <c:v>1.2000000000000011E-2</c:v>
                </c:pt>
                <c:pt idx="53">
                  <c:v>5.5999999999999994E-2</c:v>
                </c:pt>
                <c:pt idx="54">
                  <c:v>1.2000000000000011E-2</c:v>
                </c:pt>
                <c:pt idx="55">
                  <c:v>0.29400000000000004</c:v>
                </c:pt>
                <c:pt idx="56">
                  <c:v>0.26000000000000006</c:v>
                </c:pt>
                <c:pt idx="57">
                  <c:v>6.0999999999999999E-2</c:v>
                </c:pt>
                <c:pt idx="58">
                  <c:v>5.7999999999999996E-2</c:v>
                </c:pt>
                <c:pt idx="59">
                  <c:v>0.29599999999999999</c:v>
                </c:pt>
                <c:pt idx="60">
                  <c:v>4.3999999999999928E-2</c:v>
                </c:pt>
                <c:pt idx="61">
                  <c:v>9.8000000000000032E-2</c:v>
                </c:pt>
                <c:pt idx="62">
                  <c:v>0.22900000000000001</c:v>
                </c:pt>
                <c:pt idx="63">
                  <c:v>6.2999999999999973E-2</c:v>
                </c:pt>
                <c:pt idx="64">
                  <c:v>4.3999999999999984E-2</c:v>
                </c:pt>
                <c:pt idx="65">
                  <c:v>5.7999999999999996E-2</c:v>
                </c:pt>
                <c:pt idx="66">
                  <c:v>1.0000000000000009E-2</c:v>
                </c:pt>
                <c:pt idx="67">
                  <c:v>9.7000000000000003E-2</c:v>
                </c:pt>
                <c:pt idx="68">
                  <c:v>3.7000000000000005E-2</c:v>
                </c:pt>
                <c:pt idx="69">
                  <c:v>6.9000000000000006E-2</c:v>
                </c:pt>
                <c:pt idx="70">
                  <c:v>0.10399999999999998</c:v>
                </c:pt>
                <c:pt idx="71">
                  <c:v>6.3E-2</c:v>
                </c:pt>
                <c:pt idx="72">
                  <c:v>6.8000000000000005E-2</c:v>
                </c:pt>
                <c:pt idx="73">
                  <c:v>6.4999999999999974E-2</c:v>
                </c:pt>
                <c:pt idx="74">
                  <c:v>0.30800000000000005</c:v>
                </c:pt>
                <c:pt idx="75">
                  <c:v>0.12200000000000005</c:v>
                </c:pt>
                <c:pt idx="76">
                  <c:v>4.0000000000000036E-3</c:v>
                </c:pt>
                <c:pt idx="77">
                  <c:v>3.4999999999999976E-2</c:v>
                </c:pt>
                <c:pt idx="78">
                  <c:v>0.216</c:v>
                </c:pt>
                <c:pt idx="79">
                  <c:v>2.3999999999999994E-2</c:v>
                </c:pt>
                <c:pt idx="80">
                  <c:v>0.315</c:v>
                </c:pt>
                <c:pt idx="81">
                  <c:v>6.5000000000000002E-2</c:v>
                </c:pt>
                <c:pt idx="82">
                  <c:v>0.27500000000000002</c:v>
                </c:pt>
                <c:pt idx="83">
                  <c:v>0.19299999999999998</c:v>
                </c:pt>
                <c:pt idx="84">
                  <c:v>0.16899999999999998</c:v>
                </c:pt>
                <c:pt idx="85">
                  <c:v>0.253</c:v>
                </c:pt>
                <c:pt idx="86">
                  <c:v>7.2000000000000008E-2</c:v>
                </c:pt>
                <c:pt idx="87">
                  <c:v>1.9000000000000017E-2</c:v>
                </c:pt>
                <c:pt idx="88">
                  <c:v>0.10499999999999998</c:v>
                </c:pt>
                <c:pt idx="89">
                  <c:v>7.1000000000000008E-2</c:v>
                </c:pt>
                <c:pt idx="90">
                  <c:v>6.6000000000000003E-2</c:v>
                </c:pt>
                <c:pt idx="91">
                  <c:v>6.4000000000000001E-2</c:v>
                </c:pt>
                <c:pt idx="92">
                  <c:v>0.09</c:v>
                </c:pt>
                <c:pt idx="93">
                  <c:v>0.121</c:v>
                </c:pt>
                <c:pt idx="94">
                  <c:v>4.0000000000000036E-3</c:v>
                </c:pt>
                <c:pt idx="95">
                  <c:v>0.17200000000000001</c:v>
                </c:pt>
                <c:pt idx="96">
                  <c:v>1.9000000000000017E-2</c:v>
                </c:pt>
                <c:pt idx="97">
                  <c:v>0.17799999999999994</c:v>
                </c:pt>
                <c:pt idx="98">
                  <c:v>0.22799999999999998</c:v>
                </c:pt>
                <c:pt idx="99">
                  <c:v>6.9000000000000006E-2</c:v>
                </c:pt>
                <c:pt idx="100">
                  <c:v>7.3999999999999982E-2</c:v>
                </c:pt>
                <c:pt idx="101">
                  <c:v>6.1000000000000026E-2</c:v>
                </c:pt>
                <c:pt idx="102">
                  <c:v>5.0000000000000017E-2</c:v>
                </c:pt>
                <c:pt idx="103">
                  <c:v>0.28200000000000003</c:v>
                </c:pt>
                <c:pt idx="104">
                  <c:v>0.29700000000000004</c:v>
                </c:pt>
                <c:pt idx="105">
                  <c:v>0.12399999999999999</c:v>
                </c:pt>
                <c:pt idx="106">
                  <c:v>0.22699999999999998</c:v>
                </c:pt>
                <c:pt idx="107">
                  <c:v>0.10399999999999998</c:v>
                </c:pt>
                <c:pt idx="108">
                  <c:v>0.16699999999999998</c:v>
                </c:pt>
                <c:pt idx="109">
                  <c:v>8.1999999999999962E-2</c:v>
                </c:pt>
                <c:pt idx="110">
                  <c:v>0.124</c:v>
                </c:pt>
                <c:pt idx="111">
                  <c:v>0.16600000000000001</c:v>
                </c:pt>
                <c:pt idx="112">
                  <c:v>0.25800000000000001</c:v>
                </c:pt>
                <c:pt idx="113">
                  <c:v>8.6000000000000021E-2</c:v>
                </c:pt>
                <c:pt idx="114">
                  <c:v>6.2E-2</c:v>
                </c:pt>
                <c:pt idx="115">
                  <c:v>0.25699999999999995</c:v>
                </c:pt>
                <c:pt idx="116">
                  <c:v>6.2999999999999945E-2</c:v>
                </c:pt>
                <c:pt idx="117">
                  <c:v>0.253</c:v>
                </c:pt>
                <c:pt idx="118">
                  <c:v>0.23499999999999999</c:v>
                </c:pt>
                <c:pt idx="119">
                  <c:v>0.123</c:v>
                </c:pt>
                <c:pt idx="120">
                  <c:v>0.38500000000000001</c:v>
                </c:pt>
                <c:pt idx="121">
                  <c:v>1.5000000000000013E-2</c:v>
                </c:pt>
                <c:pt idx="122">
                  <c:v>0.12400000000000003</c:v>
                </c:pt>
                <c:pt idx="123">
                  <c:v>8.4000000000000019E-2</c:v>
                </c:pt>
                <c:pt idx="124">
                  <c:v>0.22399999999999998</c:v>
                </c:pt>
                <c:pt idx="125">
                  <c:v>8.6999999999999966E-2</c:v>
                </c:pt>
                <c:pt idx="126">
                  <c:v>0.35399999999999998</c:v>
                </c:pt>
                <c:pt idx="127">
                  <c:v>7.1000000000000008E-2</c:v>
                </c:pt>
                <c:pt idx="128">
                  <c:v>3.7000000000000005E-2</c:v>
                </c:pt>
                <c:pt idx="129">
                  <c:v>0.23899999999999999</c:v>
                </c:pt>
                <c:pt idx="130">
                  <c:v>0.15799999999999997</c:v>
                </c:pt>
                <c:pt idx="131">
                  <c:v>8.7000000000000022E-2</c:v>
                </c:pt>
                <c:pt idx="132">
                  <c:v>4.8000000000000015E-2</c:v>
                </c:pt>
                <c:pt idx="133">
                  <c:v>0.13599999999999998</c:v>
                </c:pt>
                <c:pt idx="134">
                  <c:v>2.300000000000002E-2</c:v>
                </c:pt>
                <c:pt idx="135">
                  <c:v>4.5999999999999985E-2</c:v>
                </c:pt>
                <c:pt idx="136">
                  <c:v>6.4000000000000001E-2</c:v>
                </c:pt>
                <c:pt idx="137">
                  <c:v>0.10799999999999998</c:v>
                </c:pt>
                <c:pt idx="138">
                  <c:v>1.8000000000000016E-2</c:v>
                </c:pt>
                <c:pt idx="139">
                  <c:v>0.30800000000000005</c:v>
                </c:pt>
                <c:pt idx="140">
                  <c:v>0.34699999999999998</c:v>
                </c:pt>
                <c:pt idx="141">
                  <c:v>3.999999999999998E-2</c:v>
                </c:pt>
                <c:pt idx="142">
                  <c:v>0.161</c:v>
                </c:pt>
                <c:pt idx="143">
                  <c:v>7.6999999999999985E-2</c:v>
                </c:pt>
                <c:pt idx="144">
                  <c:v>0.188</c:v>
                </c:pt>
                <c:pt idx="145">
                  <c:v>9.9000000000000005E-2</c:v>
                </c:pt>
                <c:pt idx="146">
                  <c:v>0.29000000000000004</c:v>
                </c:pt>
                <c:pt idx="147">
                  <c:v>0.17199999999999999</c:v>
                </c:pt>
                <c:pt idx="148">
                  <c:v>0.12100000000000002</c:v>
                </c:pt>
                <c:pt idx="149">
                  <c:v>9.9000000000000005E-2</c:v>
                </c:pt>
                <c:pt idx="150">
                  <c:v>5.8999999999999997E-2</c:v>
                </c:pt>
                <c:pt idx="151">
                  <c:v>5.0000000000000044E-3</c:v>
                </c:pt>
                <c:pt idx="152">
                  <c:v>0.23799999999999999</c:v>
                </c:pt>
                <c:pt idx="153">
                  <c:v>0.35499999999999998</c:v>
                </c:pt>
                <c:pt idx="154">
                  <c:v>9.6000000000000002E-2</c:v>
                </c:pt>
                <c:pt idx="155">
                  <c:v>6.5999999999999975E-2</c:v>
                </c:pt>
                <c:pt idx="156">
                  <c:v>0.19600000000000001</c:v>
                </c:pt>
                <c:pt idx="157">
                  <c:v>4.1999999999999996E-2</c:v>
                </c:pt>
                <c:pt idx="158">
                  <c:v>0.26</c:v>
                </c:pt>
                <c:pt idx="159">
                  <c:v>2.9999999999999472E-3</c:v>
                </c:pt>
                <c:pt idx="160">
                  <c:v>0.24599999999999997</c:v>
                </c:pt>
                <c:pt idx="161">
                  <c:v>1.2000000000000011E-2</c:v>
                </c:pt>
                <c:pt idx="162">
                  <c:v>0.40100000000000002</c:v>
                </c:pt>
                <c:pt idx="163">
                  <c:v>0.30500000000000005</c:v>
                </c:pt>
                <c:pt idx="164">
                  <c:v>0.22000000000000003</c:v>
                </c:pt>
                <c:pt idx="165">
                  <c:v>4.3000000000000038E-2</c:v>
                </c:pt>
                <c:pt idx="166">
                  <c:v>8.7999999999999967E-2</c:v>
                </c:pt>
                <c:pt idx="167">
                  <c:v>0.77300000000000013</c:v>
                </c:pt>
                <c:pt idx="168">
                  <c:v>0.74700000000000011</c:v>
                </c:pt>
                <c:pt idx="169">
                  <c:v>0.22399999999999998</c:v>
                </c:pt>
                <c:pt idx="170">
                  <c:v>0.33799999999999997</c:v>
                </c:pt>
                <c:pt idx="171">
                  <c:v>5.6999999999999995E-2</c:v>
                </c:pt>
                <c:pt idx="172">
                  <c:v>0.30399999999999999</c:v>
                </c:pt>
                <c:pt idx="173">
                  <c:v>0.12099999999999998</c:v>
                </c:pt>
                <c:pt idx="174">
                  <c:v>0.26200000000000001</c:v>
                </c:pt>
                <c:pt idx="175">
                  <c:v>0.22499999999999998</c:v>
                </c:pt>
                <c:pt idx="176">
                  <c:v>7.400000000000001E-2</c:v>
                </c:pt>
                <c:pt idx="177">
                  <c:v>1.0999999999999982E-2</c:v>
                </c:pt>
                <c:pt idx="178">
                  <c:v>0.23100000000000001</c:v>
                </c:pt>
                <c:pt idx="179">
                  <c:v>8.8000000000000023E-2</c:v>
                </c:pt>
                <c:pt idx="180">
                  <c:v>1.0000000000000009E-3</c:v>
                </c:pt>
                <c:pt idx="181">
                  <c:v>0.15500000000000003</c:v>
                </c:pt>
                <c:pt idx="182">
                  <c:v>0.22999999999999998</c:v>
                </c:pt>
                <c:pt idx="183">
                  <c:v>1.100000000000001E-2</c:v>
                </c:pt>
                <c:pt idx="184">
                  <c:v>0.17600000000000002</c:v>
                </c:pt>
                <c:pt idx="185">
                  <c:v>0.218</c:v>
                </c:pt>
                <c:pt idx="186">
                  <c:v>3.6000000000000032E-2</c:v>
                </c:pt>
                <c:pt idx="187">
                  <c:v>0.15900000000000003</c:v>
                </c:pt>
                <c:pt idx="188">
                  <c:v>0.183</c:v>
                </c:pt>
                <c:pt idx="189">
                  <c:v>1.6000000000000014E-2</c:v>
                </c:pt>
                <c:pt idx="190">
                  <c:v>4.0000000000000036E-3</c:v>
                </c:pt>
                <c:pt idx="191">
                  <c:v>5.8999999999999997E-2</c:v>
                </c:pt>
                <c:pt idx="192">
                  <c:v>0.21400000000000002</c:v>
                </c:pt>
                <c:pt idx="193">
                  <c:v>0.28300000000000003</c:v>
                </c:pt>
                <c:pt idx="194">
                  <c:v>0.13699999999999998</c:v>
                </c:pt>
                <c:pt idx="195">
                  <c:v>0.18799999999999997</c:v>
                </c:pt>
                <c:pt idx="196">
                  <c:v>0.44899999999999995</c:v>
                </c:pt>
                <c:pt idx="197">
                  <c:v>3.5000000000000031E-2</c:v>
                </c:pt>
                <c:pt idx="198">
                  <c:v>4.7000000000000042E-2</c:v>
                </c:pt>
                <c:pt idx="199">
                  <c:v>0.43799999999999994</c:v>
                </c:pt>
                <c:pt idx="200">
                  <c:v>0.15</c:v>
                </c:pt>
                <c:pt idx="201">
                  <c:v>4.2999999999999983E-2</c:v>
                </c:pt>
                <c:pt idx="202">
                  <c:v>0.16799999999999998</c:v>
                </c:pt>
                <c:pt idx="203">
                  <c:v>9.8999999999999977E-2</c:v>
                </c:pt>
                <c:pt idx="204">
                  <c:v>9.000000000000008E-3</c:v>
                </c:pt>
                <c:pt idx="205">
                  <c:v>0.10999999999999999</c:v>
                </c:pt>
                <c:pt idx="206">
                  <c:v>0.14100000000000001</c:v>
                </c:pt>
                <c:pt idx="207">
                  <c:v>3.9000000000000035E-2</c:v>
                </c:pt>
                <c:pt idx="208">
                  <c:v>4.7000000000000042E-2</c:v>
                </c:pt>
                <c:pt idx="209">
                  <c:v>4.0000000000000036E-3</c:v>
                </c:pt>
                <c:pt idx="210">
                  <c:v>0.13900000000000001</c:v>
                </c:pt>
                <c:pt idx="211">
                  <c:v>9.7999999999999976E-2</c:v>
                </c:pt>
                <c:pt idx="212">
                  <c:v>7.2000000000000008E-2</c:v>
                </c:pt>
                <c:pt idx="213">
                  <c:v>0.11099999999999999</c:v>
                </c:pt>
                <c:pt idx="214">
                  <c:v>0.217</c:v>
                </c:pt>
                <c:pt idx="215">
                  <c:v>3.6000000000000004E-2</c:v>
                </c:pt>
                <c:pt idx="216">
                  <c:v>0.13800000000000001</c:v>
                </c:pt>
                <c:pt idx="217">
                  <c:v>1.9000000000000017E-2</c:v>
                </c:pt>
                <c:pt idx="218">
                  <c:v>5.7999999999999996E-2</c:v>
                </c:pt>
                <c:pt idx="219">
                  <c:v>1.6000000000000014E-2</c:v>
                </c:pt>
                <c:pt idx="220">
                  <c:v>4.8999999999999988E-2</c:v>
                </c:pt>
                <c:pt idx="221">
                  <c:v>2.0000000000000018E-3</c:v>
                </c:pt>
                <c:pt idx="222">
                  <c:v>2.7999999999999997E-2</c:v>
                </c:pt>
                <c:pt idx="223">
                  <c:v>2.7999999999999997E-2</c:v>
                </c:pt>
                <c:pt idx="224">
                  <c:v>0.10899999999999999</c:v>
                </c:pt>
                <c:pt idx="225">
                  <c:v>0.14500000000000002</c:v>
                </c:pt>
                <c:pt idx="226">
                  <c:v>0.192</c:v>
                </c:pt>
                <c:pt idx="227">
                  <c:v>0.23499999999999999</c:v>
                </c:pt>
                <c:pt idx="228">
                  <c:v>0.19800000000000001</c:v>
                </c:pt>
                <c:pt idx="229">
                  <c:v>5.4000000000000048E-2</c:v>
                </c:pt>
                <c:pt idx="230">
                  <c:v>0.14600000000000002</c:v>
                </c:pt>
                <c:pt idx="231">
                  <c:v>0.27799999999999997</c:v>
                </c:pt>
                <c:pt idx="232">
                  <c:v>1.2000000000000011E-2</c:v>
                </c:pt>
                <c:pt idx="233">
                  <c:v>9.1999999999999971E-2</c:v>
                </c:pt>
                <c:pt idx="234">
                  <c:v>0.16999999999999993</c:v>
                </c:pt>
                <c:pt idx="235">
                  <c:v>0.38299999999999995</c:v>
                </c:pt>
                <c:pt idx="236">
                  <c:v>0.25800000000000001</c:v>
                </c:pt>
                <c:pt idx="237">
                  <c:v>0.13100000000000001</c:v>
                </c:pt>
                <c:pt idx="238">
                  <c:v>1.7000000000000015E-2</c:v>
                </c:pt>
                <c:pt idx="239">
                  <c:v>0.14799999999999999</c:v>
                </c:pt>
                <c:pt idx="240">
                  <c:v>0.18500000000000003</c:v>
                </c:pt>
                <c:pt idx="241">
                  <c:v>0.10300000000000001</c:v>
                </c:pt>
                <c:pt idx="242">
                  <c:v>7.4999999999999983E-2</c:v>
                </c:pt>
                <c:pt idx="243">
                  <c:v>5.5999999999999994E-2</c:v>
                </c:pt>
                <c:pt idx="244">
                  <c:v>7.0000000000000007E-2</c:v>
                </c:pt>
                <c:pt idx="245">
                  <c:v>9.9999999999999811E-3</c:v>
                </c:pt>
                <c:pt idx="246">
                  <c:v>1.6000000000000014E-2</c:v>
                </c:pt>
                <c:pt idx="247">
                  <c:v>0.18600000000000003</c:v>
                </c:pt>
                <c:pt idx="248">
                  <c:v>6.0999999999999999E-2</c:v>
                </c:pt>
                <c:pt idx="249">
                  <c:v>8.6000000000000021E-2</c:v>
                </c:pt>
                <c:pt idx="250">
                  <c:v>8.0000000000000071E-3</c:v>
                </c:pt>
                <c:pt idx="251">
                  <c:v>0.11599999999999999</c:v>
                </c:pt>
                <c:pt idx="252">
                  <c:v>0.14600000000000002</c:v>
                </c:pt>
                <c:pt idx="253">
                  <c:v>0.184</c:v>
                </c:pt>
                <c:pt idx="254">
                  <c:v>0.61799999999999999</c:v>
                </c:pt>
                <c:pt idx="255">
                  <c:v>0.39700000000000002</c:v>
                </c:pt>
                <c:pt idx="256">
                  <c:v>0.318</c:v>
                </c:pt>
                <c:pt idx="257">
                  <c:v>0.17899999999999999</c:v>
                </c:pt>
                <c:pt idx="258">
                  <c:v>0.15999999999999998</c:v>
                </c:pt>
                <c:pt idx="259">
                  <c:v>0.27899999999999997</c:v>
                </c:pt>
                <c:pt idx="260">
                  <c:v>0.28699999999999998</c:v>
                </c:pt>
                <c:pt idx="261">
                  <c:v>6.4000000000000001E-2</c:v>
                </c:pt>
                <c:pt idx="262">
                  <c:v>0.27900000000000003</c:v>
                </c:pt>
                <c:pt idx="263">
                  <c:v>5.5000000000000049E-2</c:v>
                </c:pt>
                <c:pt idx="264">
                  <c:v>8.5999999999999965E-2</c:v>
                </c:pt>
                <c:pt idx="265">
                  <c:v>2.200000000000002E-2</c:v>
                </c:pt>
                <c:pt idx="266">
                  <c:v>0.20399999999999999</c:v>
                </c:pt>
                <c:pt idx="267">
                  <c:v>0.61899999999999999</c:v>
                </c:pt>
                <c:pt idx="268">
                  <c:v>0.46200000000000002</c:v>
                </c:pt>
                <c:pt idx="269">
                  <c:v>0.183</c:v>
                </c:pt>
                <c:pt idx="270">
                  <c:v>6.2E-2</c:v>
                </c:pt>
                <c:pt idx="271">
                  <c:v>0.11499999999999999</c:v>
                </c:pt>
                <c:pt idx="272">
                  <c:v>8.2000000000000017E-2</c:v>
                </c:pt>
                <c:pt idx="273">
                  <c:v>9.0000000000000024E-2</c:v>
                </c:pt>
                <c:pt idx="274">
                  <c:v>9.8999999999999977E-2</c:v>
                </c:pt>
                <c:pt idx="275">
                  <c:v>0.191</c:v>
                </c:pt>
                <c:pt idx="276">
                  <c:v>2.5999999999999995E-2</c:v>
                </c:pt>
                <c:pt idx="277">
                  <c:v>6.3E-2</c:v>
                </c:pt>
                <c:pt idx="278">
                  <c:v>4.0000000000000036E-3</c:v>
                </c:pt>
                <c:pt idx="279">
                  <c:v>2.1999999999999992E-2</c:v>
                </c:pt>
                <c:pt idx="280">
                  <c:v>2.4000000000000021E-2</c:v>
                </c:pt>
                <c:pt idx="281">
                  <c:v>0.13600000000000001</c:v>
                </c:pt>
                <c:pt idx="282">
                  <c:v>4.9000000000000044E-2</c:v>
                </c:pt>
                <c:pt idx="283">
                  <c:v>9.9000000000000032E-2</c:v>
                </c:pt>
                <c:pt idx="284">
                  <c:v>0.10899999999999999</c:v>
                </c:pt>
                <c:pt idx="285">
                  <c:v>9.1999999999999971E-2</c:v>
                </c:pt>
                <c:pt idx="286">
                  <c:v>3.3999999999999975E-2</c:v>
                </c:pt>
                <c:pt idx="287">
                  <c:v>8.7000000000000022E-2</c:v>
                </c:pt>
                <c:pt idx="288">
                  <c:v>8.0000000000000071E-3</c:v>
                </c:pt>
                <c:pt idx="289">
                  <c:v>9.000000000000008E-3</c:v>
                </c:pt>
                <c:pt idx="290">
                  <c:v>7.0000000000000007E-2</c:v>
                </c:pt>
                <c:pt idx="291">
                  <c:v>6.0000000000000053E-3</c:v>
                </c:pt>
                <c:pt idx="292">
                  <c:v>0.49400000000000005</c:v>
                </c:pt>
                <c:pt idx="293">
                  <c:v>0.31600000000000006</c:v>
                </c:pt>
                <c:pt idx="294">
                  <c:v>0.15000000000000002</c:v>
                </c:pt>
                <c:pt idx="295">
                  <c:v>1.4000000000000012E-2</c:v>
                </c:pt>
                <c:pt idx="296">
                  <c:v>0.11499999999999999</c:v>
                </c:pt>
                <c:pt idx="297">
                  <c:v>0.15700000000000003</c:v>
                </c:pt>
                <c:pt idx="298">
                  <c:v>6.0000000000000053E-2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85-4BAB-BC86-EA06EC73A768}"/>
            </c:ext>
          </c:extLst>
        </c:ser>
        <c:ser>
          <c:idx val="1"/>
          <c:order val="1"/>
          <c:tx>
            <c:strRef>
              <c:f>HYBOX1_TTV_SPC!$I$9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HYBOX1_TTV_SPC!$I$10:$I$308</c:f>
              <c:numCache>
                <c:formatCode>General</c:formatCode>
                <c:ptCount val="299"/>
                <c:pt idx="0">
                  <c:v>0.43800822483221474</c:v>
                </c:pt>
                <c:pt idx="1">
                  <c:v>0.43800822483221474</c:v>
                </c:pt>
                <c:pt idx="2">
                  <c:v>0.43800822483221474</c:v>
                </c:pt>
                <c:pt idx="3">
                  <c:v>0.43800822483221474</c:v>
                </c:pt>
                <c:pt idx="4">
                  <c:v>0.43800822483221474</c:v>
                </c:pt>
                <c:pt idx="5">
                  <c:v>0.43800822483221474</c:v>
                </c:pt>
                <c:pt idx="6">
                  <c:v>0.43800822483221474</c:v>
                </c:pt>
                <c:pt idx="7">
                  <c:v>0.43800822483221474</c:v>
                </c:pt>
                <c:pt idx="8">
                  <c:v>0.43800822483221474</c:v>
                </c:pt>
                <c:pt idx="9">
                  <c:v>0.43800822483221474</c:v>
                </c:pt>
                <c:pt idx="10">
                  <c:v>0.43800822483221474</c:v>
                </c:pt>
                <c:pt idx="11">
                  <c:v>0.43800822483221474</c:v>
                </c:pt>
                <c:pt idx="12">
                  <c:v>0.43800822483221474</c:v>
                </c:pt>
                <c:pt idx="13">
                  <c:v>0.43800822483221474</c:v>
                </c:pt>
                <c:pt idx="14">
                  <c:v>0.43800822483221474</c:v>
                </c:pt>
                <c:pt idx="15">
                  <c:v>0.43800822483221474</c:v>
                </c:pt>
                <c:pt idx="16">
                  <c:v>0.43800822483221474</c:v>
                </c:pt>
                <c:pt idx="17">
                  <c:v>0.43800822483221474</c:v>
                </c:pt>
                <c:pt idx="18">
                  <c:v>0.43800822483221474</c:v>
                </c:pt>
                <c:pt idx="19">
                  <c:v>0.43800822483221474</c:v>
                </c:pt>
                <c:pt idx="20">
                  <c:v>0.43800822483221474</c:v>
                </c:pt>
                <c:pt idx="21">
                  <c:v>0.43800822483221474</c:v>
                </c:pt>
                <c:pt idx="22">
                  <c:v>0.43800822483221474</c:v>
                </c:pt>
                <c:pt idx="23">
                  <c:v>0.43800822483221474</c:v>
                </c:pt>
                <c:pt idx="24">
                  <c:v>0.43800822483221474</c:v>
                </c:pt>
                <c:pt idx="25">
                  <c:v>0.43800822483221474</c:v>
                </c:pt>
                <c:pt idx="26">
                  <c:v>0.43800822483221474</c:v>
                </c:pt>
                <c:pt idx="27">
                  <c:v>0.43800822483221474</c:v>
                </c:pt>
                <c:pt idx="28">
                  <c:v>0.43800822483221474</c:v>
                </c:pt>
                <c:pt idx="29">
                  <c:v>0.43800822483221474</c:v>
                </c:pt>
                <c:pt idx="30">
                  <c:v>0.43800822483221474</c:v>
                </c:pt>
                <c:pt idx="31">
                  <c:v>0.43800822483221474</c:v>
                </c:pt>
                <c:pt idx="32">
                  <c:v>0.43800822483221474</c:v>
                </c:pt>
                <c:pt idx="33">
                  <c:v>0.43800822483221474</c:v>
                </c:pt>
                <c:pt idx="34">
                  <c:v>0.43800822483221474</c:v>
                </c:pt>
                <c:pt idx="35">
                  <c:v>0.43800822483221474</c:v>
                </c:pt>
                <c:pt idx="36">
                  <c:v>0.43800822483221474</c:v>
                </c:pt>
                <c:pt idx="37">
                  <c:v>0.43800822483221474</c:v>
                </c:pt>
                <c:pt idx="38">
                  <c:v>0.43800822483221474</c:v>
                </c:pt>
                <c:pt idx="39">
                  <c:v>0.43800822483221474</c:v>
                </c:pt>
                <c:pt idx="40">
                  <c:v>0.43800822483221474</c:v>
                </c:pt>
                <c:pt idx="41">
                  <c:v>0.43800822483221474</c:v>
                </c:pt>
                <c:pt idx="42">
                  <c:v>0.43800822483221474</c:v>
                </c:pt>
                <c:pt idx="43">
                  <c:v>0.43800822483221474</c:v>
                </c:pt>
                <c:pt idx="44">
                  <c:v>0.43800822483221474</c:v>
                </c:pt>
                <c:pt idx="45">
                  <c:v>0.43800822483221474</c:v>
                </c:pt>
                <c:pt idx="46">
                  <c:v>0.43800822483221474</c:v>
                </c:pt>
                <c:pt idx="47">
                  <c:v>0.43800822483221474</c:v>
                </c:pt>
                <c:pt idx="48">
                  <c:v>0.43800822483221474</c:v>
                </c:pt>
                <c:pt idx="49">
                  <c:v>0.43800822483221474</c:v>
                </c:pt>
                <c:pt idx="50">
                  <c:v>0.43800822483221474</c:v>
                </c:pt>
                <c:pt idx="51">
                  <c:v>0.43800822483221474</c:v>
                </c:pt>
                <c:pt idx="52">
                  <c:v>0.43800822483221474</c:v>
                </c:pt>
                <c:pt idx="53">
                  <c:v>0.43800822483221474</c:v>
                </c:pt>
                <c:pt idx="54">
                  <c:v>0.43800822483221474</c:v>
                </c:pt>
                <c:pt idx="55">
                  <c:v>0.43800822483221474</c:v>
                </c:pt>
                <c:pt idx="56">
                  <c:v>0.43800822483221474</c:v>
                </c:pt>
                <c:pt idx="57">
                  <c:v>0.43800822483221474</c:v>
                </c:pt>
                <c:pt idx="58">
                  <c:v>0.43800822483221474</c:v>
                </c:pt>
                <c:pt idx="59">
                  <c:v>0.43800822483221474</c:v>
                </c:pt>
                <c:pt idx="60">
                  <c:v>0.43800822483221474</c:v>
                </c:pt>
                <c:pt idx="61">
                  <c:v>0.43800822483221474</c:v>
                </c:pt>
                <c:pt idx="62">
                  <c:v>0.43800822483221474</c:v>
                </c:pt>
                <c:pt idx="63">
                  <c:v>0.43800822483221474</c:v>
                </c:pt>
                <c:pt idx="64">
                  <c:v>0.43800822483221474</c:v>
                </c:pt>
                <c:pt idx="65">
                  <c:v>0.43800822483221474</c:v>
                </c:pt>
                <c:pt idx="66">
                  <c:v>0.43800822483221474</c:v>
                </c:pt>
                <c:pt idx="67">
                  <c:v>0.43800822483221474</c:v>
                </c:pt>
                <c:pt idx="68">
                  <c:v>0.43800822483221474</c:v>
                </c:pt>
                <c:pt idx="69">
                  <c:v>0.43800822483221474</c:v>
                </c:pt>
                <c:pt idx="70">
                  <c:v>0.43800822483221474</c:v>
                </c:pt>
                <c:pt idx="71">
                  <c:v>0.43800822483221474</c:v>
                </c:pt>
                <c:pt idx="72">
                  <c:v>0.43800822483221474</c:v>
                </c:pt>
                <c:pt idx="73">
                  <c:v>0.43800822483221474</c:v>
                </c:pt>
                <c:pt idx="74">
                  <c:v>0.43800822483221474</c:v>
                </c:pt>
                <c:pt idx="75">
                  <c:v>0.43800822483221474</c:v>
                </c:pt>
                <c:pt idx="76">
                  <c:v>0.43800822483221474</c:v>
                </c:pt>
                <c:pt idx="77">
                  <c:v>0.43800822483221474</c:v>
                </c:pt>
                <c:pt idx="78">
                  <c:v>0.43800822483221474</c:v>
                </c:pt>
                <c:pt idx="79">
                  <c:v>0.43800822483221474</c:v>
                </c:pt>
                <c:pt idx="80">
                  <c:v>0.43800822483221474</c:v>
                </c:pt>
                <c:pt idx="81">
                  <c:v>0.43800822483221474</c:v>
                </c:pt>
                <c:pt idx="82">
                  <c:v>0.43800822483221474</c:v>
                </c:pt>
                <c:pt idx="83">
                  <c:v>0.43800822483221474</c:v>
                </c:pt>
                <c:pt idx="84">
                  <c:v>0.43800822483221474</c:v>
                </c:pt>
                <c:pt idx="85">
                  <c:v>0.43800822483221474</c:v>
                </c:pt>
                <c:pt idx="86">
                  <c:v>0.43800822483221474</c:v>
                </c:pt>
                <c:pt idx="87">
                  <c:v>0.43800822483221474</c:v>
                </c:pt>
                <c:pt idx="88">
                  <c:v>0.43800822483221474</c:v>
                </c:pt>
                <c:pt idx="89">
                  <c:v>0.43800822483221474</c:v>
                </c:pt>
                <c:pt idx="90">
                  <c:v>0.43800822483221474</c:v>
                </c:pt>
                <c:pt idx="91">
                  <c:v>0.43800822483221474</c:v>
                </c:pt>
                <c:pt idx="92">
                  <c:v>0.43800822483221474</c:v>
                </c:pt>
                <c:pt idx="93">
                  <c:v>0.43800822483221474</c:v>
                </c:pt>
                <c:pt idx="94">
                  <c:v>0.43800822483221474</c:v>
                </c:pt>
                <c:pt idx="95">
                  <c:v>0.43800822483221474</c:v>
                </c:pt>
                <c:pt idx="96">
                  <c:v>0.43800822483221474</c:v>
                </c:pt>
                <c:pt idx="97">
                  <c:v>0.43800822483221474</c:v>
                </c:pt>
                <c:pt idx="98">
                  <c:v>0.43800822483221474</c:v>
                </c:pt>
                <c:pt idx="99">
                  <c:v>0.43800822483221474</c:v>
                </c:pt>
                <c:pt idx="100">
                  <c:v>0.43800822483221474</c:v>
                </c:pt>
                <c:pt idx="101">
                  <c:v>0.43800822483221474</c:v>
                </c:pt>
                <c:pt idx="102">
                  <c:v>0.43800822483221474</c:v>
                </c:pt>
                <c:pt idx="103">
                  <c:v>0.43800822483221474</c:v>
                </c:pt>
                <c:pt idx="104">
                  <c:v>0.43800822483221474</c:v>
                </c:pt>
                <c:pt idx="105">
                  <c:v>0.43800822483221474</c:v>
                </c:pt>
                <c:pt idx="106">
                  <c:v>0.43800822483221474</c:v>
                </c:pt>
                <c:pt idx="107">
                  <c:v>0.43800822483221474</c:v>
                </c:pt>
                <c:pt idx="108">
                  <c:v>0.43800822483221474</c:v>
                </c:pt>
                <c:pt idx="109">
                  <c:v>0.43800822483221474</c:v>
                </c:pt>
                <c:pt idx="110">
                  <c:v>0.43800822483221474</c:v>
                </c:pt>
                <c:pt idx="111">
                  <c:v>0.43800822483221474</c:v>
                </c:pt>
                <c:pt idx="112">
                  <c:v>0.43800822483221474</c:v>
                </c:pt>
                <c:pt idx="113">
                  <c:v>0.43800822483221474</c:v>
                </c:pt>
                <c:pt idx="114">
                  <c:v>0.43800822483221474</c:v>
                </c:pt>
                <c:pt idx="115">
                  <c:v>0.43800822483221474</c:v>
                </c:pt>
                <c:pt idx="116">
                  <c:v>0.43800822483221474</c:v>
                </c:pt>
                <c:pt idx="117">
                  <c:v>0.43800822483221474</c:v>
                </c:pt>
                <c:pt idx="118">
                  <c:v>0.43800822483221474</c:v>
                </c:pt>
                <c:pt idx="119">
                  <c:v>0.43800822483221474</c:v>
                </c:pt>
                <c:pt idx="120">
                  <c:v>0.43800822483221474</c:v>
                </c:pt>
                <c:pt idx="121">
                  <c:v>0.43800822483221474</c:v>
                </c:pt>
                <c:pt idx="122">
                  <c:v>0.43800822483221474</c:v>
                </c:pt>
                <c:pt idx="123">
                  <c:v>0.43800822483221474</c:v>
                </c:pt>
                <c:pt idx="124">
                  <c:v>0.43800822483221474</c:v>
                </c:pt>
                <c:pt idx="125">
                  <c:v>0.43800822483221474</c:v>
                </c:pt>
                <c:pt idx="126">
                  <c:v>0.43800822483221474</c:v>
                </c:pt>
                <c:pt idx="127">
                  <c:v>0.43800822483221474</c:v>
                </c:pt>
                <c:pt idx="128">
                  <c:v>0.43800822483221474</c:v>
                </c:pt>
                <c:pt idx="129">
                  <c:v>0.43800822483221474</c:v>
                </c:pt>
                <c:pt idx="130">
                  <c:v>0.43800822483221474</c:v>
                </c:pt>
                <c:pt idx="131">
                  <c:v>0.43800822483221474</c:v>
                </c:pt>
                <c:pt idx="132">
                  <c:v>0.43800822483221474</c:v>
                </c:pt>
                <c:pt idx="133">
                  <c:v>0.43800822483221474</c:v>
                </c:pt>
                <c:pt idx="134">
                  <c:v>0.43800822483221474</c:v>
                </c:pt>
                <c:pt idx="135">
                  <c:v>0.43800822483221474</c:v>
                </c:pt>
                <c:pt idx="136">
                  <c:v>0.43800822483221474</c:v>
                </c:pt>
                <c:pt idx="137">
                  <c:v>0.43800822483221474</c:v>
                </c:pt>
                <c:pt idx="138">
                  <c:v>0.43800822483221474</c:v>
                </c:pt>
                <c:pt idx="139">
                  <c:v>0.43800822483221474</c:v>
                </c:pt>
                <c:pt idx="140">
                  <c:v>0.43800822483221474</c:v>
                </c:pt>
                <c:pt idx="141">
                  <c:v>0.43800822483221474</c:v>
                </c:pt>
                <c:pt idx="142">
                  <c:v>0.43800822483221474</c:v>
                </c:pt>
                <c:pt idx="143">
                  <c:v>0.43800822483221474</c:v>
                </c:pt>
                <c:pt idx="144">
                  <c:v>0.43800822483221474</c:v>
                </c:pt>
                <c:pt idx="145">
                  <c:v>0.43800822483221474</c:v>
                </c:pt>
                <c:pt idx="146">
                  <c:v>0.43800822483221474</c:v>
                </c:pt>
                <c:pt idx="147">
                  <c:v>0.43800822483221474</c:v>
                </c:pt>
                <c:pt idx="148">
                  <c:v>0.43800822483221474</c:v>
                </c:pt>
                <c:pt idx="149">
                  <c:v>0.43800822483221474</c:v>
                </c:pt>
                <c:pt idx="150">
                  <c:v>0.43800822483221474</c:v>
                </c:pt>
                <c:pt idx="151">
                  <c:v>0.43800822483221474</c:v>
                </c:pt>
                <c:pt idx="152">
                  <c:v>0.43800822483221474</c:v>
                </c:pt>
                <c:pt idx="153">
                  <c:v>0.43800822483221474</c:v>
                </c:pt>
                <c:pt idx="154">
                  <c:v>0.43800822483221474</c:v>
                </c:pt>
                <c:pt idx="155">
                  <c:v>0.43800822483221474</c:v>
                </c:pt>
                <c:pt idx="156">
                  <c:v>0.43800822483221474</c:v>
                </c:pt>
                <c:pt idx="157">
                  <c:v>0.43800822483221474</c:v>
                </c:pt>
                <c:pt idx="158">
                  <c:v>0.43800822483221474</c:v>
                </c:pt>
                <c:pt idx="159">
                  <c:v>0.43800822483221474</c:v>
                </c:pt>
                <c:pt idx="160">
                  <c:v>0.43800822483221474</c:v>
                </c:pt>
                <c:pt idx="161">
                  <c:v>0.43800822483221474</c:v>
                </c:pt>
                <c:pt idx="162">
                  <c:v>0.43800822483221474</c:v>
                </c:pt>
                <c:pt idx="163">
                  <c:v>0.43800822483221474</c:v>
                </c:pt>
                <c:pt idx="164">
                  <c:v>0.43800822483221474</c:v>
                </c:pt>
                <c:pt idx="165">
                  <c:v>0.43800822483221474</c:v>
                </c:pt>
                <c:pt idx="166">
                  <c:v>0.43800822483221474</c:v>
                </c:pt>
                <c:pt idx="167">
                  <c:v>0.43800822483221474</c:v>
                </c:pt>
                <c:pt idx="168">
                  <c:v>0.43800822483221474</c:v>
                </c:pt>
                <c:pt idx="169">
                  <c:v>0.43800822483221474</c:v>
                </c:pt>
                <c:pt idx="170">
                  <c:v>0.43800822483221474</c:v>
                </c:pt>
                <c:pt idx="171">
                  <c:v>0.43800822483221474</c:v>
                </c:pt>
                <c:pt idx="172">
                  <c:v>0.43800822483221474</c:v>
                </c:pt>
                <c:pt idx="173">
                  <c:v>0.43800822483221474</c:v>
                </c:pt>
                <c:pt idx="174">
                  <c:v>0.43800822483221474</c:v>
                </c:pt>
                <c:pt idx="175">
                  <c:v>0.43800822483221474</c:v>
                </c:pt>
                <c:pt idx="176">
                  <c:v>0.43800822483221474</c:v>
                </c:pt>
                <c:pt idx="177">
                  <c:v>0.43800822483221474</c:v>
                </c:pt>
                <c:pt idx="178">
                  <c:v>0.43800822483221474</c:v>
                </c:pt>
                <c:pt idx="179">
                  <c:v>0.43800822483221474</c:v>
                </c:pt>
                <c:pt idx="180">
                  <c:v>0.43800822483221474</c:v>
                </c:pt>
                <c:pt idx="181">
                  <c:v>0.43800822483221474</c:v>
                </c:pt>
                <c:pt idx="182">
                  <c:v>0.43800822483221474</c:v>
                </c:pt>
                <c:pt idx="183">
                  <c:v>0.43800822483221474</c:v>
                </c:pt>
                <c:pt idx="184">
                  <c:v>0.43800822483221474</c:v>
                </c:pt>
                <c:pt idx="185">
                  <c:v>0.43800822483221474</c:v>
                </c:pt>
                <c:pt idx="186">
                  <c:v>0.43800822483221474</c:v>
                </c:pt>
                <c:pt idx="187">
                  <c:v>0.43800822483221474</c:v>
                </c:pt>
                <c:pt idx="188">
                  <c:v>0.43800822483221474</c:v>
                </c:pt>
                <c:pt idx="189">
                  <c:v>0.43800822483221474</c:v>
                </c:pt>
                <c:pt idx="190">
                  <c:v>0.43800822483221474</c:v>
                </c:pt>
                <c:pt idx="191">
                  <c:v>0.43800822483221474</c:v>
                </c:pt>
                <c:pt idx="192">
                  <c:v>0.43800822483221474</c:v>
                </c:pt>
                <c:pt idx="193">
                  <c:v>0.43800822483221474</c:v>
                </c:pt>
                <c:pt idx="194">
                  <c:v>0.43800822483221474</c:v>
                </c:pt>
                <c:pt idx="195">
                  <c:v>0.43800822483221474</c:v>
                </c:pt>
                <c:pt idx="196">
                  <c:v>0.43800822483221474</c:v>
                </c:pt>
                <c:pt idx="197">
                  <c:v>0.43800822483221474</c:v>
                </c:pt>
                <c:pt idx="198">
                  <c:v>0.43800822483221474</c:v>
                </c:pt>
                <c:pt idx="199">
                  <c:v>0.43800822483221474</c:v>
                </c:pt>
                <c:pt idx="200">
                  <c:v>0.43800822483221474</c:v>
                </c:pt>
                <c:pt idx="201">
                  <c:v>0.43800822483221474</c:v>
                </c:pt>
                <c:pt idx="202">
                  <c:v>0.43800822483221474</c:v>
                </c:pt>
                <c:pt idx="203">
                  <c:v>0.43800822483221474</c:v>
                </c:pt>
                <c:pt idx="204">
                  <c:v>0.43800822483221474</c:v>
                </c:pt>
                <c:pt idx="205">
                  <c:v>0.43800822483221474</c:v>
                </c:pt>
                <c:pt idx="206">
                  <c:v>0.43800822483221474</c:v>
                </c:pt>
                <c:pt idx="207">
                  <c:v>0.43800822483221474</c:v>
                </c:pt>
                <c:pt idx="208">
                  <c:v>0.43800822483221474</c:v>
                </c:pt>
                <c:pt idx="209">
                  <c:v>0.43800822483221474</c:v>
                </c:pt>
                <c:pt idx="210">
                  <c:v>0.43800822483221474</c:v>
                </c:pt>
                <c:pt idx="211">
                  <c:v>0.43800822483221474</c:v>
                </c:pt>
                <c:pt idx="212">
                  <c:v>0.43800822483221474</c:v>
                </c:pt>
                <c:pt idx="213">
                  <c:v>0.43800822483221474</c:v>
                </c:pt>
                <c:pt idx="214">
                  <c:v>0.43800822483221474</c:v>
                </c:pt>
                <c:pt idx="215">
                  <c:v>0.43800822483221474</c:v>
                </c:pt>
                <c:pt idx="216">
                  <c:v>0.43800822483221474</c:v>
                </c:pt>
                <c:pt idx="217">
                  <c:v>0.43800822483221474</c:v>
                </c:pt>
                <c:pt idx="218">
                  <c:v>0.43800822483221474</c:v>
                </c:pt>
                <c:pt idx="219">
                  <c:v>0.43800822483221474</c:v>
                </c:pt>
                <c:pt idx="220">
                  <c:v>0.43800822483221474</c:v>
                </c:pt>
                <c:pt idx="221">
                  <c:v>0.43800822483221474</c:v>
                </c:pt>
                <c:pt idx="222">
                  <c:v>0.43800822483221474</c:v>
                </c:pt>
                <c:pt idx="223">
                  <c:v>0.43800822483221474</c:v>
                </c:pt>
                <c:pt idx="224">
                  <c:v>0.43800822483221474</c:v>
                </c:pt>
                <c:pt idx="225">
                  <c:v>0.43800822483221474</c:v>
                </c:pt>
                <c:pt idx="226">
                  <c:v>0.43800822483221474</c:v>
                </c:pt>
                <c:pt idx="227">
                  <c:v>0.43800822483221474</c:v>
                </c:pt>
                <c:pt idx="228">
                  <c:v>0.43800822483221474</c:v>
                </c:pt>
                <c:pt idx="229">
                  <c:v>0.43800822483221474</c:v>
                </c:pt>
                <c:pt idx="230">
                  <c:v>0.43800822483221474</c:v>
                </c:pt>
                <c:pt idx="231">
                  <c:v>0.43800822483221474</c:v>
                </c:pt>
                <c:pt idx="232">
                  <c:v>0.43800822483221474</c:v>
                </c:pt>
                <c:pt idx="233">
                  <c:v>0.43800822483221474</c:v>
                </c:pt>
                <c:pt idx="234">
                  <c:v>0.43800822483221474</c:v>
                </c:pt>
                <c:pt idx="235">
                  <c:v>0.43800822483221474</c:v>
                </c:pt>
                <c:pt idx="236">
                  <c:v>0.43800822483221474</c:v>
                </c:pt>
                <c:pt idx="237">
                  <c:v>0.43800822483221474</c:v>
                </c:pt>
                <c:pt idx="238">
                  <c:v>0.43800822483221474</c:v>
                </c:pt>
                <c:pt idx="239">
                  <c:v>0.43800822483221474</c:v>
                </c:pt>
                <c:pt idx="240">
                  <c:v>0.43800822483221474</c:v>
                </c:pt>
                <c:pt idx="241">
                  <c:v>0.43800822483221474</c:v>
                </c:pt>
                <c:pt idx="242">
                  <c:v>0.43800822483221474</c:v>
                </c:pt>
                <c:pt idx="243">
                  <c:v>0.43800822483221474</c:v>
                </c:pt>
                <c:pt idx="244">
                  <c:v>0.43800822483221474</c:v>
                </c:pt>
                <c:pt idx="245">
                  <c:v>0.43800822483221474</c:v>
                </c:pt>
                <c:pt idx="246">
                  <c:v>0.43800822483221474</c:v>
                </c:pt>
                <c:pt idx="247">
                  <c:v>0.43800822483221474</c:v>
                </c:pt>
                <c:pt idx="248">
                  <c:v>0.43800822483221474</c:v>
                </c:pt>
                <c:pt idx="249">
                  <c:v>0.43800822483221474</c:v>
                </c:pt>
                <c:pt idx="250">
                  <c:v>0.43800822483221474</c:v>
                </c:pt>
                <c:pt idx="251">
                  <c:v>0.43800822483221474</c:v>
                </c:pt>
                <c:pt idx="252">
                  <c:v>0.43800822483221474</c:v>
                </c:pt>
                <c:pt idx="253">
                  <c:v>0.43800822483221474</c:v>
                </c:pt>
                <c:pt idx="254">
                  <c:v>0.43800822483221474</c:v>
                </c:pt>
                <c:pt idx="255">
                  <c:v>0.43800822483221474</c:v>
                </c:pt>
                <c:pt idx="256">
                  <c:v>0.43800822483221474</c:v>
                </c:pt>
                <c:pt idx="257">
                  <c:v>0.43800822483221474</c:v>
                </c:pt>
                <c:pt idx="258">
                  <c:v>0.43800822483221474</c:v>
                </c:pt>
                <c:pt idx="259">
                  <c:v>0.43800822483221474</c:v>
                </c:pt>
                <c:pt idx="260">
                  <c:v>0.43800822483221474</c:v>
                </c:pt>
                <c:pt idx="261">
                  <c:v>0.43800822483221474</c:v>
                </c:pt>
                <c:pt idx="262">
                  <c:v>0.43800822483221474</c:v>
                </c:pt>
                <c:pt idx="263">
                  <c:v>0.43800822483221474</c:v>
                </c:pt>
                <c:pt idx="264">
                  <c:v>0.43800822483221474</c:v>
                </c:pt>
                <c:pt idx="265">
                  <c:v>0.43800822483221474</c:v>
                </c:pt>
                <c:pt idx="266">
                  <c:v>0.43800822483221474</c:v>
                </c:pt>
                <c:pt idx="267">
                  <c:v>0.43800822483221474</c:v>
                </c:pt>
                <c:pt idx="268">
                  <c:v>0.43800822483221474</c:v>
                </c:pt>
                <c:pt idx="269">
                  <c:v>0.43800822483221474</c:v>
                </c:pt>
                <c:pt idx="270">
                  <c:v>0.43800822483221474</c:v>
                </c:pt>
                <c:pt idx="271">
                  <c:v>0.43800822483221474</c:v>
                </c:pt>
                <c:pt idx="272">
                  <c:v>0.43800822483221474</c:v>
                </c:pt>
                <c:pt idx="273">
                  <c:v>0.43800822483221474</c:v>
                </c:pt>
                <c:pt idx="274">
                  <c:v>0.43800822483221474</c:v>
                </c:pt>
                <c:pt idx="275">
                  <c:v>0.43800822483221474</c:v>
                </c:pt>
                <c:pt idx="276">
                  <c:v>0.43800822483221474</c:v>
                </c:pt>
                <c:pt idx="277">
                  <c:v>0.43800822483221474</c:v>
                </c:pt>
                <c:pt idx="278">
                  <c:v>0.43800822483221474</c:v>
                </c:pt>
                <c:pt idx="279">
                  <c:v>0.43800822483221474</c:v>
                </c:pt>
                <c:pt idx="280">
                  <c:v>0.43800822483221474</c:v>
                </c:pt>
                <c:pt idx="281">
                  <c:v>0.43800822483221474</c:v>
                </c:pt>
                <c:pt idx="282">
                  <c:v>0.43800822483221474</c:v>
                </c:pt>
                <c:pt idx="283">
                  <c:v>0.43800822483221474</c:v>
                </c:pt>
                <c:pt idx="284">
                  <c:v>0.43800822483221474</c:v>
                </c:pt>
                <c:pt idx="285">
                  <c:v>0.43800822483221474</c:v>
                </c:pt>
                <c:pt idx="286">
                  <c:v>0.43800822483221474</c:v>
                </c:pt>
                <c:pt idx="287">
                  <c:v>0.43800822483221474</c:v>
                </c:pt>
                <c:pt idx="288">
                  <c:v>0.43800822483221474</c:v>
                </c:pt>
                <c:pt idx="289">
                  <c:v>0.43800822483221474</c:v>
                </c:pt>
                <c:pt idx="290">
                  <c:v>0.43800822483221474</c:v>
                </c:pt>
                <c:pt idx="291">
                  <c:v>0.43800822483221474</c:v>
                </c:pt>
                <c:pt idx="292">
                  <c:v>0.43800822483221474</c:v>
                </c:pt>
                <c:pt idx="293">
                  <c:v>0.43800822483221474</c:v>
                </c:pt>
                <c:pt idx="294">
                  <c:v>0.43800822483221474</c:v>
                </c:pt>
                <c:pt idx="295">
                  <c:v>0.43800822483221474</c:v>
                </c:pt>
                <c:pt idx="296">
                  <c:v>0.43800822483221474</c:v>
                </c:pt>
                <c:pt idx="297">
                  <c:v>0.43800822483221474</c:v>
                </c:pt>
                <c:pt idx="298">
                  <c:v>0.43800822483221474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85-4BAB-BC86-EA06EC73A768}"/>
            </c:ext>
          </c:extLst>
        </c:ser>
        <c:ser>
          <c:idx val="2"/>
          <c:order val="2"/>
          <c:tx>
            <c:strRef>
              <c:f>HYBOX1_TTV_SPC!$J$9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HYBOX1_TTV_SPC!$A$10:$A$308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</c:numCache>
            </c:numRef>
          </c:cat>
          <c:val>
            <c:numRef>
              <c:f>HYBOX1_TTV_SPC!$J$10:$J$308</c:f>
              <c:numCache>
                <c:formatCode>General</c:formatCode>
                <c:ptCount val="299"/>
                <c:pt idx="0">
                  <c:v>0.13407046979865772</c:v>
                </c:pt>
                <c:pt idx="1">
                  <c:v>0.13407046979865772</c:v>
                </c:pt>
                <c:pt idx="2">
                  <c:v>0.13407046979865772</c:v>
                </c:pt>
                <c:pt idx="3">
                  <c:v>0.13407046979865772</c:v>
                </c:pt>
                <c:pt idx="4">
                  <c:v>0.13407046979865772</c:v>
                </c:pt>
                <c:pt idx="5">
                  <c:v>0.13407046979865772</c:v>
                </c:pt>
                <c:pt idx="6">
                  <c:v>0.13407046979865772</c:v>
                </c:pt>
                <c:pt idx="7">
                  <c:v>0.13407046979865772</c:v>
                </c:pt>
                <c:pt idx="8">
                  <c:v>0.13407046979865772</c:v>
                </c:pt>
                <c:pt idx="9">
                  <c:v>0.13407046979865772</c:v>
                </c:pt>
                <c:pt idx="10">
                  <c:v>0.13407046979865772</c:v>
                </c:pt>
                <c:pt idx="11">
                  <c:v>0.13407046979865772</c:v>
                </c:pt>
                <c:pt idx="12">
                  <c:v>0.13407046979865772</c:v>
                </c:pt>
                <c:pt idx="13">
                  <c:v>0.13407046979865772</c:v>
                </c:pt>
                <c:pt idx="14">
                  <c:v>0.13407046979865772</c:v>
                </c:pt>
                <c:pt idx="15">
                  <c:v>0.13407046979865772</c:v>
                </c:pt>
                <c:pt idx="16">
                  <c:v>0.13407046979865772</c:v>
                </c:pt>
                <c:pt idx="17">
                  <c:v>0.13407046979865772</c:v>
                </c:pt>
                <c:pt idx="18">
                  <c:v>0.13407046979865772</c:v>
                </c:pt>
                <c:pt idx="19">
                  <c:v>0.13407046979865772</c:v>
                </c:pt>
                <c:pt idx="20">
                  <c:v>0.13407046979865772</c:v>
                </c:pt>
                <c:pt idx="21">
                  <c:v>0.13407046979865772</c:v>
                </c:pt>
                <c:pt idx="22">
                  <c:v>0.13407046979865772</c:v>
                </c:pt>
                <c:pt idx="23">
                  <c:v>0.13407046979865772</c:v>
                </c:pt>
                <c:pt idx="24">
                  <c:v>0.13407046979865772</c:v>
                </c:pt>
                <c:pt idx="25">
                  <c:v>0.13407046979865772</c:v>
                </c:pt>
                <c:pt idx="26">
                  <c:v>0.13407046979865772</c:v>
                </c:pt>
                <c:pt idx="27">
                  <c:v>0.13407046979865772</c:v>
                </c:pt>
                <c:pt idx="28">
                  <c:v>0.13407046979865772</c:v>
                </c:pt>
                <c:pt idx="29">
                  <c:v>0.13407046979865772</c:v>
                </c:pt>
                <c:pt idx="30">
                  <c:v>0.13407046979865772</c:v>
                </c:pt>
                <c:pt idx="31">
                  <c:v>0.13407046979865772</c:v>
                </c:pt>
                <c:pt idx="32">
                  <c:v>0.13407046979865772</c:v>
                </c:pt>
                <c:pt idx="33">
                  <c:v>0.13407046979865772</c:v>
                </c:pt>
                <c:pt idx="34">
                  <c:v>0.13407046979865772</c:v>
                </c:pt>
                <c:pt idx="35">
                  <c:v>0.13407046979865772</c:v>
                </c:pt>
                <c:pt idx="36">
                  <c:v>0.13407046979865772</c:v>
                </c:pt>
                <c:pt idx="37">
                  <c:v>0.13407046979865772</c:v>
                </c:pt>
                <c:pt idx="38">
                  <c:v>0.13407046979865772</c:v>
                </c:pt>
                <c:pt idx="39">
                  <c:v>0.13407046979865772</c:v>
                </c:pt>
                <c:pt idx="40">
                  <c:v>0.13407046979865772</c:v>
                </c:pt>
                <c:pt idx="41">
                  <c:v>0.13407046979865772</c:v>
                </c:pt>
                <c:pt idx="42">
                  <c:v>0.13407046979865772</c:v>
                </c:pt>
                <c:pt idx="43">
                  <c:v>0.13407046979865772</c:v>
                </c:pt>
                <c:pt idx="44">
                  <c:v>0.13407046979865772</c:v>
                </c:pt>
                <c:pt idx="45">
                  <c:v>0.13407046979865772</c:v>
                </c:pt>
                <c:pt idx="46">
                  <c:v>0.13407046979865772</c:v>
                </c:pt>
                <c:pt idx="47">
                  <c:v>0.13407046979865772</c:v>
                </c:pt>
                <c:pt idx="48">
                  <c:v>0.13407046979865772</c:v>
                </c:pt>
                <c:pt idx="49">
                  <c:v>0.13407046979865772</c:v>
                </c:pt>
                <c:pt idx="50">
                  <c:v>0.13407046979865772</c:v>
                </c:pt>
                <c:pt idx="51">
                  <c:v>0.13407046979865772</c:v>
                </c:pt>
                <c:pt idx="52">
                  <c:v>0.13407046979865772</c:v>
                </c:pt>
                <c:pt idx="53">
                  <c:v>0.13407046979865772</c:v>
                </c:pt>
                <c:pt idx="54">
                  <c:v>0.13407046979865772</c:v>
                </c:pt>
                <c:pt idx="55">
                  <c:v>0.13407046979865772</c:v>
                </c:pt>
                <c:pt idx="56">
                  <c:v>0.13407046979865772</c:v>
                </c:pt>
                <c:pt idx="57">
                  <c:v>0.13407046979865772</c:v>
                </c:pt>
                <c:pt idx="58">
                  <c:v>0.13407046979865772</c:v>
                </c:pt>
                <c:pt idx="59">
                  <c:v>0.13407046979865772</c:v>
                </c:pt>
                <c:pt idx="60">
                  <c:v>0.13407046979865772</c:v>
                </c:pt>
                <c:pt idx="61">
                  <c:v>0.13407046979865772</c:v>
                </c:pt>
                <c:pt idx="62">
                  <c:v>0.13407046979865772</c:v>
                </c:pt>
                <c:pt idx="63">
                  <c:v>0.13407046979865772</c:v>
                </c:pt>
                <c:pt idx="64">
                  <c:v>0.13407046979865772</c:v>
                </c:pt>
                <c:pt idx="65">
                  <c:v>0.13407046979865772</c:v>
                </c:pt>
                <c:pt idx="66">
                  <c:v>0.13407046979865772</c:v>
                </c:pt>
                <c:pt idx="67">
                  <c:v>0.13407046979865772</c:v>
                </c:pt>
                <c:pt idx="68">
                  <c:v>0.13407046979865772</c:v>
                </c:pt>
                <c:pt idx="69">
                  <c:v>0.13407046979865772</c:v>
                </c:pt>
                <c:pt idx="70">
                  <c:v>0.13407046979865772</c:v>
                </c:pt>
                <c:pt idx="71">
                  <c:v>0.13407046979865772</c:v>
                </c:pt>
                <c:pt idx="72">
                  <c:v>0.13407046979865772</c:v>
                </c:pt>
                <c:pt idx="73">
                  <c:v>0.13407046979865772</c:v>
                </c:pt>
                <c:pt idx="74">
                  <c:v>0.13407046979865772</c:v>
                </c:pt>
                <c:pt idx="75">
                  <c:v>0.13407046979865772</c:v>
                </c:pt>
                <c:pt idx="76">
                  <c:v>0.13407046979865772</c:v>
                </c:pt>
                <c:pt idx="77">
                  <c:v>0.13407046979865772</c:v>
                </c:pt>
                <c:pt idx="78">
                  <c:v>0.13407046979865772</c:v>
                </c:pt>
                <c:pt idx="79">
                  <c:v>0.13407046979865772</c:v>
                </c:pt>
                <c:pt idx="80">
                  <c:v>0.13407046979865772</c:v>
                </c:pt>
                <c:pt idx="81">
                  <c:v>0.13407046979865772</c:v>
                </c:pt>
                <c:pt idx="82">
                  <c:v>0.13407046979865772</c:v>
                </c:pt>
                <c:pt idx="83">
                  <c:v>0.13407046979865772</c:v>
                </c:pt>
                <c:pt idx="84">
                  <c:v>0.13407046979865772</c:v>
                </c:pt>
                <c:pt idx="85">
                  <c:v>0.13407046979865772</c:v>
                </c:pt>
                <c:pt idx="86">
                  <c:v>0.13407046979865772</c:v>
                </c:pt>
                <c:pt idx="87">
                  <c:v>0.13407046979865772</c:v>
                </c:pt>
                <c:pt idx="88">
                  <c:v>0.13407046979865772</c:v>
                </c:pt>
                <c:pt idx="89">
                  <c:v>0.13407046979865772</c:v>
                </c:pt>
                <c:pt idx="90">
                  <c:v>0.13407046979865772</c:v>
                </c:pt>
                <c:pt idx="91">
                  <c:v>0.13407046979865772</c:v>
                </c:pt>
                <c:pt idx="92">
                  <c:v>0.13407046979865772</c:v>
                </c:pt>
                <c:pt idx="93">
                  <c:v>0.13407046979865772</c:v>
                </c:pt>
                <c:pt idx="94">
                  <c:v>0.13407046979865772</c:v>
                </c:pt>
                <c:pt idx="95">
                  <c:v>0.13407046979865772</c:v>
                </c:pt>
                <c:pt idx="96">
                  <c:v>0.13407046979865772</c:v>
                </c:pt>
                <c:pt idx="97">
                  <c:v>0.13407046979865772</c:v>
                </c:pt>
                <c:pt idx="98">
                  <c:v>0.13407046979865772</c:v>
                </c:pt>
                <c:pt idx="99">
                  <c:v>0.13407046979865772</c:v>
                </c:pt>
                <c:pt idx="100">
                  <c:v>0.13407046979865772</c:v>
                </c:pt>
                <c:pt idx="101">
                  <c:v>0.13407046979865772</c:v>
                </c:pt>
                <c:pt idx="102">
                  <c:v>0.13407046979865772</c:v>
                </c:pt>
                <c:pt idx="103">
                  <c:v>0.13407046979865772</c:v>
                </c:pt>
                <c:pt idx="104">
                  <c:v>0.13407046979865772</c:v>
                </c:pt>
                <c:pt idx="105">
                  <c:v>0.13407046979865772</c:v>
                </c:pt>
                <c:pt idx="106">
                  <c:v>0.13407046979865772</c:v>
                </c:pt>
                <c:pt idx="107">
                  <c:v>0.13407046979865772</c:v>
                </c:pt>
                <c:pt idx="108">
                  <c:v>0.13407046979865772</c:v>
                </c:pt>
                <c:pt idx="109">
                  <c:v>0.13407046979865772</c:v>
                </c:pt>
                <c:pt idx="110">
                  <c:v>0.13407046979865772</c:v>
                </c:pt>
                <c:pt idx="111">
                  <c:v>0.13407046979865772</c:v>
                </c:pt>
                <c:pt idx="112">
                  <c:v>0.13407046979865772</c:v>
                </c:pt>
                <c:pt idx="113">
                  <c:v>0.13407046979865772</c:v>
                </c:pt>
                <c:pt idx="114">
                  <c:v>0.13407046979865772</c:v>
                </c:pt>
                <c:pt idx="115">
                  <c:v>0.13407046979865772</c:v>
                </c:pt>
                <c:pt idx="116">
                  <c:v>0.13407046979865772</c:v>
                </c:pt>
                <c:pt idx="117">
                  <c:v>0.13407046979865772</c:v>
                </c:pt>
                <c:pt idx="118">
                  <c:v>0.13407046979865772</c:v>
                </c:pt>
                <c:pt idx="119">
                  <c:v>0.13407046979865772</c:v>
                </c:pt>
                <c:pt idx="120">
                  <c:v>0.13407046979865772</c:v>
                </c:pt>
                <c:pt idx="121">
                  <c:v>0.13407046979865772</c:v>
                </c:pt>
                <c:pt idx="122">
                  <c:v>0.13407046979865772</c:v>
                </c:pt>
                <c:pt idx="123">
                  <c:v>0.13407046979865772</c:v>
                </c:pt>
                <c:pt idx="124">
                  <c:v>0.13407046979865772</c:v>
                </c:pt>
                <c:pt idx="125">
                  <c:v>0.13407046979865772</c:v>
                </c:pt>
                <c:pt idx="126">
                  <c:v>0.13407046979865772</c:v>
                </c:pt>
                <c:pt idx="127">
                  <c:v>0.13407046979865772</c:v>
                </c:pt>
                <c:pt idx="128">
                  <c:v>0.13407046979865772</c:v>
                </c:pt>
                <c:pt idx="129">
                  <c:v>0.13407046979865772</c:v>
                </c:pt>
                <c:pt idx="130">
                  <c:v>0.13407046979865772</c:v>
                </c:pt>
                <c:pt idx="131">
                  <c:v>0.13407046979865772</c:v>
                </c:pt>
                <c:pt idx="132">
                  <c:v>0.13407046979865772</c:v>
                </c:pt>
                <c:pt idx="133">
                  <c:v>0.13407046979865772</c:v>
                </c:pt>
                <c:pt idx="134">
                  <c:v>0.13407046979865772</c:v>
                </c:pt>
                <c:pt idx="135">
                  <c:v>0.13407046979865772</c:v>
                </c:pt>
                <c:pt idx="136">
                  <c:v>0.13407046979865772</c:v>
                </c:pt>
                <c:pt idx="137">
                  <c:v>0.13407046979865772</c:v>
                </c:pt>
                <c:pt idx="138">
                  <c:v>0.13407046979865772</c:v>
                </c:pt>
                <c:pt idx="139">
                  <c:v>0.13407046979865772</c:v>
                </c:pt>
                <c:pt idx="140">
                  <c:v>0.13407046979865772</c:v>
                </c:pt>
                <c:pt idx="141">
                  <c:v>0.13407046979865772</c:v>
                </c:pt>
                <c:pt idx="142">
                  <c:v>0.13407046979865772</c:v>
                </c:pt>
                <c:pt idx="143">
                  <c:v>0.13407046979865772</c:v>
                </c:pt>
                <c:pt idx="144">
                  <c:v>0.13407046979865772</c:v>
                </c:pt>
                <c:pt idx="145">
                  <c:v>0.13407046979865772</c:v>
                </c:pt>
                <c:pt idx="146">
                  <c:v>0.13407046979865772</c:v>
                </c:pt>
                <c:pt idx="147">
                  <c:v>0.13407046979865772</c:v>
                </c:pt>
                <c:pt idx="148">
                  <c:v>0.13407046979865772</c:v>
                </c:pt>
                <c:pt idx="149">
                  <c:v>0.13407046979865772</c:v>
                </c:pt>
                <c:pt idx="150">
                  <c:v>0.13407046979865772</c:v>
                </c:pt>
                <c:pt idx="151">
                  <c:v>0.13407046979865772</c:v>
                </c:pt>
                <c:pt idx="152">
                  <c:v>0.13407046979865772</c:v>
                </c:pt>
                <c:pt idx="153">
                  <c:v>0.13407046979865772</c:v>
                </c:pt>
                <c:pt idx="154">
                  <c:v>0.13407046979865772</c:v>
                </c:pt>
                <c:pt idx="155">
                  <c:v>0.13407046979865772</c:v>
                </c:pt>
                <c:pt idx="156">
                  <c:v>0.13407046979865772</c:v>
                </c:pt>
                <c:pt idx="157">
                  <c:v>0.13407046979865772</c:v>
                </c:pt>
                <c:pt idx="158">
                  <c:v>0.13407046979865772</c:v>
                </c:pt>
                <c:pt idx="159">
                  <c:v>0.13407046979865772</c:v>
                </c:pt>
                <c:pt idx="160">
                  <c:v>0.13407046979865772</c:v>
                </c:pt>
                <c:pt idx="161">
                  <c:v>0.13407046979865772</c:v>
                </c:pt>
                <c:pt idx="162">
                  <c:v>0.13407046979865772</c:v>
                </c:pt>
                <c:pt idx="163">
                  <c:v>0.13407046979865772</c:v>
                </c:pt>
                <c:pt idx="164">
                  <c:v>0.13407046979865772</c:v>
                </c:pt>
                <c:pt idx="165">
                  <c:v>0.13407046979865772</c:v>
                </c:pt>
                <c:pt idx="166">
                  <c:v>0.13407046979865772</c:v>
                </c:pt>
                <c:pt idx="167">
                  <c:v>0.13407046979865772</c:v>
                </c:pt>
                <c:pt idx="168">
                  <c:v>0.13407046979865772</c:v>
                </c:pt>
                <c:pt idx="169">
                  <c:v>0.13407046979865772</c:v>
                </c:pt>
                <c:pt idx="170">
                  <c:v>0.13407046979865772</c:v>
                </c:pt>
                <c:pt idx="171">
                  <c:v>0.13407046979865772</c:v>
                </c:pt>
                <c:pt idx="172">
                  <c:v>0.13407046979865772</c:v>
                </c:pt>
                <c:pt idx="173">
                  <c:v>0.13407046979865772</c:v>
                </c:pt>
                <c:pt idx="174">
                  <c:v>0.13407046979865772</c:v>
                </c:pt>
                <c:pt idx="175">
                  <c:v>0.13407046979865772</c:v>
                </c:pt>
                <c:pt idx="176">
                  <c:v>0.13407046979865772</c:v>
                </c:pt>
                <c:pt idx="177">
                  <c:v>0.13407046979865772</c:v>
                </c:pt>
                <c:pt idx="178">
                  <c:v>0.13407046979865772</c:v>
                </c:pt>
                <c:pt idx="179">
                  <c:v>0.13407046979865772</c:v>
                </c:pt>
                <c:pt idx="180">
                  <c:v>0.13407046979865772</c:v>
                </c:pt>
                <c:pt idx="181">
                  <c:v>0.13407046979865772</c:v>
                </c:pt>
                <c:pt idx="182">
                  <c:v>0.13407046979865772</c:v>
                </c:pt>
                <c:pt idx="183">
                  <c:v>0.13407046979865772</c:v>
                </c:pt>
                <c:pt idx="184">
                  <c:v>0.13407046979865772</c:v>
                </c:pt>
                <c:pt idx="185">
                  <c:v>0.13407046979865772</c:v>
                </c:pt>
                <c:pt idx="186">
                  <c:v>0.13407046979865772</c:v>
                </c:pt>
                <c:pt idx="187">
                  <c:v>0.13407046979865772</c:v>
                </c:pt>
                <c:pt idx="188">
                  <c:v>0.13407046979865772</c:v>
                </c:pt>
                <c:pt idx="189">
                  <c:v>0.13407046979865772</c:v>
                </c:pt>
                <c:pt idx="190">
                  <c:v>0.13407046979865772</c:v>
                </c:pt>
                <c:pt idx="191">
                  <c:v>0.13407046979865772</c:v>
                </c:pt>
                <c:pt idx="192">
                  <c:v>0.13407046979865772</c:v>
                </c:pt>
                <c:pt idx="193">
                  <c:v>0.13407046979865772</c:v>
                </c:pt>
                <c:pt idx="194">
                  <c:v>0.13407046979865772</c:v>
                </c:pt>
                <c:pt idx="195">
                  <c:v>0.13407046979865772</c:v>
                </c:pt>
                <c:pt idx="196">
                  <c:v>0.13407046979865772</c:v>
                </c:pt>
                <c:pt idx="197">
                  <c:v>0.13407046979865772</c:v>
                </c:pt>
                <c:pt idx="198">
                  <c:v>0.13407046979865772</c:v>
                </c:pt>
                <c:pt idx="199">
                  <c:v>0.13407046979865772</c:v>
                </c:pt>
                <c:pt idx="200">
                  <c:v>0.13407046979865772</c:v>
                </c:pt>
                <c:pt idx="201">
                  <c:v>0.13407046979865772</c:v>
                </c:pt>
                <c:pt idx="202">
                  <c:v>0.13407046979865772</c:v>
                </c:pt>
                <c:pt idx="203">
                  <c:v>0.13407046979865772</c:v>
                </c:pt>
                <c:pt idx="204">
                  <c:v>0.13407046979865772</c:v>
                </c:pt>
                <c:pt idx="205">
                  <c:v>0.13407046979865772</c:v>
                </c:pt>
                <c:pt idx="206">
                  <c:v>0.13407046979865772</c:v>
                </c:pt>
                <c:pt idx="207">
                  <c:v>0.13407046979865772</c:v>
                </c:pt>
                <c:pt idx="208">
                  <c:v>0.13407046979865772</c:v>
                </c:pt>
                <c:pt idx="209">
                  <c:v>0.13407046979865772</c:v>
                </c:pt>
                <c:pt idx="210">
                  <c:v>0.13407046979865772</c:v>
                </c:pt>
                <c:pt idx="211">
                  <c:v>0.13407046979865772</c:v>
                </c:pt>
                <c:pt idx="212">
                  <c:v>0.13407046979865772</c:v>
                </c:pt>
                <c:pt idx="213">
                  <c:v>0.13407046979865772</c:v>
                </c:pt>
                <c:pt idx="214">
                  <c:v>0.13407046979865772</c:v>
                </c:pt>
                <c:pt idx="215">
                  <c:v>0.13407046979865772</c:v>
                </c:pt>
                <c:pt idx="216">
                  <c:v>0.13407046979865772</c:v>
                </c:pt>
                <c:pt idx="217">
                  <c:v>0.13407046979865772</c:v>
                </c:pt>
                <c:pt idx="218">
                  <c:v>0.13407046979865772</c:v>
                </c:pt>
                <c:pt idx="219">
                  <c:v>0.13407046979865772</c:v>
                </c:pt>
                <c:pt idx="220">
                  <c:v>0.13407046979865772</c:v>
                </c:pt>
                <c:pt idx="221">
                  <c:v>0.13407046979865772</c:v>
                </c:pt>
                <c:pt idx="222">
                  <c:v>0.13407046979865772</c:v>
                </c:pt>
                <c:pt idx="223">
                  <c:v>0.13407046979865772</c:v>
                </c:pt>
                <c:pt idx="224">
                  <c:v>0.13407046979865772</c:v>
                </c:pt>
                <c:pt idx="225">
                  <c:v>0.13407046979865772</c:v>
                </c:pt>
                <c:pt idx="226">
                  <c:v>0.13407046979865772</c:v>
                </c:pt>
                <c:pt idx="227">
                  <c:v>0.13407046979865772</c:v>
                </c:pt>
                <c:pt idx="228">
                  <c:v>0.13407046979865772</c:v>
                </c:pt>
                <c:pt idx="229">
                  <c:v>0.13407046979865772</c:v>
                </c:pt>
                <c:pt idx="230">
                  <c:v>0.13407046979865772</c:v>
                </c:pt>
                <c:pt idx="231">
                  <c:v>0.13407046979865772</c:v>
                </c:pt>
                <c:pt idx="232">
                  <c:v>0.13407046979865772</c:v>
                </c:pt>
                <c:pt idx="233">
                  <c:v>0.13407046979865772</c:v>
                </c:pt>
                <c:pt idx="234">
                  <c:v>0.13407046979865772</c:v>
                </c:pt>
                <c:pt idx="235">
                  <c:v>0.13407046979865772</c:v>
                </c:pt>
                <c:pt idx="236">
                  <c:v>0.13407046979865772</c:v>
                </c:pt>
                <c:pt idx="237">
                  <c:v>0.13407046979865772</c:v>
                </c:pt>
                <c:pt idx="238">
                  <c:v>0.13407046979865772</c:v>
                </c:pt>
                <c:pt idx="239">
                  <c:v>0.13407046979865772</c:v>
                </c:pt>
                <c:pt idx="240">
                  <c:v>0.13407046979865772</c:v>
                </c:pt>
                <c:pt idx="241">
                  <c:v>0.13407046979865772</c:v>
                </c:pt>
                <c:pt idx="242">
                  <c:v>0.13407046979865772</c:v>
                </c:pt>
                <c:pt idx="243">
                  <c:v>0.13407046979865772</c:v>
                </c:pt>
                <c:pt idx="244">
                  <c:v>0.13407046979865772</c:v>
                </c:pt>
                <c:pt idx="245">
                  <c:v>0.13407046979865772</c:v>
                </c:pt>
                <c:pt idx="246">
                  <c:v>0.13407046979865772</c:v>
                </c:pt>
                <c:pt idx="247">
                  <c:v>0.13407046979865772</c:v>
                </c:pt>
                <c:pt idx="248">
                  <c:v>0.13407046979865772</c:v>
                </c:pt>
                <c:pt idx="249">
                  <c:v>0.13407046979865772</c:v>
                </c:pt>
                <c:pt idx="250">
                  <c:v>0.13407046979865772</c:v>
                </c:pt>
                <c:pt idx="251">
                  <c:v>0.13407046979865772</c:v>
                </c:pt>
                <c:pt idx="252">
                  <c:v>0.13407046979865772</c:v>
                </c:pt>
                <c:pt idx="253">
                  <c:v>0.13407046979865772</c:v>
                </c:pt>
                <c:pt idx="254">
                  <c:v>0.13407046979865772</c:v>
                </c:pt>
                <c:pt idx="255">
                  <c:v>0.13407046979865772</c:v>
                </c:pt>
                <c:pt idx="256">
                  <c:v>0.13407046979865772</c:v>
                </c:pt>
                <c:pt idx="257">
                  <c:v>0.13407046979865772</c:v>
                </c:pt>
                <c:pt idx="258">
                  <c:v>0.13407046979865772</c:v>
                </c:pt>
                <c:pt idx="259">
                  <c:v>0.13407046979865772</c:v>
                </c:pt>
                <c:pt idx="260">
                  <c:v>0.13407046979865772</c:v>
                </c:pt>
                <c:pt idx="261">
                  <c:v>0.13407046979865772</c:v>
                </c:pt>
                <c:pt idx="262">
                  <c:v>0.13407046979865772</c:v>
                </c:pt>
                <c:pt idx="263">
                  <c:v>0.13407046979865772</c:v>
                </c:pt>
                <c:pt idx="264">
                  <c:v>0.13407046979865772</c:v>
                </c:pt>
                <c:pt idx="265">
                  <c:v>0.13407046979865772</c:v>
                </c:pt>
                <c:pt idx="266">
                  <c:v>0.13407046979865772</c:v>
                </c:pt>
                <c:pt idx="267">
                  <c:v>0.13407046979865772</c:v>
                </c:pt>
                <c:pt idx="268">
                  <c:v>0.13407046979865772</c:v>
                </c:pt>
                <c:pt idx="269">
                  <c:v>0.13407046979865772</c:v>
                </c:pt>
                <c:pt idx="270">
                  <c:v>0.13407046979865772</c:v>
                </c:pt>
                <c:pt idx="271">
                  <c:v>0.13407046979865772</c:v>
                </c:pt>
                <c:pt idx="272">
                  <c:v>0.13407046979865772</c:v>
                </c:pt>
                <c:pt idx="273">
                  <c:v>0.13407046979865772</c:v>
                </c:pt>
                <c:pt idx="274">
                  <c:v>0.13407046979865772</c:v>
                </c:pt>
                <c:pt idx="275">
                  <c:v>0.13407046979865772</c:v>
                </c:pt>
                <c:pt idx="276">
                  <c:v>0.13407046979865772</c:v>
                </c:pt>
                <c:pt idx="277">
                  <c:v>0.13407046979865772</c:v>
                </c:pt>
                <c:pt idx="278">
                  <c:v>0.13407046979865772</c:v>
                </c:pt>
                <c:pt idx="279">
                  <c:v>0.13407046979865772</c:v>
                </c:pt>
                <c:pt idx="280">
                  <c:v>0.13407046979865772</c:v>
                </c:pt>
                <c:pt idx="281">
                  <c:v>0.13407046979865772</c:v>
                </c:pt>
                <c:pt idx="282">
                  <c:v>0.13407046979865772</c:v>
                </c:pt>
                <c:pt idx="283">
                  <c:v>0.13407046979865772</c:v>
                </c:pt>
                <c:pt idx="284">
                  <c:v>0.13407046979865772</c:v>
                </c:pt>
                <c:pt idx="285">
                  <c:v>0.13407046979865772</c:v>
                </c:pt>
                <c:pt idx="286">
                  <c:v>0.13407046979865772</c:v>
                </c:pt>
                <c:pt idx="287">
                  <c:v>0.13407046979865772</c:v>
                </c:pt>
                <c:pt idx="288">
                  <c:v>0.13407046979865772</c:v>
                </c:pt>
                <c:pt idx="289">
                  <c:v>0.13407046979865772</c:v>
                </c:pt>
                <c:pt idx="290">
                  <c:v>0.13407046979865772</c:v>
                </c:pt>
                <c:pt idx="291">
                  <c:v>0.13407046979865772</c:v>
                </c:pt>
                <c:pt idx="292">
                  <c:v>0.13407046979865772</c:v>
                </c:pt>
                <c:pt idx="293">
                  <c:v>0.13407046979865772</c:v>
                </c:pt>
                <c:pt idx="294">
                  <c:v>0.13407046979865772</c:v>
                </c:pt>
                <c:pt idx="295">
                  <c:v>0.13407046979865772</c:v>
                </c:pt>
                <c:pt idx="296">
                  <c:v>0.13407046979865772</c:v>
                </c:pt>
                <c:pt idx="297">
                  <c:v>0.13407046979865772</c:v>
                </c:pt>
                <c:pt idx="298">
                  <c:v>0.13407046979865772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85-4BAB-BC86-EA06EC73A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 Individuals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HYBOX2_TTV_SPC!$E$10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HYBOX2_TTV_SPC!$E$11:$E$308</c:f>
              <c:numCache>
                <c:formatCode>General</c:formatCode>
                <c:ptCount val="298"/>
                <c:pt idx="0">
                  <c:v>0.499</c:v>
                </c:pt>
                <c:pt idx="1">
                  <c:v>0.53400000000000003</c:v>
                </c:pt>
                <c:pt idx="2">
                  <c:v>0.51900000000000002</c:v>
                </c:pt>
                <c:pt idx="3">
                  <c:v>0.51600000000000001</c:v>
                </c:pt>
                <c:pt idx="4">
                  <c:v>0.245</c:v>
                </c:pt>
                <c:pt idx="5">
                  <c:v>0.44900000000000001</c:v>
                </c:pt>
                <c:pt idx="6">
                  <c:v>0.19900000000000001</c:v>
                </c:pt>
                <c:pt idx="7">
                  <c:v>0.249</c:v>
                </c:pt>
                <c:pt idx="8">
                  <c:v>0.36499999999999999</c:v>
                </c:pt>
                <c:pt idx="9">
                  <c:v>0.38400000000000001</c:v>
                </c:pt>
                <c:pt idx="10">
                  <c:v>0.155</c:v>
                </c:pt>
                <c:pt idx="11">
                  <c:v>0.59799999999999998</c:v>
                </c:pt>
                <c:pt idx="12">
                  <c:v>0.16300000000000001</c:v>
                </c:pt>
                <c:pt idx="13">
                  <c:v>0.35799999999999998</c:v>
                </c:pt>
                <c:pt idx="14">
                  <c:v>0.433</c:v>
                </c:pt>
                <c:pt idx="15">
                  <c:v>0.68300000000000005</c:v>
                </c:pt>
                <c:pt idx="16">
                  <c:v>0.28599999999999998</c:v>
                </c:pt>
                <c:pt idx="17">
                  <c:v>0.83399999999999996</c:v>
                </c:pt>
                <c:pt idx="18">
                  <c:v>0.28499999999999998</c:v>
                </c:pt>
                <c:pt idx="19">
                  <c:v>0.82799999999999996</c:v>
                </c:pt>
                <c:pt idx="20">
                  <c:v>0.19</c:v>
                </c:pt>
                <c:pt idx="21">
                  <c:v>0.308</c:v>
                </c:pt>
                <c:pt idx="22">
                  <c:v>0.20799999999999999</c:v>
                </c:pt>
                <c:pt idx="23">
                  <c:v>0.55400000000000005</c:v>
                </c:pt>
                <c:pt idx="24">
                  <c:v>0.34899999999999998</c:v>
                </c:pt>
                <c:pt idx="25">
                  <c:v>0.17199999999999999</c:v>
                </c:pt>
                <c:pt idx="26">
                  <c:v>0.4</c:v>
                </c:pt>
                <c:pt idx="27">
                  <c:v>0.42599999999999999</c:v>
                </c:pt>
                <c:pt idx="28">
                  <c:v>0.22700000000000001</c:v>
                </c:pt>
                <c:pt idx="29">
                  <c:v>0.30099999999999999</c:v>
                </c:pt>
                <c:pt idx="30">
                  <c:v>0.376</c:v>
                </c:pt>
                <c:pt idx="31">
                  <c:v>0.28999999999999998</c:v>
                </c:pt>
                <c:pt idx="32">
                  <c:v>0.29799999999999999</c:v>
                </c:pt>
                <c:pt idx="33">
                  <c:v>0.27800000000000002</c:v>
                </c:pt>
                <c:pt idx="34">
                  <c:v>0.432</c:v>
                </c:pt>
                <c:pt idx="35">
                  <c:v>0.46300000000000002</c:v>
                </c:pt>
                <c:pt idx="36">
                  <c:v>0.90100000000000002</c:v>
                </c:pt>
                <c:pt idx="37">
                  <c:v>0.56200000000000006</c:v>
                </c:pt>
                <c:pt idx="38">
                  <c:v>0.375</c:v>
                </c:pt>
                <c:pt idx="39">
                  <c:v>0.26</c:v>
                </c:pt>
                <c:pt idx="40">
                  <c:v>0.373</c:v>
                </c:pt>
                <c:pt idx="41">
                  <c:v>0.373</c:v>
                </c:pt>
                <c:pt idx="42">
                  <c:v>0.435</c:v>
                </c:pt>
                <c:pt idx="43">
                  <c:v>0.53300000000000003</c:v>
                </c:pt>
                <c:pt idx="44">
                  <c:v>0.39600000000000002</c:v>
                </c:pt>
                <c:pt idx="45">
                  <c:v>0.40899999999999997</c:v>
                </c:pt>
                <c:pt idx="46">
                  <c:v>0.33500000000000002</c:v>
                </c:pt>
                <c:pt idx="47">
                  <c:v>0.374</c:v>
                </c:pt>
                <c:pt idx="48">
                  <c:v>0.44900000000000001</c:v>
                </c:pt>
                <c:pt idx="49">
                  <c:v>0.49199999999999999</c:v>
                </c:pt>
                <c:pt idx="50">
                  <c:v>0.45500000000000002</c:v>
                </c:pt>
                <c:pt idx="51">
                  <c:v>0.51</c:v>
                </c:pt>
                <c:pt idx="52">
                  <c:v>0.47399999999999998</c:v>
                </c:pt>
                <c:pt idx="53">
                  <c:v>0.18099999999999999</c:v>
                </c:pt>
                <c:pt idx="54">
                  <c:v>0.31900000000000001</c:v>
                </c:pt>
                <c:pt idx="55">
                  <c:v>0.314</c:v>
                </c:pt>
                <c:pt idx="56">
                  <c:v>0.111</c:v>
                </c:pt>
                <c:pt idx="57">
                  <c:v>0.46300000000000002</c:v>
                </c:pt>
                <c:pt idx="58">
                  <c:v>0.245</c:v>
                </c:pt>
                <c:pt idx="59">
                  <c:v>0.19700000000000001</c:v>
                </c:pt>
                <c:pt idx="60">
                  <c:v>0.36299999999999999</c:v>
                </c:pt>
                <c:pt idx="61">
                  <c:v>0.20599999999999999</c:v>
                </c:pt>
                <c:pt idx="62">
                  <c:v>0.53300000000000003</c:v>
                </c:pt>
                <c:pt idx="63">
                  <c:v>0.27</c:v>
                </c:pt>
                <c:pt idx="64">
                  <c:v>0.52400000000000002</c:v>
                </c:pt>
                <c:pt idx="65">
                  <c:v>0.625</c:v>
                </c:pt>
                <c:pt idx="66">
                  <c:v>0.41699999999999998</c:v>
                </c:pt>
                <c:pt idx="67">
                  <c:v>0.57199999999999995</c:v>
                </c:pt>
                <c:pt idx="68">
                  <c:v>0.31900000000000001</c:v>
                </c:pt>
                <c:pt idx="69">
                  <c:v>0.11600000000000001</c:v>
                </c:pt>
                <c:pt idx="70">
                  <c:v>0.191</c:v>
                </c:pt>
                <c:pt idx="71">
                  <c:v>0.10100000000000001</c:v>
                </c:pt>
                <c:pt idx="72">
                  <c:v>0.40699999999999997</c:v>
                </c:pt>
                <c:pt idx="73">
                  <c:v>0.49099999999999999</c:v>
                </c:pt>
                <c:pt idx="74">
                  <c:v>0.13100000000000001</c:v>
                </c:pt>
                <c:pt idx="75">
                  <c:v>0.33700000000000002</c:v>
                </c:pt>
                <c:pt idx="76">
                  <c:v>0.377</c:v>
                </c:pt>
                <c:pt idx="77">
                  <c:v>0.129</c:v>
                </c:pt>
                <c:pt idx="78">
                  <c:v>0.49099999999999999</c:v>
                </c:pt>
                <c:pt idx="79">
                  <c:v>0.184</c:v>
                </c:pt>
                <c:pt idx="80">
                  <c:v>0.53800000000000003</c:v>
                </c:pt>
                <c:pt idx="81">
                  <c:v>0.39200000000000002</c:v>
                </c:pt>
                <c:pt idx="82">
                  <c:v>9.6000000000000002E-2</c:v>
                </c:pt>
                <c:pt idx="83">
                  <c:v>0.127</c:v>
                </c:pt>
                <c:pt idx="84">
                  <c:v>0.13</c:v>
                </c:pt>
                <c:pt idx="85">
                  <c:v>0.16200000000000001</c:v>
                </c:pt>
                <c:pt idx="86">
                  <c:v>0.31900000000000001</c:v>
                </c:pt>
                <c:pt idx="87">
                  <c:v>0.20799999999999999</c:v>
                </c:pt>
                <c:pt idx="88">
                  <c:v>0.13600000000000001</c:v>
                </c:pt>
                <c:pt idx="89">
                  <c:v>0.57599999999999996</c:v>
                </c:pt>
                <c:pt idx="90">
                  <c:v>0.78</c:v>
                </c:pt>
                <c:pt idx="91">
                  <c:v>0.78</c:v>
                </c:pt>
                <c:pt idx="92">
                  <c:v>0.65100000000000002</c:v>
                </c:pt>
                <c:pt idx="93">
                  <c:v>0.752</c:v>
                </c:pt>
                <c:pt idx="94">
                  <c:v>0.371</c:v>
                </c:pt>
                <c:pt idx="95">
                  <c:v>0.41</c:v>
                </c:pt>
                <c:pt idx="96">
                  <c:v>5.7000000000000002E-2</c:v>
                </c:pt>
                <c:pt idx="97">
                  <c:v>0.27500000000000002</c:v>
                </c:pt>
                <c:pt idx="98">
                  <c:v>0.377</c:v>
                </c:pt>
                <c:pt idx="99">
                  <c:v>0.24199999999999999</c:v>
                </c:pt>
                <c:pt idx="100">
                  <c:v>0.29399999999999998</c:v>
                </c:pt>
                <c:pt idx="101">
                  <c:v>0.33300000000000002</c:v>
                </c:pt>
                <c:pt idx="102">
                  <c:v>0.63800000000000001</c:v>
                </c:pt>
                <c:pt idx="103">
                  <c:v>0.34399999999999997</c:v>
                </c:pt>
                <c:pt idx="104">
                  <c:v>0.26900000000000002</c:v>
                </c:pt>
                <c:pt idx="105">
                  <c:v>0.23799999999999999</c:v>
                </c:pt>
                <c:pt idx="106">
                  <c:v>0.21199999999999999</c:v>
                </c:pt>
                <c:pt idx="107">
                  <c:v>0.44900000000000001</c:v>
                </c:pt>
                <c:pt idx="108">
                  <c:v>0.499</c:v>
                </c:pt>
                <c:pt idx="109">
                  <c:v>0.316</c:v>
                </c:pt>
                <c:pt idx="110">
                  <c:v>0.16900000000000001</c:v>
                </c:pt>
                <c:pt idx="111">
                  <c:v>0.435</c:v>
                </c:pt>
                <c:pt idx="112">
                  <c:v>0.191</c:v>
                </c:pt>
                <c:pt idx="113">
                  <c:v>0.19900000000000001</c:v>
                </c:pt>
                <c:pt idx="114">
                  <c:v>0.23799999999999999</c:v>
                </c:pt>
                <c:pt idx="115">
                  <c:v>7.4999999999999997E-2</c:v>
                </c:pt>
                <c:pt idx="116">
                  <c:v>0.20200000000000001</c:v>
                </c:pt>
                <c:pt idx="117">
                  <c:v>0.38500000000000001</c:v>
                </c:pt>
                <c:pt idx="118">
                  <c:v>0.35299999999999998</c:v>
                </c:pt>
                <c:pt idx="119">
                  <c:v>0.501</c:v>
                </c:pt>
                <c:pt idx="120">
                  <c:v>0.253</c:v>
                </c:pt>
                <c:pt idx="121">
                  <c:v>0.34799999999999998</c:v>
                </c:pt>
                <c:pt idx="122">
                  <c:v>0.29299999999999998</c:v>
                </c:pt>
                <c:pt idx="123">
                  <c:v>0.191</c:v>
                </c:pt>
                <c:pt idx="124">
                  <c:v>0.16500000000000001</c:v>
                </c:pt>
                <c:pt idx="125">
                  <c:v>0.161</c:v>
                </c:pt>
                <c:pt idx="126">
                  <c:v>0.124</c:v>
                </c:pt>
                <c:pt idx="127">
                  <c:v>7.0000000000000007E-2</c:v>
                </c:pt>
                <c:pt idx="128">
                  <c:v>0.22500000000000001</c:v>
                </c:pt>
                <c:pt idx="129">
                  <c:v>0.23100000000000001</c:v>
                </c:pt>
                <c:pt idx="130">
                  <c:v>0.32900000000000001</c:v>
                </c:pt>
                <c:pt idx="131">
                  <c:v>0.109</c:v>
                </c:pt>
                <c:pt idx="132">
                  <c:v>0.624</c:v>
                </c:pt>
                <c:pt idx="133">
                  <c:v>0.38200000000000001</c:v>
                </c:pt>
                <c:pt idx="134">
                  <c:v>0.436</c:v>
                </c:pt>
                <c:pt idx="135">
                  <c:v>0.621</c:v>
                </c:pt>
                <c:pt idx="136">
                  <c:v>0.33100000000000002</c:v>
                </c:pt>
                <c:pt idx="137">
                  <c:v>0.33800000000000002</c:v>
                </c:pt>
                <c:pt idx="138">
                  <c:v>0.64700000000000002</c:v>
                </c:pt>
                <c:pt idx="139">
                  <c:v>0.38400000000000001</c:v>
                </c:pt>
                <c:pt idx="140">
                  <c:v>0.53400000000000003</c:v>
                </c:pt>
                <c:pt idx="141">
                  <c:v>0.49299999999999999</c:v>
                </c:pt>
                <c:pt idx="142">
                  <c:v>0.28699999999999998</c:v>
                </c:pt>
                <c:pt idx="143">
                  <c:v>0.19700000000000001</c:v>
                </c:pt>
                <c:pt idx="144">
                  <c:v>0.30499999999999999</c:v>
                </c:pt>
                <c:pt idx="145">
                  <c:v>0.49099999999999999</c:v>
                </c:pt>
                <c:pt idx="146">
                  <c:v>0.28399999999999997</c:v>
                </c:pt>
                <c:pt idx="147">
                  <c:v>0.54400000000000004</c:v>
                </c:pt>
                <c:pt idx="148">
                  <c:v>0.13800000000000001</c:v>
                </c:pt>
                <c:pt idx="149">
                  <c:v>0.21099999999999999</c:v>
                </c:pt>
                <c:pt idx="150">
                  <c:v>0.251</c:v>
                </c:pt>
                <c:pt idx="151">
                  <c:v>0.27400000000000002</c:v>
                </c:pt>
                <c:pt idx="152">
                  <c:v>0.14399999999999999</c:v>
                </c:pt>
                <c:pt idx="153">
                  <c:v>0.106</c:v>
                </c:pt>
                <c:pt idx="154">
                  <c:v>0.24199999999999999</c:v>
                </c:pt>
                <c:pt idx="155">
                  <c:v>0.308</c:v>
                </c:pt>
                <c:pt idx="156">
                  <c:v>0.28899999999999998</c:v>
                </c:pt>
                <c:pt idx="157">
                  <c:v>0.32200000000000001</c:v>
                </c:pt>
                <c:pt idx="158">
                  <c:v>0.17499999999999999</c:v>
                </c:pt>
                <c:pt idx="159">
                  <c:v>0.245</c:v>
                </c:pt>
                <c:pt idx="160">
                  <c:v>0.26600000000000001</c:v>
                </c:pt>
                <c:pt idx="161">
                  <c:v>0.27600000000000002</c:v>
                </c:pt>
                <c:pt idx="162">
                  <c:v>0.18099999999999999</c:v>
                </c:pt>
                <c:pt idx="163">
                  <c:v>0.29799999999999999</c:v>
                </c:pt>
                <c:pt idx="164">
                  <c:v>0.23699999999999999</c:v>
                </c:pt>
                <c:pt idx="165">
                  <c:v>0.24199999999999999</c:v>
                </c:pt>
                <c:pt idx="166">
                  <c:v>0.23599999999999999</c:v>
                </c:pt>
                <c:pt idx="167">
                  <c:v>0.38400000000000001</c:v>
                </c:pt>
                <c:pt idx="168">
                  <c:v>0.48099999999999998</c:v>
                </c:pt>
                <c:pt idx="169">
                  <c:v>0.114</c:v>
                </c:pt>
                <c:pt idx="170">
                  <c:v>0.34799999999999998</c:v>
                </c:pt>
                <c:pt idx="171">
                  <c:v>0.34499999999999997</c:v>
                </c:pt>
                <c:pt idx="172">
                  <c:v>0.122</c:v>
                </c:pt>
                <c:pt idx="173">
                  <c:v>0.40600000000000003</c:v>
                </c:pt>
                <c:pt idx="174">
                  <c:v>0.495</c:v>
                </c:pt>
                <c:pt idx="175">
                  <c:v>0.439</c:v>
                </c:pt>
                <c:pt idx="176">
                  <c:v>0.14499999999999999</c:v>
                </c:pt>
                <c:pt idx="177">
                  <c:v>0.45800000000000002</c:v>
                </c:pt>
                <c:pt idx="178">
                  <c:v>0.53100000000000003</c:v>
                </c:pt>
                <c:pt idx="179">
                  <c:v>0.16800000000000001</c:v>
                </c:pt>
                <c:pt idx="180">
                  <c:v>0.19600000000000001</c:v>
                </c:pt>
                <c:pt idx="181">
                  <c:v>0.245</c:v>
                </c:pt>
                <c:pt idx="182">
                  <c:v>0.29599999999999999</c:v>
                </c:pt>
                <c:pt idx="183">
                  <c:v>0.35</c:v>
                </c:pt>
                <c:pt idx="184">
                  <c:v>0.20300000000000001</c:v>
                </c:pt>
                <c:pt idx="185">
                  <c:v>0.37</c:v>
                </c:pt>
                <c:pt idx="186">
                  <c:v>0.19700000000000001</c:v>
                </c:pt>
                <c:pt idx="187">
                  <c:v>0.29399999999999998</c:v>
                </c:pt>
                <c:pt idx="188">
                  <c:v>0.184</c:v>
                </c:pt>
                <c:pt idx="189">
                  <c:v>0.29399999999999998</c:v>
                </c:pt>
                <c:pt idx="190">
                  <c:v>0.39800000000000002</c:v>
                </c:pt>
                <c:pt idx="191">
                  <c:v>0.32500000000000001</c:v>
                </c:pt>
                <c:pt idx="192">
                  <c:v>0.18</c:v>
                </c:pt>
                <c:pt idx="193">
                  <c:v>6.9000000000000006E-2</c:v>
                </c:pt>
                <c:pt idx="194">
                  <c:v>0.34899999999999998</c:v>
                </c:pt>
                <c:pt idx="195">
                  <c:v>0.193</c:v>
                </c:pt>
                <c:pt idx="196">
                  <c:v>0.377</c:v>
                </c:pt>
                <c:pt idx="197">
                  <c:v>0.309</c:v>
                </c:pt>
                <c:pt idx="198">
                  <c:v>0.188</c:v>
                </c:pt>
                <c:pt idx="199">
                  <c:v>0.311</c:v>
                </c:pt>
                <c:pt idx="200">
                  <c:v>0.42899999999999999</c:v>
                </c:pt>
                <c:pt idx="201">
                  <c:v>0.23400000000000001</c:v>
                </c:pt>
                <c:pt idx="202">
                  <c:v>0.20300000000000001</c:v>
                </c:pt>
                <c:pt idx="203">
                  <c:v>0.59299999999999997</c:v>
                </c:pt>
                <c:pt idx="204">
                  <c:v>0.53300000000000003</c:v>
                </c:pt>
                <c:pt idx="205">
                  <c:v>0.308</c:v>
                </c:pt>
                <c:pt idx="206">
                  <c:v>0.67500000000000004</c:v>
                </c:pt>
                <c:pt idx="207">
                  <c:v>5.3999999999999999E-2</c:v>
                </c:pt>
                <c:pt idx="208">
                  <c:v>0.17399999999999999</c:v>
                </c:pt>
                <c:pt idx="209">
                  <c:v>0.218</c:v>
                </c:pt>
                <c:pt idx="210">
                  <c:v>0.432</c:v>
                </c:pt>
                <c:pt idx="211">
                  <c:v>0.38900000000000001</c:v>
                </c:pt>
                <c:pt idx="212">
                  <c:v>0.52100000000000002</c:v>
                </c:pt>
                <c:pt idx="213">
                  <c:v>0.40400000000000003</c:v>
                </c:pt>
                <c:pt idx="214">
                  <c:v>0.114</c:v>
                </c:pt>
                <c:pt idx="215">
                  <c:v>0.39500000000000002</c:v>
                </c:pt>
                <c:pt idx="216">
                  <c:v>0.46899999999999997</c:v>
                </c:pt>
                <c:pt idx="217">
                  <c:v>6.2E-2</c:v>
                </c:pt>
                <c:pt idx="218">
                  <c:v>0.50800000000000001</c:v>
                </c:pt>
                <c:pt idx="219">
                  <c:v>0.254</c:v>
                </c:pt>
                <c:pt idx="220">
                  <c:v>0.26500000000000001</c:v>
                </c:pt>
                <c:pt idx="221">
                  <c:v>0.39600000000000002</c:v>
                </c:pt>
                <c:pt idx="222">
                  <c:v>0.56200000000000006</c:v>
                </c:pt>
                <c:pt idx="223">
                  <c:v>0.27200000000000002</c:v>
                </c:pt>
                <c:pt idx="224">
                  <c:v>0.32600000000000001</c:v>
                </c:pt>
                <c:pt idx="225">
                  <c:v>0.622</c:v>
                </c:pt>
                <c:pt idx="226">
                  <c:v>0.373</c:v>
                </c:pt>
                <c:pt idx="227">
                  <c:v>0.40100000000000002</c:v>
                </c:pt>
                <c:pt idx="228">
                  <c:v>0.39</c:v>
                </c:pt>
                <c:pt idx="229">
                  <c:v>0.436</c:v>
                </c:pt>
                <c:pt idx="230">
                  <c:v>0.29199999999999998</c:v>
                </c:pt>
                <c:pt idx="231">
                  <c:v>0.193</c:v>
                </c:pt>
                <c:pt idx="232">
                  <c:v>0.13800000000000001</c:v>
                </c:pt>
                <c:pt idx="233">
                  <c:v>0.34399999999999997</c:v>
                </c:pt>
                <c:pt idx="234">
                  <c:v>0.187</c:v>
                </c:pt>
                <c:pt idx="235">
                  <c:v>0.152</c:v>
                </c:pt>
                <c:pt idx="236">
                  <c:v>0.41899999999999998</c:v>
                </c:pt>
                <c:pt idx="237">
                  <c:v>0.29799999999999999</c:v>
                </c:pt>
                <c:pt idx="238">
                  <c:v>0.47</c:v>
                </c:pt>
                <c:pt idx="239">
                  <c:v>0.40600000000000003</c:v>
                </c:pt>
                <c:pt idx="240">
                  <c:v>0.34899999999999998</c:v>
                </c:pt>
                <c:pt idx="241">
                  <c:v>9.5000000000000001E-2</c:v>
                </c:pt>
                <c:pt idx="242">
                  <c:v>0.30299999999999999</c:v>
                </c:pt>
                <c:pt idx="243">
                  <c:v>0.32700000000000001</c:v>
                </c:pt>
                <c:pt idx="244">
                  <c:v>0.53300000000000003</c:v>
                </c:pt>
                <c:pt idx="245">
                  <c:v>0.29299999999999998</c:v>
                </c:pt>
                <c:pt idx="246">
                  <c:v>0.86099999999999999</c:v>
                </c:pt>
                <c:pt idx="247">
                  <c:v>0.56100000000000005</c:v>
                </c:pt>
                <c:pt idx="248">
                  <c:v>0.13900000000000001</c:v>
                </c:pt>
                <c:pt idx="249">
                  <c:v>0.254</c:v>
                </c:pt>
                <c:pt idx="250">
                  <c:v>0.48599999999999999</c:v>
                </c:pt>
                <c:pt idx="251">
                  <c:v>4.3999999999999997E-2</c:v>
                </c:pt>
                <c:pt idx="252">
                  <c:v>0.308</c:v>
                </c:pt>
                <c:pt idx="253">
                  <c:v>0.28899999999999998</c:v>
                </c:pt>
                <c:pt idx="254">
                  <c:v>0.23699999999999999</c:v>
                </c:pt>
                <c:pt idx="255">
                  <c:v>0.42499999999999999</c:v>
                </c:pt>
                <c:pt idx="256">
                  <c:v>0.38700000000000001</c:v>
                </c:pt>
                <c:pt idx="257">
                  <c:v>0.434</c:v>
                </c:pt>
                <c:pt idx="258">
                  <c:v>0.183</c:v>
                </c:pt>
                <c:pt idx="259">
                  <c:v>0.44400000000000001</c:v>
                </c:pt>
                <c:pt idx="260">
                  <c:v>0.42</c:v>
                </c:pt>
                <c:pt idx="261">
                  <c:v>0.71699999999999997</c:v>
                </c:pt>
                <c:pt idx="262">
                  <c:v>0.52200000000000002</c:v>
                </c:pt>
                <c:pt idx="263">
                  <c:v>0.45400000000000001</c:v>
                </c:pt>
                <c:pt idx="264">
                  <c:v>0.47599999999999998</c:v>
                </c:pt>
                <c:pt idx="265">
                  <c:v>0.57699999999999996</c:v>
                </c:pt>
                <c:pt idx="266">
                  <c:v>0.16</c:v>
                </c:pt>
                <c:pt idx="267">
                  <c:v>0.25</c:v>
                </c:pt>
                <c:pt idx="268">
                  <c:v>0.17</c:v>
                </c:pt>
                <c:pt idx="269">
                  <c:v>0.14000000000000001</c:v>
                </c:pt>
                <c:pt idx="270">
                  <c:v>0.16900000000000001</c:v>
                </c:pt>
                <c:pt idx="271">
                  <c:v>0.34100000000000003</c:v>
                </c:pt>
                <c:pt idx="272">
                  <c:v>0.193</c:v>
                </c:pt>
                <c:pt idx="273">
                  <c:v>0.192</c:v>
                </c:pt>
                <c:pt idx="274">
                  <c:v>0.35499999999999998</c:v>
                </c:pt>
                <c:pt idx="275">
                  <c:v>0.48899999999999999</c:v>
                </c:pt>
                <c:pt idx="276">
                  <c:v>0.40100000000000002</c:v>
                </c:pt>
                <c:pt idx="277">
                  <c:v>0.20300000000000001</c:v>
                </c:pt>
                <c:pt idx="278">
                  <c:v>0.32600000000000001</c:v>
                </c:pt>
                <c:pt idx="279">
                  <c:v>0.219</c:v>
                </c:pt>
                <c:pt idx="280">
                  <c:v>0.17399999999999999</c:v>
                </c:pt>
                <c:pt idx="281">
                  <c:v>0.223</c:v>
                </c:pt>
                <c:pt idx="282">
                  <c:v>0.29899999999999999</c:v>
                </c:pt>
                <c:pt idx="283">
                  <c:v>0.13800000000000001</c:v>
                </c:pt>
                <c:pt idx="284">
                  <c:v>0.217</c:v>
                </c:pt>
                <c:pt idx="285">
                  <c:v>0.16300000000000001</c:v>
                </c:pt>
                <c:pt idx="286">
                  <c:v>8.8999999999999996E-2</c:v>
                </c:pt>
                <c:pt idx="287">
                  <c:v>0.18</c:v>
                </c:pt>
                <c:pt idx="288">
                  <c:v>0.45100000000000001</c:v>
                </c:pt>
                <c:pt idx="289">
                  <c:v>0.30399999999999999</c:v>
                </c:pt>
                <c:pt idx="290">
                  <c:v>0.39300000000000002</c:v>
                </c:pt>
                <c:pt idx="291">
                  <c:v>0.32200000000000001</c:v>
                </c:pt>
                <c:pt idx="292">
                  <c:v>0.40200000000000002</c:v>
                </c:pt>
                <c:pt idx="293">
                  <c:v>0.44900000000000001</c:v>
                </c:pt>
                <c:pt idx="294">
                  <c:v>0.253</c:v>
                </c:pt>
                <c:pt idx="295">
                  <c:v>0.34100000000000003</c:v>
                </c:pt>
                <c:pt idx="296">
                  <c:v>0.49399999999999999</c:v>
                </c:pt>
                <c:pt idx="297">
                  <c:v>0.193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4E-409A-BFE8-94CE5C063B47}"/>
            </c:ext>
          </c:extLst>
        </c:ser>
        <c:ser>
          <c:idx val="1"/>
          <c:order val="1"/>
          <c:tx>
            <c:strRef>
              <c:f>HYBOX2_TTV_SPC!$H$10</c:f>
              <c:strCache>
                <c:ptCount val="1"/>
                <c:pt idx="0">
                  <c:v>UCL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HYBOX2_TTV_SPC!$H$11:$H$308</c:f>
              <c:numCache>
                <c:formatCode>General</c:formatCode>
                <c:ptCount val="298"/>
                <c:pt idx="0">
                  <c:v>0.75475628362255476</c:v>
                </c:pt>
                <c:pt idx="1">
                  <c:v>0.75475628362255476</c:v>
                </c:pt>
                <c:pt idx="2">
                  <c:v>0.75475628362255476</c:v>
                </c:pt>
                <c:pt idx="3">
                  <c:v>0.75475628362255476</c:v>
                </c:pt>
                <c:pt idx="4">
                  <c:v>0.75475628362255476</c:v>
                </c:pt>
                <c:pt idx="5">
                  <c:v>0.75475628362255476</c:v>
                </c:pt>
                <c:pt idx="6">
                  <c:v>0.75475628362255476</c:v>
                </c:pt>
                <c:pt idx="7">
                  <c:v>0.75475628362255476</c:v>
                </c:pt>
                <c:pt idx="8">
                  <c:v>0.75475628362255476</c:v>
                </c:pt>
                <c:pt idx="9">
                  <c:v>0.75475628362255476</c:v>
                </c:pt>
                <c:pt idx="10">
                  <c:v>0.75475628362255476</c:v>
                </c:pt>
                <c:pt idx="11">
                  <c:v>0.75475628362255476</c:v>
                </c:pt>
                <c:pt idx="12">
                  <c:v>0.75475628362255476</c:v>
                </c:pt>
                <c:pt idx="13">
                  <c:v>0.75475628362255476</c:v>
                </c:pt>
                <c:pt idx="14">
                  <c:v>0.75475628362255476</c:v>
                </c:pt>
                <c:pt idx="15">
                  <c:v>0.75475628362255476</c:v>
                </c:pt>
                <c:pt idx="16">
                  <c:v>0.75475628362255476</c:v>
                </c:pt>
                <c:pt idx="17">
                  <c:v>0.75475628362255476</c:v>
                </c:pt>
                <c:pt idx="18">
                  <c:v>0.75475628362255476</c:v>
                </c:pt>
                <c:pt idx="19">
                  <c:v>0.75475628362255476</c:v>
                </c:pt>
                <c:pt idx="20">
                  <c:v>0.75475628362255476</c:v>
                </c:pt>
                <c:pt idx="21">
                  <c:v>0.75475628362255476</c:v>
                </c:pt>
                <c:pt idx="22">
                  <c:v>0.75475628362255476</c:v>
                </c:pt>
                <c:pt idx="23">
                  <c:v>0.75475628362255476</c:v>
                </c:pt>
                <c:pt idx="24">
                  <c:v>0.75475628362255476</c:v>
                </c:pt>
                <c:pt idx="25">
                  <c:v>0.75475628362255476</c:v>
                </c:pt>
                <c:pt idx="26">
                  <c:v>0.75475628362255476</c:v>
                </c:pt>
                <c:pt idx="27">
                  <c:v>0.75475628362255476</c:v>
                </c:pt>
                <c:pt idx="28">
                  <c:v>0.75475628362255476</c:v>
                </c:pt>
                <c:pt idx="29">
                  <c:v>0.75475628362255476</c:v>
                </c:pt>
                <c:pt idx="30">
                  <c:v>0.75475628362255476</c:v>
                </c:pt>
                <c:pt idx="31">
                  <c:v>0.75475628362255476</c:v>
                </c:pt>
                <c:pt idx="32">
                  <c:v>0.75475628362255476</c:v>
                </c:pt>
                <c:pt idx="33">
                  <c:v>0.75475628362255476</c:v>
                </c:pt>
                <c:pt idx="34">
                  <c:v>0.75475628362255476</c:v>
                </c:pt>
                <c:pt idx="35">
                  <c:v>0.75475628362255476</c:v>
                </c:pt>
                <c:pt idx="36">
                  <c:v>0.75475628362255476</c:v>
                </c:pt>
                <c:pt idx="37">
                  <c:v>0.75475628362255476</c:v>
                </c:pt>
                <c:pt idx="38">
                  <c:v>0.75475628362255476</c:v>
                </c:pt>
                <c:pt idx="39">
                  <c:v>0.75475628362255476</c:v>
                </c:pt>
                <c:pt idx="40">
                  <c:v>0.75475628362255476</c:v>
                </c:pt>
                <c:pt idx="41">
                  <c:v>0.75475628362255476</c:v>
                </c:pt>
                <c:pt idx="42">
                  <c:v>0.75475628362255476</c:v>
                </c:pt>
                <c:pt idx="43">
                  <c:v>0.75475628362255476</c:v>
                </c:pt>
                <c:pt idx="44">
                  <c:v>0.75475628362255476</c:v>
                </c:pt>
                <c:pt idx="45">
                  <c:v>0.75475628362255476</c:v>
                </c:pt>
                <c:pt idx="46">
                  <c:v>0.75475628362255476</c:v>
                </c:pt>
                <c:pt idx="47">
                  <c:v>0.75475628362255476</c:v>
                </c:pt>
                <c:pt idx="48">
                  <c:v>0.75475628362255476</c:v>
                </c:pt>
                <c:pt idx="49">
                  <c:v>0.75475628362255476</c:v>
                </c:pt>
                <c:pt idx="50">
                  <c:v>0.75475628362255476</c:v>
                </c:pt>
                <c:pt idx="51">
                  <c:v>0.75475628362255476</c:v>
                </c:pt>
                <c:pt idx="52">
                  <c:v>0.75475628362255476</c:v>
                </c:pt>
                <c:pt idx="53">
                  <c:v>0.75475628362255476</c:v>
                </c:pt>
                <c:pt idx="54">
                  <c:v>0.75475628362255476</c:v>
                </c:pt>
                <c:pt idx="55">
                  <c:v>0.75475628362255476</c:v>
                </c:pt>
                <c:pt idx="56">
                  <c:v>0.75475628362255476</c:v>
                </c:pt>
                <c:pt idx="57">
                  <c:v>0.75475628362255476</c:v>
                </c:pt>
                <c:pt idx="58">
                  <c:v>0.75475628362255476</c:v>
                </c:pt>
                <c:pt idx="59">
                  <c:v>0.75475628362255476</c:v>
                </c:pt>
                <c:pt idx="60">
                  <c:v>0.75475628362255476</c:v>
                </c:pt>
                <c:pt idx="61">
                  <c:v>0.75475628362255476</c:v>
                </c:pt>
                <c:pt idx="62">
                  <c:v>0.75475628362255476</c:v>
                </c:pt>
                <c:pt idx="63">
                  <c:v>0.75475628362255476</c:v>
                </c:pt>
                <c:pt idx="64">
                  <c:v>0.75475628362255476</c:v>
                </c:pt>
                <c:pt idx="65">
                  <c:v>0.75475628362255476</c:v>
                </c:pt>
                <c:pt idx="66">
                  <c:v>0.75475628362255476</c:v>
                </c:pt>
                <c:pt idx="67">
                  <c:v>0.75475628362255476</c:v>
                </c:pt>
                <c:pt idx="68">
                  <c:v>0.75475628362255476</c:v>
                </c:pt>
                <c:pt idx="69">
                  <c:v>0.75475628362255476</c:v>
                </c:pt>
                <c:pt idx="70">
                  <c:v>0.75475628362255476</c:v>
                </c:pt>
                <c:pt idx="71">
                  <c:v>0.75475628362255476</c:v>
                </c:pt>
                <c:pt idx="72">
                  <c:v>0.75475628362255476</c:v>
                </c:pt>
                <c:pt idx="73">
                  <c:v>0.75475628362255476</c:v>
                </c:pt>
                <c:pt idx="74">
                  <c:v>0.75475628362255476</c:v>
                </c:pt>
                <c:pt idx="75">
                  <c:v>0.75475628362255476</c:v>
                </c:pt>
                <c:pt idx="76">
                  <c:v>0.75475628362255476</c:v>
                </c:pt>
                <c:pt idx="77">
                  <c:v>0.75475628362255476</c:v>
                </c:pt>
                <c:pt idx="78">
                  <c:v>0.75475628362255476</c:v>
                </c:pt>
                <c:pt idx="79">
                  <c:v>0.75475628362255476</c:v>
                </c:pt>
                <c:pt idx="80">
                  <c:v>0.75475628362255476</c:v>
                </c:pt>
                <c:pt idx="81">
                  <c:v>0.75475628362255476</c:v>
                </c:pt>
                <c:pt idx="82">
                  <c:v>0.75475628362255476</c:v>
                </c:pt>
                <c:pt idx="83">
                  <c:v>0.75475628362255476</c:v>
                </c:pt>
                <c:pt idx="84">
                  <c:v>0.75475628362255476</c:v>
                </c:pt>
                <c:pt idx="85">
                  <c:v>0.75475628362255476</c:v>
                </c:pt>
                <c:pt idx="86">
                  <c:v>0.75475628362255476</c:v>
                </c:pt>
                <c:pt idx="87">
                  <c:v>0.75475628362255476</c:v>
                </c:pt>
                <c:pt idx="88">
                  <c:v>0.75475628362255476</c:v>
                </c:pt>
                <c:pt idx="89">
                  <c:v>0.75475628362255476</c:v>
                </c:pt>
                <c:pt idx="90">
                  <c:v>0.75475628362255476</c:v>
                </c:pt>
                <c:pt idx="91">
                  <c:v>0.75475628362255476</c:v>
                </c:pt>
                <c:pt idx="92">
                  <c:v>0.75475628362255476</c:v>
                </c:pt>
                <c:pt idx="93">
                  <c:v>0.75475628362255476</c:v>
                </c:pt>
                <c:pt idx="94">
                  <c:v>0.75475628362255476</c:v>
                </c:pt>
                <c:pt idx="95">
                  <c:v>0.75475628362255476</c:v>
                </c:pt>
                <c:pt idx="96">
                  <c:v>0.75475628362255476</c:v>
                </c:pt>
                <c:pt idx="97">
                  <c:v>0.75475628362255476</c:v>
                </c:pt>
                <c:pt idx="98">
                  <c:v>0.75475628362255476</c:v>
                </c:pt>
                <c:pt idx="99">
                  <c:v>0.75475628362255476</c:v>
                </c:pt>
                <c:pt idx="100">
                  <c:v>0.75475628362255476</c:v>
                </c:pt>
                <c:pt idx="101">
                  <c:v>0.75475628362255476</c:v>
                </c:pt>
                <c:pt idx="102">
                  <c:v>0.75475628362255476</c:v>
                </c:pt>
                <c:pt idx="103">
                  <c:v>0.75475628362255476</c:v>
                </c:pt>
                <c:pt idx="104">
                  <c:v>0.75475628362255476</c:v>
                </c:pt>
                <c:pt idx="105">
                  <c:v>0.75475628362255476</c:v>
                </c:pt>
                <c:pt idx="106">
                  <c:v>0.75475628362255476</c:v>
                </c:pt>
                <c:pt idx="107">
                  <c:v>0.75475628362255476</c:v>
                </c:pt>
                <c:pt idx="108">
                  <c:v>0.75475628362255476</c:v>
                </c:pt>
                <c:pt idx="109">
                  <c:v>0.75475628362255476</c:v>
                </c:pt>
                <c:pt idx="110">
                  <c:v>0.75475628362255476</c:v>
                </c:pt>
                <c:pt idx="111">
                  <c:v>0.75475628362255476</c:v>
                </c:pt>
                <c:pt idx="112">
                  <c:v>0.75475628362255476</c:v>
                </c:pt>
                <c:pt idx="113">
                  <c:v>0.75475628362255476</c:v>
                </c:pt>
                <c:pt idx="114">
                  <c:v>0.75475628362255476</c:v>
                </c:pt>
                <c:pt idx="115">
                  <c:v>0.75475628362255476</c:v>
                </c:pt>
                <c:pt idx="116">
                  <c:v>0.75475628362255476</c:v>
                </c:pt>
                <c:pt idx="117">
                  <c:v>0.75475628362255476</c:v>
                </c:pt>
                <c:pt idx="118">
                  <c:v>0.75475628362255476</c:v>
                </c:pt>
                <c:pt idx="119">
                  <c:v>0.75475628362255476</c:v>
                </c:pt>
                <c:pt idx="120">
                  <c:v>0.75475628362255476</c:v>
                </c:pt>
                <c:pt idx="121">
                  <c:v>0.75475628362255476</c:v>
                </c:pt>
                <c:pt idx="122">
                  <c:v>0.75475628362255476</c:v>
                </c:pt>
                <c:pt idx="123">
                  <c:v>0.75475628362255476</c:v>
                </c:pt>
                <c:pt idx="124">
                  <c:v>0.75475628362255476</c:v>
                </c:pt>
                <c:pt idx="125">
                  <c:v>0.75475628362255476</c:v>
                </c:pt>
                <c:pt idx="126">
                  <c:v>0.75475628362255476</c:v>
                </c:pt>
                <c:pt idx="127">
                  <c:v>0.75475628362255476</c:v>
                </c:pt>
                <c:pt idx="128">
                  <c:v>0.75475628362255476</c:v>
                </c:pt>
                <c:pt idx="129">
                  <c:v>0.75475628362255476</c:v>
                </c:pt>
                <c:pt idx="130">
                  <c:v>0.75475628362255476</c:v>
                </c:pt>
                <c:pt idx="131">
                  <c:v>0.75475628362255476</c:v>
                </c:pt>
                <c:pt idx="132">
                  <c:v>0.75475628362255476</c:v>
                </c:pt>
                <c:pt idx="133">
                  <c:v>0.75475628362255476</c:v>
                </c:pt>
                <c:pt idx="134">
                  <c:v>0.75475628362255476</c:v>
                </c:pt>
                <c:pt idx="135">
                  <c:v>0.75475628362255476</c:v>
                </c:pt>
                <c:pt idx="136">
                  <c:v>0.75475628362255476</c:v>
                </c:pt>
                <c:pt idx="137">
                  <c:v>0.75475628362255476</c:v>
                </c:pt>
                <c:pt idx="138">
                  <c:v>0.75475628362255476</c:v>
                </c:pt>
                <c:pt idx="139">
                  <c:v>0.75475628362255476</c:v>
                </c:pt>
                <c:pt idx="140">
                  <c:v>0.75475628362255476</c:v>
                </c:pt>
                <c:pt idx="141">
                  <c:v>0.75475628362255476</c:v>
                </c:pt>
                <c:pt idx="142">
                  <c:v>0.75475628362255476</c:v>
                </c:pt>
                <c:pt idx="143">
                  <c:v>0.75475628362255476</c:v>
                </c:pt>
                <c:pt idx="144">
                  <c:v>0.75475628362255476</c:v>
                </c:pt>
                <c:pt idx="145">
                  <c:v>0.75475628362255476</c:v>
                </c:pt>
                <c:pt idx="146">
                  <c:v>0.75475628362255476</c:v>
                </c:pt>
                <c:pt idx="147">
                  <c:v>0.75475628362255476</c:v>
                </c:pt>
                <c:pt idx="148">
                  <c:v>0.75475628362255476</c:v>
                </c:pt>
                <c:pt idx="149">
                  <c:v>0.75475628362255476</c:v>
                </c:pt>
                <c:pt idx="150">
                  <c:v>0.75475628362255476</c:v>
                </c:pt>
                <c:pt idx="151">
                  <c:v>0.75475628362255476</c:v>
                </c:pt>
                <c:pt idx="152">
                  <c:v>0.75475628362255476</c:v>
                </c:pt>
                <c:pt idx="153">
                  <c:v>0.75475628362255476</c:v>
                </c:pt>
                <c:pt idx="154">
                  <c:v>0.75475628362255476</c:v>
                </c:pt>
                <c:pt idx="155">
                  <c:v>0.75475628362255476</c:v>
                </c:pt>
                <c:pt idx="156">
                  <c:v>0.75475628362255476</c:v>
                </c:pt>
                <c:pt idx="157">
                  <c:v>0.75475628362255476</c:v>
                </c:pt>
                <c:pt idx="158">
                  <c:v>0.75475628362255476</c:v>
                </c:pt>
                <c:pt idx="159">
                  <c:v>0.75475628362255476</c:v>
                </c:pt>
                <c:pt idx="160">
                  <c:v>0.75475628362255476</c:v>
                </c:pt>
                <c:pt idx="161">
                  <c:v>0.75475628362255476</c:v>
                </c:pt>
                <c:pt idx="162">
                  <c:v>0.75475628362255476</c:v>
                </c:pt>
                <c:pt idx="163">
                  <c:v>0.75475628362255476</c:v>
                </c:pt>
                <c:pt idx="164">
                  <c:v>0.75475628362255476</c:v>
                </c:pt>
                <c:pt idx="165">
                  <c:v>0.75475628362255476</c:v>
                </c:pt>
                <c:pt idx="166">
                  <c:v>0.75475628362255476</c:v>
                </c:pt>
                <c:pt idx="167">
                  <c:v>0.75475628362255476</c:v>
                </c:pt>
                <c:pt idx="168">
                  <c:v>0.75475628362255476</c:v>
                </c:pt>
                <c:pt idx="169">
                  <c:v>0.75475628362255476</c:v>
                </c:pt>
                <c:pt idx="170">
                  <c:v>0.75475628362255476</c:v>
                </c:pt>
                <c:pt idx="171">
                  <c:v>0.75475628362255476</c:v>
                </c:pt>
                <c:pt idx="172">
                  <c:v>0.75475628362255476</c:v>
                </c:pt>
                <c:pt idx="173">
                  <c:v>0.75475628362255476</c:v>
                </c:pt>
                <c:pt idx="174">
                  <c:v>0.75475628362255476</c:v>
                </c:pt>
                <c:pt idx="175">
                  <c:v>0.75475628362255476</c:v>
                </c:pt>
                <c:pt idx="176">
                  <c:v>0.75475628362255476</c:v>
                </c:pt>
                <c:pt idx="177">
                  <c:v>0.75475628362255476</c:v>
                </c:pt>
                <c:pt idx="178">
                  <c:v>0.75475628362255476</c:v>
                </c:pt>
                <c:pt idx="179">
                  <c:v>0.75475628362255476</c:v>
                </c:pt>
                <c:pt idx="180">
                  <c:v>0.75475628362255476</c:v>
                </c:pt>
                <c:pt idx="181">
                  <c:v>0.75475628362255476</c:v>
                </c:pt>
                <c:pt idx="182">
                  <c:v>0.75475628362255476</c:v>
                </c:pt>
                <c:pt idx="183">
                  <c:v>0.75475628362255476</c:v>
                </c:pt>
                <c:pt idx="184">
                  <c:v>0.75475628362255476</c:v>
                </c:pt>
                <c:pt idx="185">
                  <c:v>0.75475628362255476</c:v>
                </c:pt>
                <c:pt idx="186">
                  <c:v>0.75475628362255476</c:v>
                </c:pt>
                <c:pt idx="187">
                  <c:v>0.75475628362255476</c:v>
                </c:pt>
                <c:pt idx="188">
                  <c:v>0.75475628362255476</c:v>
                </c:pt>
                <c:pt idx="189">
                  <c:v>0.75475628362255476</c:v>
                </c:pt>
                <c:pt idx="190">
                  <c:v>0.75475628362255476</c:v>
                </c:pt>
                <c:pt idx="191">
                  <c:v>0.75475628362255476</c:v>
                </c:pt>
                <c:pt idx="192">
                  <c:v>0.75475628362255476</c:v>
                </c:pt>
                <c:pt idx="193">
                  <c:v>0.75475628362255476</c:v>
                </c:pt>
                <c:pt idx="194">
                  <c:v>0.75475628362255476</c:v>
                </c:pt>
                <c:pt idx="195">
                  <c:v>0.75475628362255476</c:v>
                </c:pt>
                <c:pt idx="196">
                  <c:v>0.75475628362255476</c:v>
                </c:pt>
                <c:pt idx="197">
                  <c:v>0.75475628362255476</c:v>
                </c:pt>
                <c:pt idx="198">
                  <c:v>0.75475628362255476</c:v>
                </c:pt>
                <c:pt idx="199">
                  <c:v>0.75475628362255476</c:v>
                </c:pt>
                <c:pt idx="200">
                  <c:v>0.75475628362255476</c:v>
                </c:pt>
                <c:pt idx="201">
                  <c:v>0.75475628362255476</c:v>
                </c:pt>
                <c:pt idx="202">
                  <c:v>0.75475628362255476</c:v>
                </c:pt>
                <c:pt idx="203">
                  <c:v>0.75475628362255476</c:v>
                </c:pt>
                <c:pt idx="204">
                  <c:v>0.75475628362255476</c:v>
                </c:pt>
                <c:pt idx="205">
                  <c:v>0.75475628362255476</c:v>
                </c:pt>
                <c:pt idx="206">
                  <c:v>0.75475628362255476</c:v>
                </c:pt>
                <c:pt idx="207">
                  <c:v>0.75475628362255476</c:v>
                </c:pt>
                <c:pt idx="208">
                  <c:v>0.75475628362255476</c:v>
                </c:pt>
                <c:pt idx="209">
                  <c:v>0.75475628362255476</c:v>
                </c:pt>
                <c:pt idx="210">
                  <c:v>0.75475628362255476</c:v>
                </c:pt>
                <c:pt idx="211">
                  <c:v>0.75475628362255476</c:v>
                </c:pt>
                <c:pt idx="212">
                  <c:v>0.75475628362255476</c:v>
                </c:pt>
                <c:pt idx="213">
                  <c:v>0.75475628362255476</c:v>
                </c:pt>
                <c:pt idx="214">
                  <c:v>0.75475628362255476</c:v>
                </c:pt>
                <c:pt idx="215">
                  <c:v>0.75475628362255476</c:v>
                </c:pt>
                <c:pt idx="216">
                  <c:v>0.75475628362255476</c:v>
                </c:pt>
                <c:pt idx="217">
                  <c:v>0.75475628362255476</c:v>
                </c:pt>
                <c:pt idx="218">
                  <c:v>0.75475628362255476</c:v>
                </c:pt>
                <c:pt idx="219">
                  <c:v>0.75475628362255476</c:v>
                </c:pt>
                <c:pt idx="220">
                  <c:v>0.75475628362255476</c:v>
                </c:pt>
                <c:pt idx="221">
                  <c:v>0.75475628362255476</c:v>
                </c:pt>
                <c:pt idx="222">
                  <c:v>0.75475628362255476</c:v>
                </c:pt>
                <c:pt idx="223">
                  <c:v>0.75475628362255476</c:v>
                </c:pt>
                <c:pt idx="224">
                  <c:v>0.75475628362255476</c:v>
                </c:pt>
                <c:pt idx="225">
                  <c:v>0.75475628362255476</c:v>
                </c:pt>
                <c:pt idx="226">
                  <c:v>0.75475628362255476</c:v>
                </c:pt>
                <c:pt idx="227">
                  <c:v>0.75475628362255476</c:v>
                </c:pt>
                <c:pt idx="228">
                  <c:v>0.75475628362255476</c:v>
                </c:pt>
                <c:pt idx="229">
                  <c:v>0.75475628362255476</c:v>
                </c:pt>
                <c:pt idx="230">
                  <c:v>0.75475628362255476</c:v>
                </c:pt>
                <c:pt idx="231">
                  <c:v>0.75475628362255476</c:v>
                </c:pt>
                <c:pt idx="232">
                  <c:v>0.75475628362255476</c:v>
                </c:pt>
                <c:pt idx="233">
                  <c:v>0.75475628362255476</c:v>
                </c:pt>
                <c:pt idx="234">
                  <c:v>0.75475628362255476</c:v>
                </c:pt>
                <c:pt idx="235">
                  <c:v>0.75475628362255476</c:v>
                </c:pt>
                <c:pt idx="236">
                  <c:v>0.75475628362255476</c:v>
                </c:pt>
                <c:pt idx="237">
                  <c:v>0.75475628362255476</c:v>
                </c:pt>
                <c:pt idx="238">
                  <c:v>0.75475628362255476</c:v>
                </c:pt>
                <c:pt idx="239">
                  <c:v>0.75475628362255476</c:v>
                </c:pt>
                <c:pt idx="240">
                  <c:v>0.75475628362255476</c:v>
                </c:pt>
                <c:pt idx="241">
                  <c:v>0.75475628362255476</c:v>
                </c:pt>
                <c:pt idx="242">
                  <c:v>0.75475628362255476</c:v>
                </c:pt>
                <c:pt idx="243">
                  <c:v>0.75475628362255476</c:v>
                </c:pt>
                <c:pt idx="244">
                  <c:v>0.75475628362255476</c:v>
                </c:pt>
                <c:pt idx="245">
                  <c:v>0.75475628362255476</c:v>
                </c:pt>
                <c:pt idx="246">
                  <c:v>0.75475628362255476</c:v>
                </c:pt>
                <c:pt idx="247">
                  <c:v>0.75475628362255476</c:v>
                </c:pt>
                <c:pt idx="248">
                  <c:v>0.75475628362255476</c:v>
                </c:pt>
                <c:pt idx="249">
                  <c:v>0.75475628362255476</c:v>
                </c:pt>
                <c:pt idx="250">
                  <c:v>0.75475628362255476</c:v>
                </c:pt>
                <c:pt idx="251">
                  <c:v>0.75475628362255476</c:v>
                </c:pt>
                <c:pt idx="252">
                  <c:v>0.75475628362255476</c:v>
                </c:pt>
                <c:pt idx="253">
                  <c:v>0.75475628362255476</c:v>
                </c:pt>
                <c:pt idx="254">
                  <c:v>0.75475628362255476</c:v>
                </c:pt>
                <c:pt idx="255">
                  <c:v>0.75475628362255476</c:v>
                </c:pt>
                <c:pt idx="256">
                  <c:v>0.75475628362255476</c:v>
                </c:pt>
                <c:pt idx="257">
                  <c:v>0.75475628362255476</c:v>
                </c:pt>
                <c:pt idx="258">
                  <c:v>0.75475628362255476</c:v>
                </c:pt>
                <c:pt idx="259">
                  <c:v>0.75475628362255476</c:v>
                </c:pt>
                <c:pt idx="260">
                  <c:v>0.75475628362255476</c:v>
                </c:pt>
                <c:pt idx="261">
                  <c:v>0.75475628362255476</c:v>
                </c:pt>
                <c:pt idx="262">
                  <c:v>0.75475628362255476</c:v>
                </c:pt>
                <c:pt idx="263">
                  <c:v>0.75475628362255476</c:v>
                </c:pt>
                <c:pt idx="264">
                  <c:v>0.75475628362255476</c:v>
                </c:pt>
                <c:pt idx="265">
                  <c:v>0.75475628362255476</c:v>
                </c:pt>
                <c:pt idx="266">
                  <c:v>0.75475628362255476</c:v>
                </c:pt>
                <c:pt idx="267">
                  <c:v>0.75475628362255476</c:v>
                </c:pt>
                <c:pt idx="268">
                  <c:v>0.75475628362255476</c:v>
                </c:pt>
                <c:pt idx="269">
                  <c:v>0.75475628362255476</c:v>
                </c:pt>
                <c:pt idx="270">
                  <c:v>0.75475628362255476</c:v>
                </c:pt>
                <c:pt idx="271">
                  <c:v>0.75475628362255476</c:v>
                </c:pt>
                <c:pt idx="272">
                  <c:v>0.75475628362255476</c:v>
                </c:pt>
                <c:pt idx="273">
                  <c:v>0.75475628362255476</c:v>
                </c:pt>
                <c:pt idx="274">
                  <c:v>0.75475628362255476</c:v>
                </c:pt>
                <c:pt idx="275">
                  <c:v>0.75475628362255476</c:v>
                </c:pt>
                <c:pt idx="276">
                  <c:v>0.75475628362255476</c:v>
                </c:pt>
                <c:pt idx="277">
                  <c:v>0.75475628362255476</c:v>
                </c:pt>
                <c:pt idx="278">
                  <c:v>0.75475628362255476</c:v>
                </c:pt>
                <c:pt idx="279">
                  <c:v>0.75475628362255476</c:v>
                </c:pt>
                <c:pt idx="280">
                  <c:v>0.75475628362255476</c:v>
                </c:pt>
                <c:pt idx="281">
                  <c:v>0.75475628362255476</c:v>
                </c:pt>
                <c:pt idx="282">
                  <c:v>0.75475628362255476</c:v>
                </c:pt>
                <c:pt idx="283">
                  <c:v>0.75475628362255476</c:v>
                </c:pt>
                <c:pt idx="284">
                  <c:v>0.75475628362255476</c:v>
                </c:pt>
                <c:pt idx="285">
                  <c:v>0.75475628362255476</c:v>
                </c:pt>
                <c:pt idx="286">
                  <c:v>0.75475628362255476</c:v>
                </c:pt>
                <c:pt idx="287">
                  <c:v>0.75475628362255476</c:v>
                </c:pt>
                <c:pt idx="288">
                  <c:v>0.75475628362255476</c:v>
                </c:pt>
                <c:pt idx="289">
                  <c:v>0.75475628362255476</c:v>
                </c:pt>
                <c:pt idx="290">
                  <c:v>0.75475628362255476</c:v>
                </c:pt>
                <c:pt idx="291">
                  <c:v>0.75475628362255476</c:v>
                </c:pt>
                <c:pt idx="292">
                  <c:v>0.75475628362255476</c:v>
                </c:pt>
                <c:pt idx="293">
                  <c:v>0.75475628362255476</c:v>
                </c:pt>
                <c:pt idx="294">
                  <c:v>0.75475628362255476</c:v>
                </c:pt>
                <c:pt idx="295">
                  <c:v>0.75475628362255476</c:v>
                </c:pt>
                <c:pt idx="296">
                  <c:v>0.75475628362255476</c:v>
                </c:pt>
                <c:pt idx="297">
                  <c:v>0.75475628362255476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4E-409A-BFE8-94CE5C063B47}"/>
            </c:ext>
          </c:extLst>
        </c:ser>
        <c:ser>
          <c:idx val="2"/>
          <c:order val="2"/>
          <c:tx>
            <c:strRef>
              <c:f>HYBOX2_TTV_SPC!$G$10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HYBOX2_TTV_SPC!$G$11:$G$308</c:f>
              <c:numCache>
                <c:formatCode>General</c:formatCode>
                <c:ptCount val="298"/>
                <c:pt idx="0">
                  <c:v>0.3362986577181209</c:v>
                </c:pt>
                <c:pt idx="1">
                  <c:v>0.3362986577181209</c:v>
                </c:pt>
                <c:pt idx="2">
                  <c:v>0.3362986577181209</c:v>
                </c:pt>
                <c:pt idx="3">
                  <c:v>0.3362986577181209</c:v>
                </c:pt>
                <c:pt idx="4">
                  <c:v>0.3362986577181209</c:v>
                </c:pt>
                <c:pt idx="5">
                  <c:v>0.3362986577181209</c:v>
                </c:pt>
                <c:pt idx="6">
                  <c:v>0.3362986577181209</c:v>
                </c:pt>
                <c:pt idx="7">
                  <c:v>0.3362986577181209</c:v>
                </c:pt>
                <c:pt idx="8">
                  <c:v>0.3362986577181209</c:v>
                </c:pt>
                <c:pt idx="9">
                  <c:v>0.3362986577181209</c:v>
                </c:pt>
                <c:pt idx="10">
                  <c:v>0.3362986577181209</c:v>
                </c:pt>
                <c:pt idx="11">
                  <c:v>0.3362986577181209</c:v>
                </c:pt>
                <c:pt idx="12">
                  <c:v>0.3362986577181209</c:v>
                </c:pt>
                <c:pt idx="13">
                  <c:v>0.3362986577181209</c:v>
                </c:pt>
                <c:pt idx="14">
                  <c:v>0.3362986577181209</c:v>
                </c:pt>
                <c:pt idx="15">
                  <c:v>0.3362986577181209</c:v>
                </c:pt>
                <c:pt idx="16">
                  <c:v>0.3362986577181209</c:v>
                </c:pt>
                <c:pt idx="17">
                  <c:v>0.3362986577181209</c:v>
                </c:pt>
                <c:pt idx="18">
                  <c:v>0.3362986577181209</c:v>
                </c:pt>
                <c:pt idx="19">
                  <c:v>0.3362986577181209</c:v>
                </c:pt>
                <c:pt idx="20">
                  <c:v>0.3362986577181209</c:v>
                </c:pt>
                <c:pt idx="21">
                  <c:v>0.3362986577181209</c:v>
                </c:pt>
                <c:pt idx="22">
                  <c:v>0.3362986577181209</c:v>
                </c:pt>
                <c:pt idx="23">
                  <c:v>0.3362986577181209</c:v>
                </c:pt>
                <c:pt idx="24">
                  <c:v>0.3362986577181209</c:v>
                </c:pt>
                <c:pt idx="25">
                  <c:v>0.3362986577181209</c:v>
                </c:pt>
                <c:pt idx="26">
                  <c:v>0.3362986577181209</c:v>
                </c:pt>
                <c:pt idx="27">
                  <c:v>0.3362986577181209</c:v>
                </c:pt>
                <c:pt idx="28">
                  <c:v>0.3362986577181209</c:v>
                </c:pt>
                <c:pt idx="29">
                  <c:v>0.3362986577181209</c:v>
                </c:pt>
                <c:pt idx="30">
                  <c:v>0.3362986577181209</c:v>
                </c:pt>
                <c:pt idx="31">
                  <c:v>0.3362986577181209</c:v>
                </c:pt>
                <c:pt idx="32">
                  <c:v>0.3362986577181209</c:v>
                </c:pt>
                <c:pt idx="33">
                  <c:v>0.3362986577181209</c:v>
                </c:pt>
                <c:pt idx="34">
                  <c:v>0.3362986577181209</c:v>
                </c:pt>
                <c:pt idx="35">
                  <c:v>0.3362986577181209</c:v>
                </c:pt>
                <c:pt idx="36">
                  <c:v>0.3362986577181209</c:v>
                </c:pt>
                <c:pt idx="37">
                  <c:v>0.3362986577181209</c:v>
                </c:pt>
                <c:pt idx="38">
                  <c:v>0.3362986577181209</c:v>
                </c:pt>
                <c:pt idx="39">
                  <c:v>0.3362986577181209</c:v>
                </c:pt>
                <c:pt idx="40">
                  <c:v>0.3362986577181209</c:v>
                </c:pt>
                <c:pt idx="41">
                  <c:v>0.3362986577181209</c:v>
                </c:pt>
                <c:pt idx="42">
                  <c:v>0.3362986577181209</c:v>
                </c:pt>
                <c:pt idx="43">
                  <c:v>0.3362986577181209</c:v>
                </c:pt>
                <c:pt idx="44">
                  <c:v>0.3362986577181209</c:v>
                </c:pt>
                <c:pt idx="45">
                  <c:v>0.3362986577181209</c:v>
                </c:pt>
                <c:pt idx="46">
                  <c:v>0.3362986577181209</c:v>
                </c:pt>
                <c:pt idx="47">
                  <c:v>0.3362986577181209</c:v>
                </c:pt>
                <c:pt idx="48">
                  <c:v>0.3362986577181209</c:v>
                </c:pt>
                <c:pt idx="49">
                  <c:v>0.3362986577181209</c:v>
                </c:pt>
                <c:pt idx="50">
                  <c:v>0.3362986577181209</c:v>
                </c:pt>
                <c:pt idx="51">
                  <c:v>0.3362986577181209</c:v>
                </c:pt>
                <c:pt idx="52">
                  <c:v>0.3362986577181209</c:v>
                </c:pt>
                <c:pt idx="53">
                  <c:v>0.3362986577181209</c:v>
                </c:pt>
                <c:pt idx="54">
                  <c:v>0.3362986577181209</c:v>
                </c:pt>
                <c:pt idx="55">
                  <c:v>0.3362986577181209</c:v>
                </c:pt>
                <c:pt idx="56">
                  <c:v>0.3362986577181209</c:v>
                </c:pt>
                <c:pt idx="57">
                  <c:v>0.3362986577181209</c:v>
                </c:pt>
                <c:pt idx="58">
                  <c:v>0.3362986577181209</c:v>
                </c:pt>
                <c:pt idx="59">
                  <c:v>0.3362986577181209</c:v>
                </c:pt>
                <c:pt idx="60">
                  <c:v>0.3362986577181209</c:v>
                </c:pt>
                <c:pt idx="61">
                  <c:v>0.3362986577181209</c:v>
                </c:pt>
                <c:pt idx="62">
                  <c:v>0.3362986577181209</c:v>
                </c:pt>
                <c:pt idx="63">
                  <c:v>0.3362986577181209</c:v>
                </c:pt>
                <c:pt idx="64">
                  <c:v>0.3362986577181209</c:v>
                </c:pt>
                <c:pt idx="65">
                  <c:v>0.3362986577181209</c:v>
                </c:pt>
                <c:pt idx="66">
                  <c:v>0.3362986577181209</c:v>
                </c:pt>
                <c:pt idx="67">
                  <c:v>0.3362986577181209</c:v>
                </c:pt>
                <c:pt idx="68">
                  <c:v>0.3362986577181209</c:v>
                </c:pt>
                <c:pt idx="69">
                  <c:v>0.3362986577181209</c:v>
                </c:pt>
                <c:pt idx="70">
                  <c:v>0.3362986577181209</c:v>
                </c:pt>
                <c:pt idx="71">
                  <c:v>0.3362986577181209</c:v>
                </c:pt>
                <c:pt idx="72">
                  <c:v>0.3362986577181209</c:v>
                </c:pt>
                <c:pt idx="73">
                  <c:v>0.3362986577181209</c:v>
                </c:pt>
                <c:pt idx="74">
                  <c:v>0.3362986577181209</c:v>
                </c:pt>
                <c:pt idx="75">
                  <c:v>0.3362986577181209</c:v>
                </c:pt>
                <c:pt idx="76">
                  <c:v>0.3362986577181209</c:v>
                </c:pt>
                <c:pt idx="77">
                  <c:v>0.3362986577181209</c:v>
                </c:pt>
                <c:pt idx="78">
                  <c:v>0.3362986577181209</c:v>
                </c:pt>
                <c:pt idx="79">
                  <c:v>0.3362986577181209</c:v>
                </c:pt>
                <c:pt idx="80">
                  <c:v>0.3362986577181209</c:v>
                </c:pt>
                <c:pt idx="81">
                  <c:v>0.3362986577181209</c:v>
                </c:pt>
                <c:pt idx="82">
                  <c:v>0.3362986577181209</c:v>
                </c:pt>
                <c:pt idx="83">
                  <c:v>0.3362986577181209</c:v>
                </c:pt>
                <c:pt idx="84">
                  <c:v>0.3362986577181209</c:v>
                </c:pt>
                <c:pt idx="85">
                  <c:v>0.3362986577181209</c:v>
                </c:pt>
                <c:pt idx="86">
                  <c:v>0.3362986577181209</c:v>
                </c:pt>
                <c:pt idx="87">
                  <c:v>0.3362986577181209</c:v>
                </c:pt>
                <c:pt idx="88">
                  <c:v>0.3362986577181209</c:v>
                </c:pt>
                <c:pt idx="89">
                  <c:v>0.3362986577181209</c:v>
                </c:pt>
                <c:pt idx="90">
                  <c:v>0.3362986577181209</c:v>
                </c:pt>
                <c:pt idx="91">
                  <c:v>0.3362986577181209</c:v>
                </c:pt>
                <c:pt idx="92">
                  <c:v>0.3362986577181209</c:v>
                </c:pt>
                <c:pt idx="93">
                  <c:v>0.3362986577181209</c:v>
                </c:pt>
                <c:pt idx="94">
                  <c:v>0.3362986577181209</c:v>
                </c:pt>
                <c:pt idx="95">
                  <c:v>0.3362986577181209</c:v>
                </c:pt>
                <c:pt idx="96">
                  <c:v>0.3362986577181209</c:v>
                </c:pt>
                <c:pt idx="97">
                  <c:v>0.3362986577181209</c:v>
                </c:pt>
                <c:pt idx="98">
                  <c:v>0.3362986577181209</c:v>
                </c:pt>
                <c:pt idx="99">
                  <c:v>0.3362986577181209</c:v>
                </c:pt>
                <c:pt idx="100">
                  <c:v>0.3362986577181209</c:v>
                </c:pt>
                <c:pt idx="101">
                  <c:v>0.3362986577181209</c:v>
                </c:pt>
                <c:pt idx="102">
                  <c:v>0.3362986577181209</c:v>
                </c:pt>
                <c:pt idx="103">
                  <c:v>0.3362986577181209</c:v>
                </c:pt>
                <c:pt idx="104">
                  <c:v>0.3362986577181209</c:v>
                </c:pt>
                <c:pt idx="105">
                  <c:v>0.3362986577181209</c:v>
                </c:pt>
                <c:pt idx="106">
                  <c:v>0.3362986577181209</c:v>
                </c:pt>
                <c:pt idx="107">
                  <c:v>0.3362986577181209</c:v>
                </c:pt>
                <c:pt idx="108">
                  <c:v>0.3362986577181209</c:v>
                </c:pt>
                <c:pt idx="109">
                  <c:v>0.3362986577181209</c:v>
                </c:pt>
                <c:pt idx="110">
                  <c:v>0.3362986577181209</c:v>
                </c:pt>
                <c:pt idx="111">
                  <c:v>0.3362986577181209</c:v>
                </c:pt>
                <c:pt idx="112">
                  <c:v>0.3362986577181209</c:v>
                </c:pt>
                <c:pt idx="113">
                  <c:v>0.3362986577181209</c:v>
                </c:pt>
                <c:pt idx="114">
                  <c:v>0.3362986577181209</c:v>
                </c:pt>
                <c:pt idx="115">
                  <c:v>0.3362986577181209</c:v>
                </c:pt>
                <c:pt idx="116">
                  <c:v>0.3362986577181209</c:v>
                </c:pt>
                <c:pt idx="117">
                  <c:v>0.3362986577181209</c:v>
                </c:pt>
                <c:pt idx="118">
                  <c:v>0.3362986577181209</c:v>
                </c:pt>
                <c:pt idx="119">
                  <c:v>0.3362986577181209</c:v>
                </c:pt>
                <c:pt idx="120">
                  <c:v>0.3362986577181209</c:v>
                </c:pt>
                <c:pt idx="121">
                  <c:v>0.3362986577181209</c:v>
                </c:pt>
                <c:pt idx="122">
                  <c:v>0.3362986577181209</c:v>
                </c:pt>
                <c:pt idx="123">
                  <c:v>0.3362986577181209</c:v>
                </c:pt>
                <c:pt idx="124">
                  <c:v>0.3362986577181209</c:v>
                </c:pt>
                <c:pt idx="125">
                  <c:v>0.3362986577181209</c:v>
                </c:pt>
                <c:pt idx="126">
                  <c:v>0.3362986577181209</c:v>
                </c:pt>
                <c:pt idx="127">
                  <c:v>0.3362986577181209</c:v>
                </c:pt>
                <c:pt idx="128">
                  <c:v>0.3362986577181209</c:v>
                </c:pt>
                <c:pt idx="129">
                  <c:v>0.3362986577181209</c:v>
                </c:pt>
                <c:pt idx="130">
                  <c:v>0.3362986577181209</c:v>
                </c:pt>
                <c:pt idx="131">
                  <c:v>0.3362986577181209</c:v>
                </c:pt>
                <c:pt idx="132">
                  <c:v>0.3362986577181209</c:v>
                </c:pt>
                <c:pt idx="133">
                  <c:v>0.3362986577181209</c:v>
                </c:pt>
                <c:pt idx="134">
                  <c:v>0.3362986577181209</c:v>
                </c:pt>
                <c:pt idx="135">
                  <c:v>0.3362986577181209</c:v>
                </c:pt>
                <c:pt idx="136">
                  <c:v>0.3362986577181209</c:v>
                </c:pt>
                <c:pt idx="137">
                  <c:v>0.3362986577181209</c:v>
                </c:pt>
                <c:pt idx="138">
                  <c:v>0.3362986577181209</c:v>
                </c:pt>
                <c:pt idx="139">
                  <c:v>0.3362986577181209</c:v>
                </c:pt>
                <c:pt idx="140">
                  <c:v>0.3362986577181209</c:v>
                </c:pt>
                <c:pt idx="141">
                  <c:v>0.3362986577181209</c:v>
                </c:pt>
                <c:pt idx="142">
                  <c:v>0.3362986577181209</c:v>
                </c:pt>
                <c:pt idx="143">
                  <c:v>0.3362986577181209</c:v>
                </c:pt>
                <c:pt idx="144">
                  <c:v>0.3362986577181209</c:v>
                </c:pt>
                <c:pt idx="145">
                  <c:v>0.3362986577181209</c:v>
                </c:pt>
                <c:pt idx="146">
                  <c:v>0.3362986577181209</c:v>
                </c:pt>
                <c:pt idx="147">
                  <c:v>0.3362986577181209</c:v>
                </c:pt>
                <c:pt idx="148">
                  <c:v>0.3362986577181209</c:v>
                </c:pt>
                <c:pt idx="149">
                  <c:v>0.3362986577181209</c:v>
                </c:pt>
                <c:pt idx="150">
                  <c:v>0.3362986577181209</c:v>
                </c:pt>
                <c:pt idx="151">
                  <c:v>0.3362986577181209</c:v>
                </c:pt>
                <c:pt idx="152">
                  <c:v>0.3362986577181209</c:v>
                </c:pt>
                <c:pt idx="153">
                  <c:v>0.3362986577181209</c:v>
                </c:pt>
                <c:pt idx="154">
                  <c:v>0.3362986577181209</c:v>
                </c:pt>
                <c:pt idx="155">
                  <c:v>0.3362986577181209</c:v>
                </c:pt>
                <c:pt idx="156">
                  <c:v>0.3362986577181209</c:v>
                </c:pt>
                <c:pt idx="157">
                  <c:v>0.3362986577181209</c:v>
                </c:pt>
                <c:pt idx="158">
                  <c:v>0.3362986577181209</c:v>
                </c:pt>
                <c:pt idx="159">
                  <c:v>0.3362986577181209</c:v>
                </c:pt>
                <c:pt idx="160">
                  <c:v>0.3362986577181209</c:v>
                </c:pt>
                <c:pt idx="161">
                  <c:v>0.3362986577181209</c:v>
                </c:pt>
                <c:pt idx="162">
                  <c:v>0.3362986577181209</c:v>
                </c:pt>
                <c:pt idx="163">
                  <c:v>0.3362986577181209</c:v>
                </c:pt>
                <c:pt idx="164">
                  <c:v>0.3362986577181209</c:v>
                </c:pt>
                <c:pt idx="165">
                  <c:v>0.3362986577181209</c:v>
                </c:pt>
                <c:pt idx="166">
                  <c:v>0.3362986577181209</c:v>
                </c:pt>
                <c:pt idx="167">
                  <c:v>0.3362986577181209</c:v>
                </c:pt>
                <c:pt idx="168">
                  <c:v>0.3362986577181209</c:v>
                </c:pt>
                <c:pt idx="169">
                  <c:v>0.3362986577181209</c:v>
                </c:pt>
                <c:pt idx="170">
                  <c:v>0.3362986577181209</c:v>
                </c:pt>
                <c:pt idx="171">
                  <c:v>0.3362986577181209</c:v>
                </c:pt>
                <c:pt idx="172">
                  <c:v>0.3362986577181209</c:v>
                </c:pt>
                <c:pt idx="173">
                  <c:v>0.3362986577181209</c:v>
                </c:pt>
                <c:pt idx="174">
                  <c:v>0.3362986577181209</c:v>
                </c:pt>
                <c:pt idx="175">
                  <c:v>0.3362986577181209</c:v>
                </c:pt>
                <c:pt idx="176">
                  <c:v>0.3362986577181209</c:v>
                </c:pt>
                <c:pt idx="177">
                  <c:v>0.3362986577181209</c:v>
                </c:pt>
                <c:pt idx="178">
                  <c:v>0.3362986577181209</c:v>
                </c:pt>
                <c:pt idx="179">
                  <c:v>0.3362986577181209</c:v>
                </c:pt>
                <c:pt idx="180">
                  <c:v>0.3362986577181209</c:v>
                </c:pt>
                <c:pt idx="181">
                  <c:v>0.3362986577181209</c:v>
                </c:pt>
                <c:pt idx="182">
                  <c:v>0.3362986577181209</c:v>
                </c:pt>
                <c:pt idx="183">
                  <c:v>0.3362986577181209</c:v>
                </c:pt>
                <c:pt idx="184">
                  <c:v>0.3362986577181209</c:v>
                </c:pt>
                <c:pt idx="185">
                  <c:v>0.3362986577181209</c:v>
                </c:pt>
                <c:pt idx="186">
                  <c:v>0.3362986577181209</c:v>
                </c:pt>
                <c:pt idx="187">
                  <c:v>0.3362986577181209</c:v>
                </c:pt>
                <c:pt idx="188">
                  <c:v>0.3362986577181209</c:v>
                </c:pt>
                <c:pt idx="189">
                  <c:v>0.3362986577181209</c:v>
                </c:pt>
                <c:pt idx="190">
                  <c:v>0.3362986577181209</c:v>
                </c:pt>
                <c:pt idx="191">
                  <c:v>0.3362986577181209</c:v>
                </c:pt>
                <c:pt idx="192">
                  <c:v>0.3362986577181209</c:v>
                </c:pt>
                <c:pt idx="193">
                  <c:v>0.3362986577181209</c:v>
                </c:pt>
                <c:pt idx="194">
                  <c:v>0.3362986577181209</c:v>
                </c:pt>
                <c:pt idx="195">
                  <c:v>0.3362986577181209</c:v>
                </c:pt>
                <c:pt idx="196">
                  <c:v>0.3362986577181209</c:v>
                </c:pt>
                <c:pt idx="197">
                  <c:v>0.3362986577181209</c:v>
                </c:pt>
                <c:pt idx="198">
                  <c:v>0.3362986577181209</c:v>
                </c:pt>
                <c:pt idx="199">
                  <c:v>0.3362986577181209</c:v>
                </c:pt>
                <c:pt idx="200">
                  <c:v>0.3362986577181209</c:v>
                </c:pt>
                <c:pt idx="201">
                  <c:v>0.3362986577181209</c:v>
                </c:pt>
                <c:pt idx="202">
                  <c:v>0.3362986577181209</c:v>
                </c:pt>
                <c:pt idx="203">
                  <c:v>0.3362986577181209</c:v>
                </c:pt>
                <c:pt idx="204">
                  <c:v>0.3362986577181209</c:v>
                </c:pt>
                <c:pt idx="205">
                  <c:v>0.3362986577181209</c:v>
                </c:pt>
                <c:pt idx="206">
                  <c:v>0.3362986577181209</c:v>
                </c:pt>
                <c:pt idx="207">
                  <c:v>0.3362986577181209</c:v>
                </c:pt>
                <c:pt idx="208">
                  <c:v>0.3362986577181209</c:v>
                </c:pt>
                <c:pt idx="209">
                  <c:v>0.3362986577181209</c:v>
                </c:pt>
                <c:pt idx="210">
                  <c:v>0.3362986577181209</c:v>
                </c:pt>
                <c:pt idx="211">
                  <c:v>0.3362986577181209</c:v>
                </c:pt>
                <c:pt idx="212">
                  <c:v>0.3362986577181209</c:v>
                </c:pt>
                <c:pt idx="213">
                  <c:v>0.3362986577181209</c:v>
                </c:pt>
                <c:pt idx="214">
                  <c:v>0.3362986577181209</c:v>
                </c:pt>
                <c:pt idx="215">
                  <c:v>0.3362986577181209</c:v>
                </c:pt>
                <c:pt idx="216">
                  <c:v>0.3362986577181209</c:v>
                </c:pt>
                <c:pt idx="217">
                  <c:v>0.3362986577181209</c:v>
                </c:pt>
                <c:pt idx="218">
                  <c:v>0.3362986577181209</c:v>
                </c:pt>
                <c:pt idx="219">
                  <c:v>0.3362986577181209</c:v>
                </c:pt>
                <c:pt idx="220">
                  <c:v>0.3362986577181209</c:v>
                </c:pt>
                <c:pt idx="221">
                  <c:v>0.3362986577181209</c:v>
                </c:pt>
                <c:pt idx="222">
                  <c:v>0.3362986577181209</c:v>
                </c:pt>
                <c:pt idx="223">
                  <c:v>0.3362986577181209</c:v>
                </c:pt>
                <c:pt idx="224">
                  <c:v>0.3362986577181209</c:v>
                </c:pt>
                <c:pt idx="225">
                  <c:v>0.3362986577181209</c:v>
                </c:pt>
                <c:pt idx="226">
                  <c:v>0.3362986577181209</c:v>
                </c:pt>
                <c:pt idx="227">
                  <c:v>0.3362986577181209</c:v>
                </c:pt>
                <c:pt idx="228">
                  <c:v>0.3362986577181209</c:v>
                </c:pt>
                <c:pt idx="229">
                  <c:v>0.3362986577181209</c:v>
                </c:pt>
                <c:pt idx="230">
                  <c:v>0.3362986577181209</c:v>
                </c:pt>
                <c:pt idx="231">
                  <c:v>0.3362986577181209</c:v>
                </c:pt>
                <c:pt idx="232">
                  <c:v>0.3362986577181209</c:v>
                </c:pt>
                <c:pt idx="233">
                  <c:v>0.3362986577181209</c:v>
                </c:pt>
                <c:pt idx="234">
                  <c:v>0.3362986577181209</c:v>
                </c:pt>
                <c:pt idx="235">
                  <c:v>0.3362986577181209</c:v>
                </c:pt>
                <c:pt idx="236">
                  <c:v>0.3362986577181209</c:v>
                </c:pt>
                <c:pt idx="237">
                  <c:v>0.3362986577181209</c:v>
                </c:pt>
                <c:pt idx="238">
                  <c:v>0.3362986577181209</c:v>
                </c:pt>
                <c:pt idx="239">
                  <c:v>0.3362986577181209</c:v>
                </c:pt>
                <c:pt idx="240">
                  <c:v>0.3362986577181209</c:v>
                </c:pt>
                <c:pt idx="241">
                  <c:v>0.3362986577181209</c:v>
                </c:pt>
                <c:pt idx="242">
                  <c:v>0.3362986577181209</c:v>
                </c:pt>
                <c:pt idx="243">
                  <c:v>0.3362986577181209</c:v>
                </c:pt>
                <c:pt idx="244">
                  <c:v>0.3362986577181209</c:v>
                </c:pt>
                <c:pt idx="245">
                  <c:v>0.3362986577181209</c:v>
                </c:pt>
                <c:pt idx="246">
                  <c:v>0.3362986577181209</c:v>
                </c:pt>
                <c:pt idx="247">
                  <c:v>0.3362986577181209</c:v>
                </c:pt>
                <c:pt idx="248">
                  <c:v>0.3362986577181209</c:v>
                </c:pt>
                <c:pt idx="249">
                  <c:v>0.3362986577181209</c:v>
                </c:pt>
                <c:pt idx="250">
                  <c:v>0.3362986577181209</c:v>
                </c:pt>
                <c:pt idx="251">
                  <c:v>0.3362986577181209</c:v>
                </c:pt>
                <c:pt idx="252">
                  <c:v>0.3362986577181209</c:v>
                </c:pt>
                <c:pt idx="253">
                  <c:v>0.3362986577181209</c:v>
                </c:pt>
                <c:pt idx="254">
                  <c:v>0.3362986577181209</c:v>
                </c:pt>
                <c:pt idx="255">
                  <c:v>0.3362986577181209</c:v>
                </c:pt>
                <c:pt idx="256">
                  <c:v>0.3362986577181209</c:v>
                </c:pt>
                <c:pt idx="257">
                  <c:v>0.3362986577181209</c:v>
                </c:pt>
                <c:pt idx="258">
                  <c:v>0.3362986577181209</c:v>
                </c:pt>
                <c:pt idx="259">
                  <c:v>0.3362986577181209</c:v>
                </c:pt>
                <c:pt idx="260">
                  <c:v>0.3362986577181209</c:v>
                </c:pt>
                <c:pt idx="261">
                  <c:v>0.3362986577181209</c:v>
                </c:pt>
                <c:pt idx="262">
                  <c:v>0.3362986577181209</c:v>
                </c:pt>
                <c:pt idx="263">
                  <c:v>0.3362986577181209</c:v>
                </c:pt>
                <c:pt idx="264">
                  <c:v>0.3362986577181209</c:v>
                </c:pt>
                <c:pt idx="265">
                  <c:v>0.3362986577181209</c:v>
                </c:pt>
                <c:pt idx="266">
                  <c:v>0.3362986577181209</c:v>
                </c:pt>
                <c:pt idx="267">
                  <c:v>0.3362986577181209</c:v>
                </c:pt>
                <c:pt idx="268">
                  <c:v>0.3362986577181209</c:v>
                </c:pt>
                <c:pt idx="269">
                  <c:v>0.3362986577181209</c:v>
                </c:pt>
                <c:pt idx="270">
                  <c:v>0.3362986577181209</c:v>
                </c:pt>
                <c:pt idx="271">
                  <c:v>0.3362986577181209</c:v>
                </c:pt>
                <c:pt idx="272">
                  <c:v>0.3362986577181209</c:v>
                </c:pt>
                <c:pt idx="273">
                  <c:v>0.3362986577181209</c:v>
                </c:pt>
                <c:pt idx="274">
                  <c:v>0.3362986577181209</c:v>
                </c:pt>
                <c:pt idx="275">
                  <c:v>0.3362986577181209</c:v>
                </c:pt>
                <c:pt idx="276">
                  <c:v>0.3362986577181209</c:v>
                </c:pt>
                <c:pt idx="277">
                  <c:v>0.3362986577181209</c:v>
                </c:pt>
                <c:pt idx="278">
                  <c:v>0.3362986577181209</c:v>
                </c:pt>
                <c:pt idx="279">
                  <c:v>0.3362986577181209</c:v>
                </c:pt>
                <c:pt idx="280">
                  <c:v>0.3362986577181209</c:v>
                </c:pt>
                <c:pt idx="281">
                  <c:v>0.3362986577181209</c:v>
                </c:pt>
                <c:pt idx="282">
                  <c:v>0.3362986577181209</c:v>
                </c:pt>
                <c:pt idx="283">
                  <c:v>0.3362986577181209</c:v>
                </c:pt>
                <c:pt idx="284">
                  <c:v>0.3362986577181209</c:v>
                </c:pt>
                <c:pt idx="285">
                  <c:v>0.3362986577181209</c:v>
                </c:pt>
                <c:pt idx="286">
                  <c:v>0.3362986577181209</c:v>
                </c:pt>
                <c:pt idx="287">
                  <c:v>0.3362986577181209</c:v>
                </c:pt>
                <c:pt idx="288">
                  <c:v>0.3362986577181209</c:v>
                </c:pt>
                <c:pt idx="289">
                  <c:v>0.3362986577181209</c:v>
                </c:pt>
                <c:pt idx="290">
                  <c:v>0.3362986577181209</c:v>
                </c:pt>
                <c:pt idx="291">
                  <c:v>0.3362986577181209</c:v>
                </c:pt>
                <c:pt idx="292">
                  <c:v>0.3362986577181209</c:v>
                </c:pt>
                <c:pt idx="293">
                  <c:v>0.3362986577181209</c:v>
                </c:pt>
                <c:pt idx="294">
                  <c:v>0.3362986577181209</c:v>
                </c:pt>
                <c:pt idx="295">
                  <c:v>0.3362986577181209</c:v>
                </c:pt>
                <c:pt idx="296">
                  <c:v>0.3362986577181209</c:v>
                </c:pt>
                <c:pt idx="297">
                  <c:v>0.3362986577181209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4E-409A-BFE8-94CE5C063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TTV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TTV Moving Range (Upper Control)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HYBOX2_TTV_SPC!$F$10</c:f>
              <c:strCache>
                <c:ptCount val="1"/>
                <c:pt idx="0">
                  <c:v>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HYBOX2_TTV_SPC!$F$11:$F$308</c:f>
              <c:numCache>
                <c:formatCode>General</c:formatCode>
                <c:ptCount val="298"/>
                <c:pt idx="1">
                  <c:v>3.5000000000000031E-2</c:v>
                </c:pt>
                <c:pt idx="2">
                  <c:v>1.5000000000000013E-2</c:v>
                </c:pt>
                <c:pt idx="3">
                  <c:v>3.0000000000000027E-3</c:v>
                </c:pt>
                <c:pt idx="4">
                  <c:v>0.27100000000000002</c:v>
                </c:pt>
                <c:pt idx="5">
                  <c:v>0.20400000000000001</c:v>
                </c:pt>
                <c:pt idx="6">
                  <c:v>0.25</c:v>
                </c:pt>
                <c:pt idx="7">
                  <c:v>4.9999999999999989E-2</c:v>
                </c:pt>
                <c:pt idx="8">
                  <c:v>0.11599999999999999</c:v>
                </c:pt>
                <c:pt idx="9">
                  <c:v>1.9000000000000017E-2</c:v>
                </c:pt>
                <c:pt idx="10">
                  <c:v>0.22900000000000001</c:v>
                </c:pt>
                <c:pt idx="11">
                  <c:v>0.44299999999999995</c:v>
                </c:pt>
                <c:pt idx="12">
                  <c:v>0.43499999999999994</c:v>
                </c:pt>
                <c:pt idx="13">
                  <c:v>0.19499999999999998</c:v>
                </c:pt>
                <c:pt idx="14">
                  <c:v>7.5000000000000011E-2</c:v>
                </c:pt>
                <c:pt idx="15">
                  <c:v>0.25000000000000006</c:v>
                </c:pt>
                <c:pt idx="16">
                  <c:v>0.39700000000000008</c:v>
                </c:pt>
                <c:pt idx="17">
                  <c:v>0.54800000000000004</c:v>
                </c:pt>
                <c:pt idx="18">
                  <c:v>0.54899999999999993</c:v>
                </c:pt>
                <c:pt idx="19">
                  <c:v>0.54299999999999993</c:v>
                </c:pt>
                <c:pt idx="20">
                  <c:v>0.6379999999999999</c:v>
                </c:pt>
                <c:pt idx="21">
                  <c:v>0.11799999999999999</c:v>
                </c:pt>
                <c:pt idx="22">
                  <c:v>0.1</c:v>
                </c:pt>
                <c:pt idx="23">
                  <c:v>0.34600000000000009</c:v>
                </c:pt>
                <c:pt idx="24">
                  <c:v>0.20500000000000007</c:v>
                </c:pt>
                <c:pt idx="25">
                  <c:v>0.17699999999999999</c:v>
                </c:pt>
                <c:pt idx="26">
                  <c:v>0.22800000000000004</c:v>
                </c:pt>
                <c:pt idx="27">
                  <c:v>2.5999999999999968E-2</c:v>
                </c:pt>
                <c:pt idx="28">
                  <c:v>0.19899999999999998</c:v>
                </c:pt>
                <c:pt idx="29">
                  <c:v>7.3999999999999982E-2</c:v>
                </c:pt>
                <c:pt idx="30">
                  <c:v>7.5000000000000011E-2</c:v>
                </c:pt>
                <c:pt idx="31">
                  <c:v>8.6000000000000021E-2</c:v>
                </c:pt>
                <c:pt idx="32">
                  <c:v>8.0000000000000071E-3</c:v>
                </c:pt>
                <c:pt idx="33">
                  <c:v>1.9999999999999962E-2</c:v>
                </c:pt>
                <c:pt idx="34">
                  <c:v>0.15399999999999997</c:v>
                </c:pt>
                <c:pt idx="35">
                  <c:v>3.1000000000000028E-2</c:v>
                </c:pt>
                <c:pt idx="36">
                  <c:v>0.438</c:v>
                </c:pt>
                <c:pt idx="37">
                  <c:v>0.33899999999999997</c:v>
                </c:pt>
                <c:pt idx="38">
                  <c:v>0.18700000000000006</c:v>
                </c:pt>
                <c:pt idx="39">
                  <c:v>0.11499999999999999</c:v>
                </c:pt>
                <c:pt idx="40">
                  <c:v>0.11299999999999999</c:v>
                </c:pt>
                <c:pt idx="41">
                  <c:v>0</c:v>
                </c:pt>
                <c:pt idx="42">
                  <c:v>6.2E-2</c:v>
                </c:pt>
                <c:pt idx="43">
                  <c:v>9.8000000000000032E-2</c:v>
                </c:pt>
                <c:pt idx="44">
                  <c:v>0.13700000000000001</c:v>
                </c:pt>
                <c:pt idx="45">
                  <c:v>1.2999999999999956E-2</c:v>
                </c:pt>
                <c:pt idx="46">
                  <c:v>7.3999999999999955E-2</c:v>
                </c:pt>
                <c:pt idx="47">
                  <c:v>3.8999999999999979E-2</c:v>
                </c:pt>
                <c:pt idx="48">
                  <c:v>7.5000000000000011E-2</c:v>
                </c:pt>
                <c:pt idx="49">
                  <c:v>4.2999999999999983E-2</c:v>
                </c:pt>
                <c:pt idx="50">
                  <c:v>3.6999999999999977E-2</c:v>
                </c:pt>
                <c:pt idx="51">
                  <c:v>5.4999999999999993E-2</c:v>
                </c:pt>
                <c:pt idx="52">
                  <c:v>3.6000000000000032E-2</c:v>
                </c:pt>
                <c:pt idx="53">
                  <c:v>0.29299999999999998</c:v>
                </c:pt>
                <c:pt idx="54">
                  <c:v>0.13800000000000001</c:v>
                </c:pt>
                <c:pt idx="55">
                  <c:v>5.0000000000000044E-3</c:v>
                </c:pt>
                <c:pt idx="56">
                  <c:v>0.20300000000000001</c:v>
                </c:pt>
                <c:pt idx="57">
                  <c:v>0.35200000000000004</c:v>
                </c:pt>
                <c:pt idx="58">
                  <c:v>0.21800000000000003</c:v>
                </c:pt>
                <c:pt idx="59">
                  <c:v>4.7999999999999987E-2</c:v>
                </c:pt>
                <c:pt idx="60">
                  <c:v>0.16599999999999998</c:v>
                </c:pt>
                <c:pt idx="61">
                  <c:v>0.157</c:v>
                </c:pt>
                <c:pt idx="62">
                  <c:v>0.32700000000000007</c:v>
                </c:pt>
                <c:pt idx="63">
                  <c:v>0.26300000000000001</c:v>
                </c:pt>
                <c:pt idx="64">
                  <c:v>0.254</c:v>
                </c:pt>
                <c:pt idx="65">
                  <c:v>0.10099999999999998</c:v>
                </c:pt>
                <c:pt idx="66">
                  <c:v>0.20800000000000002</c:v>
                </c:pt>
                <c:pt idx="67">
                  <c:v>0.15499999999999997</c:v>
                </c:pt>
                <c:pt idx="68">
                  <c:v>0.25299999999999995</c:v>
                </c:pt>
                <c:pt idx="69">
                  <c:v>0.20300000000000001</c:v>
                </c:pt>
                <c:pt idx="70">
                  <c:v>7.4999999999999997E-2</c:v>
                </c:pt>
                <c:pt idx="71">
                  <c:v>0.09</c:v>
                </c:pt>
                <c:pt idx="72">
                  <c:v>0.30599999999999994</c:v>
                </c:pt>
                <c:pt idx="73">
                  <c:v>8.4000000000000019E-2</c:v>
                </c:pt>
                <c:pt idx="74">
                  <c:v>0.36</c:v>
                </c:pt>
                <c:pt idx="75">
                  <c:v>0.20600000000000002</c:v>
                </c:pt>
                <c:pt idx="76">
                  <c:v>3.999999999999998E-2</c:v>
                </c:pt>
                <c:pt idx="77">
                  <c:v>0.248</c:v>
                </c:pt>
                <c:pt idx="78">
                  <c:v>0.36199999999999999</c:v>
                </c:pt>
                <c:pt idx="79">
                  <c:v>0.307</c:v>
                </c:pt>
                <c:pt idx="80">
                  <c:v>0.35400000000000004</c:v>
                </c:pt>
                <c:pt idx="81">
                  <c:v>0.14600000000000002</c:v>
                </c:pt>
                <c:pt idx="82">
                  <c:v>0.29600000000000004</c:v>
                </c:pt>
                <c:pt idx="83">
                  <c:v>3.1E-2</c:v>
                </c:pt>
                <c:pt idx="84">
                  <c:v>3.0000000000000027E-3</c:v>
                </c:pt>
                <c:pt idx="85">
                  <c:v>3.2000000000000001E-2</c:v>
                </c:pt>
                <c:pt idx="86">
                  <c:v>0.157</c:v>
                </c:pt>
                <c:pt idx="87">
                  <c:v>0.11100000000000002</c:v>
                </c:pt>
                <c:pt idx="88">
                  <c:v>7.1999999999999981E-2</c:v>
                </c:pt>
                <c:pt idx="89">
                  <c:v>0.43999999999999995</c:v>
                </c:pt>
                <c:pt idx="90">
                  <c:v>0.20400000000000007</c:v>
                </c:pt>
                <c:pt idx="91">
                  <c:v>0</c:v>
                </c:pt>
                <c:pt idx="92">
                  <c:v>0.129</c:v>
                </c:pt>
                <c:pt idx="93">
                  <c:v>0.10099999999999998</c:v>
                </c:pt>
                <c:pt idx="94">
                  <c:v>0.38100000000000001</c:v>
                </c:pt>
                <c:pt idx="95">
                  <c:v>3.8999999999999979E-2</c:v>
                </c:pt>
                <c:pt idx="96">
                  <c:v>0.35299999999999998</c:v>
                </c:pt>
                <c:pt idx="97">
                  <c:v>0.21800000000000003</c:v>
                </c:pt>
                <c:pt idx="98">
                  <c:v>0.10199999999999998</c:v>
                </c:pt>
                <c:pt idx="99">
                  <c:v>0.13500000000000001</c:v>
                </c:pt>
                <c:pt idx="100">
                  <c:v>5.1999999999999991E-2</c:v>
                </c:pt>
                <c:pt idx="101">
                  <c:v>3.9000000000000035E-2</c:v>
                </c:pt>
                <c:pt idx="102">
                  <c:v>0.30499999999999999</c:v>
                </c:pt>
                <c:pt idx="103">
                  <c:v>0.29400000000000004</c:v>
                </c:pt>
                <c:pt idx="104">
                  <c:v>7.4999999999999956E-2</c:v>
                </c:pt>
                <c:pt idx="105">
                  <c:v>3.1000000000000028E-2</c:v>
                </c:pt>
                <c:pt idx="106">
                  <c:v>2.5999999999999995E-2</c:v>
                </c:pt>
                <c:pt idx="107">
                  <c:v>0.23700000000000002</c:v>
                </c:pt>
                <c:pt idx="108">
                  <c:v>4.9999999999999989E-2</c:v>
                </c:pt>
                <c:pt idx="109">
                  <c:v>0.183</c:v>
                </c:pt>
                <c:pt idx="110">
                  <c:v>0.14699999999999999</c:v>
                </c:pt>
                <c:pt idx="111">
                  <c:v>0.26600000000000001</c:v>
                </c:pt>
                <c:pt idx="112">
                  <c:v>0.24399999999999999</c:v>
                </c:pt>
                <c:pt idx="113">
                  <c:v>8.0000000000000071E-3</c:v>
                </c:pt>
                <c:pt idx="114">
                  <c:v>3.8999999999999979E-2</c:v>
                </c:pt>
                <c:pt idx="115">
                  <c:v>0.16299999999999998</c:v>
                </c:pt>
                <c:pt idx="116">
                  <c:v>0.127</c:v>
                </c:pt>
                <c:pt idx="117">
                  <c:v>0.183</c:v>
                </c:pt>
                <c:pt idx="118">
                  <c:v>3.2000000000000028E-2</c:v>
                </c:pt>
                <c:pt idx="119">
                  <c:v>0.14800000000000002</c:v>
                </c:pt>
                <c:pt idx="120">
                  <c:v>0.248</c:v>
                </c:pt>
                <c:pt idx="121">
                  <c:v>9.4999999999999973E-2</c:v>
                </c:pt>
                <c:pt idx="122">
                  <c:v>5.4999999999999993E-2</c:v>
                </c:pt>
                <c:pt idx="123">
                  <c:v>0.10199999999999998</c:v>
                </c:pt>
                <c:pt idx="124">
                  <c:v>2.5999999999999995E-2</c:v>
                </c:pt>
                <c:pt idx="125">
                  <c:v>4.0000000000000036E-3</c:v>
                </c:pt>
                <c:pt idx="126">
                  <c:v>3.7000000000000005E-2</c:v>
                </c:pt>
                <c:pt idx="127">
                  <c:v>5.3999999999999992E-2</c:v>
                </c:pt>
                <c:pt idx="128">
                  <c:v>0.155</c:v>
                </c:pt>
                <c:pt idx="129">
                  <c:v>6.0000000000000053E-3</c:v>
                </c:pt>
                <c:pt idx="130">
                  <c:v>9.8000000000000004E-2</c:v>
                </c:pt>
                <c:pt idx="131">
                  <c:v>0.22000000000000003</c:v>
                </c:pt>
                <c:pt idx="132">
                  <c:v>0.51500000000000001</c:v>
                </c:pt>
                <c:pt idx="133">
                  <c:v>0.24199999999999999</c:v>
                </c:pt>
                <c:pt idx="134">
                  <c:v>5.3999999999999992E-2</c:v>
                </c:pt>
                <c:pt idx="135">
                  <c:v>0.185</c:v>
                </c:pt>
                <c:pt idx="136">
                  <c:v>0.28999999999999998</c:v>
                </c:pt>
                <c:pt idx="137">
                  <c:v>7.0000000000000062E-3</c:v>
                </c:pt>
                <c:pt idx="138">
                  <c:v>0.309</c:v>
                </c:pt>
                <c:pt idx="139">
                  <c:v>0.26300000000000001</c:v>
                </c:pt>
                <c:pt idx="140">
                  <c:v>0.15000000000000002</c:v>
                </c:pt>
                <c:pt idx="141">
                  <c:v>4.1000000000000036E-2</c:v>
                </c:pt>
                <c:pt idx="142">
                  <c:v>0.20600000000000002</c:v>
                </c:pt>
                <c:pt idx="143">
                  <c:v>8.9999999999999969E-2</c:v>
                </c:pt>
                <c:pt idx="144">
                  <c:v>0.10799999999999998</c:v>
                </c:pt>
                <c:pt idx="145">
                  <c:v>0.186</c:v>
                </c:pt>
                <c:pt idx="146">
                  <c:v>0.20700000000000002</c:v>
                </c:pt>
                <c:pt idx="147">
                  <c:v>0.26000000000000006</c:v>
                </c:pt>
                <c:pt idx="148">
                  <c:v>0.40600000000000003</c:v>
                </c:pt>
                <c:pt idx="149">
                  <c:v>7.2999999999999982E-2</c:v>
                </c:pt>
                <c:pt idx="150">
                  <c:v>4.0000000000000008E-2</c:v>
                </c:pt>
                <c:pt idx="151">
                  <c:v>2.300000000000002E-2</c:v>
                </c:pt>
                <c:pt idx="152">
                  <c:v>0.13000000000000003</c:v>
                </c:pt>
                <c:pt idx="153">
                  <c:v>3.7999999999999992E-2</c:v>
                </c:pt>
                <c:pt idx="154">
                  <c:v>0.13600000000000001</c:v>
                </c:pt>
                <c:pt idx="155">
                  <c:v>6.6000000000000003E-2</c:v>
                </c:pt>
                <c:pt idx="156">
                  <c:v>1.9000000000000017E-2</c:v>
                </c:pt>
                <c:pt idx="157">
                  <c:v>3.3000000000000029E-2</c:v>
                </c:pt>
                <c:pt idx="158">
                  <c:v>0.14700000000000002</c:v>
                </c:pt>
                <c:pt idx="159">
                  <c:v>7.0000000000000007E-2</c:v>
                </c:pt>
                <c:pt idx="160">
                  <c:v>2.1000000000000019E-2</c:v>
                </c:pt>
                <c:pt idx="161">
                  <c:v>1.0000000000000009E-2</c:v>
                </c:pt>
                <c:pt idx="162">
                  <c:v>9.5000000000000029E-2</c:v>
                </c:pt>
                <c:pt idx="163">
                  <c:v>0.11699999999999999</c:v>
                </c:pt>
                <c:pt idx="164">
                  <c:v>6.0999999999999999E-2</c:v>
                </c:pt>
                <c:pt idx="165">
                  <c:v>5.0000000000000044E-3</c:v>
                </c:pt>
                <c:pt idx="166">
                  <c:v>6.0000000000000053E-3</c:v>
                </c:pt>
                <c:pt idx="167">
                  <c:v>0.14800000000000002</c:v>
                </c:pt>
                <c:pt idx="168">
                  <c:v>9.6999999999999975E-2</c:v>
                </c:pt>
                <c:pt idx="169">
                  <c:v>0.36699999999999999</c:v>
                </c:pt>
                <c:pt idx="170">
                  <c:v>0.23399999999999999</c:v>
                </c:pt>
                <c:pt idx="171">
                  <c:v>3.0000000000000027E-3</c:v>
                </c:pt>
                <c:pt idx="172">
                  <c:v>0.22299999999999998</c:v>
                </c:pt>
                <c:pt idx="173">
                  <c:v>0.28400000000000003</c:v>
                </c:pt>
                <c:pt idx="174">
                  <c:v>8.8999999999999968E-2</c:v>
                </c:pt>
                <c:pt idx="175">
                  <c:v>5.5999999999999994E-2</c:v>
                </c:pt>
                <c:pt idx="176">
                  <c:v>0.29400000000000004</c:v>
                </c:pt>
                <c:pt idx="177">
                  <c:v>0.31300000000000006</c:v>
                </c:pt>
                <c:pt idx="178">
                  <c:v>7.3000000000000009E-2</c:v>
                </c:pt>
                <c:pt idx="179">
                  <c:v>0.36299999999999999</c:v>
                </c:pt>
                <c:pt idx="180">
                  <c:v>2.7999999999999997E-2</c:v>
                </c:pt>
                <c:pt idx="181">
                  <c:v>4.8999999999999988E-2</c:v>
                </c:pt>
                <c:pt idx="182">
                  <c:v>5.099999999999999E-2</c:v>
                </c:pt>
                <c:pt idx="183">
                  <c:v>5.3999999999999992E-2</c:v>
                </c:pt>
                <c:pt idx="184">
                  <c:v>0.14699999999999996</c:v>
                </c:pt>
                <c:pt idx="185">
                  <c:v>0.16699999999999998</c:v>
                </c:pt>
                <c:pt idx="186">
                  <c:v>0.17299999999999999</c:v>
                </c:pt>
                <c:pt idx="187">
                  <c:v>9.6999999999999975E-2</c:v>
                </c:pt>
                <c:pt idx="188">
                  <c:v>0.10999999999999999</c:v>
                </c:pt>
                <c:pt idx="189">
                  <c:v>0.10999999999999999</c:v>
                </c:pt>
                <c:pt idx="190">
                  <c:v>0.10400000000000004</c:v>
                </c:pt>
                <c:pt idx="191">
                  <c:v>7.3000000000000009E-2</c:v>
                </c:pt>
                <c:pt idx="192">
                  <c:v>0.14500000000000002</c:v>
                </c:pt>
                <c:pt idx="193">
                  <c:v>0.11099999999999999</c:v>
                </c:pt>
                <c:pt idx="194">
                  <c:v>0.27999999999999997</c:v>
                </c:pt>
                <c:pt idx="195">
                  <c:v>0.15599999999999997</c:v>
                </c:pt>
                <c:pt idx="196">
                  <c:v>0.184</c:v>
                </c:pt>
                <c:pt idx="197">
                  <c:v>6.8000000000000005E-2</c:v>
                </c:pt>
                <c:pt idx="198">
                  <c:v>0.121</c:v>
                </c:pt>
                <c:pt idx="199">
                  <c:v>0.123</c:v>
                </c:pt>
                <c:pt idx="200">
                  <c:v>0.11799999999999999</c:v>
                </c:pt>
                <c:pt idx="201">
                  <c:v>0.19499999999999998</c:v>
                </c:pt>
                <c:pt idx="202">
                  <c:v>3.1E-2</c:v>
                </c:pt>
                <c:pt idx="203">
                  <c:v>0.38999999999999996</c:v>
                </c:pt>
                <c:pt idx="204">
                  <c:v>5.9999999999999942E-2</c:v>
                </c:pt>
                <c:pt idx="205">
                  <c:v>0.22500000000000003</c:v>
                </c:pt>
                <c:pt idx="206">
                  <c:v>0.36700000000000005</c:v>
                </c:pt>
                <c:pt idx="207">
                  <c:v>0.621</c:v>
                </c:pt>
                <c:pt idx="208">
                  <c:v>0.12</c:v>
                </c:pt>
                <c:pt idx="209">
                  <c:v>4.4000000000000011E-2</c:v>
                </c:pt>
                <c:pt idx="210">
                  <c:v>0.214</c:v>
                </c:pt>
                <c:pt idx="211">
                  <c:v>4.2999999999999983E-2</c:v>
                </c:pt>
                <c:pt idx="212">
                  <c:v>0.13200000000000001</c:v>
                </c:pt>
                <c:pt idx="213">
                  <c:v>0.11699999999999999</c:v>
                </c:pt>
                <c:pt idx="214">
                  <c:v>0.29000000000000004</c:v>
                </c:pt>
                <c:pt idx="215">
                  <c:v>0.28100000000000003</c:v>
                </c:pt>
                <c:pt idx="216">
                  <c:v>7.3999999999999955E-2</c:v>
                </c:pt>
                <c:pt idx="217">
                  <c:v>0.40699999999999997</c:v>
                </c:pt>
                <c:pt idx="218">
                  <c:v>0.44600000000000001</c:v>
                </c:pt>
                <c:pt idx="219">
                  <c:v>0.254</c:v>
                </c:pt>
                <c:pt idx="220">
                  <c:v>1.100000000000001E-2</c:v>
                </c:pt>
                <c:pt idx="221">
                  <c:v>0.13100000000000001</c:v>
                </c:pt>
                <c:pt idx="222">
                  <c:v>0.16600000000000004</c:v>
                </c:pt>
                <c:pt idx="223">
                  <c:v>0.29000000000000004</c:v>
                </c:pt>
                <c:pt idx="224">
                  <c:v>5.3999999999999992E-2</c:v>
                </c:pt>
                <c:pt idx="225">
                  <c:v>0.29599999999999999</c:v>
                </c:pt>
                <c:pt idx="226">
                  <c:v>0.249</c:v>
                </c:pt>
                <c:pt idx="227">
                  <c:v>2.8000000000000025E-2</c:v>
                </c:pt>
                <c:pt idx="228">
                  <c:v>1.100000000000001E-2</c:v>
                </c:pt>
                <c:pt idx="229">
                  <c:v>4.5999999999999985E-2</c:v>
                </c:pt>
                <c:pt idx="230">
                  <c:v>0.14400000000000002</c:v>
                </c:pt>
                <c:pt idx="231">
                  <c:v>9.8999999999999977E-2</c:v>
                </c:pt>
                <c:pt idx="232">
                  <c:v>5.4999999999999993E-2</c:v>
                </c:pt>
                <c:pt idx="233">
                  <c:v>0.20599999999999996</c:v>
                </c:pt>
                <c:pt idx="234">
                  <c:v>0.15699999999999997</c:v>
                </c:pt>
                <c:pt idx="235">
                  <c:v>3.5000000000000003E-2</c:v>
                </c:pt>
                <c:pt idx="236">
                  <c:v>0.26700000000000002</c:v>
                </c:pt>
                <c:pt idx="237">
                  <c:v>0.121</c:v>
                </c:pt>
                <c:pt idx="238">
                  <c:v>0.17199999999999999</c:v>
                </c:pt>
                <c:pt idx="239">
                  <c:v>6.3999999999999946E-2</c:v>
                </c:pt>
                <c:pt idx="240">
                  <c:v>5.7000000000000051E-2</c:v>
                </c:pt>
                <c:pt idx="241">
                  <c:v>0.254</c:v>
                </c:pt>
                <c:pt idx="242">
                  <c:v>0.20799999999999999</c:v>
                </c:pt>
                <c:pt idx="243">
                  <c:v>2.4000000000000021E-2</c:v>
                </c:pt>
                <c:pt idx="244">
                  <c:v>0.20600000000000002</c:v>
                </c:pt>
                <c:pt idx="245">
                  <c:v>0.24000000000000005</c:v>
                </c:pt>
                <c:pt idx="246">
                  <c:v>0.56800000000000006</c:v>
                </c:pt>
                <c:pt idx="247">
                  <c:v>0.29999999999999993</c:v>
                </c:pt>
                <c:pt idx="248">
                  <c:v>0.42200000000000004</c:v>
                </c:pt>
                <c:pt idx="249">
                  <c:v>0.11499999999999999</c:v>
                </c:pt>
                <c:pt idx="250">
                  <c:v>0.23199999999999998</c:v>
                </c:pt>
                <c:pt idx="251">
                  <c:v>0.442</c:v>
                </c:pt>
                <c:pt idx="252">
                  <c:v>0.26400000000000001</c:v>
                </c:pt>
                <c:pt idx="253">
                  <c:v>1.9000000000000017E-2</c:v>
                </c:pt>
                <c:pt idx="254">
                  <c:v>5.1999999999999991E-2</c:v>
                </c:pt>
                <c:pt idx="255">
                  <c:v>0.188</c:v>
                </c:pt>
                <c:pt idx="256">
                  <c:v>3.7999999999999978E-2</c:v>
                </c:pt>
                <c:pt idx="257">
                  <c:v>4.6999999999999986E-2</c:v>
                </c:pt>
                <c:pt idx="258">
                  <c:v>0.251</c:v>
                </c:pt>
                <c:pt idx="259">
                  <c:v>0.26100000000000001</c:v>
                </c:pt>
                <c:pt idx="260">
                  <c:v>2.4000000000000021E-2</c:v>
                </c:pt>
                <c:pt idx="261">
                  <c:v>0.29699999999999999</c:v>
                </c:pt>
                <c:pt idx="262">
                  <c:v>0.19499999999999995</c:v>
                </c:pt>
                <c:pt idx="263">
                  <c:v>6.8000000000000005E-2</c:v>
                </c:pt>
                <c:pt idx="264">
                  <c:v>2.1999999999999964E-2</c:v>
                </c:pt>
                <c:pt idx="265">
                  <c:v>0.10099999999999998</c:v>
                </c:pt>
                <c:pt idx="266">
                  <c:v>0.41699999999999993</c:v>
                </c:pt>
                <c:pt idx="267">
                  <c:v>0.09</c:v>
                </c:pt>
                <c:pt idx="268">
                  <c:v>7.9999999999999988E-2</c:v>
                </c:pt>
                <c:pt idx="269">
                  <c:v>0.03</c:v>
                </c:pt>
                <c:pt idx="270">
                  <c:v>2.8999999999999998E-2</c:v>
                </c:pt>
                <c:pt idx="271">
                  <c:v>0.17200000000000001</c:v>
                </c:pt>
                <c:pt idx="272">
                  <c:v>0.14800000000000002</c:v>
                </c:pt>
                <c:pt idx="273">
                  <c:v>1.0000000000000009E-3</c:v>
                </c:pt>
                <c:pt idx="274">
                  <c:v>0.16299999999999998</c:v>
                </c:pt>
                <c:pt idx="275">
                  <c:v>0.13400000000000001</c:v>
                </c:pt>
                <c:pt idx="276">
                  <c:v>8.7999999999999967E-2</c:v>
                </c:pt>
                <c:pt idx="277">
                  <c:v>0.19800000000000001</c:v>
                </c:pt>
                <c:pt idx="278">
                  <c:v>0.123</c:v>
                </c:pt>
                <c:pt idx="279">
                  <c:v>0.10700000000000001</c:v>
                </c:pt>
                <c:pt idx="280">
                  <c:v>4.5000000000000012E-2</c:v>
                </c:pt>
                <c:pt idx="281">
                  <c:v>4.9000000000000016E-2</c:v>
                </c:pt>
                <c:pt idx="282">
                  <c:v>7.5999999999999984E-2</c:v>
                </c:pt>
                <c:pt idx="283">
                  <c:v>0.16099999999999998</c:v>
                </c:pt>
                <c:pt idx="284">
                  <c:v>7.8999999999999987E-2</c:v>
                </c:pt>
                <c:pt idx="285">
                  <c:v>5.3999999999999992E-2</c:v>
                </c:pt>
                <c:pt idx="286">
                  <c:v>7.400000000000001E-2</c:v>
                </c:pt>
                <c:pt idx="287">
                  <c:v>9.0999999999999998E-2</c:v>
                </c:pt>
                <c:pt idx="288">
                  <c:v>0.27100000000000002</c:v>
                </c:pt>
                <c:pt idx="289">
                  <c:v>0.14700000000000002</c:v>
                </c:pt>
                <c:pt idx="290">
                  <c:v>8.9000000000000024E-2</c:v>
                </c:pt>
                <c:pt idx="291">
                  <c:v>7.1000000000000008E-2</c:v>
                </c:pt>
                <c:pt idx="292">
                  <c:v>8.0000000000000016E-2</c:v>
                </c:pt>
                <c:pt idx="293">
                  <c:v>4.6999999999999986E-2</c:v>
                </c:pt>
                <c:pt idx="294">
                  <c:v>0.19600000000000001</c:v>
                </c:pt>
                <c:pt idx="295">
                  <c:v>8.8000000000000023E-2</c:v>
                </c:pt>
                <c:pt idx="296">
                  <c:v>0.15299999999999997</c:v>
                </c:pt>
                <c:pt idx="297">
                  <c:v>0.30099999999999999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DA-4D65-A1F7-059552D24468}"/>
            </c:ext>
          </c:extLst>
        </c:ser>
        <c:ser>
          <c:idx val="1"/>
          <c:order val="1"/>
          <c:tx>
            <c:strRef>
              <c:f>HYBOX2_TTV_SPC!$I$10</c:f>
              <c:strCache>
                <c:ptCount val="1"/>
                <c:pt idx="0">
                  <c:v>UCL_MR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HYBOX2_TTV_SPC!$I$11:$I$308</c:f>
              <c:numCache>
                <c:formatCode>General</c:formatCode>
                <c:ptCount val="298"/>
                <c:pt idx="0">
                  <c:v>0.51402999999999932</c:v>
                </c:pt>
                <c:pt idx="1">
                  <c:v>0.51402999999999932</c:v>
                </c:pt>
                <c:pt idx="2">
                  <c:v>0.51402999999999932</c:v>
                </c:pt>
                <c:pt idx="3">
                  <c:v>0.51402999999999932</c:v>
                </c:pt>
                <c:pt idx="4">
                  <c:v>0.51402999999999932</c:v>
                </c:pt>
                <c:pt idx="5">
                  <c:v>0.51402999999999932</c:v>
                </c:pt>
                <c:pt idx="6">
                  <c:v>0.51402999999999932</c:v>
                </c:pt>
                <c:pt idx="7">
                  <c:v>0.51402999999999932</c:v>
                </c:pt>
                <c:pt idx="8">
                  <c:v>0.51402999999999932</c:v>
                </c:pt>
                <c:pt idx="9">
                  <c:v>0.51402999999999932</c:v>
                </c:pt>
                <c:pt idx="10">
                  <c:v>0.51402999999999932</c:v>
                </c:pt>
                <c:pt idx="11">
                  <c:v>0.51402999999999932</c:v>
                </c:pt>
                <c:pt idx="12">
                  <c:v>0.51402999999999932</c:v>
                </c:pt>
                <c:pt idx="13">
                  <c:v>0.51402999999999932</c:v>
                </c:pt>
                <c:pt idx="14">
                  <c:v>0.51402999999999932</c:v>
                </c:pt>
                <c:pt idx="15">
                  <c:v>0.51402999999999932</c:v>
                </c:pt>
                <c:pt idx="16">
                  <c:v>0.51402999999999932</c:v>
                </c:pt>
                <c:pt idx="17">
                  <c:v>0.51402999999999932</c:v>
                </c:pt>
                <c:pt idx="18">
                  <c:v>0.51402999999999932</c:v>
                </c:pt>
                <c:pt idx="19">
                  <c:v>0.51402999999999932</c:v>
                </c:pt>
                <c:pt idx="20">
                  <c:v>0.51402999999999932</c:v>
                </c:pt>
                <c:pt idx="21">
                  <c:v>0.51402999999999932</c:v>
                </c:pt>
                <c:pt idx="22">
                  <c:v>0.51402999999999932</c:v>
                </c:pt>
                <c:pt idx="23">
                  <c:v>0.51402999999999932</c:v>
                </c:pt>
                <c:pt idx="24">
                  <c:v>0.51402999999999932</c:v>
                </c:pt>
                <c:pt idx="25">
                  <c:v>0.51402999999999932</c:v>
                </c:pt>
                <c:pt idx="26">
                  <c:v>0.51402999999999932</c:v>
                </c:pt>
                <c:pt idx="27">
                  <c:v>0.51402999999999932</c:v>
                </c:pt>
                <c:pt idx="28">
                  <c:v>0.51402999999999932</c:v>
                </c:pt>
                <c:pt idx="29">
                  <c:v>0.51402999999999932</c:v>
                </c:pt>
                <c:pt idx="30">
                  <c:v>0.51402999999999932</c:v>
                </c:pt>
                <c:pt idx="31">
                  <c:v>0.51402999999999932</c:v>
                </c:pt>
                <c:pt idx="32">
                  <c:v>0.51402999999999932</c:v>
                </c:pt>
                <c:pt idx="33">
                  <c:v>0.51402999999999932</c:v>
                </c:pt>
                <c:pt idx="34">
                  <c:v>0.51402999999999932</c:v>
                </c:pt>
                <c:pt idx="35">
                  <c:v>0.51402999999999932</c:v>
                </c:pt>
                <c:pt idx="36">
                  <c:v>0.51402999999999932</c:v>
                </c:pt>
                <c:pt idx="37">
                  <c:v>0.51402999999999932</c:v>
                </c:pt>
                <c:pt idx="38">
                  <c:v>0.51402999999999932</c:v>
                </c:pt>
                <c:pt idx="39">
                  <c:v>0.51402999999999932</c:v>
                </c:pt>
                <c:pt idx="40">
                  <c:v>0.51402999999999932</c:v>
                </c:pt>
                <c:pt idx="41">
                  <c:v>0.51402999999999932</c:v>
                </c:pt>
                <c:pt idx="42">
                  <c:v>0.51402999999999932</c:v>
                </c:pt>
                <c:pt idx="43">
                  <c:v>0.51402999999999932</c:v>
                </c:pt>
                <c:pt idx="44">
                  <c:v>0.51402999999999932</c:v>
                </c:pt>
                <c:pt idx="45">
                  <c:v>0.51402999999999932</c:v>
                </c:pt>
                <c:pt idx="46">
                  <c:v>0.51402999999999932</c:v>
                </c:pt>
                <c:pt idx="47">
                  <c:v>0.51402999999999932</c:v>
                </c:pt>
                <c:pt idx="48">
                  <c:v>0.51402999999999932</c:v>
                </c:pt>
                <c:pt idx="49">
                  <c:v>0.51402999999999932</c:v>
                </c:pt>
                <c:pt idx="50">
                  <c:v>0.51402999999999932</c:v>
                </c:pt>
                <c:pt idx="51">
                  <c:v>0.51402999999999932</c:v>
                </c:pt>
                <c:pt idx="52">
                  <c:v>0.51402999999999932</c:v>
                </c:pt>
                <c:pt idx="53">
                  <c:v>0.51402999999999932</c:v>
                </c:pt>
                <c:pt idx="54">
                  <c:v>0.51402999999999932</c:v>
                </c:pt>
                <c:pt idx="55">
                  <c:v>0.51402999999999932</c:v>
                </c:pt>
                <c:pt idx="56">
                  <c:v>0.51402999999999932</c:v>
                </c:pt>
                <c:pt idx="57">
                  <c:v>0.51402999999999932</c:v>
                </c:pt>
                <c:pt idx="58">
                  <c:v>0.51402999999999932</c:v>
                </c:pt>
                <c:pt idx="59">
                  <c:v>0.51402999999999932</c:v>
                </c:pt>
                <c:pt idx="60">
                  <c:v>0.51402999999999932</c:v>
                </c:pt>
                <c:pt idx="61">
                  <c:v>0.51402999999999932</c:v>
                </c:pt>
                <c:pt idx="62">
                  <c:v>0.51402999999999932</c:v>
                </c:pt>
                <c:pt idx="63">
                  <c:v>0.51402999999999932</c:v>
                </c:pt>
                <c:pt idx="64">
                  <c:v>0.51402999999999932</c:v>
                </c:pt>
                <c:pt idx="65">
                  <c:v>0.51402999999999932</c:v>
                </c:pt>
                <c:pt idx="66">
                  <c:v>0.51402999999999932</c:v>
                </c:pt>
                <c:pt idx="67">
                  <c:v>0.51402999999999932</c:v>
                </c:pt>
                <c:pt idx="68">
                  <c:v>0.51402999999999932</c:v>
                </c:pt>
                <c:pt idx="69">
                  <c:v>0.51402999999999932</c:v>
                </c:pt>
                <c:pt idx="70">
                  <c:v>0.51402999999999932</c:v>
                </c:pt>
                <c:pt idx="71">
                  <c:v>0.51402999999999932</c:v>
                </c:pt>
                <c:pt idx="72">
                  <c:v>0.51402999999999932</c:v>
                </c:pt>
                <c:pt idx="73">
                  <c:v>0.51402999999999932</c:v>
                </c:pt>
                <c:pt idx="74">
                  <c:v>0.51402999999999932</c:v>
                </c:pt>
                <c:pt idx="75">
                  <c:v>0.51402999999999932</c:v>
                </c:pt>
                <c:pt idx="76">
                  <c:v>0.51402999999999932</c:v>
                </c:pt>
                <c:pt idx="77">
                  <c:v>0.51402999999999932</c:v>
                </c:pt>
                <c:pt idx="78">
                  <c:v>0.51402999999999932</c:v>
                </c:pt>
                <c:pt idx="79">
                  <c:v>0.51402999999999932</c:v>
                </c:pt>
                <c:pt idx="80">
                  <c:v>0.51402999999999932</c:v>
                </c:pt>
                <c:pt idx="81">
                  <c:v>0.51402999999999932</c:v>
                </c:pt>
                <c:pt idx="82">
                  <c:v>0.51402999999999932</c:v>
                </c:pt>
                <c:pt idx="83">
                  <c:v>0.51402999999999932</c:v>
                </c:pt>
                <c:pt idx="84">
                  <c:v>0.51402999999999932</c:v>
                </c:pt>
                <c:pt idx="85">
                  <c:v>0.51402999999999932</c:v>
                </c:pt>
                <c:pt idx="86">
                  <c:v>0.51402999999999932</c:v>
                </c:pt>
                <c:pt idx="87">
                  <c:v>0.51402999999999932</c:v>
                </c:pt>
                <c:pt idx="88">
                  <c:v>0.51402999999999932</c:v>
                </c:pt>
                <c:pt idx="89">
                  <c:v>0.51402999999999932</c:v>
                </c:pt>
                <c:pt idx="90">
                  <c:v>0.51402999999999932</c:v>
                </c:pt>
                <c:pt idx="91">
                  <c:v>0.51402999999999932</c:v>
                </c:pt>
                <c:pt idx="92">
                  <c:v>0.51402999999999932</c:v>
                </c:pt>
                <c:pt idx="93">
                  <c:v>0.51402999999999932</c:v>
                </c:pt>
                <c:pt idx="94">
                  <c:v>0.51402999999999932</c:v>
                </c:pt>
                <c:pt idx="95">
                  <c:v>0.51402999999999932</c:v>
                </c:pt>
                <c:pt idx="96">
                  <c:v>0.51402999999999932</c:v>
                </c:pt>
                <c:pt idx="97">
                  <c:v>0.51402999999999932</c:v>
                </c:pt>
                <c:pt idx="98">
                  <c:v>0.51402999999999932</c:v>
                </c:pt>
                <c:pt idx="99">
                  <c:v>0.51402999999999932</c:v>
                </c:pt>
                <c:pt idx="100">
                  <c:v>0.51402999999999932</c:v>
                </c:pt>
                <c:pt idx="101">
                  <c:v>0.51402999999999932</c:v>
                </c:pt>
                <c:pt idx="102">
                  <c:v>0.51402999999999932</c:v>
                </c:pt>
                <c:pt idx="103">
                  <c:v>0.51402999999999932</c:v>
                </c:pt>
                <c:pt idx="104">
                  <c:v>0.51402999999999932</c:v>
                </c:pt>
                <c:pt idx="105">
                  <c:v>0.51402999999999932</c:v>
                </c:pt>
                <c:pt idx="106">
                  <c:v>0.51402999999999932</c:v>
                </c:pt>
                <c:pt idx="107">
                  <c:v>0.51402999999999932</c:v>
                </c:pt>
                <c:pt idx="108">
                  <c:v>0.51402999999999932</c:v>
                </c:pt>
                <c:pt idx="109">
                  <c:v>0.51402999999999932</c:v>
                </c:pt>
                <c:pt idx="110">
                  <c:v>0.51402999999999932</c:v>
                </c:pt>
                <c:pt idx="111">
                  <c:v>0.51402999999999932</c:v>
                </c:pt>
                <c:pt idx="112">
                  <c:v>0.51402999999999932</c:v>
                </c:pt>
                <c:pt idx="113">
                  <c:v>0.51402999999999932</c:v>
                </c:pt>
                <c:pt idx="114">
                  <c:v>0.51402999999999932</c:v>
                </c:pt>
                <c:pt idx="115">
                  <c:v>0.51402999999999932</c:v>
                </c:pt>
                <c:pt idx="116">
                  <c:v>0.51402999999999932</c:v>
                </c:pt>
                <c:pt idx="117">
                  <c:v>0.51402999999999932</c:v>
                </c:pt>
                <c:pt idx="118">
                  <c:v>0.51402999999999932</c:v>
                </c:pt>
                <c:pt idx="119">
                  <c:v>0.51402999999999932</c:v>
                </c:pt>
                <c:pt idx="120">
                  <c:v>0.51402999999999932</c:v>
                </c:pt>
                <c:pt idx="121">
                  <c:v>0.51402999999999932</c:v>
                </c:pt>
                <c:pt idx="122">
                  <c:v>0.51402999999999932</c:v>
                </c:pt>
                <c:pt idx="123">
                  <c:v>0.51402999999999932</c:v>
                </c:pt>
                <c:pt idx="124">
                  <c:v>0.51402999999999932</c:v>
                </c:pt>
                <c:pt idx="125">
                  <c:v>0.51402999999999932</c:v>
                </c:pt>
                <c:pt idx="126">
                  <c:v>0.51402999999999932</c:v>
                </c:pt>
                <c:pt idx="127">
                  <c:v>0.51402999999999932</c:v>
                </c:pt>
                <c:pt idx="128">
                  <c:v>0.51402999999999932</c:v>
                </c:pt>
                <c:pt idx="129">
                  <c:v>0.51402999999999932</c:v>
                </c:pt>
                <c:pt idx="130">
                  <c:v>0.51402999999999932</c:v>
                </c:pt>
                <c:pt idx="131">
                  <c:v>0.51402999999999932</c:v>
                </c:pt>
                <c:pt idx="132">
                  <c:v>0.51402999999999932</c:v>
                </c:pt>
                <c:pt idx="133">
                  <c:v>0.51402999999999932</c:v>
                </c:pt>
                <c:pt idx="134">
                  <c:v>0.51402999999999932</c:v>
                </c:pt>
                <c:pt idx="135">
                  <c:v>0.51402999999999932</c:v>
                </c:pt>
                <c:pt idx="136">
                  <c:v>0.51402999999999932</c:v>
                </c:pt>
                <c:pt idx="137">
                  <c:v>0.51402999999999932</c:v>
                </c:pt>
                <c:pt idx="138">
                  <c:v>0.51402999999999932</c:v>
                </c:pt>
                <c:pt idx="139">
                  <c:v>0.51402999999999932</c:v>
                </c:pt>
                <c:pt idx="140">
                  <c:v>0.51402999999999932</c:v>
                </c:pt>
                <c:pt idx="141">
                  <c:v>0.51402999999999932</c:v>
                </c:pt>
                <c:pt idx="142">
                  <c:v>0.51402999999999932</c:v>
                </c:pt>
                <c:pt idx="143">
                  <c:v>0.51402999999999932</c:v>
                </c:pt>
                <c:pt idx="144">
                  <c:v>0.51402999999999932</c:v>
                </c:pt>
                <c:pt idx="145">
                  <c:v>0.51402999999999932</c:v>
                </c:pt>
                <c:pt idx="146">
                  <c:v>0.51402999999999932</c:v>
                </c:pt>
                <c:pt idx="147">
                  <c:v>0.51402999999999932</c:v>
                </c:pt>
                <c:pt idx="148">
                  <c:v>0.51402999999999932</c:v>
                </c:pt>
                <c:pt idx="149">
                  <c:v>0.51402999999999932</c:v>
                </c:pt>
                <c:pt idx="150">
                  <c:v>0.51402999999999932</c:v>
                </c:pt>
                <c:pt idx="151">
                  <c:v>0.51402999999999932</c:v>
                </c:pt>
                <c:pt idx="152">
                  <c:v>0.51402999999999932</c:v>
                </c:pt>
                <c:pt idx="153">
                  <c:v>0.51402999999999932</c:v>
                </c:pt>
                <c:pt idx="154">
                  <c:v>0.51402999999999932</c:v>
                </c:pt>
                <c:pt idx="155">
                  <c:v>0.51402999999999932</c:v>
                </c:pt>
                <c:pt idx="156">
                  <c:v>0.51402999999999932</c:v>
                </c:pt>
                <c:pt idx="157">
                  <c:v>0.51402999999999932</c:v>
                </c:pt>
                <c:pt idx="158">
                  <c:v>0.51402999999999932</c:v>
                </c:pt>
                <c:pt idx="159">
                  <c:v>0.51402999999999932</c:v>
                </c:pt>
                <c:pt idx="160">
                  <c:v>0.51402999999999932</c:v>
                </c:pt>
                <c:pt idx="161">
                  <c:v>0.51402999999999932</c:v>
                </c:pt>
                <c:pt idx="162">
                  <c:v>0.51402999999999932</c:v>
                </c:pt>
                <c:pt idx="163">
                  <c:v>0.51402999999999932</c:v>
                </c:pt>
                <c:pt idx="164">
                  <c:v>0.51402999999999932</c:v>
                </c:pt>
                <c:pt idx="165">
                  <c:v>0.51402999999999932</c:v>
                </c:pt>
                <c:pt idx="166">
                  <c:v>0.51402999999999932</c:v>
                </c:pt>
                <c:pt idx="167">
                  <c:v>0.51402999999999932</c:v>
                </c:pt>
                <c:pt idx="168">
                  <c:v>0.51402999999999932</c:v>
                </c:pt>
                <c:pt idx="169">
                  <c:v>0.51402999999999932</c:v>
                </c:pt>
                <c:pt idx="170">
                  <c:v>0.51402999999999932</c:v>
                </c:pt>
                <c:pt idx="171">
                  <c:v>0.51402999999999932</c:v>
                </c:pt>
                <c:pt idx="172">
                  <c:v>0.51402999999999932</c:v>
                </c:pt>
                <c:pt idx="173">
                  <c:v>0.51402999999999932</c:v>
                </c:pt>
                <c:pt idx="174">
                  <c:v>0.51402999999999932</c:v>
                </c:pt>
                <c:pt idx="175">
                  <c:v>0.51402999999999932</c:v>
                </c:pt>
                <c:pt idx="176">
                  <c:v>0.51402999999999932</c:v>
                </c:pt>
                <c:pt idx="177">
                  <c:v>0.51402999999999932</c:v>
                </c:pt>
                <c:pt idx="178">
                  <c:v>0.51402999999999932</c:v>
                </c:pt>
                <c:pt idx="179">
                  <c:v>0.51402999999999932</c:v>
                </c:pt>
                <c:pt idx="180">
                  <c:v>0.51402999999999932</c:v>
                </c:pt>
                <c:pt idx="181">
                  <c:v>0.51402999999999932</c:v>
                </c:pt>
                <c:pt idx="182">
                  <c:v>0.51402999999999932</c:v>
                </c:pt>
                <c:pt idx="183">
                  <c:v>0.51402999999999932</c:v>
                </c:pt>
                <c:pt idx="184">
                  <c:v>0.51402999999999932</c:v>
                </c:pt>
                <c:pt idx="185">
                  <c:v>0.51402999999999932</c:v>
                </c:pt>
                <c:pt idx="186">
                  <c:v>0.51402999999999932</c:v>
                </c:pt>
                <c:pt idx="187">
                  <c:v>0.51402999999999932</c:v>
                </c:pt>
                <c:pt idx="188">
                  <c:v>0.51402999999999932</c:v>
                </c:pt>
                <c:pt idx="189">
                  <c:v>0.51402999999999932</c:v>
                </c:pt>
                <c:pt idx="190">
                  <c:v>0.51402999999999932</c:v>
                </c:pt>
                <c:pt idx="191">
                  <c:v>0.51402999999999932</c:v>
                </c:pt>
                <c:pt idx="192">
                  <c:v>0.51402999999999932</c:v>
                </c:pt>
                <c:pt idx="193">
                  <c:v>0.51402999999999932</c:v>
                </c:pt>
                <c:pt idx="194">
                  <c:v>0.51402999999999932</c:v>
                </c:pt>
                <c:pt idx="195">
                  <c:v>0.51402999999999932</c:v>
                </c:pt>
                <c:pt idx="196">
                  <c:v>0.51402999999999932</c:v>
                </c:pt>
                <c:pt idx="197">
                  <c:v>0.51402999999999932</c:v>
                </c:pt>
                <c:pt idx="198">
                  <c:v>0.51402999999999932</c:v>
                </c:pt>
                <c:pt idx="199">
                  <c:v>0.51402999999999932</c:v>
                </c:pt>
                <c:pt idx="200">
                  <c:v>0.51402999999999932</c:v>
                </c:pt>
                <c:pt idx="201">
                  <c:v>0.51402999999999932</c:v>
                </c:pt>
                <c:pt idx="202">
                  <c:v>0.51402999999999932</c:v>
                </c:pt>
                <c:pt idx="203">
                  <c:v>0.51402999999999932</c:v>
                </c:pt>
                <c:pt idx="204">
                  <c:v>0.51402999999999932</c:v>
                </c:pt>
                <c:pt idx="205">
                  <c:v>0.51402999999999932</c:v>
                </c:pt>
                <c:pt idx="206">
                  <c:v>0.51402999999999932</c:v>
                </c:pt>
                <c:pt idx="207">
                  <c:v>0.51402999999999932</c:v>
                </c:pt>
                <c:pt idx="208">
                  <c:v>0.51402999999999932</c:v>
                </c:pt>
                <c:pt idx="209">
                  <c:v>0.51402999999999932</c:v>
                </c:pt>
                <c:pt idx="210">
                  <c:v>0.51402999999999932</c:v>
                </c:pt>
                <c:pt idx="211">
                  <c:v>0.51402999999999932</c:v>
                </c:pt>
                <c:pt idx="212">
                  <c:v>0.51402999999999932</c:v>
                </c:pt>
                <c:pt idx="213">
                  <c:v>0.51402999999999932</c:v>
                </c:pt>
                <c:pt idx="214">
                  <c:v>0.51402999999999932</c:v>
                </c:pt>
                <c:pt idx="215">
                  <c:v>0.51402999999999932</c:v>
                </c:pt>
                <c:pt idx="216">
                  <c:v>0.51402999999999932</c:v>
                </c:pt>
                <c:pt idx="217">
                  <c:v>0.51402999999999932</c:v>
                </c:pt>
                <c:pt idx="218">
                  <c:v>0.51402999999999932</c:v>
                </c:pt>
                <c:pt idx="219">
                  <c:v>0.51402999999999932</c:v>
                </c:pt>
                <c:pt idx="220">
                  <c:v>0.51402999999999932</c:v>
                </c:pt>
                <c:pt idx="221">
                  <c:v>0.51402999999999932</c:v>
                </c:pt>
                <c:pt idx="222">
                  <c:v>0.51402999999999932</c:v>
                </c:pt>
                <c:pt idx="223">
                  <c:v>0.51402999999999932</c:v>
                </c:pt>
                <c:pt idx="224">
                  <c:v>0.51402999999999932</c:v>
                </c:pt>
                <c:pt idx="225">
                  <c:v>0.51402999999999932</c:v>
                </c:pt>
                <c:pt idx="226">
                  <c:v>0.51402999999999932</c:v>
                </c:pt>
                <c:pt idx="227">
                  <c:v>0.51402999999999932</c:v>
                </c:pt>
                <c:pt idx="228">
                  <c:v>0.51402999999999932</c:v>
                </c:pt>
                <c:pt idx="229">
                  <c:v>0.51402999999999932</c:v>
                </c:pt>
                <c:pt idx="230">
                  <c:v>0.51402999999999932</c:v>
                </c:pt>
                <c:pt idx="231">
                  <c:v>0.51402999999999932</c:v>
                </c:pt>
                <c:pt idx="232">
                  <c:v>0.51402999999999932</c:v>
                </c:pt>
                <c:pt idx="233">
                  <c:v>0.51402999999999932</c:v>
                </c:pt>
                <c:pt idx="234">
                  <c:v>0.51402999999999932</c:v>
                </c:pt>
                <c:pt idx="235">
                  <c:v>0.51402999999999932</c:v>
                </c:pt>
                <c:pt idx="236">
                  <c:v>0.51402999999999932</c:v>
                </c:pt>
                <c:pt idx="237">
                  <c:v>0.51402999999999932</c:v>
                </c:pt>
                <c:pt idx="238">
                  <c:v>0.51402999999999932</c:v>
                </c:pt>
                <c:pt idx="239">
                  <c:v>0.51402999999999932</c:v>
                </c:pt>
                <c:pt idx="240">
                  <c:v>0.51402999999999932</c:v>
                </c:pt>
                <c:pt idx="241">
                  <c:v>0.51402999999999932</c:v>
                </c:pt>
                <c:pt idx="242">
                  <c:v>0.51402999999999932</c:v>
                </c:pt>
                <c:pt idx="243">
                  <c:v>0.51402999999999932</c:v>
                </c:pt>
                <c:pt idx="244">
                  <c:v>0.51402999999999932</c:v>
                </c:pt>
                <c:pt idx="245">
                  <c:v>0.51402999999999932</c:v>
                </c:pt>
                <c:pt idx="246">
                  <c:v>0.51402999999999932</c:v>
                </c:pt>
                <c:pt idx="247">
                  <c:v>0.51402999999999932</c:v>
                </c:pt>
                <c:pt idx="248">
                  <c:v>0.51402999999999932</c:v>
                </c:pt>
                <c:pt idx="249">
                  <c:v>0.51402999999999932</c:v>
                </c:pt>
                <c:pt idx="250">
                  <c:v>0.51402999999999932</c:v>
                </c:pt>
                <c:pt idx="251">
                  <c:v>0.51402999999999932</c:v>
                </c:pt>
                <c:pt idx="252">
                  <c:v>0.51402999999999932</c:v>
                </c:pt>
                <c:pt idx="253">
                  <c:v>0.51402999999999932</c:v>
                </c:pt>
                <c:pt idx="254">
                  <c:v>0.51402999999999932</c:v>
                </c:pt>
                <c:pt idx="255">
                  <c:v>0.51402999999999932</c:v>
                </c:pt>
                <c:pt idx="256">
                  <c:v>0.51402999999999932</c:v>
                </c:pt>
                <c:pt idx="257">
                  <c:v>0.51402999999999932</c:v>
                </c:pt>
                <c:pt idx="258">
                  <c:v>0.51402999999999932</c:v>
                </c:pt>
                <c:pt idx="259">
                  <c:v>0.51402999999999932</c:v>
                </c:pt>
                <c:pt idx="260">
                  <c:v>0.51402999999999932</c:v>
                </c:pt>
                <c:pt idx="261">
                  <c:v>0.51402999999999932</c:v>
                </c:pt>
                <c:pt idx="262">
                  <c:v>0.51402999999999932</c:v>
                </c:pt>
                <c:pt idx="263">
                  <c:v>0.51402999999999932</c:v>
                </c:pt>
                <c:pt idx="264">
                  <c:v>0.51402999999999932</c:v>
                </c:pt>
                <c:pt idx="265">
                  <c:v>0.51402999999999932</c:v>
                </c:pt>
                <c:pt idx="266">
                  <c:v>0.51402999999999932</c:v>
                </c:pt>
                <c:pt idx="267">
                  <c:v>0.51402999999999932</c:v>
                </c:pt>
                <c:pt idx="268">
                  <c:v>0.51402999999999932</c:v>
                </c:pt>
                <c:pt idx="269">
                  <c:v>0.51402999999999932</c:v>
                </c:pt>
                <c:pt idx="270">
                  <c:v>0.51402999999999932</c:v>
                </c:pt>
                <c:pt idx="271">
                  <c:v>0.51402999999999932</c:v>
                </c:pt>
                <c:pt idx="272">
                  <c:v>0.51402999999999932</c:v>
                </c:pt>
                <c:pt idx="273">
                  <c:v>0.51402999999999932</c:v>
                </c:pt>
                <c:pt idx="274">
                  <c:v>0.51402999999999932</c:v>
                </c:pt>
                <c:pt idx="275">
                  <c:v>0.51402999999999932</c:v>
                </c:pt>
                <c:pt idx="276">
                  <c:v>0.51402999999999932</c:v>
                </c:pt>
                <c:pt idx="277">
                  <c:v>0.51402999999999932</c:v>
                </c:pt>
                <c:pt idx="278">
                  <c:v>0.51402999999999932</c:v>
                </c:pt>
                <c:pt idx="279">
                  <c:v>0.51402999999999932</c:v>
                </c:pt>
                <c:pt idx="280">
                  <c:v>0.51402999999999932</c:v>
                </c:pt>
                <c:pt idx="281">
                  <c:v>0.51402999999999932</c:v>
                </c:pt>
                <c:pt idx="282">
                  <c:v>0.51402999999999932</c:v>
                </c:pt>
                <c:pt idx="283">
                  <c:v>0.51402999999999932</c:v>
                </c:pt>
                <c:pt idx="284">
                  <c:v>0.51402999999999932</c:v>
                </c:pt>
                <c:pt idx="285">
                  <c:v>0.51402999999999932</c:v>
                </c:pt>
                <c:pt idx="286">
                  <c:v>0.51402999999999932</c:v>
                </c:pt>
                <c:pt idx="287">
                  <c:v>0.51402999999999932</c:v>
                </c:pt>
                <c:pt idx="288">
                  <c:v>0.51402999999999932</c:v>
                </c:pt>
                <c:pt idx="289">
                  <c:v>0.51402999999999932</c:v>
                </c:pt>
                <c:pt idx="290">
                  <c:v>0.51402999999999932</c:v>
                </c:pt>
                <c:pt idx="291">
                  <c:v>0.51402999999999932</c:v>
                </c:pt>
                <c:pt idx="292">
                  <c:v>0.51402999999999932</c:v>
                </c:pt>
                <c:pt idx="293">
                  <c:v>0.51402999999999932</c:v>
                </c:pt>
                <c:pt idx="294">
                  <c:v>0.51402999999999932</c:v>
                </c:pt>
                <c:pt idx="295">
                  <c:v>0.51402999999999932</c:v>
                </c:pt>
                <c:pt idx="296">
                  <c:v>0.51402999999999932</c:v>
                </c:pt>
                <c:pt idx="297">
                  <c:v>0.51402999999999932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DA-4D65-A1F7-059552D24468}"/>
            </c:ext>
          </c:extLst>
        </c:ser>
        <c:ser>
          <c:idx val="2"/>
          <c:order val="2"/>
          <c:tx>
            <c:strRef>
              <c:f>HYBOX2_TTV_SPC!$J$10</c:f>
              <c:strCache>
                <c:ptCount val="1"/>
                <c:pt idx="0">
                  <c:v>CL_MR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HYBOX2_TTV_SPC!$A$11:$A$308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</c:numCache>
            </c:numRef>
          </c:cat>
          <c:val>
            <c:numRef>
              <c:f>HYBOX2_TTV_SPC!$J$11:$J$308</c:f>
              <c:numCache>
                <c:formatCode>General</c:formatCode>
                <c:ptCount val="298"/>
                <c:pt idx="0">
                  <c:v>0.15734006734006714</c:v>
                </c:pt>
                <c:pt idx="1">
                  <c:v>0.15734006734006714</c:v>
                </c:pt>
                <c:pt idx="2">
                  <c:v>0.15734006734006714</c:v>
                </c:pt>
                <c:pt idx="3">
                  <c:v>0.15734006734006714</c:v>
                </c:pt>
                <c:pt idx="4">
                  <c:v>0.15734006734006714</c:v>
                </c:pt>
                <c:pt idx="5">
                  <c:v>0.15734006734006714</c:v>
                </c:pt>
                <c:pt idx="6">
                  <c:v>0.15734006734006714</c:v>
                </c:pt>
                <c:pt idx="7">
                  <c:v>0.15734006734006714</c:v>
                </c:pt>
                <c:pt idx="8">
                  <c:v>0.15734006734006714</c:v>
                </c:pt>
                <c:pt idx="9">
                  <c:v>0.15734006734006714</c:v>
                </c:pt>
                <c:pt idx="10">
                  <c:v>0.15734006734006714</c:v>
                </c:pt>
                <c:pt idx="11">
                  <c:v>0.15734006734006714</c:v>
                </c:pt>
                <c:pt idx="12">
                  <c:v>0.15734006734006714</c:v>
                </c:pt>
                <c:pt idx="13">
                  <c:v>0.15734006734006714</c:v>
                </c:pt>
                <c:pt idx="14">
                  <c:v>0.15734006734006714</c:v>
                </c:pt>
                <c:pt idx="15">
                  <c:v>0.15734006734006714</c:v>
                </c:pt>
                <c:pt idx="16">
                  <c:v>0.15734006734006714</c:v>
                </c:pt>
                <c:pt idx="17">
                  <c:v>0.15734006734006714</c:v>
                </c:pt>
                <c:pt idx="18">
                  <c:v>0.15734006734006714</c:v>
                </c:pt>
                <c:pt idx="19">
                  <c:v>0.15734006734006714</c:v>
                </c:pt>
                <c:pt idx="20">
                  <c:v>0.15734006734006714</c:v>
                </c:pt>
                <c:pt idx="21">
                  <c:v>0.15734006734006714</c:v>
                </c:pt>
                <c:pt idx="22">
                  <c:v>0.15734006734006714</c:v>
                </c:pt>
                <c:pt idx="23">
                  <c:v>0.15734006734006714</c:v>
                </c:pt>
                <c:pt idx="24">
                  <c:v>0.15734006734006714</c:v>
                </c:pt>
                <c:pt idx="25">
                  <c:v>0.15734006734006714</c:v>
                </c:pt>
                <c:pt idx="26">
                  <c:v>0.15734006734006714</c:v>
                </c:pt>
                <c:pt idx="27">
                  <c:v>0.15734006734006714</c:v>
                </c:pt>
                <c:pt idx="28">
                  <c:v>0.15734006734006714</c:v>
                </c:pt>
                <c:pt idx="29">
                  <c:v>0.15734006734006714</c:v>
                </c:pt>
                <c:pt idx="30">
                  <c:v>0.15734006734006714</c:v>
                </c:pt>
                <c:pt idx="31">
                  <c:v>0.15734006734006714</c:v>
                </c:pt>
                <c:pt idx="32">
                  <c:v>0.15734006734006714</c:v>
                </c:pt>
                <c:pt idx="33">
                  <c:v>0.15734006734006714</c:v>
                </c:pt>
                <c:pt idx="34">
                  <c:v>0.15734006734006714</c:v>
                </c:pt>
                <c:pt idx="35">
                  <c:v>0.15734006734006714</c:v>
                </c:pt>
                <c:pt idx="36">
                  <c:v>0.15734006734006714</c:v>
                </c:pt>
                <c:pt idx="37">
                  <c:v>0.15734006734006714</c:v>
                </c:pt>
                <c:pt idx="38">
                  <c:v>0.15734006734006714</c:v>
                </c:pt>
                <c:pt idx="39">
                  <c:v>0.15734006734006714</c:v>
                </c:pt>
                <c:pt idx="40">
                  <c:v>0.15734006734006714</c:v>
                </c:pt>
                <c:pt idx="41">
                  <c:v>0.15734006734006714</c:v>
                </c:pt>
                <c:pt idx="42">
                  <c:v>0.15734006734006714</c:v>
                </c:pt>
                <c:pt idx="43">
                  <c:v>0.15734006734006714</c:v>
                </c:pt>
                <c:pt idx="44">
                  <c:v>0.15734006734006714</c:v>
                </c:pt>
                <c:pt idx="45">
                  <c:v>0.15734006734006714</c:v>
                </c:pt>
                <c:pt idx="46">
                  <c:v>0.15734006734006714</c:v>
                </c:pt>
                <c:pt idx="47">
                  <c:v>0.15734006734006714</c:v>
                </c:pt>
                <c:pt idx="48">
                  <c:v>0.15734006734006714</c:v>
                </c:pt>
                <c:pt idx="49">
                  <c:v>0.15734006734006714</c:v>
                </c:pt>
                <c:pt idx="50">
                  <c:v>0.15734006734006714</c:v>
                </c:pt>
                <c:pt idx="51">
                  <c:v>0.15734006734006714</c:v>
                </c:pt>
                <c:pt idx="52">
                  <c:v>0.15734006734006714</c:v>
                </c:pt>
                <c:pt idx="53">
                  <c:v>0.15734006734006714</c:v>
                </c:pt>
                <c:pt idx="54">
                  <c:v>0.15734006734006714</c:v>
                </c:pt>
                <c:pt idx="55">
                  <c:v>0.15734006734006714</c:v>
                </c:pt>
                <c:pt idx="56">
                  <c:v>0.15734006734006714</c:v>
                </c:pt>
                <c:pt idx="57">
                  <c:v>0.15734006734006714</c:v>
                </c:pt>
                <c:pt idx="58">
                  <c:v>0.15734006734006714</c:v>
                </c:pt>
                <c:pt idx="59">
                  <c:v>0.15734006734006714</c:v>
                </c:pt>
                <c:pt idx="60">
                  <c:v>0.15734006734006714</c:v>
                </c:pt>
                <c:pt idx="61">
                  <c:v>0.15734006734006714</c:v>
                </c:pt>
                <c:pt idx="62">
                  <c:v>0.15734006734006714</c:v>
                </c:pt>
                <c:pt idx="63">
                  <c:v>0.15734006734006714</c:v>
                </c:pt>
                <c:pt idx="64">
                  <c:v>0.15734006734006714</c:v>
                </c:pt>
                <c:pt idx="65">
                  <c:v>0.15734006734006714</c:v>
                </c:pt>
                <c:pt idx="66">
                  <c:v>0.15734006734006714</c:v>
                </c:pt>
                <c:pt idx="67">
                  <c:v>0.15734006734006714</c:v>
                </c:pt>
                <c:pt idx="68">
                  <c:v>0.15734006734006714</c:v>
                </c:pt>
                <c:pt idx="69">
                  <c:v>0.15734006734006714</c:v>
                </c:pt>
                <c:pt idx="70">
                  <c:v>0.15734006734006714</c:v>
                </c:pt>
                <c:pt idx="71">
                  <c:v>0.15734006734006714</c:v>
                </c:pt>
                <c:pt idx="72">
                  <c:v>0.15734006734006714</c:v>
                </c:pt>
                <c:pt idx="73">
                  <c:v>0.15734006734006714</c:v>
                </c:pt>
                <c:pt idx="74">
                  <c:v>0.15734006734006714</c:v>
                </c:pt>
                <c:pt idx="75">
                  <c:v>0.15734006734006714</c:v>
                </c:pt>
                <c:pt idx="76">
                  <c:v>0.15734006734006714</c:v>
                </c:pt>
                <c:pt idx="77">
                  <c:v>0.15734006734006714</c:v>
                </c:pt>
                <c:pt idx="78">
                  <c:v>0.15734006734006714</c:v>
                </c:pt>
                <c:pt idx="79">
                  <c:v>0.15734006734006714</c:v>
                </c:pt>
                <c:pt idx="80">
                  <c:v>0.15734006734006714</c:v>
                </c:pt>
                <c:pt idx="81">
                  <c:v>0.15734006734006714</c:v>
                </c:pt>
                <c:pt idx="82">
                  <c:v>0.15734006734006714</c:v>
                </c:pt>
                <c:pt idx="83">
                  <c:v>0.15734006734006714</c:v>
                </c:pt>
                <c:pt idx="84">
                  <c:v>0.15734006734006714</c:v>
                </c:pt>
                <c:pt idx="85">
                  <c:v>0.15734006734006714</c:v>
                </c:pt>
                <c:pt idx="86">
                  <c:v>0.15734006734006714</c:v>
                </c:pt>
                <c:pt idx="87">
                  <c:v>0.15734006734006714</c:v>
                </c:pt>
                <c:pt idx="88">
                  <c:v>0.15734006734006714</c:v>
                </c:pt>
                <c:pt idx="89">
                  <c:v>0.15734006734006714</c:v>
                </c:pt>
                <c:pt idx="90">
                  <c:v>0.15734006734006714</c:v>
                </c:pt>
                <c:pt idx="91">
                  <c:v>0.15734006734006714</c:v>
                </c:pt>
                <c:pt idx="92">
                  <c:v>0.15734006734006714</c:v>
                </c:pt>
                <c:pt idx="93">
                  <c:v>0.15734006734006714</c:v>
                </c:pt>
                <c:pt idx="94">
                  <c:v>0.15734006734006714</c:v>
                </c:pt>
                <c:pt idx="95">
                  <c:v>0.15734006734006714</c:v>
                </c:pt>
                <c:pt idx="96">
                  <c:v>0.15734006734006714</c:v>
                </c:pt>
                <c:pt idx="97">
                  <c:v>0.15734006734006714</c:v>
                </c:pt>
                <c:pt idx="98">
                  <c:v>0.15734006734006714</c:v>
                </c:pt>
                <c:pt idx="99">
                  <c:v>0.15734006734006714</c:v>
                </c:pt>
                <c:pt idx="100">
                  <c:v>0.15734006734006714</c:v>
                </c:pt>
                <c:pt idx="101">
                  <c:v>0.15734006734006714</c:v>
                </c:pt>
                <c:pt idx="102">
                  <c:v>0.15734006734006714</c:v>
                </c:pt>
                <c:pt idx="103">
                  <c:v>0.15734006734006714</c:v>
                </c:pt>
                <c:pt idx="104">
                  <c:v>0.15734006734006714</c:v>
                </c:pt>
                <c:pt idx="105">
                  <c:v>0.15734006734006714</c:v>
                </c:pt>
                <c:pt idx="106">
                  <c:v>0.15734006734006714</c:v>
                </c:pt>
                <c:pt idx="107">
                  <c:v>0.15734006734006714</c:v>
                </c:pt>
                <c:pt idx="108">
                  <c:v>0.15734006734006714</c:v>
                </c:pt>
                <c:pt idx="109">
                  <c:v>0.15734006734006714</c:v>
                </c:pt>
                <c:pt idx="110">
                  <c:v>0.15734006734006714</c:v>
                </c:pt>
                <c:pt idx="111">
                  <c:v>0.15734006734006714</c:v>
                </c:pt>
                <c:pt idx="112">
                  <c:v>0.15734006734006714</c:v>
                </c:pt>
                <c:pt idx="113">
                  <c:v>0.15734006734006714</c:v>
                </c:pt>
                <c:pt idx="114">
                  <c:v>0.15734006734006714</c:v>
                </c:pt>
                <c:pt idx="115">
                  <c:v>0.15734006734006714</c:v>
                </c:pt>
                <c:pt idx="116">
                  <c:v>0.15734006734006714</c:v>
                </c:pt>
                <c:pt idx="117">
                  <c:v>0.15734006734006714</c:v>
                </c:pt>
                <c:pt idx="118">
                  <c:v>0.15734006734006714</c:v>
                </c:pt>
                <c:pt idx="119">
                  <c:v>0.15734006734006714</c:v>
                </c:pt>
                <c:pt idx="120">
                  <c:v>0.15734006734006714</c:v>
                </c:pt>
                <c:pt idx="121">
                  <c:v>0.15734006734006714</c:v>
                </c:pt>
                <c:pt idx="122">
                  <c:v>0.15734006734006714</c:v>
                </c:pt>
                <c:pt idx="123">
                  <c:v>0.15734006734006714</c:v>
                </c:pt>
                <c:pt idx="124">
                  <c:v>0.15734006734006714</c:v>
                </c:pt>
                <c:pt idx="125">
                  <c:v>0.15734006734006714</c:v>
                </c:pt>
                <c:pt idx="126">
                  <c:v>0.15734006734006714</c:v>
                </c:pt>
                <c:pt idx="127">
                  <c:v>0.15734006734006714</c:v>
                </c:pt>
                <c:pt idx="128">
                  <c:v>0.15734006734006714</c:v>
                </c:pt>
                <c:pt idx="129">
                  <c:v>0.15734006734006714</c:v>
                </c:pt>
                <c:pt idx="130">
                  <c:v>0.15734006734006714</c:v>
                </c:pt>
                <c:pt idx="131">
                  <c:v>0.15734006734006714</c:v>
                </c:pt>
                <c:pt idx="132">
                  <c:v>0.15734006734006714</c:v>
                </c:pt>
                <c:pt idx="133">
                  <c:v>0.15734006734006714</c:v>
                </c:pt>
                <c:pt idx="134">
                  <c:v>0.15734006734006714</c:v>
                </c:pt>
                <c:pt idx="135">
                  <c:v>0.15734006734006714</c:v>
                </c:pt>
                <c:pt idx="136">
                  <c:v>0.15734006734006714</c:v>
                </c:pt>
                <c:pt idx="137">
                  <c:v>0.15734006734006714</c:v>
                </c:pt>
                <c:pt idx="138">
                  <c:v>0.15734006734006714</c:v>
                </c:pt>
                <c:pt idx="139">
                  <c:v>0.15734006734006714</c:v>
                </c:pt>
                <c:pt idx="140">
                  <c:v>0.15734006734006714</c:v>
                </c:pt>
                <c:pt idx="141">
                  <c:v>0.15734006734006714</c:v>
                </c:pt>
                <c:pt idx="142">
                  <c:v>0.15734006734006714</c:v>
                </c:pt>
                <c:pt idx="143">
                  <c:v>0.15734006734006714</c:v>
                </c:pt>
                <c:pt idx="144">
                  <c:v>0.15734006734006714</c:v>
                </c:pt>
                <c:pt idx="145">
                  <c:v>0.15734006734006714</c:v>
                </c:pt>
                <c:pt idx="146">
                  <c:v>0.15734006734006714</c:v>
                </c:pt>
                <c:pt idx="147">
                  <c:v>0.15734006734006714</c:v>
                </c:pt>
                <c:pt idx="148">
                  <c:v>0.15734006734006714</c:v>
                </c:pt>
                <c:pt idx="149">
                  <c:v>0.15734006734006714</c:v>
                </c:pt>
                <c:pt idx="150">
                  <c:v>0.15734006734006714</c:v>
                </c:pt>
                <c:pt idx="151">
                  <c:v>0.15734006734006714</c:v>
                </c:pt>
                <c:pt idx="152">
                  <c:v>0.15734006734006714</c:v>
                </c:pt>
                <c:pt idx="153">
                  <c:v>0.15734006734006714</c:v>
                </c:pt>
                <c:pt idx="154">
                  <c:v>0.15734006734006714</c:v>
                </c:pt>
                <c:pt idx="155">
                  <c:v>0.15734006734006714</c:v>
                </c:pt>
                <c:pt idx="156">
                  <c:v>0.15734006734006714</c:v>
                </c:pt>
                <c:pt idx="157">
                  <c:v>0.15734006734006714</c:v>
                </c:pt>
                <c:pt idx="158">
                  <c:v>0.15734006734006714</c:v>
                </c:pt>
                <c:pt idx="159">
                  <c:v>0.15734006734006714</c:v>
                </c:pt>
                <c:pt idx="160">
                  <c:v>0.15734006734006714</c:v>
                </c:pt>
                <c:pt idx="161">
                  <c:v>0.15734006734006714</c:v>
                </c:pt>
                <c:pt idx="162">
                  <c:v>0.15734006734006714</c:v>
                </c:pt>
                <c:pt idx="163">
                  <c:v>0.15734006734006714</c:v>
                </c:pt>
                <c:pt idx="164">
                  <c:v>0.15734006734006714</c:v>
                </c:pt>
                <c:pt idx="165">
                  <c:v>0.15734006734006714</c:v>
                </c:pt>
                <c:pt idx="166">
                  <c:v>0.15734006734006714</c:v>
                </c:pt>
                <c:pt idx="167">
                  <c:v>0.15734006734006714</c:v>
                </c:pt>
                <c:pt idx="168">
                  <c:v>0.15734006734006714</c:v>
                </c:pt>
                <c:pt idx="169">
                  <c:v>0.15734006734006714</c:v>
                </c:pt>
                <c:pt idx="170">
                  <c:v>0.15734006734006714</c:v>
                </c:pt>
                <c:pt idx="171">
                  <c:v>0.15734006734006714</c:v>
                </c:pt>
                <c:pt idx="172">
                  <c:v>0.15734006734006714</c:v>
                </c:pt>
                <c:pt idx="173">
                  <c:v>0.15734006734006714</c:v>
                </c:pt>
                <c:pt idx="174">
                  <c:v>0.15734006734006714</c:v>
                </c:pt>
                <c:pt idx="175">
                  <c:v>0.15734006734006714</c:v>
                </c:pt>
                <c:pt idx="176">
                  <c:v>0.15734006734006714</c:v>
                </c:pt>
                <c:pt idx="177">
                  <c:v>0.15734006734006714</c:v>
                </c:pt>
                <c:pt idx="178">
                  <c:v>0.15734006734006714</c:v>
                </c:pt>
                <c:pt idx="179">
                  <c:v>0.15734006734006714</c:v>
                </c:pt>
                <c:pt idx="180">
                  <c:v>0.15734006734006714</c:v>
                </c:pt>
                <c:pt idx="181">
                  <c:v>0.15734006734006714</c:v>
                </c:pt>
                <c:pt idx="182">
                  <c:v>0.15734006734006714</c:v>
                </c:pt>
                <c:pt idx="183">
                  <c:v>0.15734006734006714</c:v>
                </c:pt>
                <c:pt idx="184">
                  <c:v>0.15734006734006714</c:v>
                </c:pt>
                <c:pt idx="185">
                  <c:v>0.15734006734006714</c:v>
                </c:pt>
                <c:pt idx="186">
                  <c:v>0.15734006734006714</c:v>
                </c:pt>
                <c:pt idx="187">
                  <c:v>0.15734006734006714</c:v>
                </c:pt>
                <c:pt idx="188">
                  <c:v>0.15734006734006714</c:v>
                </c:pt>
                <c:pt idx="189">
                  <c:v>0.15734006734006714</c:v>
                </c:pt>
                <c:pt idx="190">
                  <c:v>0.15734006734006714</c:v>
                </c:pt>
                <c:pt idx="191">
                  <c:v>0.15734006734006714</c:v>
                </c:pt>
                <c:pt idx="192">
                  <c:v>0.15734006734006714</c:v>
                </c:pt>
                <c:pt idx="193">
                  <c:v>0.15734006734006714</c:v>
                </c:pt>
                <c:pt idx="194">
                  <c:v>0.15734006734006714</c:v>
                </c:pt>
                <c:pt idx="195">
                  <c:v>0.15734006734006714</c:v>
                </c:pt>
                <c:pt idx="196">
                  <c:v>0.15734006734006714</c:v>
                </c:pt>
                <c:pt idx="197">
                  <c:v>0.15734006734006714</c:v>
                </c:pt>
                <c:pt idx="198">
                  <c:v>0.15734006734006714</c:v>
                </c:pt>
                <c:pt idx="199">
                  <c:v>0.15734006734006714</c:v>
                </c:pt>
                <c:pt idx="200">
                  <c:v>0.15734006734006714</c:v>
                </c:pt>
                <c:pt idx="201">
                  <c:v>0.15734006734006714</c:v>
                </c:pt>
                <c:pt idx="202">
                  <c:v>0.15734006734006714</c:v>
                </c:pt>
                <c:pt idx="203">
                  <c:v>0.15734006734006714</c:v>
                </c:pt>
                <c:pt idx="204">
                  <c:v>0.15734006734006714</c:v>
                </c:pt>
                <c:pt idx="205">
                  <c:v>0.15734006734006714</c:v>
                </c:pt>
                <c:pt idx="206">
                  <c:v>0.15734006734006714</c:v>
                </c:pt>
                <c:pt idx="207">
                  <c:v>0.15734006734006714</c:v>
                </c:pt>
                <c:pt idx="208">
                  <c:v>0.15734006734006714</c:v>
                </c:pt>
                <c:pt idx="209">
                  <c:v>0.15734006734006714</c:v>
                </c:pt>
                <c:pt idx="210">
                  <c:v>0.15734006734006714</c:v>
                </c:pt>
                <c:pt idx="211">
                  <c:v>0.15734006734006714</c:v>
                </c:pt>
                <c:pt idx="212">
                  <c:v>0.15734006734006714</c:v>
                </c:pt>
                <c:pt idx="213">
                  <c:v>0.15734006734006714</c:v>
                </c:pt>
                <c:pt idx="214">
                  <c:v>0.15734006734006714</c:v>
                </c:pt>
                <c:pt idx="215">
                  <c:v>0.15734006734006714</c:v>
                </c:pt>
                <c:pt idx="216">
                  <c:v>0.15734006734006714</c:v>
                </c:pt>
                <c:pt idx="217">
                  <c:v>0.15734006734006714</c:v>
                </c:pt>
                <c:pt idx="218">
                  <c:v>0.15734006734006714</c:v>
                </c:pt>
                <c:pt idx="219">
                  <c:v>0.15734006734006714</c:v>
                </c:pt>
                <c:pt idx="220">
                  <c:v>0.15734006734006714</c:v>
                </c:pt>
                <c:pt idx="221">
                  <c:v>0.15734006734006714</c:v>
                </c:pt>
                <c:pt idx="222">
                  <c:v>0.15734006734006714</c:v>
                </c:pt>
                <c:pt idx="223">
                  <c:v>0.15734006734006714</c:v>
                </c:pt>
                <c:pt idx="224">
                  <c:v>0.15734006734006714</c:v>
                </c:pt>
                <c:pt idx="225">
                  <c:v>0.15734006734006714</c:v>
                </c:pt>
                <c:pt idx="226">
                  <c:v>0.15734006734006714</c:v>
                </c:pt>
                <c:pt idx="227">
                  <c:v>0.15734006734006714</c:v>
                </c:pt>
                <c:pt idx="228">
                  <c:v>0.15734006734006714</c:v>
                </c:pt>
                <c:pt idx="229">
                  <c:v>0.15734006734006714</c:v>
                </c:pt>
                <c:pt idx="230">
                  <c:v>0.15734006734006714</c:v>
                </c:pt>
                <c:pt idx="231">
                  <c:v>0.15734006734006714</c:v>
                </c:pt>
                <c:pt idx="232">
                  <c:v>0.15734006734006714</c:v>
                </c:pt>
                <c:pt idx="233">
                  <c:v>0.15734006734006714</c:v>
                </c:pt>
                <c:pt idx="234">
                  <c:v>0.15734006734006714</c:v>
                </c:pt>
                <c:pt idx="235">
                  <c:v>0.15734006734006714</c:v>
                </c:pt>
                <c:pt idx="236">
                  <c:v>0.15734006734006714</c:v>
                </c:pt>
                <c:pt idx="237">
                  <c:v>0.15734006734006714</c:v>
                </c:pt>
                <c:pt idx="238">
                  <c:v>0.15734006734006714</c:v>
                </c:pt>
                <c:pt idx="239">
                  <c:v>0.15734006734006714</c:v>
                </c:pt>
                <c:pt idx="240">
                  <c:v>0.15734006734006714</c:v>
                </c:pt>
                <c:pt idx="241">
                  <c:v>0.15734006734006714</c:v>
                </c:pt>
                <c:pt idx="242">
                  <c:v>0.15734006734006714</c:v>
                </c:pt>
                <c:pt idx="243">
                  <c:v>0.15734006734006714</c:v>
                </c:pt>
                <c:pt idx="244">
                  <c:v>0.15734006734006714</c:v>
                </c:pt>
                <c:pt idx="245">
                  <c:v>0.15734006734006714</c:v>
                </c:pt>
                <c:pt idx="246">
                  <c:v>0.15734006734006714</c:v>
                </c:pt>
                <c:pt idx="247">
                  <c:v>0.15734006734006714</c:v>
                </c:pt>
                <c:pt idx="248">
                  <c:v>0.15734006734006714</c:v>
                </c:pt>
                <c:pt idx="249">
                  <c:v>0.15734006734006714</c:v>
                </c:pt>
                <c:pt idx="250">
                  <c:v>0.15734006734006714</c:v>
                </c:pt>
                <c:pt idx="251">
                  <c:v>0.15734006734006714</c:v>
                </c:pt>
                <c:pt idx="252">
                  <c:v>0.15734006734006714</c:v>
                </c:pt>
                <c:pt idx="253">
                  <c:v>0.15734006734006714</c:v>
                </c:pt>
                <c:pt idx="254">
                  <c:v>0.15734006734006714</c:v>
                </c:pt>
                <c:pt idx="255">
                  <c:v>0.15734006734006714</c:v>
                </c:pt>
                <c:pt idx="256">
                  <c:v>0.15734006734006714</c:v>
                </c:pt>
                <c:pt idx="257">
                  <c:v>0.15734006734006714</c:v>
                </c:pt>
                <c:pt idx="258">
                  <c:v>0.15734006734006714</c:v>
                </c:pt>
                <c:pt idx="259">
                  <c:v>0.15734006734006714</c:v>
                </c:pt>
                <c:pt idx="260">
                  <c:v>0.15734006734006714</c:v>
                </c:pt>
                <c:pt idx="261">
                  <c:v>0.15734006734006714</c:v>
                </c:pt>
                <c:pt idx="262">
                  <c:v>0.15734006734006714</c:v>
                </c:pt>
                <c:pt idx="263">
                  <c:v>0.15734006734006714</c:v>
                </c:pt>
                <c:pt idx="264">
                  <c:v>0.15734006734006714</c:v>
                </c:pt>
                <c:pt idx="265">
                  <c:v>0.15734006734006714</c:v>
                </c:pt>
                <c:pt idx="266">
                  <c:v>0.15734006734006714</c:v>
                </c:pt>
                <c:pt idx="267">
                  <c:v>0.15734006734006714</c:v>
                </c:pt>
                <c:pt idx="268">
                  <c:v>0.15734006734006714</c:v>
                </c:pt>
                <c:pt idx="269">
                  <c:v>0.15734006734006714</c:v>
                </c:pt>
                <c:pt idx="270">
                  <c:v>0.15734006734006714</c:v>
                </c:pt>
                <c:pt idx="271">
                  <c:v>0.15734006734006714</c:v>
                </c:pt>
                <c:pt idx="272">
                  <c:v>0.15734006734006714</c:v>
                </c:pt>
                <c:pt idx="273">
                  <c:v>0.15734006734006714</c:v>
                </c:pt>
                <c:pt idx="274">
                  <c:v>0.15734006734006714</c:v>
                </c:pt>
                <c:pt idx="275">
                  <c:v>0.15734006734006714</c:v>
                </c:pt>
                <c:pt idx="276">
                  <c:v>0.15734006734006714</c:v>
                </c:pt>
                <c:pt idx="277">
                  <c:v>0.15734006734006714</c:v>
                </c:pt>
                <c:pt idx="278">
                  <c:v>0.15734006734006714</c:v>
                </c:pt>
                <c:pt idx="279">
                  <c:v>0.15734006734006714</c:v>
                </c:pt>
                <c:pt idx="280">
                  <c:v>0.15734006734006714</c:v>
                </c:pt>
                <c:pt idx="281">
                  <c:v>0.15734006734006714</c:v>
                </c:pt>
                <c:pt idx="282">
                  <c:v>0.15734006734006714</c:v>
                </c:pt>
                <c:pt idx="283">
                  <c:v>0.15734006734006714</c:v>
                </c:pt>
                <c:pt idx="284">
                  <c:v>0.15734006734006714</c:v>
                </c:pt>
                <c:pt idx="285">
                  <c:v>0.15734006734006714</c:v>
                </c:pt>
                <c:pt idx="286">
                  <c:v>0.15734006734006714</c:v>
                </c:pt>
                <c:pt idx="287">
                  <c:v>0.15734006734006714</c:v>
                </c:pt>
                <c:pt idx="288">
                  <c:v>0.15734006734006714</c:v>
                </c:pt>
                <c:pt idx="289">
                  <c:v>0.15734006734006714</c:v>
                </c:pt>
                <c:pt idx="290">
                  <c:v>0.15734006734006714</c:v>
                </c:pt>
                <c:pt idx="291">
                  <c:v>0.15734006734006714</c:v>
                </c:pt>
                <c:pt idx="292">
                  <c:v>0.15734006734006714</c:v>
                </c:pt>
                <c:pt idx="293">
                  <c:v>0.15734006734006714</c:v>
                </c:pt>
                <c:pt idx="294">
                  <c:v>0.15734006734006714</c:v>
                </c:pt>
                <c:pt idx="295">
                  <c:v>0.15734006734006714</c:v>
                </c:pt>
                <c:pt idx="296">
                  <c:v>0.15734006734006714</c:v>
                </c:pt>
                <c:pt idx="297">
                  <c:v>0.15734006734006714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DA-4D65-A1F7-059552D2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171450</xdr:colOff>
      <xdr:row>19</xdr:row>
      <xdr:rowOff>19050</xdr:rowOff>
    </xdr:from>
    <xdr:ext cx="10080000" cy="360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10</xdr:row>
      <xdr:rowOff>0</xdr:rowOff>
    </xdr:from>
    <xdr:ext cx="10080000" cy="3600000"/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495300</xdr:colOff>
      <xdr:row>13</xdr:row>
      <xdr:rowOff>104775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438150</xdr:colOff>
      <xdr:row>32</xdr:row>
      <xdr:rowOff>28575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504825</xdr:colOff>
      <xdr:row>12</xdr:row>
      <xdr:rowOff>9525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180975</xdr:colOff>
      <xdr:row>31</xdr:row>
      <xdr:rowOff>9525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209550</xdr:colOff>
      <xdr:row>10</xdr:row>
      <xdr:rowOff>57150</xdr:rowOff>
    </xdr:from>
    <xdr:ext cx="10080000" cy="360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104775</xdr:colOff>
      <xdr:row>19</xdr:row>
      <xdr:rowOff>371475</xdr:rowOff>
    </xdr:from>
    <xdr:ext cx="10080000" cy="360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13</xdr:row>
      <xdr:rowOff>114300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57150</xdr:colOff>
      <xdr:row>31</xdr:row>
      <xdr:rowOff>85725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104775</xdr:colOff>
      <xdr:row>14</xdr:row>
      <xdr:rowOff>47625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247650</xdr:colOff>
      <xdr:row>32</xdr:row>
      <xdr:rowOff>76200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409575</xdr:colOff>
      <xdr:row>10</xdr:row>
      <xdr:rowOff>304800</xdr:rowOff>
    </xdr:from>
    <xdr:ext cx="10080000" cy="360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600075</xdr:colOff>
      <xdr:row>19</xdr:row>
      <xdr:rowOff>361950</xdr:rowOff>
    </xdr:from>
    <xdr:ext cx="10080000" cy="360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12</xdr:row>
      <xdr:rowOff>133350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381000</xdr:colOff>
      <xdr:row>31</xdr:row>
      <xdr:rowOff>0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95250</xdr:colOff>
      <xdr:row>14</xdr:row>
      <xdr:rowOff>19050</xdr:rowOff>
    </xdr:from>
    <xdr:ext cx="936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123825</xdr:colOff>
      <xdr:row>31</xdr:row>
      <xdr:rowOff>28575</xdr:rowOff>
    </xdr:from>
    <xdr:ext cx="936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showGridLines="0" tabSelected="1" zoomScale="90" zoomScaleNormal="90" workbookViewId="0">
      <selection activeCell="E19" sqref="E19"/>
    </sheetView>
  </sheetViews>
  <sheetFormatPr defaultRowHeight="15.75"/>
  <cols>
    <col min="1" max="1" width="4" customWidth="1"/>
    <col min="2" max="10" width="14" customWidth="1"/>
    <col min="11" max="11" width="12.85546875" bestFit="1" customWidth="1"/>
  </cols>
  <sheetData>
    <row r="1" spans="1:12" ht="27.9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>
      <c r="A2" s="47" t="s">
        <v>1</v>
      </c>
      <c r="B2" s="43"/>
      <c r="C2" s="43"/>
      <c r="D2" s="47" t="s">
        <v>2</v>
      </c>
      <c r="E2" s="43"/>
      <c r="F2" s="43"/>
      <c r="G2" s="47" t="s">
        <v>675</v>
      </c>
      <c r="H2" s="43"/>
      <c r="I2" s="43"/>
      <c r="J2" s="47" t="s">
        <v>3</v>
      </c>
      <c r="K2" s="43"/>
    </row>
    <row r="3" spans="1:12" ht="16.5">
      <c r="A3" s="48" t="s">
        <v>4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2" ht="45" customHeight="1">
      <c r="A4" s="45" t="s">
        <v>35</v>
      </c>
      <c r="B4" s="46"/>
      <c r="C4" s="46"/>
      <c r="D4" s="44" t="s">
        <v>5</v>
      </c>
      <c r="E4" s="43"/>
      <c r="F4" s="43"/>
      <c r="G4" s="44" t="s">
        <v>6</v>
      </c>
      <c r="H4" s="43"/>
      <c r="I4" s="43"/>
      <c r="J4" s="45" t="s">
        <v>37</v>
      </c>
      <c r="K4" s="46"/>
    </row>
    <row r="5" spans="1:12" ht="20.100000000000001" customHeight="1">
      <c r="A5" s="44" t="s">
        <v>7</v>
      </c>
      <c r="B5" s="43"/>
      <c r="C5" s="43"/>
      <c r="D5" s="44" t="s">
        <v>8</v>
      </c>
      <c r="E5" s="43"/>
      <c r="F5" s="43"/>
      <c r="G5" s="44" t="s">
        <v>676</v>
      </c>
      <c r="H5" s="43"/>
      <c r="I5" s="43"/>
      <c r="J5" s="44" t="s">
        <v>9</v>
      </c>
      <c r="K5" s="43"/>
    </row>
    <row r="6" spans="1:12" ht="20.100000000000001" customHeight="1">
      <c r="A6" s="44" t="s">
        <v>10</v>
      </c>
      <c r="B6" s="43"/>
      <c r="C6" s="43"/>
      <c r="D6" s="44" t="s">
        <v>11</v>
      </c>
      <c r="E6" s="43"/>
      <c r="F6" s="43"/>
      <c r="G6" s="44" t="s">
        <v>12</v>
      </c>
      <c r="H6" s="43"/>
      <c r="I6" s="43"/>
      <c r="J6" s="44" t="s">
        <v>13</v>
      </c>
      <c r="K6" s="43"/>
    </row>
    <row r="7" spans="1:12" ht="20.100000000000001" customHeight="1">
      <c r="A7" s="44" t="s">
        <v>14</v>
      </c>
      <c r="B7" s="43"/>
      <c r="C7" s="43"/>
      <c r="D7" s="44" t="s">
        <v>677</v>
      </c>
      <c r="E7" s="43"/>
      <c r="F7" s="43"/>
      <c r="G7" s="44"/>
      <c r="H7" s="43"/>
      <c r="I7" s="43"/>
      <c r="J7" s="44" t="s">
        <v>44</v>
      </c>
      <c r="K7" s="43"/>
    </row>
    <row r="8" spans="1:12" ht="16.5">
      <c r="A8" s="48" t="s">
        <v>43</v>
      </c>
      <c r="B8" s="43"/>
      <c r="C8" s="43"/>
      <c r="D8" s="43"/>
      <c r="E8" s="43"/>
      <c r="F8" s="43"/>
      <c r="G8" s="43"/>
      <c r="H8" s="43"/>
      <c r="I8" s="43"/>
      <c r="J8" s="43"/>
      <c r="K8" s="43"/>
    </row>
    <row r="9" spans="1:12" ht="38.1" customHeight="1">
      <c r="A9" s="44" t="s">
        <v>33</v>
      </c>
      <c r="B9" s="43"/>
      <c r="C9" s="43"/>
      <c r="D9" s="44" t="s">
        <v>34</v>
      </c>
      <c r="E9" s="43"/>
      <c r="F9" s="43"/>
      <c r="G9" s="44"/>
      <c r="H9" s="43"/>
      <c r="I9" s="43"/>
      <c r="J9" s="44"/>
      <c r="K9" s="43"/>
    </row>
    <row r="10" spans="1:12">
      <c r="A10" s="43" t="s">
        <v>15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2" ht="15.75" customHeight="1">
      <c r="A11" s="49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2" ht="21" customHeight="1">
      <c r="A12" s="53" t="s">
        <v>17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</row>
    <row r="13" spans="1:12" ht="16.5">
      <c r="A13" s="48" t="s">
        <v>18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2" ht="32.1" customHeight="1">
      <c r="A14" s="50" t="s">
        <v>694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spans="1:12" ht="21.95" customHeight="1">
      <c r="A15" s="46" t="s">
        <v>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spans="1:12" ht="21.95" customHeight="1" thickBot="1">
      <c r="A16" s="51" t="s">
        <v>693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15"/>
    </row>
    <row r="17" spans="1:13" ht="63.75" thickBot="1">
      <c r="A17" s="36" t="s">
        <v>20</v>
      </c>
      <c r="B17" s="37" t="s">
        <v>21</v>
      </c>
      <c r="C17" s="91" t="s">
        <v>22</v>
      </c>
      <c r="D17" s="38" t="s">
        <v>42</v>
      </c>
      <c r="E17" s="39" t="s">
        <v>41</v>
      </c>
      <c r="F17" s="37" t="s">
        <v>24</v>
      </c>
      <c r="G17" s="92" t="s">
        <v>36</v>
      </c>
      <c r="H17" s="37" t="s">
        <v>25</v>
      </c>
      <c r="I17" s="37" t="s">
        <v>697</v>
      </c>
      <c r="J17" s="37" t="s">
        <v>26</v>
      </c>
      <c r="K17" s="90" t="s">
        <v>27</v>
      </c>
      <c r="L17" s="90" t="s">
        <v>696</v>
      </c>
      <c r="M17" s="39" t="s">
        <v>695</v>
      </c>
    </row>
    <row r="18" spans="1:13" ht="31.5">
      <c r="A18" s="40" t="s">
        <v>28</v>
      </c>
      <c r="B18" s="87" t="s">
        <v>31</v>
      </c>
      <c r="C18" s="87">
        <v>600</v>
      </c>
      <c r="D18" s="87">
        <v>0</v>
      </c>
      <c r="E18" s="87">
        <v>150</v>
      </c>
      <c r="F18" s="87">
        <v>50.45</v>
      </c>
      <c r="G18" s="26">
        <v>14.298</v>
      </c>
      <c r="H18" s="26">
        <f>(E18-D18)/(6*$G$18)</f>
        <v>1.7484962931878585</v>
      </c>
      <c r="I18" s="26">
        <f>(E18-F18)/(3*$G$18)</f>
        <v>2.3208374131580176</v>
      </c>
      <c r="J18" s="26" t="s">
        <v>698</v>
      </c>
      <c r="K18" s="88" t="s">
        <v>29</v>
      </c>
      <c r="L18" s="88" t="s">
        <v>29</v>
      </c>
      <c r="M18" s="89"/>
    </row>
    <row r="19" spans="1:13" s="5" customFormat="1" ht="47.25">
      <c r="A19" s="40" t="s">
        <v>32</v>
      </c>
      <c r="B19" s="40" t="s">
        <v>31</v>
      </c>
      <c r="C19" s="40">
        <v>600</v>
      </c>
      <c r="D19" s="40">
        <v>695</v>
      </c>
      <c r="E19" s="40">
        <v>705</v>
      </c>
      <c r="F19" s="2">
        <v>701.26400000000001</v>
      </c>
      <c r="G19" s="32">
        <v>0.84799999999999998</v>
      </c>
      <c r="H19" s="2">
        <f>(E19-D19)/(6*$G$19)</f>
        <v>1.9654088050314464</v>
      </c>
      <c r="I19" s="2" t="s">
        <v>698</v>
      </c>
      <c r="J19" s="2">
        <f>MIN((F19-D19)/(3*$G$19),(E19-F19)/(3*$G$19))</f>
        <v>1.4685534591194929</v>
      </c>
      <c r="K19" s="86" t="s">
        <v>29</v>
      </c>
      <c r="L19" s="86" t="s">
        <v>29</v>
      </c>
      <c r="M19" s="41"/>
    </row>
    <row r="20" spans="1:13" s="5" customFormat="1" ht="31.5">
      <c r="A20" s="40" t="s">
        <v>30</v>
      </c>
      <c r="B20" s="40" t="s">
        <v>31</v>
      </c>
      <c r="C20" s="40">
        <v>600</v>
      </c>
      <c r="D20" s="40">
        <v>0</v>
      </c>
      <c r="E20" s="40">
        <v>1</v>
      </c>
      <c r="F20" s="2">
        <v>0.32700000000000001</v>
      </c>
      <c r="G20" s="32">
        <v>0.129</v>
      </c>
      <c r="H20" s="2">
        <f>(E20-D20)/(6*$G$20)</f>
        <v>1.2919896640826873</v>
      </c>
      <c r="I20" s="2">
        <f>(E20-F20)/(3*$G$20)</f>
        <v>1.7390180878552972</v>
      </c>
      <c r="J20" s="2" t="s">
        <v>698</v>
      </c>
      <c r="K20" s="86" t="s">
        <v>29</v>
      </c>
      <c r="L20" s="86" t="s">
        <v>29</v>
      </c>
      <c r="M20" s="41"/>
    </row>
    <row r="21" spans="1:13" ht="21.95" customHeight="1" thickBot="1">
      <c r="A21" s="81" t="s">
        <v>38</v>
      </c>
      <c r="B21" s="82"/>
      <c r="C21" s="82"/>
      <c r="D21" s="83"/>
      <c r="E21" s="84" t="s">
        <v>39</v>
      </c>
      <c r="F21" s="82"/>
      <c r="G21" s="82"/>
      <c r="H21" s="82"/>
      <c r="I21" s="85" t="s">
        <v>40</v>
      </c>
      <c r="J21" s="85"/>
      <c r="K21" s="85"/>
      <c r="L21" s="85"/>
      <c r="M21" s="85"/>
    </row>
    <row r="22" spans="1:13" ht="21.95" customHeight="1"/>
    <row r="23" spans="1:13" ht="21.95" customHeight="1"/>
    <row r="24" spans="1:13" ht="21.95" customHeight="1"/>
    <row r="25" spans="1:13" ht="21.95" customHeight="1"/>
    <row r="26" spans="1:13" ht="21.95" customHeight="1"/>
    <row r="27" spans="1:13" ht="21.95" customHeight="1"/>
    <row r="28" spans="1:13" ht="21.95" customHeight="1"/>
    <row r="29" spans="1:13" ht="21.95" customHeight="1"/>
    <row r="30" spans="1:13" ht="21.95" customHeight="1"/>
    <row r="31" spans="1:13" ht="21.95" customHeight="1"/>
    <row r="32" spans="1:13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8" ht="32.1" customHeight="1"/>
  </sheetData>
  <mergeCells count="37">
    <mergeCell ref="A16:K16"/>
    <mergeCell ref="A12:K12"/>
    <mergeCell ref="A15:K15"/>
    <mergeCell ref="J5:K5"/>
    <mergeCell ref="I21:M21"/>
    <mergeCell ref="G2:I2"/>
    <mergeCell ref="E21:H21"/>
    <mergeCell ref="J9:K9"/>
    <mergeCell ref="A7:C7"/>
    <mergeCell ref="G7:I7"/>
    <mergeCell ref="A8:K8"/>
    <mergeCell ref="D9:F9"/>
    <mergeCell ref="A10:K10"/>
    <mergeCell ref="A13:K13"/>
    <mergeCell ref="A9:C9"/>
    <mergeCell ref="A21:D21"/>
    <mergeCell ref="D7:F7"/>
    <mergeCell ref="A11:K11"/>
    <mergeCell ref="G9:I9"/>
    <mergeCell ref="A14:K14"/>
    <mergeCell ref="J7:K7"/>
    <mergeCell ref="A1:K1"/>
    <mergeCell ref="A6:C6"/>
    <mergeCell ref="D6:F6"/>
    <mergeCell ref="G4:I4"/>
    <mergeCell ref="A4:C4"/>
    <mergeCell ref="D5:F5"/>
    <mergeCell ref="D2:F2"/>
    <mergeCell ref="J6:K6"/>
    <mergeCell ref="G6:I6"/>
    <mergeCell ref="J4:K4"/>
    <mergeCell ref="A3:K3"/>
    <mergeCell ref="A2:C2"/>
    <mergeCell ref="A5:C5"/>
    <mergeCell ref="G5:I5"/>
    <mergeCell ref="D4:F4"/>
    <mergeCell ref="J2:K2"/>
  </mergeCells>
  <phoneticPr fontId="4" type="noConversion"/>
  <pageMargins left="0.75" right="0.75" top="1" bottom="1" header="0.5" footer="0.5"/>
  <pageSetup paperSize="9" scale="88" orientation="landscape" r:id="rId1"/>
  <headerFooter>
    <oddHeader>&amp;L&amp;C&amp;BMR12-03(001)A_Template&amp;B&amp;RMR12-03(001)A  生效日: 2025-12-21</oddHeader>
    <evenHeader>&amp;L&amp;C&amp;BMR12-03(001)A_Template&amp;B&amp;RMR12-03(001)A  生效日: 2025-12-21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9"/>
  <sheetViews>
    <sheetView showGridLines="0" workbookViewId="0">
      <pane ySplit="9" topLeftCell="A22" activePane="bottomLeft" state="frozen"/>
      <selection pane="bottomLeft" activeCell="K6" sqref="K6"/>
    </sheetView>
  </sheetViews>
  <sheetFormatPr defaultRowHeight="15.75"/>
  <cols>
    <col min="1" max="1" width="9.140625" customWidth="1"/>
    <col min="2" max="2" width="8" customWidth="1"/>
    <col min="3" max="4" width="6" customWidth="1"/>
    <col min="5" max="5" width="16" customWidth="1"/>
    <col min="6" max="6" width="12" customWidth="1"/>
    <col min="7" max="13" width="10" customWidth="1"/>
    <col min="14" max="15" width="3" customWidth="1"/>
    <col min="16" max="19" width="16" customWidth="1"/>
  </cols>
  <sheetData>
    <row r="1" spans="1:19" ht="19.5">
      <c r="A1" s="61" t="s">
        <v>45</v>
      </c>
      <c r="B1" s="61"/>
      <c r="C1" s="61"/>
      <c r="D1" s="61"/>
      <c r="E1" s="61"/>
      <c r="F1" s="61"/>
      <c r="G1" s="61"/>
      <c r="H1" s="4"/>
      <c r="I1" s="4"/>
      <c r="J1" s="4"/>
      <c r="K1" s="4"/>
      <c r="L1" s="4"/>
      <c r="M1" s="4"/>
      <c r="P1" s="59" t="s">
        <v>47</v>
      </c>
      <c r="Q1" s="60"/>
      <c r="R1" s="60"/>
      <c r="S1" s="60"/>
    </row>
    <row r="2" spans="1:19" ht="15.75" customHeight="1">
      <c r="A2" s="62" t="s">
        <v>46</v>
      </c>
      <c r="B2" s="63"/>
      <c r="C2" s="63"/>
      <c r="D2" s="63"/>
      <c r="I2" s="6"/>
      <c r="P2" s="8" t="s">
        <v>48</v>
      </c>
      <c r="Q2" s="33">
        <f>COUNT(F10:F609)</f>
        <v>600</v>
      </c>
      <c r="R2" s="62" t="s">
        <v>50</v>
      </c>
      <c r="S2" s="56" t="s">
        <v>51</v>
      </c>
    </row>
    <row r="3" spans="1:19" ht="110.25" customHeight="1">
      <c r="A3" s="30" t="s">
        <v>23</v>
      </c>
      <c r="B3" s="64">
        <v>300</v>
      </c>
      <c r="C3" s="65"/>
      <c r="D3" s="65"/>
      <c r="P3" s="9" t="s">
        <v>24</v>
      </c>
      <c r="Q3" s="22">
        <f>AVERAGE(F10:F609)</f>
        <v>50.45</v>
      </c>
      <c r="R3" s="62"/>
      <c r="S3" s="57"/>
    </row>
    <row r="4" spans="1:19" ht="31.5" customHeight="1">
      <c r="A4" s="7" t="s">
        <v>49</v>
      </c>
      <c r="B4" s="54">
        <v>1.1279999999999999</v>
      </c>
      <c r="C4" s="55"/>
      <c r="D4" s="55"/>
      <c r="P4" s="9" t="s">
        <v>53</v>
      </c>
      <c r="Q4" s="34">
        <f>AVERAGE(G11:G609)</f>
        <v>16.128547579298832</v>
      </c>
      <c r="R4" s="62"/>
      <c r="S4" s="58"/>
    </row>
    <row r="5" spans="1:19" ht="47.25">
      <c r="A5" s="7" t="s">
        <v>52</v>
      </c>
      <c r="B5" s="54">
        <v>3.2669999999999999</v>
      </c>
      <c r="C5" s="55"/>
      <c r="D5" s="55"/>
      <c r="P5" s="24" t="s">
        <v>54</v>
      </c>
      <c r="Q5" s="2">
        <f>Q4/$B$4</f>
        <v>14.298357783066342</v>
      </c>
    </row>
    <row r="6" spans="1:19">
      <c r="P6" s="9" t="s">
        <v>55</v>
      </c>
      <c r="Q6" s="35">
        <f>Q3+3*Q5</f>
        <v>93.345073349199026</v>
      </c>
    </row>
    <row r="7" spans="1:19">
      <c r="P7" s="9" t="s">
        <v>56</v>
      </c>
      <c r="Q7" s="23">
        <f>$B$5*Q4</f>
        <v>52.691964941569282</v>
      </c>
    </row>
    <row r="8" spans="1:19">
      <c r="P8" s="9" t="s">
        <v>70</v>
      </c>
      <c r="Q8" s="23">
        <f>($B$3-Q3)/(3*Q5)</f>
        <v>5.8176844219024941</v>
      </c>
    </row>
    <row r="9" spans="1:19" ht="31.5">
      <c r="A9" s="10" t="s">
        <v>57</v>
      </c>
      <c r="B9" s="10" t="s">
        <v>58</v>
      </c>
      <c r="C9" s="10" t="s">
        <v>59</v>
      </c>
      <c r="D9" s="10" t="s">
        <v>60</v>
      </c>
      <c r="E9" s="10" t="s">
        <v>61</v>
      </c>
      <c r="F9" s="10" t="s">
        <v>62</v>
      </c>
      <c r="G9" s="10" t="s">
        <v>63</v>
      </c>
      <c r="H9" s="10" t="s">
        <v>64</v>
      </c>
      <c r="I9" s="10" t="s">
        <v>65</v>
      </c>
      <c r="J9" s="10" t="s">
        <v>66</v>
      </c>
      <c r="K9" s="10" t="s">
        <v>67</v>
      </c>
      <c r="L9" s="10" t="s">
        <v>68</v>
      </c>
      <c r="M9" s="10" t="s">
        <v>69</v>
      </c>
    </row>
    <row r="10" spans="1:19" ht="31.5">
      <c r="A10" s="3">
        <v>1</v>
      </c>
      <c r="B10" s="11" t="s">
        <v>71</v>
      </c>
      <c r="C10" s="3">
        <v>1</v>
      </c>
      <c r="D10" s="3">
        <v>25</v>
      </c>
      <c r="E10" s="11" t="s">
        <v>72</v>
      </c>
      <c r="F10" s="3">
        <v>86</v>
      </c>
      <c r="G10" s="3"/>
      <c r="H10" s="3">
        <f t="shared" ref="H10:H73" si="0">$Q$3</f>
        <v>50.45</v>
      </c>
      <c r="I10" s="3">
        <f t="shared" ref="I10:I73" si="1">$Q$6</f>
        <v>93.345073349199026</v>
      </c>
      <c r="J10" s="3">
        <f t="shared" ref="J10:J73" si="2">$Q$7</f>
        <v>52.691964941569282</v>
      </c>
      <c r="K10" s="3">
        <f t="shared" ref="K10:K73" si="3">$Q$4</f>
        <v>16.128547579298832</v>
      </c>
      <c r="L10" s="12" t="str">
        <f t="shared" ref="L10:L73" si="4">IF(F10&gt;$Q$6,"OOC","" )</f>
        <v/>
      </c>
      <c r="M10" s="12" t="str">
        <f t="shared" ref="M10:M73" si="5">IF(F10&gt;$B$3,"OOS","" )</f>
        <v/>
      </c>
    </row>
    <row r="11" spans="1:19" ht="31.5">
      <c r="A11" s="3">
        <v>2</v>
      </c>
      <c r="B11" s="11" t="s">
        <v>71</v>
      </c>
      <c r="C11" s="3">
        <v>1</v>
      </c>
      <c r="D11" s="3">
        <v>24</v>
      </c>
      <c r="E11" s="11" t="s">
        <v>73</v>
      </c>
      <c r="F11" s="3">
        <v>99</v>
      </c>
      <c r="G11" s="3">
        <f t="shared" ref="G11:G74" si="6">ABS(F11-F10)</f>
        <v>13</v>
      </c>
      <c r="H11" s="3">
        <f t="shared" si="0"/>
        <v>50.45</v>
      </c>
      <c r="I11" s="3">
        <f t="shared" si="1"/>
        <v>93.345073349199026</v>
      </c>
      <c r="J11" s="3">
        <f t="shared" si="2"/>
        <v>52.691964941569282</v>
      </c>
      <c r="K11" s="3">
        <f t="shared" si="3"/>
        <v>16.128547579298832</v>
      </c>
      <c r="L11" s="12" t="str">
        <f t="shared" si="4"/>
        <v>OOC</v>
      </c>
      <c r="M11" s="12" t="str">
        <f t="shared" si="5"/>
        <v/>
      </c>
    </row>
    <row r="12" spans="1:19" ht="31.5">
      <c r="A12" s="3">
        <v>3</v>
      </c>
      <c r="B12" s="11" t="s">
        <v>71</v>
      </c>
      <c r="C12" s="3">
        <v>1</v>
      </c>
      <c r="D12" s="3">
        <v>23</v>
      </c>
      <c r="E12" s="11" t="s">
        <v>74</v>
      </c>
      <c r="F12" s="3">
        <v>31</v>
      </c>
      <c r="G12" s="3">
        <f t="shared" si="6"/>
        <v>68</v>
      </c>
      <c r="H12" s="3">
        <f t="shared" si="0"/>
        <v>50.45</v>
      </c>
      <c r="I12" s="3">
        <f t="shared" si="1"/>
        <v>93.345073349199026</v>
      </c>
      <c r="J12" s="3">
        <f t="shared" si="2"/>
        <v>52.691964941569282</v>
      </c>
      <c r="K12" s="3">
        <f t="shared" si="3"/>
        <v>16.128547579298832</v>
      </c>
      <c r="L12" s="12" t="str">
        <f t="shared" si="4"/>
        <v/>
      </c>
      <c r="M12" s="12" t="str">
        <f t="shared" si="5"/>
        <v/>
      </c>
    </row>
    <row r="13" spans="1:19" ht="31.5">
      <c r="A13" s="3">
        <v>4</v>
      </c>
      <c r="B13" s="11" t="s">
        <v>71</v>
      </c>
      <c r="C13" s="3">
        <v>1</v>
      </c>
      <c r="D13" s="3">
        <v>22</v>
      </c>
      <c r="E13" s="11" t="s">
        <v>75</v>
      </c>
      <c r="F13" s="3">
        <v>58</v>
      </c>
      <c r="G13" s="3">
        <f t="shared" si="6"/>
        <v>27</v>
      </c>
      <c r="H13" s="3">
        <f t="shared" si="0"/>
        <v>50.45</v>
      </c>
      <c r="I13" s="3">
        <f t="shared" si="1"/>
        <v>93.345073349199026</v>
      </c>
      <c r="J13" s="3">
        <f t="shared" si="2"/>
        <v>52.691964941569282</v>
      </c>
      <c r="K13" s="3">
        <f t="shared" si="3"/>
        <v>16.128547579298832</v>
      </c>
      <c r="L13" s="12" t="str">
        <f t="shared" si="4"/>
        <v/>
      </c>
      <c r="M13" s="12" t="str">
        <f t="shared" si="5"/>
        <v/>
      </c>
    </row>
    <row r="14" spans="1:19" ht="31.5">
      <c r="A14" s="3">
        <v>5</v>
      </c>
      <c r="B14" s="11" t="s">
        <v>71</v>
      </c>
      <c r="C14" s="3">
        <v>1</v>
      </c>
      <c r="D14" s="3">
        <v>21</v>
      </c>
      <c r="E14" s="11" t="s">
        <v>76</v>
      </c>
      <c r="F14" s="3">
        <v>36</v>
      </c>
      <c r="G14" s="3">
        <f t="shared" si="6"/>
        <v>22</v>
      </c>
      <c r="H14" s="3">
        <f t="shared" si="0"/>
        <v>50.45</v>
      </c>
      <c r="I14" s="3">
        <f t="shared" si="1"/>
        <v>93.345073349199026</v>
      </c>
      <c r="J14" s="3">
        <f t="shared" si="2"/>
        <v>52.691964941569282</v>
      </c>
      <c r="K14" s="3">
        <f t="shared" si="3"/>
        <v>16.128547579298832</v>
      </c>
      <c r="L14" s="12" t="str">
        <f t="shared" si="4"/>
        <v/>
      </c>
      <c r="M14" s="12" t="str">
        <f t="shared" si="5"/>
        <v/>
      </c>
    </row>
    <row r="15" spans="1:19" ht="31.5">
      <c r="A15" s="3">
        <v>6</v>
      </c>
      <c r="B15" s="11" t="s">
        <v>71</v>
      </c>
      <c r="C15" s="3">
        <v>1</v>
      </c>
      <c r="D15" s="3">
        <v>20</v>
      </c>
      <c r="E15" s="11" t="s">
        <v>77</v>
      </c>
      <c r="F15" s="3">
        <v>87</v>
      </c>
      <c r="G15" s="3">
        <f t="shared" si="6"/>
        <v>51</v>
      </c>
      <c r="H15" s="3">
        <f t="shared" si="0"/>
        <v>50.45</v>
      </c>
      <c r="I15" s="3">
        <f t="shared" si="1"/>
        <v>93.345073349199026</v>
      </c>
      <c r="J15" s="3">
        <f t="shared" si="2"/>
        <v>52.691964941569282</v>
      </c>
      <c r="K15" s="3">
        <f t="shared" si="3"/>
        <v>16.128547579298832</v>
      </c>
      <c r="L15" s="12" t="str">
        <f t="shared" si="4"/>
        <v/>
      </c>
      <c r="M15" s="12" t="str">
        <f t="shared" si="5"/>
        <v/>
      </c>
    </row>
    <row r="16" spans="1:19" ht="31.5">
      <c r="A16" s="3">
        <v>7</v>
      </c>
      <c r="B16" s="11" t="s">
        <v>71</v>
      </c>
      <c r="C16" s="3">
        <v>1</v>
      </c>
      <c r="D16" s="3">
        <v>19</v>
      </c>
      <c r="E16" s="11" t="s">
        <v>78</v>
      </c>
      <c r="F16" s="3">
        <v>59</v>
      </c>
      <c r="G16" s="3">
        <f t="shared" si="6"/>
        <v>28</v>
      </c>
      <c r="H16" s="3">
        <f t="shared" si="0"/>
        <v>50.45</v>
      </c>
      <c r="I16" s="3">
        <f t="shared" si="1"/>
        <v>93.345073349199026</v>
      </c>
      <c r="J16" s="3">
        <f t="shared" si="2"/>
        <v>52.691964941569282</v>
      </c>
      <c r="K16" s="3">
        <f t="shared" si="3"/>
        <v>16.128547579298832</v>
      </c>
      <c r="L16" s="12" t="str">
        <f t="shared" si="4"/>
        <v/>
      </c>
      <c r="M16" s="12" t="str">
        <f t="shared" si="5"/>
        <v/>
      </c>
    </row>
    <row r="17" spans="1:13" ht="31.5">
      <c r="A17" s="3">
        <v>8</v>
      </c>
      <c r="B17" s="11" t="s">
        <v>71</v>
      </c>
      <c r="C17" s="3">
        <v>1</v>
      </c>
      <c r="D17" s="3">
        <v>18</v>
      </c>
      <c r="E17" s="11" t="s">
        <v>79</v>
      </c>
      <c r="F17" s="3">
        <v>79</v>
      </c>
      <c r="G17" s="3">
        <f t="shared" si="6"/>
        <v>20</v>
      </c>
      <c r="H17" s="3">
        <f t="shared" si="0"/>
        <v>50.45</v>
      </c>
      <c r="I17" s="3">
        <f t="shared" si="1"/>
        <v>93.345073349199026</v>
      </c>
      <c r="J17" s="3">
        <f t="shared" si="2"/>
        <v>52.691964941569282</v>
      </c>
      <c r="K17" s="3">
        <f t="shared" si="3"/>
        <v>16.128547579298832</v>
      </c>
      <c r="L17" s="12" t="str">
        <f t="shared" si="4"/>
        <v/>
      </c>
      <c r="M17" s="12" t="str">
        <f t="shared" si="5"/>
        <v/>
      </c>
    </row>
    <row r="18" spans="1:13" ht="31.5">
      <c r="A18" s="3">
        <v>9</v>
      </c>
      <c r="B18" s="11" t="s">
        <v>71</v>
      </c>
      <c r="C18" s="3">
        <v>1</v>
      </c>
      <c r="D18" s="3">
        <v>17</v>
      </c>
      <c r="E18" s="11" t="s">
        <v>80</v>
      </c>
      <c r="F18" s="3">
        <v>47</v>
      </c>
      <c r="G18" s="3">
        <f t="shared" si="6"/>
        <v>32</v>
      </c>
      <c r="H18" s="3">
        <f t="shared" si="0"/>
        <v>50.45</v>
      </c>
      <c r="I18" s="3">
        <f t="shared" si="1"/>
        <v>93.345073349199026</v>
      </c>
      <c r="J18" s="3">
        <f t="shared" si="2"/>
        <v>52.691964941569282</v>
      </c>
      <c r="K18" s="3">
        <f t="shared" si="3"/>
        <v>16.128547579298832</v>
      </c>
      <c r="L18" s="12" t="str">
        <f t="shared" si="4"/>
        <v/>
      </c>
      <c r="M18" s="12" t="str">
        <f t="shared" si="5"/>
        <v/>
      </c>
    </row>
    <row r="19" spans="1:13" ht="31.5">
      <c r="A19" s="3">
        <v>10</v>
      </c>
      <c r="B19" s="11" t="s">
        <v>71</v>
      </c>
      <c r="C19" s="3">
        <v>1</v>
      </c>
      <c r="D19" s="3">
        <v>16</v>
      </c>
      <c r="E19" s="11" t="s">
        <v>81</v>
      </c>
      <c r="F19" s="3">
        <v>38</v>
      </c>
      <c r="G19" s="3">
        <f t="shared" si="6"/>
        <v>9</v>
      </c>
      <c r="H19" s="3">
        <f t="shared" si="0"/>
        <v>50.45</v>
      </c>
      <c r="I19" s="3">
        <f t="shared" si="1"/>
        <v>93.345073349199026</v>
      </c>
      <c r="J19" s="3">
        <f t="shared" si="2"/>
        <v>52.691964941569282</v>
      </c>
      <c r="K19" s="3">
        <f t="shared" si="3"/>
        <v>16.128547579298832</v>
      </c>
      <c r="L19" s="12" t="str">
        <f t="shared" si="4"/>
        <v/>
      </c>
      <c r="M19" s="12" t="str">
        <f t="shared" si="5"/>
        <v/>
      </c>
    </row>
    <row r="20" spans="1:13" ht="31.5">
      <c r="A20" s="3">
        <v>11</v>
      </c>
      <c r="B20" s="11" t="s">
        <v>71</v>
      </c>
      <c r="C20" s="3">
        <v>1</v>
      </c>
      <c r="D20" s="3">
        <v>15</v>
      </c>
      <c r="E20" s="11" t="s">
        <v>82</v>
      </c>
      <c r="F20" s="3">
        <v>101</v>
      </c>
      <c r="G20" s="3">
        <f t="shared" si="6"/>
        <v>63</v>
      </c>
      <c r="H20" s="3">
        <f t="shared" si="0"/>
        <v>50.45</v>
      </c>
      <c r="I20" s="3">
        <f t="shared" si="1"/>
        <v>93.345073349199026</v>
      </c>
      <c r="J20" s="3">
        <f t="shared" si="2"/>
        <v>52.691964941569282</v>
      </c>
      <c r="K20" s="3">
        <f t="shared" si="3"/>
        <v>16.128547579298832</v>
      </c>
      <c r="L20" s="12" t="str">
        <f t="shared" si="4"/>
        <v>OOC</v>
      </c>
      <c r="M20" s="12" t="str">
        <f t="shared" si="5"/>
        <v/>
      </c>
    </row>
    <row r="21" spans="1:13" ht="31.5">
      <c r="A21" s="3">
        <v>12</v>
      </c>
      <c r="B21" s="11" t="s">
        <v>71</v>
      </c>
      <c r="C21" s="3">
        <v>1</v>
      </c>
      <c r="D21" s="3">
        <v>14</v>
      </c>
      <c r="E21" s="11" t="s">
        <v>83</v>
      </c>
      <c r="F21" s="3">
        <v>97</v>
      </c>
      <c r="G21" s="3">
        <f t="shared" si="6"/>
        <v>4</v>
      </c>
      <c r="H21" s="3">
        <f t="shared" si="0"/>
        <v>50.45</v>
      </c>
      <c r="I21" s="3">
        <f t="shared" si="1"/>
        <v>93.345073349199026</v>
      </c>
      <c r="J21" s="3">
        <f t="shared" si="2"/>
        <v>52.691964941569282</v>
      </c>
      <c r="K21" s="3">
        <f t="shared" si="3"/>
        <v>16.128547579298832</v>
      </c>
      <c r="L21" s="12" t="str">
        <f t="shared" si="4"/>
        <v>OOC</v>
      </c>
      <c r="M21" s="12" t="str">
        <f t="shared" si="5"/>
        <v/>
      </c>
    </row>
    <row r="22" spans="1:13" ht="31.5">
      <c r="A22" s="3">
        <v>13</v>
      </c>
      <c r="B22" s="11" t="s">
        <v>71</v>
      </c>
      <c r="C22" s="3">
        <v>1</v>
      </c>
      <c r="D22" s="3">
        <v>13</v>
      </c>
      <c r="E22" s="11" t="s">
        <v>84</v>
      </c>
      <c r="F22" s="3">
        <v>106</v>
      </c>
      <c r="G22" s="3">
        <f t="shared" si="6"/>
        <v>9</v>
      </c>
      <c r="H22" s="3">
        <f t="shared" si="0"/>
        <v>50.45</v>
      </c>
      <c r="I22" s="3">
        <f t="shared" si="1"/>
        <v>93.345073349199026</v>
      </c>
      <c r="J22" s="3">
        <f t="shared" si="2"/>
        <v>52.691964941569282</v>
      </c>
      <c r="K22" s="3">
        <f t="shared" si="3"/>
        <v>16.128547579298832</v>
      </c>
      <c r="L22" s="12" t="str">
        <f t="shared" si="4"/>
        <v>OOC</v>
      </c>
      <c r="M22" s="12" t="str">
        <f t="shared" si="5"/>
        <v/>
      </c>
    </row>
    <row r="23" spans="1:13" ht="31.5">
      <c r="A23" s="3">
        <v>14</v>
      </c>
      <c r="B23" s="11" t="s">
        <v>71</v>
      </c>
      <c r="C23" s="3">
        <v>1</v>
      </c>
      <c r="D23" s="3">
        <v>12</v>
      </c>
      <c r="E23" s="11" t="s">
        <v>85</v>
      </c>
      <c r="F23" s="3">
        <v>97</v>
      </c>
      <c r="G23" s="3">
        <f t="shared" si="6"/>
        <v>9</v>
      </c>
      <c r="H23" s="3">
        <f t="shared" si="0"/>
        <v>50.45</v>
      </c>
      <c r="I23" s="3">
        <f t="shared" si="1"/>
        <v>93.345073349199026</v>
      </c>
      <c r="J23" s="3">
        <f t="shared" si="2"/>
        <v>52.691964941569282</v>
      </c>
      <c r="K23" s="3">
        <f t="shared" si="3"/>
        <v>16.128547579298832</v>
      </c>
      <c r="L23" s="12" t="str">
        <f t="shared" si="4"/>
        <v>OOC</v>
      </c>
      <c r="M23" s="12" t="str">
        <f t="shared" si="5"/>
        <v/>
      </c>
    </row>
    <row r="24" spans="1:13" ht="31.5">
      <c r="A24" s="3">
        <v>15</v>
      </c>
      <c r="B24" s="11" t="s">
        <v>71</v>
      </c>
      <c r="C24" s="3">
        <v>1</v>
      </c>
      <c r="D24" s="3">
        <v>11</v>
      </c>
      <c r="E24" s="11" t="s">
        <v>86</v>
      </c>
      <c r="F24" s="3">
        <v>45</v>
      </c>
      <c r="G24" s="3">
        <f t="shared" si="6"/>
        <v>52</v>
      </c>
      <c r="H24" s="3">
        <f t="shared" si="0"/>
        <v>50.45</v>
      </c>
      <c r="I24" s="3">
        <f t="shared" si="1"/>
        <v>93.345073349199026</v>
      </c>
      <c r="J24" s="3">
        <f t="shared" si="2"/>
        <v>52.691964941569282</v>
      </c>
      <c r="K24" s="3">
        <f t="shared" si="3"/>
        <v>16.128547579298832</v>
      </c>
      <c r="L24" s="12" t="str">
        <f t="shared" si="4"/>
        <v/>
      </c>
      <c r="M24" s="12" t="str">
        <f t="shared" si="5"/>
        <v/>
      </c>
    </row>
    <row r="25" spans="1:13" ht="31.5">
      <c r="A25" s="3">
        <v>16</v>
      </c>
      <c r="B25" s="11" t="s">
        <v>71</v>
      </c>
      <c r="C25" s="3">
        <v>1</v>
      </c>
      <c r="D25" s="3">
        <v>10</v>
      </c>
      <c r="E25" s="11" t="s">
        <v>87</v>
      </c>
      <c r="F25" s="3">
        <v>95</v>
      </c>
      <c r="G25" s="3">
        <f t="shared" si="6"/>
        <v>50</v>
      </c>
      <c r="H25" s="3">
        <f t="shared" si="0"/>
        <v>50.45</v>
      </c>
      <c r="I25" s="3">
        <f t="shared" si="1"/>
        <v>93.345073349199026</v>
      </c>
      <c r="J25" s="3">
        <f t="shared" si="2"/>
        <v>52.691964941569282</v>
      </c>
      <c r="K25" s="3">
        <f t="shared" si="3"/>
        <v>16.128547579298832</v>
      </c>
      <c r="L25" s="12" t="str">
        <f t="shared" si="4"/>
        <v>OOC</v>
      </c>
      <c r="M25" s="12" t="str">
        <f t="shared" si="5"/>
        <v/>
      </c>
    </row>
    <row r="26" spans="1:13" ht="31.5">
      <c r="A26" s="3">
        <v>17</v>
      </c>
      <c r="B26" s="11" t="s">
        <v>71</v>
      </c>
      <c r="C26" s="3">
        <v>1</v>
      </c>
      <c r="D26" s="3">
        <v>9</v>
      </c>
      <c r="E26" s="11" t="s">
        <v>88</v>
      </c>
      <c r="F26" s="3">
        <v>47</v>
      </c>
      <c r="G26" s="3">
        <f t="shared" si="6"/>
        <v>48</v>
      </c>
      <c r="H26" s="3">
        <f t="shared" si="0"/>
        <v>50.45</v>
      </c>
      <c r="I26" s="3">
        <f t="shared" si="1"/>
        <v>93.345073349199026</v>
      </c>
      <c r="J26" s="3">
        <f t="shared" si="2"/>
        <v>52.691964941569282</v>
      </c>
      <c r="K26" s="3">
        <f t="shared" si="3"/>
        <v>16.128547579298832</v>
      </c>
      <c r="L26" s="12" t="str">
        <f t="shared" si="4"/>
        <v/>
      </c>
      <c r="M26" s="12" t="str">
        <f t="shared" si="5"/>
        <v/>
      </c>
    </row>
    <row r="27" spans="1:13" ht="31.5">
      <c r="A27" s="3">
        <v>18</v>
      </c>
      <c r="B27" s="11" t="s">
        <v>71</v>
      </c>
      <c r="C27" s="3">
        <v>1</v>
      </c>
      <c r="D27" s="3">
        <v>8</v>
      </c>
      <c r="E27" s="11" t="s">
        <v>89</v>
      </c>
      <c r="F27" s="3">
        <v>109</v>
      </c>
      <c r="G27" s="3">
        <f t="shared" si="6"/>
        <v>62</v>
      </c>
      <c r="H27" s="3">
        <f t="shared" si="0"/>
        <v>50.45</v>
      </c>
      <c r="I27" s="3">
        <f t="shared" si="1"/>
        <v>93.345073349199026</v>
      </c>
      <c r="J27" s="3">
        <f t="shared" si="2"/>
        <v>52.691964941569282</v>
      </c>
      <c r="K27" s="3">
        <f t="shared" si="3"/>
        <v>16.128547579298832</v>
      </c>
      <c r="L27" s="12" t="str">
        <f t="shared" si="4"/>
        <v>OOC</v>
      </c>
      <c r="M27" s="12" t="str">
        <f t="shared" si="5"/>
        <v/>
      </c>
    </row>
    <row r="28" spans="1:13" ht="31.5">
      <c r="A28" s="3">
        <v>19</v>
      </c>
      <c r="B28" s="11" t="s">
        <v>71</v>
      </c>
      <c r="C28" s="3">
        <v>1</v>
      </c>
      <c r="D28" s="3">
        <v>7</v>
      </c>
      <c r="E28" s="11" t="s">
        <v>90</v>
      </c>
      <c r="F28" s="3">
        <v>69</v>
      </c>
      <c r="G28" s="3">
        <f t="shared" si="6"/>
        <v>40</v>
      </c>
      <c r="H28" s="3">
        <f t="shared" si="0"/>
        <v>50.45</v>
      </c>
      <c r="I28" s="3">
        <f t="shared" si="1"/>
        <v>93.345073349199026</v>
      </c>
      <c r="J28" s="3">
        <f t="shared" si="2"/>
        <v>52.691964941569282</v>
      </c>
      <c r="K28" s="3">
        <f t="shared" si="3"/>
        <v>16.128547579298832</v>
      </c>
      <c r="L28" s="12" t="str">
        <f t="shared" si="4"/>
        <v/>
      </c>
      <c r="M28" s="12" t="str">
        <f t="shared" si="5"/>
        <v/>
      </c>
    </row>
    <row r="29" spans="1:13" ht="31.5">
      <c r="A29" s="3">
        <v>20</v>
      </c>
      <c r="B29" s="11" t="s">
        <v>71</v>
      </c>
      <c r="C29" s="3">
        <v>1</v>
      </c>
      <c r="D29" s="3">
        <v>6</v>
      </c>
      <c r="E29" s="11" t="s">
        <v>91</v>
      </c>
      <c r="F29" s="3">
        <v>107</v>
      </c>
      <c r="G29" s="3">
        <f t="shared" si="6"/>
        <v>38</v>
      </c>
      <c r="H29" s="3">
        <f t="shared" si="0"/>
        <v>50.45</v>
      </c>
      <c r="I29" s="3">
        <f t="shared" si="1"/>
        <v>93.345073349199026</v>
      </c>
      <c r="J29" s="3">
        <f t="shared" si="2"/>
        <v>52.691964941569282</v>
      </c>
      <c r="K29" s="3">
        <f t="shared" si="3"/>
        <v>16.128547579298832</v>
      </c>
      <c r="L29" s="12" t="str">
        <f t="shared" si="4"/>
        <v>OOC</v>
      </c>
      <c r="M29" s="12" t="str">
        <f t="shared" si="5"/>
        <v/>
      </c>
    </row>
    <row r="30" spans="1:13" ht="31.5">
      <c r="A30" s="3">
        <v>21</v>
      </c>
      <c r="B30" s="11" t="s">
        <v>71</v>
      </c>
      <c r="C30" s="3">
        <v>1</v>
      </c>
      <c r="D30" s="3">
        <v>5</v>
      </c>
      <c r="E30" s="11" t="s">
        <v>92</v>
      </c>
      <c r="F30" s="3">
        <v>77</v>
      </c>
      <c r="G30" s="3">
        <f t="shared" si="6"/>
        <v>30</v>
      </c>
      <c r="H30" s="3">
        <f t="shared" si="0"/>
        <v>50.45</v>
      </c>
      <c r="I30" s="3">
        <f t="shared" si="1"/>
        <v>93.345073349199026</v>
      </c>
      <c r="J30" s="3">
        <f t="shared" si="2"/>
        <v>52.691964941569282</v>
      </c>
      <c r="K30" s="3">
        <f t="shared" si="3"/>
        <v>16.128547579298832</v>
      </c>
      <c r="L30" s="12" t="str">
        <f t="shared" si="4"/>
        <v/>
      </c>
      <c r="M30" s="12" t="str">
        <f t="shared" si="5"/>
        <v/>
      </c>
    </row>
    <row r="31" spans="1:13" ht="31.5">
      <c r="A31" s="3">
        <v>22</v>
      </c>
      <c r="B31" s="11" t="s">
        <v>71</v>
      </c>
      <c r="C31" s="3">
        <v>1</v>
      </c>
      <c r="D31" s="3">
        <v>4</v>
      </c>
      <c r="E31" s="11" t="s">
        <v>93</v>
      </c>
      <c r="F31" s="3">
        <v>91</v>
      </c>
      <c r="G31" s="3">
        <f t="shared" si="6"/>
        <v>14</v>
      </c>
      <c r="H31" s="3">
        <f t="shared" si="0"/>
        <v>50.45</v>
      </c>
      <c r="I31" s="3">
        <f t="shared" si="1"/>
        <v>93.345073349199026</v>
      </c>
      <c r="J31" s="3">
        <f t="shared" si="2"/>
        <v>52.691964941569282</v>
      </c>
      <c r="K31" s="3">
        <f t="shared" si="3"/>
        <v>16.128547579298832</v>
      </c>
      <c r="L31" s="12" t="str">
        <f t="shared" si="4"/>
        <v/>
      </c>
      <c r="M31" s="12" t="str">
        <f t="shared" si="5"/>
        <v/>
      </c>
    </row>
    <row r="32" spans="1:13" ht="31.5">
      <c r="A32" s="3">
        <v>23</v>
      </c>
      <c r="B32" s="11" t="s">
        <v>71</v>
      </c>
      <c r="C32" s="3">
        <v>1</v>
      </c>
      <c r="D32" s="3">
        <v>3</v>
      </c>
      <c r="E32" s="11" t="s">
        <v>94</v>
      </c>
      <c r="F32" s="3">
        <v>45</v>
      </c>
      <c r="G32" s="3">
        <f t="shared" si="6"/>
        <v>46</v>
      </c>
      <c r="H32" s="3">
        <f t="shared" si="0"/>
        <v>50.45</v>
      </c>
      <c r="I32" s="3">
        <f t="shared" si="1"/>
        <v>93.345073349199026</v>
      </c>
      <c r="J32" s="3">
        <f t="shared" si="2"/>
        <v>52.691964941569282</v>
      </c>
      <c r="K32" s="3">
        <f t="shared" si="3"/>
        <v>16.128547579298832</v>
      </c>
      <c r="L32" s="12" t="str">
        <f t="shared" si="4"/>
        <v/>
      </c>
      <c r="M32" s="12" t="str">
        <f t="shared" si="5"/>
        <v/>
      </c>
    </row>
    <row r="33" spans="1:13" ht="31.5">
      <c r="A33" s="3">
        <v>24</v>
      </c>
      <c r="B33" s="11" t="s">
        <v>71</v>
      </c>
      <c r="C33" s="3">
        <v>1</v>
      </c>
      <c r="D33" s="3">
        <v>2</v>
      </c>
      <c r="E33" s="11" t="s">
        <v>95</v>
      </c>
      <c r="F33" s="3">
        <v>51</v>
      </c>
      <c r="G33" s="3">
        <f t="shared" si="6"/>
        <v>6</v>
      </c>
      <c r="H33" s="3">
        <f t="shared" si="0"/>
        <v>50.45</v>
      </c>
      <c r="I33" s="3">
        <f t="shared" si="1"/>
        <v>93.345073349199026</v>
      </c>
      <c r="J33" s="3">
        <f t="shared" si="2"/>
        <v>52.691964941569282</v>
      </c>
      <c r="K33" s="3">
        <f t="shared" si="3"/>
        <v>16.128547579298832</v>
      </c>
      <c r="L33" s="12" t="str">
        <f t="shared" si="4"/>
        <v/>
      </c>
      <c r="M33" s="12" t="str">
        <f t="shared" si="5"/>
        <v/>
      </c>
    </row>
    <row r="34" spans="1:13" ht="31.5">
      <c r="A34" s="3">
        <v>25</v>
      </c>
      <c r="B34" s="11" t="s">
        <v>71</v>
      </c>
      <c r="C34" s="3">
        <v>1</v>
      </c>
      <c r="D34" s="3">
        <v>1</v>
      </c>
      <c r="E34" s="11" t="s">
        <v>96</v>
      </c>
      <c r="F34" s="3">
        <v>53</v>
      </c>
      <c r="G34" s="3">
        <f t="shared" si="6"/>
        <v>2</v>
      </c>
      <c r="H34" s="3">
        <f t="shared" si="0"/>
        <v>50.45</v>
      </c>
      <c r="I34" s="3">
        <f t="shared" si="1"/>
        <v>93.345073349199026</v>
      </c>
      <c r="J34" s="3">
        <f t="shared" si="2"/>
        <v>52.691964941569282</v>
      </c>
      <c r="K34" s="3">
        <f t="shared" si="3"/>
        <v>16.128547579298832</v>
      </c>
      <c r="L34" s="12" t="str">
        <f t="shared" si="4"/>
        <v/>
      </c>
      <c r="M34" s="12" t="str">
        <f t="shared" si="5"/>
        <v/>
      </c>
    </row>
    <row r="35" spans="1:13" ht="31.5">
      <c r="A35" s="3">
        <v>26</v>
      </c>
      <c r="B35" s="11" t="s">
        <v>71</v>
      </c>
      <c r="C35" s="3">
        <v>1</v>
      </c>
      <c r="D35" s="3">
        <v>25</v>
      </c>
      <c r="E35" s="11" t="s">
        <v>97</v>
      </c>
      <c r="F35" s="3">
        <v>38</v>
      </c>
      <c r="G35" s="3">
        <f t="shared" si="6"/>
        <v>15</v>
      </c>
      <c r="H35" s="3">
        <f t="shared" si="0"/>
        <v>50.45</v>
      </c>
      <c r="I35" s="3">
        <f t="shared" si="1"/>
        <v>93.345073349199026</v>
      </c>
      <c r="J35" s="3">
        <f t="shared" si="2"/>
        <v>52.691964941569282</v>
      </c>
      <c r="K35" s="3">
        <f t="shared" si="3"/>
        <v>16.128547579298832</v>
      </c>
      <c r="L35" s="12" t="str">
        <f t="shared" si="4"/>
        <v/>
      </c>
      <c r="M35" s="12" t="str">
        <f t="shared" si="5"/>
        <v/>
      </c>
    </row>
    <row r="36" spans="1:13" ht="31.5">
      <c r="A36" s="3">
        <v>27</v>
      </c>
      <c r="B36" s="11" t="s">
        <v>71</v>
      </c>
      <c r="C36" s="3">
        <v>1</v>
      </c>
      <c r="D36" s="3">
        <v>24</v>
      </c>
      <c r="E36" s="11" t="s">
        <v>98</v>
      </c>
      <c r="F36" s="3">
        <v>30</v>
      </c>
      <c r="G36" s="3">
        <f t="shared" si="6"/>
        <v>8</v>
      </c>
      <c r="H36" s="3">
        <f t="shared" si="0"/>
        <v>50.45</v>
      </c>
      <c r="I36" s="3">
        <f t="shared" si="1"/>
        <v>93.345073349199026</v>
      </c>
      <c r="J36" s="3">
        <f t="shared" si="2"/>
        <v>52.691964941569282</v>
      </c>
      <c r="K36" s="3">
        <f t="shared" si="3"/>
        <v>16.128547579298832</v>
      </c>
      <c r="L36" s="12" t="str">
        <f t="shared" si="4"/>
        <v/>
      </c>
      <c r="M36" s="12" t="str">
        <f t="shared" si="5"/>
        <v/>
      </c>
    </row>
    <row r="37" spans="1:13" ht="31.5">
      <c r="A37" s="3">
        <v>28</v>
      </c>
      <c r="B37" s="11" t="s">
        <v>71</v>
      </c>
      <c r="C37" s="3">
        <v>1</v>
      </c>
      <c r="D37" s="3">
        <v>23</v>
      </c>
      <c r="E37" s="11" t="s">
        <v>99</v>
      </c>
      <c r="F37" s="3">
        <v>31</v>
      </c>
      <c r="G37" s="3">
        <f t="shared" si="6"/>
        <v>1</v>
      </c>
      <c r="H37" s="3">
        <f t="shared" si="0"/>
        <v>50.45</v>
      </c>
      <c r="I37" s="3">
        <f t="shared" si="1"/>
        <v>93.345073349199026</v>
      </c>
      <c r="J37" s="3">
        <f t="shared" si="2"/>
        <v>52.691964941569282</v>
      </c>
      <c r="K37" s="3">
        <f t="shared" si="3"/>
        <v>16.128547579298832</v>
      </c>
      <c r="L37" s="12" t="str">
        <f t="shared" si="4"/>
        <v/>
      </c>
      <c r="M37" s="12" t="str">
        <f t="shared" si="5"/>
        <v/>
      </c>
    </row>
    <row r="38" spans="1:13" ht="31.5">
      <c r="A38" s="3">
        <v>29</v>
      </c>
      <c r="B38" s="11" t="s">
        <v>71</v>
      </c>
      <c r="C38" s="3">
        <v>1</v>
      </c>
      <c r="D38" s="3">
        <v>22</v>
      </c>
      <c r="E38" s="11" t="s">
        <v>100</v>
      </c>
      <c r="F38" s="3">
        <v>30</v>
      </c>
      <c r="G38" s="3">
        <f t="shared" si="6"/>
        <v>1</v>
      </c>
      <c r="H38" s="3">
        <f t="shared" si="0"/>
        <v>50.45</v>
      </c>
      <c r="I38" s="3">
        <f t="shared" si="1"/>
        <v>93.345073349199026</v>
      </c>
      <c r="J38" s="3">
        <f t="shared" si="2"/>
        <v>52.691964941569282</v>
      </c>
      <c r="K38" s="3">
        <f t="shared" si="3"/>
        <v>16.128547579298832</v>
      </c>
      <c r="L38" s="12" t="str">
        <f t="shared" si="4"/>
        <v/>
      </c>
      <c r="M38" s="12" t="str">
        <f t="shared" si="5"/>
        <v/>
      </c>
    </row>
    <row r="39" spans="1:13" ht="31.5">
      <c r="A39" s="3">
        <v>30</v>
      </c>
      <c r="B39" s="11" t="s">
        <v>71</v>
      </c>
      <c r="C39" s="3">
        <v>1</v>
      </c>
      <c r="D39" s="3">
        <v>21</v>
      </c>
      <c r="E39" s="11" t="s">
        <v>101</v>
      </c>
      <c r="F39" s="3">
        <v>33</v>
      </c>
      <c r="G39" s="3">
        <f t="shared" si="6"/>
        <v>3</v>
      </c>
      <c r="H39" s="3">
        <f t="shared" si="0"/>
        <v>50.45</v>
      </c>
      <c r="I39" s="3">
        <f t="shared" si="1"/>
        <v>93.345073349199026</v>
      </c>
      <c r="J39" s="3">
        <f t="shared" si="2"/>
        <v>52.691964941569282</v>
      </c>
      <c r="K39" s="3">
        <f t="shared" si="3"/>
        <v>16.128547579298832</v>
      </c>
      <c r="L39" s="12" t="str">
        <f t="shared" si="4"/>
        <v/>
      </c>
      <c r="M39" s="12" t="str">
        <f t="shared" si="5"/>
        <v/>
      </c>
    </row>
    <row r="40" spans="1:13" ht="31.5">
      <c r="A40" s="3">
        <v>31</v>
      </c>
      <c r="B40" s="11" t="s">
        <v>71</v>
      </c>
      <c r="C40" s="3">
        <v>1</v>
      </c>
      <c r="D40" s="3">
        <v>20</v>
      </c>
      <c r="E40" s="11" t="s">
        <v>102</v>
      </c>
      <c r="F40" s="3">
        <v>33</v>
      </c>
      <c r="G40" s="3">
        <f t="shared" si="6"/>
        <v>0</v>
      </c>
      <c r="H40" s="3">
        <f t="shared" si="0"/>
        <v>50.45</v>
      </c>
      <c r="I40" s="3">
        <f t="shared" si="1"/>
        <v>93.345073349199026</v>
      </c>
      <c r="J40" s="3">
        <f t="shared" si="2"/>
        <v>52.691964941569282</v>
      </c>
      <c r="K40" s="3">
        <f t="shared" si="3"/>
        <v>16.128547579298832</v>
      </c>
      <c r="L40" s="12" t="str">
        <f t="shared" si="4"/>
        <v/>
      </c>
      <c r="M40" s="12" t="str">
        <f t="shared" si="5"/>
        <v/>
      </c>
    </row>
    <row r="41" spans="1:13" ht="31.5">
      <c r="A41" s="3">
        <v>32</v>
      </c>
      <c r="B41" s="11" t="s">
        <v>71</v>
      </c>
      <c r="C41" s="3">
        <v>1</v>
      </c>
      <c r="D41" s="3">
        <v>19</v>
      </c>
      <c r="E41" s="11" t="s">
        <v>103</v>
      </c>
      <c r="F41" s="3">
        <v>36</v>
      </c>
      <c r="G41" s="3">
        <f t="shared" si="6"/>
        <v>3</v>
      </c>
      <c r="H41" s="3">
        <f t="shared" si="0"/>
        <v>50.45</v>
      </c>
      <c r="I41" s="3">
        <f t="shared" si="1"/>
        <v>93.345073349199026</v>
      </c>
      <c r="J41" s="3">
        <f t="shared" si="2"/>
        <v>52.691964941569282</v>
      </c>
      <c r="K41" s="3">
        <f t="shared" si="3"/>
        <v>16.128547579298832</v>
      </c>
      <c r="L41" s="12" t="str">
        <f t="shared" si="4"/>
        <v/>
      </c>
      <c r="M41" s="12" t="str">
        <f t="shared" si="5"/>
        <v/>
      </c>
    </row>
    <row r="42" spans="1:13" ht="31.5">
      <c r="A42" s="3">
        <v>33</v>
      </c>
      <c r="B42" s="11" t="s">
        <v>71</v>
      </c>
      <c r="C42" s="3">
        <v>1</v>
      </c>
      <c r="D42" s="3">
        <v>18</v>
      </c>
      <c r="E42" s="11" t="s">
        <v>104</v>
      </c>
      <c r="F42" s="3">
        <v>29</v>
      </c>
      <c r="G42" s="3">
        <f t="shared" si="6"/>
        <v>7</v>
      </c>
      <c r="H42" s="3">
        <f t="shared" si="0"/>
        <v>50.45</v>
      </c>
      <c r="I42" s="3">
        <f t="shared" si="1"/>
        <v>93.345073349199026</v>
      </c>
      <c r="J42" s="3">
        <f t="shared" si="2"/>
        <v>52.691964941569282</v>
      </c>
      <c r="K42" s="3">
        <f t="shared" si="3"/>
        <v>16.128547579298832</v>
      </c>
      <c r="L42" s="12" t="str">
        <f t="shared" si="4"/>
        <v/>
      </c>
      <c r="M42" s="12" t="str">
        <f t="shared" si="5"/>
        <v/>
      </c>
    </row>
    <row r="43" spans="1:13" ht="31.5">
      <c r="A43" s="3">
        <v>34</v>
      </c>
      <c r="B43" s="11" t="s">
        <v>71</v>
      </c>
      <c r="C43" s="3">
        <v>1</v>
      </c>
      <c r="D43" s="3">
        <v>17</v>
      </c>
      <c r="E43" s="11" t="s">
        <v>105</v>
      </c>
      <c r="F43" s="3">
        <v>27</v>
      </c>
      <c r="G43" s="3">
        <f t="shared" si="6"/>
        <v>2</v>
      </c>
      <c r="H43" s="3">
        <f t="shared" si="0"/>
        <v>50.45</v>
      </c>
      <c r="I43" s="3">
        <f t="shared" si="1"/>
        <v>93.345073349199026</v>
      </c>
      <c r="J43" s="3">
        <f t="shared" si="2"/>
        <v>52.691964941569282</v>
      </c>
      <c r="K43" s="3">
        <f t="shared" si="3"/>
        <v>16.128547579298832</v>
      </c>
      <c r="L43" s="12" t="str">
        <f t="shared" si="4"/>
        <v/>
      </c>
      <c r="M43" s="12" t="str">
        <f t="shared" si="5"/>
        <v/>
      </c>
    </row>
    <row r="44" spans="1:13" ht="31.5">
      <c r="A44" s="3">
        <v>35</v>
      </c>
      <c r="B44" s="11" t="s">
        <v>71</v>
      </c>
      <c r="C44" s="3">
        <v>1</v>
      </c>
      <c r="D44" s="3">
        <v>16</v>
      </c>
      <c r="E44" s="11" t="s">
        <v>106</v>
      </c>
      <c r="F44" s="3">
        <v>31</v>
      </c>
      <c r="G44" s="3">
        <f t="shared" si="6"/>
        <v>4</v>
      </c>
      <c r="H44" s="3">
        <f t="shared" si="0"/>
        <v>50.45</v>
      </c>
      <c r="I44" s="3">
        <f t="shared" si="1"/>
        <v>93.345073349199026</v>
      </c>
      <c r="J44" s="3">
        <f t="shared" si="2"/>
        <v>52.691964941569282</v>
      </c>
      <c r="K44" s="3">
        <f t="shared" si="3"/>
        <v>16.128547579298832</v>
      </c>
      <c r="L44" s="12" t="str">
        <f t="shared" si="4"/>
        <v/>
      </c>
      <c r="M44" s="12" t="str">
        <f t="shared" si="5"/>
        <v/>
      </c>
    </row>
    <row r="45" spans="1:13" ht="31.5">
      <c r="A45" s="3">
        <v>36</v>
      </c>
      <c r="B45" s="11" t="s">
        <v>71</v>
      </c>
      <c r="C45" s="3">
        <v>1</v>
      </c>
      <c r="D45" s="3">
        <v>15</v>
      </c>
      <c r="E45" s="11" t="s">
        <v>107</v>
      </c>
      <c r="F45" s="3">
        <v>35</v>
      </c>
      <c r="G45" s="3">
        <f t="shared" si="6"/>
        <v>4</v>
      </c>
      <c r="H45" s="3">
        <f t="shared" si="0"/>
        <v>50.45</v>
      </c>
      <c r="I45" s="3">
        <f t="shared" si="1"/>
        <v>93.345073349199026</v>
      </c>
      <c r="J45" s="3">
        <f t="shared" si="2"/>
        <v>52.691964941569282</v>
      </c>
      <c r="K45" s="3">
        <f t="shared" si="3"/>
        <v>16.128547579298832</v>
      </c>
      <c r="L45" s="12" t="str">
        <f t="shared" si="4"/>
        <v/>
      </c>
      <c r="M45" s="12" t="str">
        <f t="shared" si="5"/>
        <v/>
      </c>
    </row>
    <row r="46" spans="1:13" ht="31.5">
      <c r="A46" s="3">
        <v>37</v>
      </c>
      <c r="B46" s="11" t="s">
        <v>71</v>
      </c>
      <c r="C46" s="3">
        <v>1</v>
      </c>
      <c r="D46" s="3">
        <v>14</v>
      </c>
      <c r="E46" s="11" t="s">
        <v>108</v>
      </c>
      <c r="F46" s="3">
        <v>13</v>
      </c>
      <c r="G46" s="3">
        <f t="shared" si="6"/>
        <v>22</v>
      </c>
      <c r="H46" s="3">
        <f t="shared" si="0"/>
        <v>50.45</v>
      </c>
      <c r="I46" s="3">
        <f t="shared" si="1"/>
        <v>93.345073349199026</v>
      </c>
      <c r="J46" s="3">
        <f t="shared" si="2"/>
        <v>52.691964941569282</v>
      </c>
      <c r="K46" s="3">
        <f t="shared" si="3"/>
        <v>16.128547579298832</v>
      </c>
      <c r="L46" s="12" t="str">
        <f t="shared" si="4"/>
        <v/>
      </c>
      <c r="M46" s="12" t="str">
        <f t="shared" si="5"/>
        <v/>
      </c>
    </row>
    <row r="47" spans="1:13" ht="31.5">
      <c r="A47" s="3">
        <v>38</v>
      </c>
      <c r="B47" s="11" t="s">
        <v>71</v>
      </c>
      <c r="C47" s="3">
        <v>1</v>
      </c>
      <c r="D47" s="3">
        <v>13</v>
      </c>
      <c r="E47" s="11" t="s">
        <v>109</v>
      </c>
      <c r="F47" s="3">
        <v>14</v>
      </c>
      <c r="G47" s="3">
        <f t="shared" si="6"/>
        <v>1</v>
      </c>
      <c r="H47" s="3">
        <f t="shared" si="0"/>
        <v>50.45</v>
      </c>
      <c r="I47" s="3">
        <f t="shared" si="1"/>
        <v>93.345073349199026</v>
      </c>
      <c r="J47" s="3">
        <f t="shared" si="2"/>
        <v>52.691964941569282</v>
      </c>
      <c r="K47" s="3">
        <f t="shared" si="3"/>
        <v>16.128547579298832</v>
      </c>
      <c r="L47" s="12" t="str">
        <f t="shared" si="4"/>
        <v/>
      </c>
      <c r="M47" s="12" t="str">
        <f t="shared" si="5"/>
        <v/>
      </c>
    </row>
    <row r="48" spans="1:13" ht="31.5">
      <c r="A48" s="3">
        <v>39</v>
      </c>
      <c r="B48" s="11" t="s">
        <v>71</v>
      </c>
      <c r="C48" s="3">
        <v>1</v>
      </c>
      <c r="D48" s="3">
        <v>12</v>
      </c>
      <c r="E48" s="11" t="s">
        <v>110</v>
      </c>
      <c r="F48" s="3">
        <v>38</v>
      </c>
      <c r="G48" s="3">
        <f t="shared" si="6"/>
        <v>24</v>
      </c>
      <c r="H48" s="3">
        <f t="shared" si="0"/>
        <v>50.45</v>
      </c>
      <c r="I48" s="3">
        <f t="shared" si="1"/>
        <v>93.345073349199026</v>
      </c>
      <c r="J48" s="3">
        <f t="shared" si="2"/>
        <v>52.691964941569282</v>
      </c>
      <c r="K48" s="3">
        <f t="shared" si="3"/>
        <v>16.128547579298832</v>
      </c>
      <c r="L48" s="12" t="str">
        <f t="shared" si="4"/>
        <v/>
      </c>
      <c r="M48" s="12" t="str">
        <f t="shared" si="5"/>
        <v/>
      </c>
    </row>
    <row r="49" spans="1:13" ht="31.5">
      <c r="A49" s="3">
        <v>40</v>
      </c>
      <c r="B49" s="11" t="s">
        <v>71</v>
      </c>
      <c r="C49" s="3">
        <v>1</v>
      </c>
      <c r="D49" s="3">
        <v>11</v>
      </c>
      <c r="E49" s="11" t="s">
        <v>111</v>
      </c>
      <c r="F49" s="3">
        <v>15</v>
      </c>
      <c r="G49" s="3">
        <f t="shared" si="6"/>
        <v>23</v>
      </c>
      <c r="H49" s="3">
        <f t="shared" si="0"/>
        <v>50.45</v>
      </c>
      <c r="I49" s="3">
        <f t="shared" si="1"/>
        <v>93.345073349199026</v>
      </c>
      <c r="J49" s="3">
        <f t="shared" si="2"/>
        <v>52.691964941569282</v>
      </c>
      <c r="K49" s="3">
        <f t="shared" si="3"/>
        <v>16.128547579298832</v>
      </c>
      <c r="L49" s="12" t="str">
        <f t="shared" si="4"/>
        <v/>
      </c>
      <c r="M49" s="12" t="str">
        <f t="shared" si="5"/>
        <v/>
      </c>
    </row>
    <row r="50" spans="1:13" ht="31.5">
      <c r="A50" s="3">
        <v>41</v>
      </c>
      <c r="B50" s="11" t="s">
        <v>71</v>
      </c>
      <c r="C50" s="3">
        <v>1</v>
      </c>
      <c r="D50" s="3">
        <v>10</v>
      </c>
      <c r="E50" s="11" t="s">
        <v>112</v>
      </c>
      <c r="F50" s="3">
        <v>19</v>
      </c>
      <c r="G50" s="3">
        <f t="shared" si="6"/>
        <v>4</v>
      </c>
      <c r="H50" s="3">
        <f t="shared" si="0"/>
        <v>50.45</v>
      </c>
      <c r="I50" s="3">
        <f t="shared" si="1"/>
        <v>93.345073349199026</v>
      </c>
      <c r="J50" s="3">
        <f t="shared" si="2"/>
        <v>52.691964941569282</v>
      </c>
      <c r="K50" s="3">
        <f t="shared" si="3"/>
        <v>16.128547579298832</v>
      </c>
      <c r="L50" s="12" t="str">
        <f t="shared" si="4"/>
        <v/>
      </c>
      <c r="M50" s="12" t="str">
        <f t="shared" si="5"/>
        <v/>
      </c>
    </row>
    <row r="51" spans="1:13" ht="31.5">
      <c r="A51" s="3">
        <v>42</v>
      </c>
      <c r="B51" s="11" t="s">
        <v>71</v>
      </c>
      <c r="C51" s="3">
        <v>1</v>
      </c>
      <c r="D51" s="3">
        <v>9</v>
      </c>
      <c r="E51" s="11" t="s">
        <v>113</v>
      </c>
      <c r="F51" s="3">
        <v>34</v>
      </c>
      <c r="G51" s="3">
        <f t="shared" si="6"/>
        <v>15</v>
      </c>
      <c r="H51" s="3">
        <f t="shared" si="0"/>
        <v>50.45</v>
      </c>
      <c r="I51" s="3">
        <f t="shared" si="1"/>
        <v>93.345073349199026</v>
      </c>
      <c r="J51" s="3">
        <f t="shared" si="2"/>
        <v>52.691964941569282</v>
      </c>
      <c r="K51" s="3">
        <f t="shared" si="3"/>
        <v>16.128547579298832</v>
      </c>
      <c r="L51" s="12" t="str">
        <f t="shared" si="4"/>
        <v/>
      </c>
      <c r="M51" s="12" t="str">
        <f t="shared" si="5"/>
        <v/>
      </c>
    </row>
    <row r="52" spans="1:13" ht="31.5">
      <c r="A52" s="3">
        <v>43</v>
      </c>
      <c r="B52" s="11" t="s">
        <v>71</v>
      </c>
      <c r="C52" s="3">
        <v>1</v>
      </c>
      <c r="D52" s="3">
        <v>8</v>
      </c>
      <c r="E52" s="11" t="s">
        <v>114</v>
      </c>
      <c r="F52" s="3">
        <v>40</v>
      </c>
      <c r="G52" s="3">
        <f t="shared" si="6"/>
        <v>6</v>
      </c>
      <c r="H52" s="3">
        <f t="shared" si="0"/>
        <v>50.45</v>
      </c>
      <c r="I52" s="3">
        <f t="shared" si="1"/>
        <v>93.345073349199026</v>
      </c>
      <c r="J52" s="3">
        <f t="shared" si="2"/>
        <v>52.691964941569282</v>
      </c>
      <c r="K52" s="3">
        <f t="shared" si="3"/>
        <v>16.128547579298832</v>
      </c>
      <c r="L52" s="12" t="str">
        <f t="shared" si="4"/>
        <v/>
      </c>
      <c r="M52" s="12" t="str">
        <f t="shared" si="5"/>
        <v/>
      </c>
    </row>
    <row r="53" spans="1:13" ht="31.5">
      <c r="A53" s="3">
        <v>44</v>
      </c>
      <c r="B53" s="11" t="s">
        <v>71</v>
      </c>
      <c r="C53" s="3">
        <v>1</v>
      </c>
      <c r="D53" s="3">
        <v>7</v>
      </c>
      <c r="E53" s="11" t="s">
        <v>115</v>
      </c>
      <c r="F53" s="3">
        <v>42</v>
      </c>
      <c r="G53" s="3">
        <f t="shared" si="6"/>
        <v>2</v>
      </c>
      <c r="H53" s="3">
        <f t="shared" si="0"/>
        <v>50.45</v>
      </c>
      <c r="I53" s="3">
        <f t="shared" si="1"/>
        <v>93.345073349199026</v>
      </c>
      <c r="J53" s="3">
        <f t="shared" si="2"/>
        <v>52.691964941569282</v>
      </c>
      <c r="K53" s="3">
        <f t="shared" si="3"/>
        <v>16.128547579298832</v>
      </c>
      <c r="L53" s="12" t="str">
        <f t="shared" si="4"/>
        <v/>
      </c>
      <c r="M53" s="12" t="str">
        <f t="shared" si="5"/>
        <v/>
      </c>
    </row>
    <row r="54" spans="1:13" ht="31.5">
      <c r="A54" s="3">
        <v>45</v>
      </c>
      <c r="B54" s="11" t="s">
        <v>71</v>
      </c>
      <c r="C54" s="3">
        <v>1</v>
      </c>
      <c r="D54" s="3">
        <v>6</v>
      </c>
      <c r="E54" s="11" t="s">
        <v>116</v>
      </c>
      <c r="F54" s="3">
        <v>29</v>
      </c>
      <c r="G54" s="3">
        <f t="shared" si="6"/>
        <v>13</v>
      </c>
      <c r="H54" s="3">
        <f t="shared" si="0"/>
        <v>50.45</v>
      </c>
      <c r="I54" s="3">
        <f t="shared" si="1"/>
        <v>93.345073349199026</v>
      </c>
      <c r="J54" s="3">
        <f t="shared" si="2"/>
        <v>52.691964941569282</v>
      </c>
      <c r="K54" s="3">
        <f t="shared" si="3"/>
        <v>16.128547579298832</v>
      </c>
      <c r="L54" s="12" t="str">
        <f t="shared" si="4"/>
        <v/>
      </c>
      <c r="M54" s="12" t="str">
        <f t="shared" si="5"/>
        <v/>
      </c>
    </row>
    <row r="55" spans="1:13" ht="31.5">
      <c r="A55" s="3">
        <v>46</v>
      </c>
      <c r="B55" s="11" t="s">
        <v>71</v>
      </c>
      <c r="C55" s="3">
        <v>1</v>
      </c>
      <c r="D55" s="3">
        <v>5</v>
      </c>
      <c r="E55" s="11" t="s">
        <v>117</v>
      </c>
      <c r="F55" s="3">
        <v>18</v>
      </c>
      <c r="G55" s="3">
        <f t="shared" si="6"/>
        <v>11</v>
      </c>
      <c r="H55" s="3">
        <f t="shared" si="0"/>
        <v>50.45</v>
      </c>
      <c r="I55" s="3">
        <f t="shared" si="1"/>
        <v>93.345073349199026</v>
      </c>
      <c r="J55" s="3">
        <f t="shared" si="2"/>
        <v>52.691964941569282</v>
      </c>
      <c r="K55" s="3">
        <f t="shared" si="3"/>
        <v>16.128547579298832</v>
      </c>
      <c r="L55" s="12" t="str">
        <f t="shared" si="4"/>
        <v/>
      </c>
      <c r="M55" s="12" t="str">
        <f t="shared" si="5"/>
        <v/>
      </c>
    </row>
    <row r="56" spans="1:13" ht="31.5">
      <c r="A56" s="3">
        <v>47</v>
      </c>
      <c r="B56" s="11" t="s">
        <v>71</v>
      </c>
      <c r="C56" s="3">
        <v>1</v>
      </c>
      <c r="D56" s="3">
        <v>4</v>
      </c>
      <c r="E56" s="11" t="s">
        <v>118</v>
      </c>
      <c r="F56" s="3">
        <v>28</v>
      </c>
      <c r="G56" s="3">
        <f t="shared" si="6"/>
        <v>10</v>
      </c>
      <c r="H56" s="3">
        <f t="shared" si="0"/>
        <v>50.45</v>
      </c>
      <c r="I56" s="3">
        <f t="shared" si="1"/>
        <v>93.345073349199026</v>
      </c>
      <c r="J56" s="3">
        <f t="shared" si="2"/>
        <v>52.691964941569282</v>
      </c>
      <c r="K56" s="3">
        <f t="shared" si="3"/>
        <v>16.128547579298832</v>
      </c>
      <c r="L56" s="12" t="str">
        <f t="shared" si="4"/>
        <v/>
      </c>
      <c r="M56" s="12" t="str">
        <f t="shared" si="5"/>
        <v/>
      </c>
    </row>
    <row r="57" spans="1:13" ht="31.5">
      <c r="A57" s="3">
        <v>48</v>
      </c>
      <c r="B57" s="11" t="s">
        <v>71</v>
      </c>
      <c r="C57" s="3">
        <v>1</v>
      </c>
      <c r="D57" s="3">
        <v>3</v>
      </c>
      <c r="E57" s="11" t="s">
        <v>119</v>
      </c>
      <c r="F57" s="3">
        <v>21</v>
      </c>
      <c r="G57" s="3">
        <f t="shared" si="6"/>
        <v>7</v>
      </c>
      <c r="H57" s="3">
        <f t="shared" si="0"/>
        <v>50.45</v>
      </c>
      <c r="I57" s="3">
        <f t="shared" si="1"/>
        <v>93.345073349199026</v>
      </c>
      <c r="J57" s="3">
        <f t="shared" si="2"/>
        <v>52.691964941569282</v>
      </c>
      <c r="K57" s="3">
        <f t="shared" si="3"/>
        <v>16.128547579298832</v>
      </c>
      <c r="L57" s="12" t="str">
        <f t="shared" si="4"/>
        <v/>
      </c>
      <c r="M57" s="12" t="str">
        <f t="shared" si="5"/>
        <v/>
      </c>
    </row>
    <row r="58" spans="1:13" ht="31.5">
      <c r="A58" s="3">
        <v>49</v>
      </c>
      <c r="B58" s="11" t="s">
        <v>71</v>
      </c>
      <c r="C58" s="3">
        <v>1</v>
      </c>
      <c r="D58" s="3">
        <v>2</v>
      </c>
      <c r="E58" s="11" t="s">
        <v>120</v>
      </c>
      <c r="F58" s="3">
        <v>21</v>
      </c>
      <c r="G58" s="3">
        <f t="shared" si="6"/>
        <v>0</v>
      </c>
      <c r="H58" s="3">
        <f t="shared" si="0"/>
        <v>50.45</v>
      </c>
      <c r="I58" s="3">
        <f t="shared" si="1"/>
        <v>93.345073349199026</v>
      </c>
      <c r="J58" s="3">
        <f t="shared" si="2"/>
        <v>52.691964941569282</v>
      </c>
      <c r="K58" s="3">
        <f t="shared" si="3"/>
        <v>16.128547579298832</v>
      </c>
      <c r="L58" s="12" t="str">
        <f t="shared" si="4"/>
        <v/>
      </c>
      <c r="M58" s="12" t="str">
        <f t="shared" si="5"/>
        <v/>
      </c>
    </row>
    <row r="59" spans="1:13" ht="31.5">
      <c r="A59" s="3">
        <v>50</v>
      </c>
      <c r="B59" s="11" t="s">
        <v>71</v>
      </c>
      <c r="C59" s="3">
        <v>1</v>
      </c>
      <c r="D59" s="3">
        <v>1</v>
      </c>
      <c r="E59" s="11" t="s">
        <v>121</v>
      </c>
      <c r="F59" s="3">
        <v>25</v>
      </c>
      <c r="G59" s="3">
        <f t="shared" si="6"/>
        <v>4</v>
      </c>
      <c r="H59" s="3">
        <f t="shared" si="0"/>
        <v>50.45</v>
      </c>
      <c r="I59" s="3">
        <f t="shared" si="1"/>
        <v>93.345073349199026</v>
      </c>
      <c r="J59" s="3">
        <f t="shared" si="2"/>
        <v>52.691964941569282</v>
      </c>
      <c r="K59" s="3">
        <f t="shared" si="3"/>
        <v>16.128547579298832</v>
      </c>
      <c r="L59" s="12" t="str">
        <f t="shared" si="4"/>
        <v/>
      </c>
      <c r="M59" s="12" t="str">
        <f t="shared" si="5"/>
        <v/>
      </c>
    </row>
    <row r="60" spans="1:13" ht="31.5">
      <c r="A60" s="3">
        <v>51</v>
      </c>
      <c r="B60" s="11" t="s">
        <v>71</v>
      </c>
      <c r="C60" s="3">
        <v>2</v>
      </c>
      <c r="D60" s="3">
        <v>25</v>
      </c>
      <c r="E60" s="11" t="s">
        <v>122</v>
      </c>
      <c r="F60" s="3">
        <v>57</v>
      </c>
      <c r="G60" s="3">
        <f t="shared" si="6"/>
        <v>32</v>
      </c>
      <c r="H60" s="3">
        <f t="shared" si="0"/>
        <v>50.45</v>
      </c>
      <c r="I60" s="3">
        <f t="shared" si="1"/>
        <v>93.345073349199026</v>
      </c>
      <c r="J60" s="3">
        <f t="shared" si="2"/>
        <v>52.691964941569282</v>
      </c>
      <c r="K60" s="3">
        <f t="shared" si="3"/>
        <v>16.128547579298832</v>
      </c>
      <c r="L60" s="12" t="str">
        <f t="shared" si="4"/>
        <v/>
      </c>
      <c r="M60" s="12" t="str">
        <f t="shared" si="5"/>
        <v/>
      </c>
    </row>
    <row r="61" spans="1:13" ht="31.5">
      <c r="A61" s="3">
        <v>52</v>
      </c>
      <c r="B61" s="11" t="s">
        <v>71</v>
      </c>
      <c r="C61" s="3">
        <v>2</v>
      </c>
      <c r="D61" s="3">
        <v>24</v>
      </c>
      <c r="E61" s="11" t="s">
        <v>123</v>
      </c>
      <c r="F61" s="3">
        <v>41</v>
      </c>
      <c r="G61" s="3">
        <f t="shared" si="6"/>
        <v>16</v>
      </c>
      <c r="H61" s="3">
        <f t="shared" si="0"/>
        <v>50.45</v>
      </c>
      <c r="I61" s="3">
        <f t="shared" si="1"/>
        <v>93.345073349199026</v>
      </c>
      <c r="J61" s="3">
        <f t="shared" si="2"/>
        <v>52.691964941569282</v>
      </c>
      <c r="K61" s="3">
        <f t="shared" si="3"/>
        <v>16.128547579298832</v>
      </c>
      <c r="L61" s="12" t="str">
        <f t="shared" si="4"/>
        <v/>
      </c>
      <c r="M61" s="12" t="str">
        <f t="shared" si="5"/>
        <v/>
      </c>
    </row>
    <row r="62" spans="1:13" ht="31.5">
      <c r="A62" s="3">
        <v>53</v>
      </c>
      <c r="B62" s="11" t="s">
        <v>71</v>
      </c>
      <c r="C62" s="3">
        <v>2</v>
      </c>
      <c r="D62" s="3">
        <v>23</v>
      </c>
      <c r="E62" s="11" t="s">
        <v>124</v>
      </c>
      <c r="F62" s="3">
        <v>68</v>
      </c>
      <c r="G62" s="3">
        <f t="shared" si="6"/>
        <v>27</v>
      </c>
      <c r="H62" s="3">
        <f t="shared" si="0"/>
        <v>50.45</v>
      </c>
      <c r="I62" s="3">
        <f t="shared" si="1"/>
        <v>93.345073349199026</v>
      </c>
      <c r="J62" s="3">
        <f t="shared" si="2"/>
        <v>52.691964941569282</v>
      </c>
      <c r="K62" s="3">
        <f t="shared" si="3"/>
        <v>16.128547579298832</v>
      </c>
      <c r="L62" s="12" t="str">
        <f t="shared" si="4"/>
        <v/>
      </c>
      <c r="M62" s="12" t="str">
        <f t="shared" si="5"/>
        <v/>
      </c>
    </row>
    <row r="63" spans="1:13" ht="31.5">
      <c r="A63" s="3">
        <v>54</v>
      </c>
      <c r="B63" s="11" t="s">
        <v>71</v>
      </c>
      <c r="C63" s="3">
        <v>2</v>
      </c>
      <c r="D63" s="3">
        <v>22</v>
      </c>
      <c r="E63" s="11" t="s">
        <v>125</v>
      </c>
      <c r="F63" s="3">
        <v>62</v>
      </c>
      <c r="G63" s="3">
        <f t="shared" si="6"/>
        <v>6</v>
      </c>
      <c r="H63" s="3">
        <f t="shared" si="0"/>
        <v>50.45</v>
      </c>
      <c r="I63" s="3">
        <f t="shared" si="1"/>
        <v>93.345073349199026</v>
      </c>
      <c r="J63" s="3">
        <f t="shared" si="2"/>
        <v>52.691964941569282</v>
      </c>
      <c r="K63" s="3">
        <f t="shared" si="3"/>
        <v>16.128547579298832</v>
      </c>
      <c r="L63" s="12" t="str">
        <f t="shared" si="4"/>
        <v/>
      </c>
      <c r="M63" s="12" t="str">
        <f t="shared" si="5"/>
        <v/>
      </c>
    </row>
    <row r="64" spans="1:13" ht="31.5">
      <c r="A64" s="3">
        <v>55</v>
      </c>
      <c r="B64" s="11" t="s">
        <v>71</v>
      </c>
      <c r="C64" s="3">
        <v>2</v>
      </c>
      <c r="D64" s="3">
        <v>21</v>
      </c>
      <c r="E64" s="11" t="s">
        <v>126</v>
      </c>
      <c r="F64" s="3">
        <v>47</v>
      </c>
      <c r="G64" s="3">
        <f t="shared" si="6"/>
        <v>15</v>
      </c>
      <c r="H64" s="3">
        <f t="shared" si="0"/>
        <v>50.45</v>
      </c>
      <c r="I64" s="3">
        <f t="shared" si="1"/>
        <v>93.345073349199026</v>
      </c>
      <c r="J64" s="3">
        <f t="shared" si="2"/>
        <v>52.691964941569282</v>
      </c>
      <c r="K64" s="3">
        <f t="shared" si="3"/>
        <v>16.128547579298832</v>
      </c>
      <c r="L64" s="12" t="str">
        <f t="shared" si="4"/>
        <v/>
      </c>
      <c r="M64" s="12" t="str">
        <f t="shared" si="5"/>
        <v/>
      </c>
    </row>
    <row r="65" spans="1:13" ht="31.5">
      <c r="A65" s="3">
        <v>56</v>
      </c>
      <c r="B65" s="11" t="s">
        <v>71</v>
      </c>
      <c r="C65" s="3">
        <v>2</v>
      </c>
      <c r="D65" s="3">
        <v>20</v>
      </c>
      <c r="E65" s="11" t="s">
        <v>127</v>
      </c>
      <c r="F65" s="3">
        <v>63</v>
      </c>
      <c r="G65" s="3">
        <f t="shared" si="6"/>
        <v>16</v>
      </c>
      <c r="H65" s="3">
        <f t="shared" si="0"/>
        <v>50.45</v>
      </c>
      <c r="I65" s="3">
        <f t="shared" si="1"/>
        <v>93.345073349199026</v>
      </c>
      <c r="J65" s="3">
        <f t="shared" si="2"/>
        <v>52.691964941569282</v>
      </c>
      <c r="K65" s="3">
        <f t="shared" si="3"/>
        <v>16.128547579298832</v>
      </c>
      <c r="L65" s="12" t="str">
        <f t="shared" si="4"/>
        <v/>
      </c>
      <c r="M65" s="12" t="str">
        <f t="shared" si="5"/>
        <v/>
      </c>
    </row>
    <row r="66" spans="1:13" ht="31.5">
      <c r="A66" s="3">
        <v>57</v>
      </c>
      <c r="B66" s="11" t="s">
        <v>71</v>
      </c>
      <c r="C66" s="3">
        <v>2</v>
      </c>
      <c r="D66" s="3">
        <v>19</v>
      </c>
      <c r="E66" s="11" t="s">
        <v>128</v>
      </c>
      <c r="F66" s="3">
        <v>78</v>
      </c>
      <c r="G66" s="3">
        <f t="shared" si="6"/>
        <v>15</v>
      </c>
      <c r="H66" s="3">
        <f t="shared" si="0"/>
        <v>50.45</v>
      </c>
      <c r="I66" s="3">
        <f t="shared" si="1"/>
        <v>93.345073349199026</v>
      </c>
      <c r="J66" s="3">
        <f t="shared" si="2"/>
        <v>52.691964941569282</v>
      </c>
      <c r="K66" s="3">
        <f t="shared" si="3"/>
        <v>16.128547579298832</v>
      </c>
      <c r="L66" s="12" t="str">
        <f t="shared" si="4"/>
        <v/>
      </c>
      <c r="M66" s="12" t="str">
        <f t="shared" si="5"/>
        <v/>
      </c>
    </row>
    <row r="67" spans="1:13" ht="31.5">
      <c r="A67" s="3">
        <v>58</v>
      </c>
      <c r="B67" s="11" t="s">
        <v>71</v>
      </c>
      <c r="C67" s="3">
        <v>2</v>
      </c>
      <c r="D67" s="3">
        <v>18</v>
      </c>
      <c r="E67" s="11" t="s">
        <v>129</v>
      </c>
      <c r="F67" s="3">
        <v>92</v>
      </c>
      <c r="G67" s="3">
        <f t="shared" si="6"/>
        <v>14</v>
      </c>
      <c r="H67" s="3">
        <f t="shared" si="0"/>
        <v>50.45</v>
      </c>
      <c r="I67" s="3">
        <f t="shared" si="1"/>
        <v>93.345073349199026</v>
      </c>
      <c r="J67" s="3">
        <f t="shared" si="2"/>
        <v>52.691964941569282</v>
      </c>
      <c r="K67" s="3">
        <f t="shared" si="3"/>
        <v>16.128547579298832</v>
      </c>
      <c r="L67" s="12" t="str">
        <f t="shared" si="4"/>
        <v/>
      </c>
      <c r="M67" s="12" t="str">
        <f t="shared" si="5"/>
        <v/>
      </c>
    </row>
    <row r="68" spans="1:13" ht="31.5">
      <c r="A68" s="3">
        <v>59</v>
      </c>
      <c r="B68" s="11" t="s">
        <v>71</v>
      </c>
      <c r="C68" s="3">
        <v>2</v>
      </c>
      <c r="D68" s="3">
        <v>17</v>
      </c>
      <c r="E68" s="11" t="s">
        <v>130</v>
      </c>
      <c r="F68" s="3">
        <v>77</v>
      </c>
      <c r="G68" s="3">
        <f t="shared" si="6"/>
        <v>15</v>
      </c>
      <c r="H68" s="3">
        <f t="shared" si="0"/>
        <v>50.45</v>
      </c>
      <c r="I68" s="3">
        <f t="shared" si="1"/>
        <v>93.345073349199026</v>
      </c>
      <c r="J68" s="3">
        <f t="shared" si="2"/>
        <v>52.691964941569282</v>
      </c>
      <c r="K68" s="3">
        <f t="shared" si="3"/>
        <v>16.128547579298832</v>
      </c>
      <c r="L68" s="12" t="str">
        <f t="shared" si="4"/>
        <v/>
      </c>
      <c r="M68" s="12" t="str">
        <f t="shared" si="5"/>
        <v/>
      </c>
    </row>
    <row r="69" spans="1:13" ht="31.5">
      <c r="A69" s="3">
        <v>60</v>
      </c>
      <c r="B69" s="11" t="s">
        <v>71</v>
      </c>
      <c r="C69" s="3">
        <v>2</v>
      </c>
      <c r="D69" s="3">
        <v>16</v>
      </c>
      <c r="E69" s="11" t="s">
        <v>131</v>
      </c>
      <c r="F69" s="3">
        <v>61</v>
      </c>
      <c r="G69" s="3">
        <f t="shared" si="6"/>
        <v>16</v>
      </c>
      <c r="H69" s="3">
        <f t="shared" si="0"/>
        <v>50.45</v>
      </c>
      <c r="I69" s="3">
        <f t="shared" si="1"/>
        <v>93.345073349199026</v>
      </c>
      <c r="J69" s="3">
        <f t="shared" si="2"/>
        <v>52.691964941569282</v>
      </c>
      <c r="K69" s="3">
        <f t="shared" si="3"/>
        <v>16.128547579298832</v>
      </c>
      <c r="L69" s="12" t="str">
        <f t="shared" si="4"/>
        <v/>
      </c>
      <c r="M69" s="12" t="str">
        <f t="shared" si="5"/>
        <v/>
      </c>
    </row>
    <row r="70" spans="1:13" ht="31.5">
      <c r="A70" s="3">
        <v>61</v>
      </c>
      <c r="B70" s="11" t="s">
        <v>71</v>
      </c>
      <c r="C70" s="3">
        <v>2</v>
      </c>
      <c r="D70" s="3">
        <v>15</v>
      </c>
      <c r="E70" s="11" t="s">
        <v>132</v>
      </c>
      <c r="F70" s="3">
        <v>58</v>
      </c>
      <c r="G70" s="3">
        <f t="shared" si="6"/>
        <v>3</v>
      </c>
      <c r="H70" s="3">
        <f t="shared" si="0"/>
        <v>50.45</v>
      </c>
      <c r="I70" s="3">
        <f t="shared" si="1"/>
        <v>93.345073349199026</v>
      </c>
      <c r="J70" s="3">
        <f t="shared" si="2"/>
        <v>52.691964941569282</v>
      </c>
      <c r="K70" s="3">
        <f t="shared" si="3"/>
        <v>16.128547579298832</v>
      </c>
      <c r="L70" s="12" t="str">
        <f t="shared" si="4"/>
        <v/>
      </c>
      <c r="M70" s="12" t="str">
        <f t="shared" si="5"/>
        <v/>
      </c>
    </row>
    <row r="71" spans="1:13" ht="31.5">
      <c r="A71" s="3">
        <v>62</v>
      </c>
      <c r="B71" s="11" t="s">
        <v>71</v>
      </c>
      <c r="C71" s="3">
        <v>2</v>
      </c>
      <c r="D71" s="3">
        <v>14</v>
      </c>
      <c r="E71" s="11" t="s">
        <v>133</v>
      </c>
      <c r="F71" s="3">
        <v>81</v>
      </c>
      <c r="G71" s="3">
        <f t="shared" si="6"/>
        <v>23</v>
      </c>
      <c r="H71" s="3">
        <f t="shared" si="0"/>
        <v>50.45</v>
      </c>
      <c r="I71" s="3">
        <f t="shared" si="1"/>
        <v>93.345073349199026</v>
      </c>
      <c r="J71" s="3">
        <f t="shared" si="2"/>
        <v>52.691964941569282</v>
      </c>
      <c r="K71" s="3">
        <f t="shared" si="3"/>
        <v>16.128547579298832</v>
      </c>
      <c r="L71" s="12" t="str">
        <f t="shared" si="4"/>
        <v/>
      </c>
      <c r="M71" s="12" t="str">
        <f t="shared" si="5"/>
        <v/>
      </c>
    </row>
    <row r="72" spans="1:13" ht="31.5">
      <c r="A72" s="3">
        <v>63</v>
      </c>
      <c r="B72" s="11" t="s">
        <v>71</v>
      </c>
      <c r="C72" s="3">
        <v>2</v>
      </c>
      <c r="D72" s="3">
        <v>13</v>
      </c>
      <c r="E72" s="11" t="s">
        <v>134</v>
      </c>
      <c r="F72" s="3">
        <v>106</v>
      </c>
      <c r="G72" s="3">
        <f t="shared" si="6"/>
        <v>25</v>
      </c>
      <c r="H72" s="3">
        <f t="shared" si="0"/>
        <v>50.45</v>
      </c>
      <c r="I72" s="3">
        <f t="shared" si="1"/>
        <v>93.345073349199026</v>
      </c>
      <c r="J72" s="3">
        <f t="shared" si="2"/>
        <v>52.691964941569282</v>
      </c>
      <c r="K72" s="3">
        <f t="shared" si="3"/>
        <v>16.128547579298832</v>
      </c>
      <c r="L72" s="12" t="str">
        <f t="shared" si="4"/>
        <v>OOC</v>
      </c>
      <c r="M72" s="12" t="str">
        <f t="shared" si="5"/>
        <v/>
      </c>
    </row>
    <row r="73" spans="1:13" ht="31.5">
      <c r="A73" s="3">
        <v>64</v>
      </c>
      <c r="B73" s="11" t="s">
        <v>71</v>
      </c>
      <c r="C73" s="3">
        <v>2</v>
      </c>
      <c r="D73" s="3">
        <v>12</v>
      </c>
      <c r="E73" s="11" t="s">
        <v>135</v>
      </c>
      <c r="F73" s="3">
        <v>89</v>
      </c>
      <c r="G73" s="3">
        <f t="shared" si="6"/>
        <v>17</v>
      </c>
      <c r="H73" s="3">
        <f t="shared" si="0"/>
        <v>50.45</v>
      </c>
      <c r="I73" s="3">
        <f t="shared" si="1"/>
        <v>93.345073349199026</v>
      </c>
      <c r="J73" s="3">
        <f t="shared" si="2"/>
        <v>52.691964941569282</v>
      </c>
      <c r="K73" s="3">
        <f t="shared" si="3"/>
        <v>16.128547579298832</v>
      </c>
      <c r="L73" s="12" t="str">
        <f t="shared" si="4"/>
        <v/>
      </c>
      <c r="M73" s="12" t="str">
        <f t="shared" si="5"/>
        <v/>
      </c>
    </row>
    <row r="74" spans="1:13" ht="31.5">
      <c r="A74" s="3">
        <v>65</v>
      </c>
      <c r="B74" s="11" t="s">
        <v>71</v>
      </c>
      <c r="C74" s="3">
        <v>2</v>
      </c>
      <c r="D74" s="3">
        <v>11</v>
      </c>
      <c r="E74" s="11" t="s">
        <v>136</v>
      </c>
      <c r="F74" s="3">
        <v>51</v>
      </c>
      <c r="G74" s="3">
        <f t="shared" si="6"/>
        <v>38</v>
      </c>
      <c r="H74" s="3">
        <f t="shared" ref="H74:H137" si="7">$Q$3</f>
        <v>50.45</v>
      </c>
      <c r="I74" s="3">
        <f t="shared" ref="I74:I137" si="8">$Q$6</f>
        <v>93.345073349199026</v>
      </c>
      <c r="J74" s="3">
        <f t="shared" ref="J74:J137" si="9">$Q$7</f>
        <v>52.691964941569282</v>
      </c>
      <c r="K74" s="3">
        <f t="shared" ref="K74:K137" si="10">$Q$4</f>
        <v>16.128547579298832</v>
      </c>
      <c r="L74" s="12" t="str">
        <f t="shared" ref="L74:L137" si="11">IF(F74&gt;$Q$6,"OOC","" )</f>
        <v/>
      </c>
      <c r="M74" s="12" t="str">
        <f t="shared" ref="M74:M137" si="12">IF(F74&gt;$B$3,"OOS","" )</f>
        <v/>
      </c>
    </row>
    <row r="75" spans="1:13" ht="31.5">
      <c r="A75" s="3">
        <v>66</v>
      </c>
      <c r="B75" s="11" t="s">
        <v>71</v>
      </c>
      <c r="C75" s="3">
        <v>2</v>
      </c>
      <c r="D75" s="3">
        <v>10</v>
      </c>
      <c r="E75" s="11" t="s">
        <v>137</v>
      </c>
      <c r="F75" s="3">
        <v>78</v>
      </c>
      <c r="G75" s="3">
        <f t="shared" ref="G75:G138" si="13">ABS(F75-F74)</f>
        <v>27</v>
      </c>
      <c r="H75" s="3">
        <f t="shared" si="7"/>
        <v>50.45</v>
      </c>
      <c r="I75" s="3">
        <f t="shared" si="8"/>
        <v>93.345073349199026</v>
      </c>
      <c r="J75" s="3">
        <f t="shared" si="9"/>
        <v>52.691964941569282</v>
      </c>
      <c r="K75" s="3">
        <f t="shared" si="10"/>
        <v>16.128547579298832</v>
      </c>
      <c r="L75" s="12" t="str">
        <f t="shared" si="11"/>
        <v/>
      </c>
      <c r="M75" s="12" t="str">
        <f t="shared" si="12"/>
        <v/>
      </c>
    </row>
    <row r="76" spans="1:13" ht="31.5">
      <c r="A76" s="3">
        <v>67</v>
      </c>
      <c r="B76" s="11" t="s">
        <v>71</v>
      </c>
      <c r="C76" s="3">
        <v>2</v>
      </c>
      <c r="D76" s="3">
        <v>9</v>
      </c>
      <c r="E76" s="11" t="s">
        <v>138</v>
      </c>
      <c r="F76" s="3">
        <v>53</v>
      </c>
      <c r="G76" s="3">
        <f t="shared" si="13"/>
        <v>25</v>
      </c>
      <c r="H76" s="3">
        <f t="shared" si="7"/>
        <v>50.45</v>
      </c>
      <c r="I76" s="3">
        <f t="shared" si="8"/>
        <v>93.345073349199026</v>
      </c>
      <c r="J76" s="3">
        <f t="shared" si="9"/>
        <v>52.691964941569282</v>
      </c>
      <c r="K76" s="3">
        <f t="shared" si="10"/>
        <v>16.128547579298832</v>
      </c>
      <c r="L76" s="12" t="str">
        <f t="shared" si="11"/>
        <v/>
      </c>
      <c r="M76" s="12" t="str">
        <f t="shared" si="12"/>
        <v/>
      </c>
    </row>
    <row r="77" spans="1:13" ht="31.5">
      <c r="A77" s="3">
        <v>68</v>
      </c>
      <c r="B77" s="11" t="s">
        <v>71</v>
      </c>
      <c r="C77" s="3">
        <v>2</v>
      </c>
      <c r="D77" s="3">
        <v>8</v>
      </c>
      <c r="E77" s="11" t="s">
        <v>139</v>
      </c>
      <c r="F77" s="3">
        <v>30</v>
      </c>
      <c r="G77" s="3">
        <f t="shared" si="13"/>
        <v>23</v>
      </c>
      <c r="H77" s="3">
        <f t="shared" si="7"/>
        <v>50.45</v>
      </c>
      <c r="I77" s="3">
        <f t="shared" si="8"/>
        <v>93.345073349199026</v>
      </c>
      <c r="J77" s="3">
        <f t="shared" si="9"/>
        <v>52.691964941569282</v>
      </c>
      <c r="K77" s="3">
        <f t="shared" si="10"/>
        <v>16.128547579298832</v>
      </c>
      <c r="L77" s="12" t="str">
        <f t="shared" si="11"/>
        <v/>
      </c>
      <c r="M77" s="12" t="str">
        <f t="shared" si="12"/>
        <v/>
      </c>
    </row>
    <row r="78" spans="1:13" ht="31.5">
      <c r="A78" s="3">
        <v>69</v>
      </c>
      <c r="B78" s="11" t="s">
        <v>71</v>
      </c>
      <c r="C78" s="3">
        <v>2</v>
      </c>
      <c r="D78" s="3">
        <v>7</v>
      </c>
      <c r="E78" s="11" t="s">
        <v>140</v>
      </c>
      <c r="F78" s="3">
        <v>27</v>
      </c>
      <c r="G78" s="3">
        <f t="shared" si="13"/>
        <v>3</v>
      </c>
      <c r="H78" s="3">
        <f t="shared" si="7"/>
        <v>50.45</v>
      </c>
      <c r="I78" s="3">
        <f t="shared" si="8"/>
        <v>93.345073349199026</v>
      </c>
      <c r="J78" s="3">
        <f t="shared" si="9"/>
        <v>52.691964941569282</v>
      </c>
      <c r="K78" s="3">
        <f t="shared" si="10"/>
        <v>16.128547579298832</v>
      </c>
      <c r="L78" s="12" t="str">
        <f t="shared" si="11"/>
        <v/>
      </c>
      <c r="M78" s="12" t="str">
        <f t="shared" si="12"/>
        <v/>
      </c>
    </row>
    <row r="79" spans="1:13" ht="31.5">
      <c r="A79" s="3">
        <v>70</v>
      </c>
      <c r="B79" s="11" t="s">
        <v>71</v>
      </c>
      <c r="C79" s="3">
        <v>2</v>
      </c>
      <c r="D79" s="3">
        <v>6</v>
      </c>
      <c r="E79" s="11" t="s">
        <v>141</v>
      </c>
      <c r="F79" s="3">
        <v>65</v>
      </c>
      <c r="G79" s="3">
        <f t="shared" si="13"/>
        <v>38</v>
      </c>
      <c r="H79" s="3">
        <f t="shared" si="7"/>
        <v>50.45</v>
      </c>
      <c r="I79" s="3">
        <f t="shared" si="8"/>
        <v>93.345073349199026</v>
      </c>
      <c r="J79" s="3">
        <f t="shared" si="9"/>
        <v>52.691964941569282</v>
      </c>
      <c r="K79" s="3">
        <f t="shared" si="10"/>
        <v>16.128547579298832</v>
      </c>
      <c r="L79" s="12" t="str">
        <f t="shared" si="11"/>
        <v/>
      </c>
      <c r="M79" s="12" t="str">
        <f t="shared" si="12"/>
        <v/>
      </c>
    </row>
    <row r="80" spans="1:13" ht="31.5">
      <c r="A80" s="3">
        <v>71</v>
      </c>
      <c r="B80" s="11" t="s">
        <v>71</v>
      </c>
      <c r="C80" s="3">
        <v>2</v>
      </c>
      <c r="D80" s="3">
        <v>5</v>
      </c>
      <c r="E80" s="11" t="s">
        <v>142</v>
      </c>
      <c r="F80" s="3">
        <v>54</v>
      </c>
      <c r="G80" s="3">
        <f t="shared" si="13"/>
        <v>11</v>
      </c>
      <c r="H80" s="3">
        <f t="shared" si="7"/>
        <v>50.45</v>
      </c>
      <c r="I80" s="3">
        <f t="shared" si="8"/>
        <v>93.345073349199026</v>
      </c>
      <c r="J80" s="3">
        <f t="shared" si="9"/>
        <v>52.691964941569282</v>
      </c>
      <c r="K80" s="3">
        <f t="shared" si="10"/>
        <v>16.128547579298832</v>
      </c>
      <c r="L80" s="12" t="str">
        <f t="shared" si="11"/>
        <v/>
      </c>
      <c r="M80" s="12" t="str">
        <f t="shared" si="12"/>
        <v/>
      </c>
    </row>
    <row r="81" spans="1:13" ht="31.5">
      <c r="A81" s="3">
        <v>72</v>
      </c>
      <c r="B81" s="11" t="s">
        <v>71</v>
      </c>
      <c r="C81" s="3">
        <v>2</v>
      </c>
      <c r="D81" s="3">
        <v>4</v>
      </c>
      <c r="E81" s="11" t="s">
        <v>143</v>
      </c>
      <c r="F81" s="3">
        <v>49</v>
      </c>
      <c r="G81" s="3">
        <f t="shared" si="13"/>
        <v>5</v>
      </c>
      <c r="H81" s="3">
        <f t="shared" si="7"/>
        <v>50.45</v>
      </c>
      <c r="I81" s="3">
        <f t="shared" si="8"/>
        <v>93.345073349199026</v>
      </c>
      <c r="J81" s="3">
        <f t="shared" si="9"/>
        <v>52.691964941569282</v>
      </c>
      <c r="K81" s="3">
        <f t="shared" si="10"/>
        <v>16.128547579298832</v>
      </c>
      <c r="L81" s="12" t="str">
        <f t="shared" si="11"/>
        <v/>
      </c>
      <c r="M81" s="12" t="str">
        <f t="shared" si="12"/>
        <v/>
      </c>
    </row>
    <row r="82" spans="1:13" ht="31.5">
      <c r="A82" s="3">
        <v>73</v>
      </c>
      <c r="B82" s="11" t="s">
        <v>71</v>
      </c>
      <c r="C82" s="3">
        <v>2</v>
      </c>
      <c r="D82" s="3">
        <v>3</v>
      </c>
      <c r="E82" s="11" t="s">
        <v>144</v>
      </c>
      <c r="F82" s="3">
        <v>44</v>
      </c>
      <c r="G82" s="3">
        <f t="shared" si="13"/>
        <v>5</v>
      </c>
      <c r="H82" s="3">
        <f t="shared" si="7"/>
        <v>50.45</v>
      </c>
      <c r="I82" s="3">
        <f t="shared" si="8"/>
        <v>93.345073349199026</v>
      </c>
      <c r="J82" s="3">
        <f t="shared" si="9"/>
        <v>52.691964941569282</v>
      </c>
      <c r="K82" s="3">
        <f t="shared" si="10"/>
        <v>16.128547579298832</v>
      </c>
      <c r="L82" s="12" t="str">
        <f t="shared" si="11"/>
        <v/>
      </c>
      <c r="M82" s="12" t="str">
        <f t="shared" si="12"/>
        <v/>
      </c>
    </row>
    <row r="83" spans="1:13" ht="31.5">
      <c r="A83" s="3">
        <v>74</v>
      </c>
      <c r="B83" s="11" t="s">
        <v>71</v>
      </c>
      <c r="C83" s="3">
        <v>2</v>
      </c>
      <c r="D83" s="3">
        <v>2</v>
      </c>
      <c r="E83" s="11" t="s">
        <v>145</v>
      </c>
      <c r="F83" s="3">
        <v>32</v>
      </c>
      <c r="G83" s="3">
        <f t="shared" si="13"/>
        <v>12</v>
      </c>
      <c r="H83" s="3">
        <f t="shared" si="7"/>
        <v>50.45</v>
      </c>
      <c r="I83" s="3">
        <f t="shared" si="8"/>
        <v>93.345073349199026</v>
      </c>
      <c r="J83" s="3">
        <f t="shared" si="9"/>
        <v>52.691964941569282</v>
      </c>
      <c r="K83" s="3">
        <f t="shared" si="10"/>
        <v>16.128547579298832</v>
      </c>
      <c r="L83" s="12" t="str">
        <f t="shared" si="11"/>
        <v/>
      </c>
      <c r="M83" s="12" t="str">
        <f t="shared" si="12"/>
        <v/>
      </c>
    </row>
    <row r="84" spans="1:13" ht="31.5">
      <c r="A84" s="3">
        <v>75</v>
      </c>
      <c r="B84" s="11" t="s">
        <v>71</v>
      </c>
      <c r="C84" s="3">
        <v>2</v>
      </c>
      <c r="D84" s="3">
        <v>1</v>
      </c>
      <c r="E84" s="11" t="s">
        <v>146</v>
      </c>
      <c r="F84" s="3">
        <v>35</v>
      </c>
      <c r="G84" s="3">
        <f t="shared" si="13"/>
        <v>3</v>
      </c>
      <c r="H84" s="3">
        <f t="shared" si="7"/>
        <v>50.45</v>
      </c>
      <c r="I84" s="3">
        <f t="shared" si="8"/>
        <v>93.345073349199026</v>
      </c>
      <c r="J84" s="3">
        <f t="shared" si="9"/>
        <v>52.691964941569282</v>
      </c>
      <c r="K84" s="3">
        <f t="shared" si="10"/>
        <v>16.128547579298832</v>
      </c>
      <c r="L84" s="12" t="str">
        <f t="shared" si="11"/>
        <v/>
      </c>
      <c r="M84" s="12" t="str">
        <f t="shared" si="12"/>
        <v/>
      </c>
    </row>
    <row r="85" spans="1:13" ht="31.5">
      <c r="A85" s="3">
        <v>76</v>
      </c>
      <c r="B85" s="11" t="s">
        <v>71</v>
      </c>
      <c r="C85" s="3">
        <v>2</v>
      </c>
      <c r="D85" s="3">
        <v>25</v>
      </c>
      <c r="E85" s="11" t="s">
        <v>147</v>
      </c>
      <c r="F85" s="3">
        <v>35</v>
      </c>
      <c r="G85" s="3">
        <f t="shared" si="13"/>
        <v>0</v>
      </c>
      <c r="H85" s="3">
        <f t="shared" si="7"/>
        <v>50.45</v>
      </c>
      <c r="I85" s="3">
        <f t="shared" si="8"/>
        <v>93.345073349199026</v>
      </c>
      <c r="J85" s="3">
        <f t="shared" si="9"/>
        <v>52.691964941569282</v>
      </c>
      <c r="K85" s="3">
        <f t="shared" si="10"/>
        <v>16.128547579298832</v>
      </c>
      <c r="L85" s="12" t="str">
        <f t="shared" si="11"/>
        <v/>
      </c>
      <c r="M85" s="12" t="str">
        <f t="shared" si="12"/>
        <v/>
      </c>
    </row>
    <row r="86" spans="1:13" ht="31.5">
      <c r="A86" s="3">
        <v>77</v>
      </c>
      <c r="B86" s="11" t="s">
        <v>71</v>
      </c>
      <c r="C86" s="3">
        <v>2</v>
      </c>
      <c r="D86" s="3">
        <v>24</v>
      </c>
      <c r="E86" s="11" t="s">
        <v>148</v>
      </c>
      <c r="F86" s="3">
        <v>25</v>
      </c>
      <c r="G86" s="3">
        <f t="shared" si="13"/>
        <v>10</v>
      </c>
      <c r="H86" s="3">
        <f t="shared" si="7"/>
        <v>50.45</v>
      </c>
      <c r="I86" s="3">
        <f t="shared" si="8"/>
        <v>93.345073349199026</v>
      </c>
      <c r="J86" s="3">
        <f t="shared" si="9"/>
        <v>52.691964941569282</v>
      </c>
      <c r="K86" s="3">
        <f t="shared" si="10"/>
        <v>16.128547579298832</v>
      </c>
      <c r="L86" s="12" t="str">
        <f t="shared" si="11"/>
        <v/>
      </c>
      <c r="M86" s="12" t="str">
        <f t="shared" si="12"/>
        <v/>
      </c>
    </row>
    <row r="87" spans="1:13" ht="31.5">
      <c r="A87" s="3">
        <v>78</v>
      </c>
      <c r="B87" s="11" t="s">
        <v>71</v>
      </c>
      <c r="C87" s="3">
        <v>2</v>
      </c>
      <c r="D87" s="3">
        <v>23</v>
      </c>
      <c r="E87" s="11" t="s">
        <v>149</v>
      </c>
      <c r="F87" s="3">
        <v>21</v>
      </c>
      <c r="G87" s="3">
        <f t="shared" si="13"/>
        <v>4</v>
      </c>
      <c r="H87" s="3">
        <f t="shared" si="7"/>
        <v>50.45</v>
      </c>
      <c r="I87" s="3">
        <f t="shared" si="8"/>
        <v>93.345073349199026</v>
      </c>
      <c r="J87" s="3">
        <f t="shared" si="9"/>
        <v>52.691964941569282</v>
      </c>
      <c r="K87" s="3">
        <f t="shared" si="10"/>
        <v>16.128547579298832</v>
      </c>
      <c r="L87" s="12" t="str">
        <f t="shared" si="11"/>
        <v/>
      </c>
      <c r="M87" s="12" t="str">
        <f t="shared" si="12"/>
        <v/>
      </c>
    </row>
    <row r="88" spans="1:13" ht="31.5">
      <c r="A88" s="3">
        <v>79</v>
      </c>
      <c r="B88" s="11" t="s">
        <v>71</v>
      </c>
      <c r="C88" s="3">
        <v>2</v>
      </c>
      <c r="D88" s="3">
        <v>22</v>
      </c>
      <c r="E88" s="11" t="s">
        <v>150</v>
      </c>
      <c r="F88" s="3">
        <v>32</v>
      </c>
      <c r="G88" s="3">
        <f t="shared" si="13"/>
        <v>11</v>
      </c>
      <c r="H88" s="3">
        <f t="shared" si="7"/>
        <v>50.45</v>
      </c>
      <c r="I88" s="3">
        <f t="shared" si="8"/>
        <v>93.345073349199026</v>
      </c>
      <c r="J88" s="3">
        <f t="shared" si="9"/>
        <v>52.691964941569282</v>
      </c>
      <c r="K88" s="3">
        <f t="shared" si="10"/>
        <v>16.128547579298832</v>
      </c>
      <c r="L88" s="12" t="str">
        <f t="shared" si="11"/>
        <v/>
      </c>
      <c r="M88" s="12" t="str">
        <f t="shared" si="12"/>
        <v/>
      </c>
    </row>
    <row r="89" spans="1:13" ht="31.5">
      <c r="A89" s="3">
        <v>80</v>
      </c>
      <c r="B89" s="11" t="s">
        <v>71</v>
      </c>
      <c r="C89" s="3">
        <v>2</v>
      </c>
      <c r="D89" s="3">
        <v>21</v>
      </c>
      <c r="E89" s="11" t="s">
        <v>151</v>
      </c>
      <c r="F89" s="3">
        <v>18</v>
      </c>
      <c r="G89" s="3">
        <f t="shared" si="13"/>
        <v>14</v>
      </c>
      <c r="H89" s="3">
        <f t="shared" si="7"/>
        <v>50.45</v>
      </c>
      <c r="I89" s="3">
        <f t="shared" si="8"/>
        <v>93.345073349199026</v>
      </c>
      <c r="J89" s="3">
        <f t="shared" si="9"/>
        <v>52.691964941569282</v>
      </c>
      <c r="K89" s="3">
        <f t="shared" si="10"/>
        <v>16.128547579298832</v>
      </c>
      <c r="L89" s="12" t="str">
        <f t="shared" si="11"/>
        <v/>
      </c>
      <c r="M89" s="12" t="str">
        <f t="shared" si="12"/>
        <v/>
      </c>
    </row>
    <row r="90" spans="1:13" ht="31.5">
      <c r="A90" s="3">
        <v>81</v>
      </c>
      <c r="B90" s="11" t="s">
        <v>71</v>
      </c>
      <c r="C90" s="3">
        <v>2</v>
      </c>
      <c r="D90" s="3">
        <v>20</v>
      </c>
      <c r="E90" s="11" t="s">
        <v>152</v>
      </c>
      <c r="F90" s="3">
        <v>27</v>
      </c>
      <c r="G90" s="3">
        <f t="shared" si="13"/>
        <v>9</v>
      </c>
      <c r="H90" s="3">
        <f t="shared" si="7"/>
        <v>50.45</v>
      </c>
      <c r="I90" s="3">
        <f t="shared" si="8"/>
        <v>93.345073349199026</v>
      </c>
      <c r="J90" s="3">
        <f t="shared" si="9"/>
        <v>52.691964941569282</v>
      </c>
      <c r="K90" s="3">
        <f t="shared" si="10"/>
        <v>16.128547579298832</v>
      </c>
      <c r="L90" s="12" t="str">
        <f t="shared" si="11"/>
        <v/>
      </c>
      <c r="M90" s="12" t="str">
        <f t="shared" si="12"/>
        <v/>
      </c>
    </row>
    <row r="91" spans="1:13" ht="31.5">
      <c r="A91" s="3">
        <v>82</v>
      </c>
      <c r="B91" s="11" t="s">
        <v>71</v>
      </c>
      <c r="C91" s="3">
        <v>2</v>
      </c>
      <c r="D91" s="3">
        <v>19</v>
      </c>
      <c r="E91" s="11" t="s">
        <v>153</v>
      </c>
      <c r="F91" s="3">
        <v>50</v>
      </c>
      <c r="G91" s="3">
        <f t="shared" si="13"/>
        <v>23</v>
      </c>
      <c r="H91" s="3">
        <f t="shared" si="7"/>
        <v>50.45</v>
      </c>
      <c r="I91" s="3">
        <f t="shared" si="8"/>
        <v>93.345073349199026</v>
      </c>
      <c r="J91" s="3">
        <f t="shared" si="9"/>
        <v>52.691964941569282</v>
      </c>
      <c r="K91" s="3">
        <f t="shared" si="10"/>
        <v>16.128547579298832</v>
      </c>
      <c r="L91" s="12" t="str">
        <f t="shared" si="11"/>
        <v/>
      </c>
      <c r="M91" s="12" t="str">
        <f t="shared" si="12"/>
        <v/>
      </c>
    </row>
    <row r="92" spans="1:13" ht="31.5">
      <c r="A92" s="3">
        <v>83</v>
      </c>
      <c r="B92" s="11" t="s">
        <v>71</v>
      </c>
      <c r="C92" s="3">
        <v>2</v>
      </c>
      <c r="D92" s="3">
        <v>18</v>
      </c>
      <c r="E92" s="11" t="s">
        <v>154</v>
      </c>
      <c r="F92" s="3">
        <v>28</v>
      </c>
      <c r="G92" s="3">
        <f t="shared" si="13"/>
        <v>22</v>
      </c>
      <c r="H92" s="3">
        <f t="shared" si="7"/>
        <v>50.45</v>
      </c>
      <c r="I92" s="3">
        <f t="shared" si="8"/>
        <v>93.345073349199026</v>
      </c>
      <c r="J92" s="3">
        <f t="shared" si="9"/>
        <v>52.691964941569282</v>
      </c>
      <c r="K92" s="3">
        <f t="shared" si="10"/>
        <v>16.128547579298832</v>
      </c>
      <c r="L92" s="12" t="str">
        <f t="shared" si="11"/>
        <v/>
      </c>
      <c r="M92" s="12" t="str">
        <f t="shared" si="12"/>
        <v/>
      </c>
    </row>
    <row r="93" spans="1:13" ht="31.5">
      <c r="A93" s="3">
        <v>84</v>
      </c>
      <c r="B93" s="11" t="s">
        <v>71</v>
      </c>
      <c r="C93" s="3">
        <v>2</v>
      </c>
      <c r="D93" s="3">
        <v>17</v>
      </c>
      <c r="E93" s="11" t="s">
        <v>155</v>
      </c>
      <c r="F93" s="3">
        <v>24</v>
      </c>
      <c r="G93" s="3">
        <f t="shared" si="13"/>
        <v>4</v>
      </c>
      <c r="H93" s="3">
        <f t="shared" si="7"/>
        <v>50.45</v>
      </c>
      <c r="I93" s="3">
        <f t="shared" si="8"/>
        <v>93.345073349199026</v>
      </c>
      <c r="J93" s="3">
        <f t="shared" si="9"/>
        <v>52.691964941569282</v>
      </c>
      <c r="K93" s="3">
        <f t="shared" si="10"/>
        <v>16.128547579298832</v>
      </c>
      <c r="L93" s="12" t="str">
        <f t="shared" si="11"/>
        <v/>
      </c>
      <c r="M93" s="12" t="str">
        <f t="shared" si="12"/>
        <v/>
      </c>
    </row>
    <row r="94" spans="1:13" ht="31.5">
      <c r="A94" s="3">
        <v>85</v>
      </c>
      <c r="B94" s="11" t="s">
        <v>71</v>
      </c>
      <c r="C94" s="3">
        <v>2</v>
      </c>
      <c r="D94" s="3">
        <v>16</v>
      </c>
      <c r="E94" s="11" t="s">
        <v>156</v>
      </c>
      <c r="F94" s="3">
        <v>61</v>
      </c>
      <c r="G94" s="3">
        <f t="shared" si="13"/>
        <v>37</v>
      </c>
      <c r="H94" s="3">
        <f t="shared" si="7"/>
        <v>50.45</v>
      </c>
      <c r="I94" s="3">
        <f t="shared" si="8"/>
        <v>93.345073349199026</v>
      </c>
      <c r="J94" s="3">
        <f t="shared" si="9"/>
        <v>52.691964941569282</v>
      </c>
      <c r="K94" s="3">
        <f t="shared" si="10"/>
        <v>16.128547579298832</v>
      </c>
      <c r="L94" s="12" t="str">
        <f t="shared" si="11"/>
        <v/>
      </c>
      <c r="M94" s="12" t="str">
        <f t="shared" si="12"/>
        <v/>
      </c>
    </row>
    <row r="95" spans="1:13" ht="31.5">
      <c r="A95" s="3">
        <v>86</v>
      </c>
      <c r="B95" s="11" t="s">
        <v>71</v>
      </c>
      <c r="C95" s="3">
        <v>2</v>
      </c>
      <c r="D95" s="3">
        <v>15</v>
      </c>
      <c r="E95" s="11" t="s">
        <v>157</v>
      </c>
      <c r="F95" s="3">
        <v>50</v>
      </c>
      <c r="G95" s="3">
        <f t="shared" si="13"/>
        <v>11</v>
      </c>
      <c r="H95" s="3">
        <f t="shared" si="7"/>
        <v>50.45</v>
      </c>
      <c r="I95" s="3">
        <f t="shared" si="8"/>
        <v>93.345073349199026</v>
      </c>
      <c r="J95" s="3">
        <f t="shared" si="9"/>
        <v>52.691964941569282</v>
      </c>
      <c r="K95" s="3">
        <f t="shared" si="10"/>
        <v>16.128547579298832</v>
      </c>
      <c r="L95" s="12" t="str">
        <f t="shared" si="11"/>
        <v/>
      </c>
      <c r="M95" s="12" t="str">
        <f t="shared" si="12"/>
        <v/>
      </c>
    </row>
    <row r="96" spans="1:13" ht="31.5">
      <c r="A96" s="3">
        <v>87</v>
      </c>
      <c r="B96" s="11" t="s">
        <v>71</v>
      </c>
      <c r="C96" s="3">
        <v>2</v>
      </c>
      <c r="D96" s="3">
        <v>14</v>
      </c>
      <c r="E96" s="11" t="s">
        <v>158</v>
      </c>
      <c r="F96" s="3">
        <v>38</v>
      </c>
      <c r="G96" s="3">
        <f t="shared" si="13"/>
        <v>12</v>
      </c>
      <c r="H96" s="3">
        <f t="shared" si="7"/>
        <v>50.45</v>
      </c>
      <c r="I96" s="3">
        <f t="shared" si="8"/>
        <v>93.345073349199026</v>
      </c>
      <c r="J96" s="3">
        <f t="shared" si="9"/>
        <v>52.691964941569282</v>
      </c>
      <c r="K96" s="3">
        <f t="shared" si="10"/>
        <v>16.128547579298832</v>
      </c>
      <c r="L96" s="12" t="str">
        <f t="shared" si="11"/>
        <v/>
      </c>
      <c r="M96" s="12" t="str">
        <f t="shared" si="12"/>
        <v/>
      </c>
    </row>
    <row r="97" spans="1:13" ht="31.5">
      <c r="A97" s="3">
        <v>88</v>
      </c>
      <c r="B97" s="11" t="s">
        <v>71</v>
      </c>
      <c r="C97" s="3">
        <v>2</v>
      </c>
      <c r="D97" s="3">
        <v>13</v>
      </c>
      <c r="E97" s="11" t="s">
        <v>159</v>
      </c>
      <c r="F97" s="3">
        <v>42</v>
      </c>
      <c r="G97" s="3">
        <f t="shared" si="13"/>
        <v>4</v>
      </c>
      <c r="H97" s="3">
        <f t="shared" si="7"/>
        <v>50.45</v>
      </c>
      <c r="I97" s="3">
        <f t="shared" si="8"/>
        <v>93.345073349199026</v>
      </c>
      <c r="J97" s="3">
        <f t="shared" si="9"/>
        <v>52.691964941569282</v>
      </c>
      <c r="K97" s="3">
        <f t="shared" si="10"/>
        <v>16.128547579298832</v>
      </c>
      <c r="L97" s="12" t="str">
        <f t="shared" si="11"/>
        <v/>
      </c>
      <c r="M97" s="12" t="str">
        <f t="shared" si="12"/>
        <v/>
      </c>
    </row>
    <row r="98" spans="1:13" ht="31.5">
      <c r="A98" s="3">
        <v>89</v>
      </c>
      <c r="B98" s="11" t="s">
        <v>71</v>
      </c>
      <c r="C98" s="3">
        <v>2</v>
      </c>
      <c r="D98" s="3">
        <v>12</v>
      </c>
      <c r="E98" s="11" t="s">
        <v>160</v>
      </c>
      <c r="F98" s="3">
        <v>28</v>
      </c>
      <c r="G98" s="3">
        <f t="shared" si="13"/>
        <v>14</v>
      </c>
      <c r="H98" s="3">
        <f t="shared" si="7"/>
        <v>50.45</v>
      </c>
      <c r="I98" s="3">
        <f t="shared" si="8"/>
        <v>93.345073349199026</v>
      </c>
      <c r="J98" s="3">
        <f t="shared" si="9"/>
        <v>52.691964941569282</v>
      </c>
      <c r="K98" s="3">
        <f t="shared" si="10"/>
        <v>16.128547579298832</v>
      </c>
      <c r="L98" s="12" t="str">
        <f t="shared" si="11"/>
        <v/>
      </c>
      <c r="M98" s="12" t="str">
        <f t="shared" si="12"/>
        <v/>
      </c>
    </row>
    <row r="99" spans="1:13" ht="31.5">
      <c r="A99" s="3">
        <v>90</v>
      </c>
      <c r="B99" s="11" t="s">
        <v>71</v>
      </c>
      <c r="C99" s="3">
        <v>2</v>
      </c>
      <c r="D99" s="3">
        <v>11</v>
      </c>
      <c r="E99" s="11" t="s">
        <v>161</v>
      </c>
      <c r="F99" s="3">
        <v>18</v>
      </c>
      <c r="G99" s="3">
        <f t="shared" si="13"/>
        <v>10</v>
      </c>
      <c r="H99" s="3">
        <f t="shared" si="7"/>
        <v>50.45</v>
      </c>
      <c r="I99" s="3">
        <f t="shared" si="8"/>
        <v>93.345073349199026</v>
      </c>
      <c r="J99" s="3">
        <f t="shared" si="9"/>
        <v>52.691964941569282</v>
      </c>
      <c r="K99" s="3">
        <f t="shared" si="10"/>
        <v>16.128547579298832</v>
      </c>
      <c r="L99" s="12" t="str">
        <f t="shared" si="11"/>
        <v/>
      </c>
      <c r="M99" s="12" t="str">
        <f t="shared" si="12"/>
        <v/>
      </c>
    </row>
    <row r="100" spans="1:13" ht="31.5">
      <c r="A100" s="3">
        <v>91</v>
      </c>
      <c r="B100" s="11" t="s">
        <v>71</v>
      </c>
      <c r="C100" s="3">
        <v>2</v>
      </c>
      <c r="D100" s="3">
        <v>10</v>
      </c>
      <c r="E100" s="11" t="s">
        <v>162</v>
      </c>
      <c r="F100" s="3">
        <v>25</v>
      </c>
      <c r="G100" s="3">
        <f t="shared" si="13"/>
        <v>7</v>
      </c>
      <c r="H100" s="3">
        <f t="shared" si="7"/>
        <v>50.45</v>
      </c>
      <c r="I100" s="3">
        <f t="shared" si="8"/>
        <v>93.345073349199026</v>
      </c>
      <c r="J100" s="3">
        <f t="shared" si="9"/>
        <v>52.691964941569282</v>
      </c>
      <c r="K100" s="3">
        <f t="shared" si="10"/>
        <v>16.128547579298832</v>
      </c>
      <c r="L100" s="12" t="str">
        <f t="shared" si="11"/>
        <v/>
      </c>
      <c r="M100" s="12" t="str">
        <f t="shared" si="12"/>
        <v/>
      </c>
    </row>
    <row r="101" spans="1:13" ht="31.5">
      <c r="A101" s="3">
        <v>92</v>
      </c>
      <c r="B101" s="11" t="s">
        <v>71</v>
      </c>
      <c r="C101" s="3">
        <v>2</v>
      </c>
      <c r="D101" s="3">
        <v>9</v>
      </c>
      <c r="E101" s="11" t="s">
        <v>163</v>
      </c>
      <c r="F101" s="3">
        <v>20</v>
      </c>
      <c r="G101" s="3">
        <f t="shared" si="13"/>
        <v>5</v>
      </c>
      <c r="H101" s="3">
        <f t="shared" si="7"/>
        <v>50.45</v>
      </c>
      <c r="I101" s="3">
        <f t="shared" si="8"/>
        <v>93.345073349199026</v>
      </c>
      <c r="J101" s="3">
        <f t="shared" si="9"/>
        <v>52.691964941569282</v>
      </c>
      <c r="K101" s="3">
        <f t="shared" si="10"/>
        <v>16.128547579298832</v>
      </c>
      <c r="L101" s="12" t="str">
        <f t="shared" si="11"/>
        <v/>
      </c>
      <c r="M101" s="12" t="str">
        <f t="shared" si="12"/>
        <v/>
      </c>
    </row>
    <row r="102" spans="1:13" ht="31.5">
      <c r="A102" s="3">
        <v>93</v>
      </c>
      <c r="B102" s="11" t="s">
        <v>71</v>
      </c>
      <c r="C102" s="3">
        <v>2</v>
      </c>
      <c r="D102" s="3">
        <v>8</v>
      </c>
      <c r="E102" s="11" t="s">
        <v>164</v>
      </c>
      <c r="F102" s="3">
        <v>22</v>
      </c>
      <c r="G102" s="3">
        <f t="shared" si="13"/>
        <v>2</v>
      </c>
      <c r="H102" s="3">
        <f t="shared" si="7"/>
        <v>50.45</v>
      </c>
      <c r="I102" s="3">
        <f t="shared" si="8"/>
        <v>93.345073349199026</v>
      </c>
      <c r="J102" s="3">
        <f t="shared" si="9"/>
        <v>52.691964941569282</v>
      </c>
      <c r="K102" s="3">
        <f t="shared" si="10"/>
        <v>16.128547579298832</v>
      </c>
      <c r="L102" s="12" t="str">
        <f t="shared" si="11"/>
        <v/>
      </c>
      <c r="M102" s="12" t="str">
        <f t="shared" si="12"/>
        <v/>
      </c>
    </row>
    <row r="103" spans="1:13" ht="31.5">
      <c r="A103" s="3">
        <v>94</v>
      </c>
      <c r="B103" s="11" t="s">
        <v>71</v>
      </c>
      <c r="C103" s="3">
        <v>2</v>
      </c>
      <c r="D103" s="3">
        <v>7</v>
      </c>
      <c r="E103" s="11" t="s">
        <v>165</v>
      </c>
      <c r="F103" s="3">
        <v>15</v>
      </c>
      <c r="G103" s="3">
        <f t="shared" si="13"/>
        <v>7</v>
      </c>
      <c r="H103" s="3">
        <f t="shared" si="7"/>
        <v>50.45</v>
      </c>
      <c r="I103" s="3">
        <f t="shared" si="8"/>
        <v>93.345073349199026</v>
      </c>
      <c r="J103" s="3">
        <f t="shared" si="9"/>
        <v>52.691964941569282</v>
      </c>
      <c r="K103" s="3">
        <f t="shared" si="10"/>
        <v>16.128547579298832</v>
      </c>
      <c r="L103" s="12" t="str">
        <f t="shared" si="11"/>
        <v/>
      </c>
      <c r="M103" s="12" t="str">
        <f t="shared" si="12"/>
        <v/>
      </c>
    </row>
    <row r="104" spans="1:13" ht="31.5">
      <c r="A104" s="3">
        <v>95</v>
      </c>
      <c r="B104" s="11" t="s">
        <v>71</v>
      </c>
      <c r="C104" s="3">
        <v>2</v>
      </c>
      <c r="D104" s="3">
        <v>6</v>
      </c>
      <c r="E104" s="11" t="s">
        <v>166</v>
      </c>
      <c r="F104" s="3">
        <v>21</v>
      </c>
      <c r="G104" s="3">
        <f t="shared" si="13"/>
        <v>6</v>
      </c>
      <c r="H104" s="3">
        <f t="shared" si="7"/>
        <v>50.45</v>
      </c>
      <c r="I104" s="3">
        <f t="shared" si="8"/>
        <v>93.345073349199026</v>
      </c>
      <c r="J104" s="3">
        <f t="shared" si="9"/>
        <v>52.691964941569282</v>
      </c>
      <c r="K104" s="3">
        <f t="shared" si="10"/>
        <v>16.128547579298832</v>
      </c>
      <c r="L104" s="12" t="str">
        <f t="shared" si="11"/>
        <v/>
      </c>
      <c r="M104" s="12" t="str">
        <f t="shared" si="12"/>
        <v/>
      </c>
    </row>
    <row r="105" spans="1:13" ht="31.5">
      <c r="A105" s="3">
        <v>96</v>
      </c>
      <c r="B105" s="11" t="s">
        <v>71</v>
      </c>
      <c r="C105" s="3">
        <v>2</v>
      </c>
      <c r="D105" s="3">
        <v>5</v>
      </c>
      <c r="E105" s="11" t="s">
        <v>167</v>
      </c>
      <c r="F105" s="3">
        <v>24</v>
      </c>
      <c r="G105" s="3">
        <f t="shared" si="13"/>
        <v>3</v>
      </c>
      <c r="H105" s="3">
        <f t="shared" si="7"/>
        <v>50.45</v>
      </c>
      <c r="I105" s="3">
        <f t="shared" si="8"/>
        <v>93.345073349199026</v>
      </c>
      <c r="J105" s="3">
        <f t="shared" si="9"/>
        <v>52.691964941569282</v>
      </c>
      <c r="K105" s="3">
        <f t="shared" si="10"/>
        <v>16.128547579298832</v>
      </c>
      <c r="L105" s="12" t="str">
        <f t="shared" si="11"/>
        <v/>
      </c>
      <c r="M105" s="12" t="str">
        <f t="shared" si="12"/>
        <v/>
      </c>
    </row>
    <row r="106" spans="1:13" ht="31.5">
      <c r="A106" s="3">
        <v>97</v>
      </c>
      <c r="B106" s="11" t="s">
        <v>71</v>
      </c>
      <c r="C106" s="3">
        <v>2</v>
      </c>
      <c r="D106" s="3">
        <v>4</v>
      </c>
      <c r="E106" s="11" t="s">
        <v>168</v>
      </c>
      <c r="F106" s="3">
        <v>30</v>
      </c>
      <c r="G106" s="3">
        <f t="shared" si="13"/>
        <v>6</v>
      </c>
      <c r="H106" s="3">
        <f t="shared" si="7"/>
        <v>50.45</v>
      </c>
      <c r="I106" s="3">
        <f t="shared" si="8"/>
        <v>93.345073349199026</v>
      </c>
      <c r="J106" s="3">
        <f t="shared" si="9"/>
        <v>52.691964941569282</v>
      </c>
      <c r="K106" s="3">
        <f t="shared" si="10"/>
        <v>16.128547579298832</v>
      </c>
      <c r="L106" s="12" t="str">
        <f t="shared" si="11"/>
        <v/>
      </c>
      <c r="M106" s="12" t="str">
        <f t="shared" si="12"/>
        <v/>
      </c>
    </row>
    <row r="107" spans="1:13" ht="31.5">
      <c r="A107" s="3">
        <v>98</v>
      </c>
      <c r="B107" s="11" t="s">
        <v>71</v>
      </c>
      <c r="C107" s="3">
        <v>2</v>
      </c>
      <c r="D107" s="3">
        <v>3</v>
      </c>
      <c r="E107" s="11" t="s">
        <v>169</v>
      </c>
      <c r="F107" s="3">
        <v>35</v>
      </c>
      <c r="G107" s="3">
        <f t="shared" si="13"/>
        <v>5</v>
      </c>
      <c r="H107" s="3">
        <f t="shared" si="7"/>
        <v>50.45</v>
      </c>
      <c r="I107" s="3">
        <f t="shared" si="8"/>
        <v>93.345073349199026</v>
      </c>
      <c r="J107" s="3">
        <f t="shared" si="9"/>
        <v>52.691964941569282</v>
      </c>
      <c r="K107" s="3">
        <f t="shared" si="10"/>
        <v>16.128547579298832</v>
      </c>
      <c r="L107" s="12" t="str">
        <f t="shared" si="11"/>
        <v/>
      </c>
      <c r="M107" s="12" t="str">
        <f t="shared" si="12"/>
        <v/>
      </c>
    </row>
    <row r="108" spans="1:13" ht="31.5">
      <c r="A108" s="3">
        <v>99</v>
      </c>
      <c r="B108" s="11" t="s">
        <v>71</v>
      </c>
      <c r="C108" s="3">
        <v>2</v>
      </c>
      <c r="D108" s="3">
        <v>2</v>
      </c>
      <c r="E108" s="11" t="s">
        <v>170</v>
      </c>
      <c r="F108" s="3">
        <v>24</v>
      </c>
      <c r="G108" s="3">
        <f t="shared" si="13"/>
        <v>11</v>
      </c>
      <c r="H108" s="3">
        <f t="shared" si="7"/>
        <v>50.45</v>
      </c>
      <c r="I108" s="3">
        <f t="shared" si="8"/>
        <v>93.345073349199026</v>
      </c>
      <c r="J108" s="3">
        <f t="shared" si="9"/>
        <v>52.691964941569282</v>
      </c>
      <c r="K108" s="3">
        <f t="shared" si="10"/>
        <v>16.128547579298832</v>
      </c>
      <c r="L108" s="12" t="str">
        <f t="shared" si="11"/>
        <v/>
      </c>
      <c r="M108" s="12" t="str">
        <f t="shared" si="12"/>
        <v/>
      </c>
    </row>
    <row r="109" spans="1:13" ht="31.5">
      <c r="A109" s="3">
        <v>100</v>
      </c>
      <c r="B109" s="11" t="s">
        <v>71</v>
      </c>
      <c r="C109" s="3">
        <v>2</v>
      </c>
      <c r="D109" s="3">
        <v>1</v>
      </c>
      <c r="E109" s="11" t="s">
        <v>171</v>
      </c>
      <c r="F109" s="3">
        <v>36</v>
      </c>
      <c r="G109" s="3">
        <f t="shared" si="13"/>
        <v>12</v>
      </c>
      <c r="H109" s="3">
        <f t="shared" si="7"/>
        <v>50.45</v>
      </c>
      <c r="I109" s="3">
        <f t="shared" si="8"/>
        <v>93.345073349199026</v>
      </c>
      <c r="J109" s="3">
        <f t="shared" si="9"/>
        <v>52.691964941569282</v>
      </c>
      <c r="K109" s="3">
        <f t="shared" si="10"/>
        <v>16.128547579298832</v>
      </c>
      <c r="L109" s="12" t="str">
        <f t="shared" si="11"/>
        <v/>
      </c>
      <c r="M109" s="12" t="str">
        <f t="shared" si="12"/>
        <v/>
      </c>
    </row>
    <row r="110" spans="1:13" ht="31.5">
      <c r="A110" s="3">
        <v>101</v>
      </c>
      <c r="B110" s="11" t="s">
        <v>71</v>
      </c>
      <c r="C110" s="3">
        <v>3</v>
      </c>
      <c r="D110" s="3">
        <v>25</v>
      </c>
      <c r="E110" s="11" t="s">
        <v>172</v>
      </c>
      <c r="F110" s="3">
        <v>68</v>
      </c>
      <c r="G110" s="3">
        <f t="shared" si="13"/>
        <v>32</v>
      </c>
      <c r="H110" s="3">
        <f t="shared" si="7"/>
        <v>50.45</v>
      </c>
      <c r="I110" s="3">
        <f t="shared" si="8"/>
        <v>93.345073349199026</v>
      </c>
      <c r="J110" s="3">
        <f t="shared" si="9"/>
        <v>52.691964941569282</v>
      </c>
      <c r="K110" s="3">
        <f t="shared" si="10"/>
        <v>16.128547579298832</v>
      </c>
      <c r="L110" s="12" t="str">
        <f t="shared" si="11"/>
        <v/>
      </c>
      <c r="M110" s="12" t="str">
        <f t="shared" si="12"/>
        <v/>
      </c>
    </row>
    <row r="111" spans="1:13" ht="31.5">
      <c r="A111" s="3">
        <v>102</v>
      </c>
      <c r="B111" s="11" t="s">
        <v>71</v>
      </c>
      <c r="C111" s="3">
        <v>3</v>
      </c>
      <c r="D111" s="3">
        <v>24</v>
      </c>
      <c r="E111" s="11" t="s">
        <v>173</v>
      </c>
      <c r="F111" s="3">
        <v>40</v>
      </c>
      <c r="G111" s="3">
        <f t="shared" si="13"/>
        <v>28</v>
      </c>
      <c r="H111" s="3">
        <f t="shared" si="7"/>
        <v>50.45</v>
      </c>
      <c r="I111" s="3">
        <f t="shared" si="8"/>
        <v>93.345073349199026</v>
      </c>
      <c r="J111" s="3">
        <f t="shared" si="9"/>
        <v>52.691964941569282</v>
      </c>
      <c r="K111" s="3">
        <f t="shared" si="10"/>
        <v>16.128547579298832</v>
      </c>
      <c r="L111" s="12" t="str">
        <f t="shared" si="11"/>
        <v/>
      </c>
      <c r="M111" s="12" t="str">
        <f t="shared" si="12"/>
        <v/>
      </c>
    </row>
    <row r="112" spans="1:13" ht="31.5">
      <c r="A112" s="3">
        <v>103</v>
      </c>
      <c r="B112" s="11" t="s">
        <v>71</v>
      </c>
      <c r="C112" s="3">
        <v>3</v>
      </c>
      <c r="D112" s="3">
        <v>23</v>
      </c>
      <c r="E112" s="11" t="s">
        <v>174</v>
      </c>
      <c r="F112" s="3">
        <v>50</v>
      </c>
      <c r="G112" s="3">
        <f t="shared" si="13"/>
        <v>10</v>
      </c>
      <c r="H112" s="3">
        <f t="shared" si="7"/>
        <v>50.45</v>
      </c>
      <c r="I112" s="3">
        <f t="shared" si="8"/>
        <v>93.345073349199026</v>
      </c>
      <c r="J112" s="3">
        <f t="shared" si="9"/>
        <v>52.691964941569282</v>
      </c>
      <c r="K112" s="3">
        <f t="shared" si="10"/>
        <v>16.128547579298832</v>
      </c>
      <c r="L112" s="12" t="str">
        <f t="shared" si="11"/>
        <v/>
      </c>
      <c r="M112" s="12" t="str">
        <f t="shared" si="12"/>
        <v/>
      </c>
    </row>
    <row r="113" spans="1:13" ht="31.5">
      <c r="A113" s="3">
        <v>104</v>
      </c>
      <c r="B113" s="11" t="s">
        <v>71</v>
      </c>
      <c r="C113" s="3">
        <v>3</v>
      </c>
      <c r="D113" s="3">
        <v>22</v>
      </c>
      <c r="E113" s="11" t="s">
        <v>175</v>
      </c>
      <c r="F113" s="3">
        <v>62</v>
      </c>
      <c r="G113" s="3">
        <f t="shared" si="13"/>
        <v>12</v>
      </c>
      <c r="H113" s="3">
        <f t="shared" si="7"/>
        <v>50.45</v>
      </c>
      <c r="I113" s="3">
        <f t="shared" si="8"/>
        <v>93.345073349199026</v>
      </c>
      <c r="J113" s="3">
        <f t="shared" si="9"/>
        <v>52.691964941569282</v>
      </c>
      <c r="K113" s="3">
        <f t="shared" si="10"/>
        <v>16.128547579298832</v>
      </c>
      <c r="L113" s="12" t="str">
        <f t="shared" si="11"/>
        <v/>
      </c>
      <c r="M113" s="12" t="str">
        <f t="shared" si="12"/>
        <v/>
      </c>
    </row>
    <row r="114" spans="1:13" ht="31.5">
      <c r="A114" s="3">
        <v>105</v>
      </c>
      <c r="B114" s="11" t="s">
        <v>71</v>
      </c>
      <c r="C114" s="3">
        <v>3</v>
      </c>
      <c r="D114" s="3">
        <v>21</v>
      </c>
      <c r="E114" s="11" t="s">
        <v>176</v>
      </c>
      <c r="F114" s="3">
        <v>31</v>
      </c>
      <c r="G114" s="3">
        <f t="shared" si="13"/>
        <v>31</v>
      </c>
      <c r="H114" s="3">
        <f t="shared" si="7"/>
        <v>50.45</v>
      </c>
      <c r="I114" s="3">
        <f t="shared" si="8"/>
        <v>93.345073349199026</v>
      </c>
      <c r="J114" s="3">
        <f t="shared" si="9"/>
        <v>52.691964941569282</v>
      </c>
      <c r="K114" s="3">
        <f t="shared" si="10"/>
        <v>16.128547579298832</v>
      </c>
      <c r="L114" s="12" t="str">
        <f t="shared" si="11"/>
        <v/>
      </c>
      <c r="M114" s="12" t="str">
        <f t="shared" si="12"/>
        <v/>
      </c>
    </row>
    <row r="115" spans="1:13" ht="31.5">
      <c r="A115" s="3">
        <v>106</v>
      </c>
      <c r="B115" s="11" t="s">
        <v>71</v>
      </c>
      <c r="C115" s="3">
        <v>3</v>
      </c>
      <c r="D115" s="3">
        <v>20</v>
      </c>
      <c r="E115" s="11" t="s">
        <v>177</v>
      </c>
      <c r="F115" s="3">
        <v>49</v>
      </c>
      <c r="G115" s="3">
        <f t="shared" si="13"/>
        <v>18</v>
      </c>
      <c r="H115" s="3">
        <f t="shared" si="7"/>
        <v>50.45</v>
      </c>
      <c r="I115" s="3">
        <f t="shared" si="8"/>
        <v>93.345073349199026</v>
      </c>
      <c r="J115" s="3">
        <f t="shared" si="9"/>
        <v>52.691964941569282</v>
      </c>
      <c r="K115" s="3">
        <f t="shared" si="10"/>
        <v>16.128547579298832</v>
      </c>
      <c r="L115" s="12" t="str">
        <f t="shared" si="11"/>
        <v/>
      </c>
      <c r="M115" s="12" t="str">
        <f t="shared" si="12"/>
        <v/>
      </c>
    </row>
    <row r="116" spans="1:13" ht="31.5">
      <c r="A116" s="3">
        <v>107</v>
      </c>
      <c r="B116" s="11" t="s">
        <v>71</v>
      </c>
      <c r="C116" s="3">
        <v>3</v>
      </c>
      <c r="D116" s="3">
        <v>19</v>
      </c>
      <c r="E116" s="11" t="s">
        <v>178</v>
      </c>
      <c r="F116" s="3">
        <v>93</v>
      </c>
      <c r="G116" s="3">
        <f t="shared" si="13"/>
        <v>44</v>
      </c>
      <c r="H116" s="3">
        <f t="shared" si="7"/>
        <v>50.45</v>
      </c>
      <c r="I116" s="3">
        <f t="shared" si="8"/>
        <v>93.345073349199026</v>
      </c>
      <c r="J116" s="3">
        <f t="shared" si="9"/>
        <v>52.691964941569282</v>
      </c>
      <c r="K116" s="3">
        <f t="shared" si="10"/>
        <v>16.128547579298832</v>
      </c>
      <c r="L116" s="12" t="str">
        <f t="shared" si="11"/>
        <v/>
      </c>
      <c r="M116" s="12" t="str">
        <f t="shared" si="12"/>
        <v/>
      </c>
    </row>
    <row r="117" spans="1:13" ht="31.5">
      <c r="A117" s="3">
        <v>108</v>
      </c>
      <c r="B117" s="11" t="s">
        <v>71</v>
      </c>
      <c r="C117" s="3">
        <v>3</v>
      </c>
      <c r="D117" s="3">
        <v>18</v>
      </c>
      <c r="E117" s="11" t="s">
        <v>179</v>
      </c>
      <c r="F117" s="3">
        <v>31</v>
      </c>
      <c r="G117" s="3">
        <f t="shared" si="13"/>
        <v>62</v>
      </c>
      <c r="H117" s="3">
        <f t="shared" si="7"/>
        <v>50.45</v>
      </c>
      <c r="I117" s="3">
        <f t="shared" si="8"/>
        <v>93.345073349199026</v>
      </c>
      <c r="J117" s="3">
        <f t="shared" si="9"/>
        <v>52.691964941569282</v>
      </c>
      <c r="K117" s="3">
        <f t="shared" si="10"/>
        <v>16.128547579298832</v>
      </c>
      <c r="L117" s="12" t="str">
        <f t="shared" si="11"/>
        <v/>
      </c>
      <c r="M117" s="12" t="str">
        <f t="shared" si="12"/>
        <v/>
      </c>
    </row>
    <row r="118" spans="1:13" ht="31.5">
      <c r="A118" s="3">
        <v>109</v>
      </c>
      <c r="B118" s="11" t="s">
        <v>71</v>
      </c>
      <c r="C118" s="3">
        <v>3</v>
      </c>
      <c r="D118" s="3">
        <v>17</v>
      </c>
      <c r="E118" s="11" t="s">
        <v>180</v>
      </c>
      <c r="F118" s="3">
        <v>40</v>
      </c>
      <c r="G118" s="3">
        <f t="shared" si="13"/>
        <v>9</v>
      </c>
      <c r="H118" s="3">
        <f t="shared" si="7"/>
        <v>50.45</v>
      </c>
      <c r="I118" s="3">
        <f t="shared" si="8"/>
        <v>93.345073349199026</v>
      </c>
      <c r="J118" s="3">
        <f t="shared" si="9"/>
        <v>52.691964941569282</v>
      </c>
      <c r="K118" s="3">
        <f t="shared" si="10"/>
        <v>16.128547579298832</v>
      </c>
      <c r="L118" s="12" t="str">
        <f t="shared" si="11"/>
        <v/>
      </c>
      <c r="M118" s="12" t="str">
        <f t="shared" si="12"/>
        <v/>
      </c>
    </row>
    <row r="119" spans="1:13" ht="31.5">
      <c r="A119" s="3">
        <v>110</v>
      </c>
      <c r="B119" s="11" t="s">
        <v>71</v>
      </c>
      <c r="C119" s="3">
        <v>3</v>
      </c>
      <c r="D119" s="3">
        <v>16</v>
      </c>
      <c r="E119" s="11" t="s">
        <v>181</v>
      </c>
      <c r="F119" s="3">
        <v>49</v>
      </c>
      <c r="G119" s="3">
        <f t="shared" si="13"/>
        <v>9</v>
      </c>
      <c r="H119" s="3">
        <f t="shared" si="7"/>
        <v>50.45</v>
      </c>
      <c r="I119" s="3">
        <f t="shared" si="8"/>
        <v>93.345073349199026</v>
      </c>
      <c r="J119" s="3">
        <f t="shared" si="9"/>
        <v>52.691964941569282</v>
      </c>
      <c r="K119" s="3">
        <f t="shared" si="10"/>
        <v>16.128547579298832</v>
      </c>
      <c r="L119" s="12" t="str">
        <f t="shared" si="11"/>
        <v/>
      </c>
      <c r="M119" s="12" t="str">
        <f t="shared" si="12"/>
        <v/>
      </c>
    </row>
    <row r="120" spans="1:13" ht="31.5">
      <c r="A120" s="3">
        <v>111</v>
      </c>
      <c r="B120" s="11" t="s">
        <v>71</v>
      </c>
      <c r="C120" s="3">
        <v>3</v>
      </c>
      <c r="D120" s="3">
        <v>15</v>
      </c>
      <c r="E120" s="11" t="s">
        <v>182</v>
      </c>
      <c r="F120" s="3">
        <v>34</v>
      </c>
      <c r="G120" s="3">
        <f t="shared" si="13"/>
        <v>15</v>
      </c>
      <c r="H120" s="3">
        <f t="shared" si="7"/>
        <v>50.45</v>
      </c>
      <c r="I120" s="3">
        <f t="shared" si="8"/>
        <v>93.345073349199026</v>
      </c>
      <c r="J120" s="3">
        <f t="shared" si="9"/>
        <v>52.691964941569282</v>
      </c>
      <c r="K120" s="3">
        <f t="shared" si="10"/>
        <v>16.128547579298832</v>
      </c>
      <c r="L120" s="12" t="str">
        <f t="shared" si="11"/>
        <v/>
      </c>
      <c r="M120" s="12" t="str">
        <f t="shared" si="12"/>
        <v/>
      </c>
    </row>
    <row r="121" spans="1:13" ht="31.5">
      <c r="A121" s="3">
        <v>112</v>
      </c>
      <c r="B121" s="11" t="s">
        <v>71</v>
      </c>
      <c r="C121" s="3">
        <v>3</v>
      </c>
      <c r="D121" s="3">
        <v>14</v>
      </c>
      <c r="E121" s="11" t="s">
        <v>183</v>
      </c>
      <c r="F121" s="3">
        <v>48</v>
      </c>
      <c r="G121" s="3">
        <f t="shared" si="13"/>
        <v>14</v>
      </c>
      <c r="H121" s="3">
        <f t="shared" si="7"/>
        <v>50.45</v>
      </c>
      <c r="I121" s="3">
        <f t="shared" si="8"/>
        <v>93.345073349199026</v>
      </c>
      <c r="J121" s="3">
        <f t="shared" si="9"/>
        <v>52.691964941569282</v>
      </c>
      <c r="K121" s="3">
        <f t="shared" si="10"/>
        <v>16.128547579298832</v>
      </c>
      <c r="L121" s="12" t="str">
        <f t="shared" si="11"/>
        <v/>
      </c>
      <c r="M121" s="12" t="str">
        <f t="shared" si="12"/>
        <v/>
      </c>
    </row>
    <row r="122" spans="1:13" ht="31.5">
      <c r="A122" s="3">
        <v>113</v>
      </c>
      <c r="B122" s="11" t="s">
        <v>71</v>
      </c>
      <c r="C122" s="3">
        <v>3</v>
      </c>
      <c r="D122" s="3">
        <v>13</v>
      </c>
      <c r="E122" s="11" t="s">
        <v>184</v>
      </c>
      <c r="F122" s="3">
        <v>51</v>
      </c>
      <c r="G122" s="3">
        <f t="shared" si="13"/>
        <v>3</v>
      </c>
      <c r="H122" s="3">
        <f t="shared" si="7"/>
        <v>50.45</v>
      </c>
      <c r="I122" s="3">
        <f t="shared" si="8"/>
        <v>93.345073349199026</v>
      </c>
      <c r="J122" s="3">
        <f t="shared" si="9"/>
        <v>52.691964941569282</v>
      </c>
      <c r="K122" s="3">
        <f t="shared" si="10"/>
        <v>16.128547579298832</v>
      </c>
      <c r="L122" s="12" t="str">
        <f t="shared" si="11"/>
        <v/>
      </c>
      <c r="M122" s="12" t="str">
        <f t="shared" si="12"/>
        <v/>
      </c>
    </row>
    <row r="123" spans="1:13" ht="31.5">
      <c r="A123" s="3">
        <v>114</v>
      </c>
      <c r="B123" s="11" t="s">
        <v>71</v>
      </c>
      <c r="C123" s="3">
        <v>3</v>
      </c>
      <c r="D123" s="3">
        <v>12</v>
      </c>
      <c r="E123" s="11" t="s">
        <v>185</v>
      </c>
      <c r="F123" s="3">
        <v>60</v>
      </c>
      <c r="G123" s="3">
        <f t="shared" si="13"/>
        <v>9</v>
      </c>
      <c r="H123" s="3">
        <f t="shared" si="7"/>
        <v>50.45</v>
      </c>
      <c r="I123" s="3">
        <f t="shared" si="8"/>
        <v>93.345073349199026</v>
      </c>
      <c r="J123" s="3">
        <f t="shared" si="9"/>
        <v>52.691964941569282</v>
      </c>
      <c r="K123" s="3">
        <f t="shared" si="10"/>
        <v>16.128547579298832</v>
      </c>
      <c r="L123" s="12" t="str">
        <f t="shared" si="11"/>
        <v/>
      </c>
      <c r="M123" s="12" t="str">
        <f t="shared" si="12"/>
        <v/>
      </c>
    </row>
    <row r="124" spans="1:13" ht="31.5">
      <c r="A124" s="3">
        <v>115</v>
      </c>
      <c r="B124" s="11" t="s">
        <v>71</v>
      </c>
      <c r="C124" s="3">
        <v>3</v>
      </c>
      <c r="D124" s="3">
        <v>11</v>
      </c>
      <c r="E124" s="11" t="s">
        <v>186</v>
      </c>
      <c r="F124" s="3">
        <v>54</v>
      </c>
      <c r="G124" s="3">
        <f t="shared" si="13"/>
        <v>6</v>
      </c>
      <c r="H124" s="3">
        <f t="shared" si="7"/>
        <v>50.45</v>
      </c>
      <c r="I124" s="3">
        <f t="shared" si="8"/>
        <v>93.345073349199026</v>
      </c>
      <c r="J124" s="3">
        <f t="shared" si="9"/>
        <v>52.691964941569282</v>
      </c>
      <c r="K124" s="3">
        <f t="shared" si="10"/>
        <v>16.128547579298832</v>
      </c>
      <c r="L124" s="12" t="str">
        <f t="shared" si="11"/>
        <v/>
      </c>
      <c r="M124" s="12" t="str">
        <f t="shared" si="12"/>
        <v/>
      </c>
    </row>
    <row r="125" spans="1:13" ht="31.5">
      <c r="A125" s="3">
        <v>116</v>
      </c>
      <c r="B125" s="11" t="s">
        <v>71</v>
      </c>
      <c r="C125" s="3">
        <v>3</v>
      </c>
      <c r="D125" s="3">
        <v>10</v>
      </c>
      <c r="E125" s="11" t="s">
        <v>187</v>
      </c>
      <c r="F125" s="3">
        <v>51</v>
      </c>
      <c r="G125" s="3">
        <f t="shared" si="13"/>
        <v>3</v>
      </c>
      <c r="H125" s="3">
        <f t="shared" si="7"/>
        <v>50.45</v>
      </c>
      <c r="I125" s="3">
        <f t="shared" si="8"/>
        <v>93.345073349199026</v>
      </c>
      <c r="J125" s="3">
        <f t="shared" si="9"/>
        <v>52.691964941569282</v>
      </c>
      <c r="K125" s="3">
        <f t="shared" si="10"/>
        <v>16.128547579298832</v>
      </c>
      <c r="L125" s="12" t="str">
        <f t="shared" si="11"/>
        <v/>
      </c>
      <c r="M125" s="12" t="str">
        <f t="shared" si="12"/>
        <v/>
      </c>
    </row>
    <row r="126" spans="1:13" ht="31.5">
      <c r="A126" s="3">
        <v>117</v>
      </c>
      <c r="B126" s="11" t="s">
        <v>71</v>
      </c>
      <c r="C126" s="3">
        <v>3</v>
      </c>
      <c r="D126" s="3">
        <v>9</v>
      </c>
      <c r="E126" s="11" t="s">
        <v>188</v>
      </c>
      <c r="F126" s="3">
        <v>44</v>
      </c>
      <c r="G126" s="3">
        <f t="shared" si="13"/>
        <v>7</v>
      </c>
      <c r="H126" s="3">
        <f t="shared" si="7"/>
        <v>50.45</v>
      </c>
      <c r="I126" s="3">
        <f t="shared" si="8"/>
        <v>93.345073349199026</v>
      </c>
      <c r="J126" s="3">
        <f t="shared" si="9"/>
        <v>52.691964941569282</v>
      </c>
      <c r="K126" s="3">
        <f t="shared" si="10"/>
        <v>16.128547579298832</v>
      </c>
      <c r="L126" s="12" t="str">
        <f t="shared" si="11"/>
        <v/>
      </c>
      <c r="M126" s="12" t="str">
        <f t="shared" si="12"/>
        <v/>
      </c>
    </row>
    <row r="127" spans="1:13" ht="31.5">
      <c r="A127" s="3">
        <v>118</v>
      </c>
      <c r="B127" s="11" t="s">
        <v>71</v>
      </c>
      <c r="C127" s="3">
        <v>3</v>
      </c>
      <c r="D127" s="3">
        <v>8</v>
      </c>
      <c r="E127" s="11" t="s">
        <v>189</v>
      </c>
      <c r="F127" s="3">
        <v>40</v>
      </c>
      <c r="G127" s="3">
        <f t="shared" si="13"/>
        <v>4</v>
      </c>
      <c r="H127" s="3">
        <f t="shared" si="7"/>
        <v>50.45</v>
      </c>
      <c r="I127" s="3">
        <f t="shared" si="8"/>
        <v>93.345073349199026</v>
      </c>
      <c r="J127" s="3">
        <f t="shared" si="9"/>
        <v>52.691964941569282</v>
      </c>
      <c r="K127" s="3">
        <f t="shared" si="10"/>
        <v>16.128547579298832</v>
      </c>
      <c r="L127" s="12" t="str">
        <f t="shared" si="11"/>
        <v/>
      </c>
      <c r="M127" s="12" t="str">
        <f t="shared" si="12"/>
        <v/>
      </c>
    </row>
    <row r="128" spans="1:13" ht="31.5">
      <c r="A128" s="3">
        <v>119</v>
      </c>
      <c r="B128" s="11" t="s">
        <v>71</v>
      </c>
      <c r="C128" s="3">
        <v>3</v>
      </c>
      <c r="D128" s="3">
        <v>7</v>
      </c>
      <c r="E128" s="11" t="s">
        <v>190</v>
      </c>
      <c r="F128" s="3">
        <v>39</v>
      </c>
      <c r="G128" s="3">
        <f t="shared" si="13"/>
        <v>1</v>
      </c>
      <c r="H128" s="3">
        <f t="shared" si="7"/>
        <v>50.45</v>
      </c>
      <c r="I128" s="3">
        <f t="shared" si="8"/>
        <v>93.345073349199026</v>
      </c>
      <c r="J128" s="3">
        <f t="shared" si="9"/>
        <v>52.691964941569282</v>
      </c>
      <c r="K128" s="3">
        <f t="shared" si="10"/>
        <v>16.128547579298832</v>
      </c>
      <c r="L128" s="12" t="str">
        <f t="shared" si="11"/>
        <v/>
      </c>
      <c r="M128" s="12" t="str">
        <f t="shared" si="12"/>
        <v/>
      </c>
    </row>
    <row r="129" spans="1:13" ht="31.5">
      <c r="A129" s="3">
        <v>120</v>
      </c>
      <c r="B129" s="11" t="s">
        <v>71</v>
      </c>
      <c r="C129" s="3">
        <v>3</v>
      </c>
      <c r="D129" s="3">
        <v>6</v>
      </c>
      <c r="E129" s="11" t="s">
        <v>191</v>
      </c>
      <c r="F129" s="3">
        <v>51</v>
      </c>
      <c r="G129" s="3">
        <f t="shared" si="13"/>
        <v>12</v>
      </c>
      <c r="H129" s="3">
        <f t="shared" si="7"/>
        <v>50.45</v>
      </c>
      <c r="I129" s="3">
        <f t="shared" si="8"/>
        <v>93.345073349199026</v>
      </c>
      <c r="J129" s="3">
        <f t="shared" si="9"/>
        <v>52.691964941569282</v>
      </c>
      <c r="K129" s="3">
        <f t="shared" si="10"/>
        <v>16.128547579298832</v>
      </c>
      <c r="L129" s="12" t="str">
        <f t="shared" si="11"/>
        <v/>
      </c>
      <c r="M129" s="12" t="str">
        <f t="shared" si="12"/>
        <v/>
      </c>
    </row>
    <row r="130" spans="1:13" ht="31.5">
      <c r="A130" s="3">
        <v>121</v>
      </c>
      <c r="B130" s="11" t="s">
        <v>71</v>
      </c>
      <c r="C130" s="3">
        <v>3</v>
      </c>
      <c r="D130" s="3">
        <v>5</v>
      </c>
      <c r="E130" s="11" t="s">
        <v>192</v>
      </c>
      <c r="F130" s="3">
        <v>97</v>
      </c>
      <c r="G130" s="3">
        <f t="shared" si="13"/>
        <v>46</v>
      </c>
      <c r="H130" s="3">
        <f t="shared" si="7"/>
        <v>50.45</v>
      </c>
      <c r="I130" s="3">
        <f t="shared" si="8"/>
        <v>93.345073349199026</v>
      </c>
      <c r="J130" s="3">
        <f t="shared" si="9"/>
        <v>52.691964941569282</v>
      </c>
      <c r="K130" s="3">
        <f t="shared" si="10"/>
        <v>16.128547579298832</v>
      </c>
      <c r="L130" s="12" t="str">
        <f t="shared" si="11"/>
        <v>OOC</v>
      </c>
      <c r="M130" s="12" t="str">
        <f t="shared" si="12"/>
        <v/>
      </c>
    </row>
    <row r="131" spans="1:13" ht="31.5">
      <c r="A131" s="3">
        <v>122</v>
      </c>
      <c r="B131" s="11" t="s">
        <v>71</v>
      </c>
      <c r="C131" s="3">
        <v>3</v>
      </c>
      <c r="D131" s="3">
        <v>4</v>
      </c>
      <c r="E131" s="11" t="s">
        <v>193</v>
      </c>
      <c r="F131" s="3">
        <v>40</v>
      </c>
      <c r="G131" s="3">
        <f t="shared" si="13"/>
        <v>57</v>
      </c>
      <c r="H131" s="3">
        <f t="shared" si="7"/>
        <v>50.45</v>
      </c>
      <c r="I131" s="3">
        <f t="shared" si="8"/>
        <v>93.345073349199026</v>
      </c>
      <c r="J131" s="3">
        <f t="shared" si="9"/>
        <v>52.691964941569282</v>
      </c>
      <c r="K131" s="3">
        <f t="shared" si="10"/>
        <v>16.128547579298832</v>
      </c>
      <c r="L131" s="12" t="str">
        <f t="shared" si="11"/>
        <v/>
      </c>
      <c r="M131" s="12" t="str">
        <f t="shared" si="12"/>
        <v/>
      </c>
    </row>
    <row r="132" spans="1:13" ht="31.5">
      <c r="A132" s="3">
        <v>123</v>
      </c>
      <c r="B132" s="11" t="s">
        <v>71</v>
      </c>
      <c r="C132" s="3">
        <v>3</v>
      </c>
      <c r="D132" s="3">
        <v>3</v>
      </c>
      <c r="E132" s="11" t="s">
        <v>194</v>
      </c>
      <c r="F132" s="3">
        <v>39</v>
      </c>
      <c r="G132" s="3">
        <f t="shared" si="13"/>
        <v>1</v>
      </c>
      <c r="H132" s="3">
        <f t="shared" si="7"/>
        <v>50.45</v>
      </c>
      <c r="I132" s="3">
        <f t="shared" si="8"/>
        <v>93.345073349199026</v>
      </c>
      <c r="J132" s="3">
        <f t="shared" si="9"/>
        <v>52.691964941569282</v>
      </c>
      <c r="K132" s="3">
        <f t="shared" si="10"/>
        <v>16.128547579298832</v>
      </c>
      <c r="L132" s="12" t="str">
        <f t="shared" si="11"/>
        <v/>
      </c>
      <c r="M132" s="12" t="str">
        <f t="shared" si="12"/>
        <v/>
      </c>
    </row>
    <row r="133" spans="1:13" ht="31.5">
      <c r="A133" s="3">
        <v>124</v>
      </c>
      <c r="B133" s="11" t="s">
        <v>71</v>
      </c>
      <c r="C133" s="3">
        <v>3</v>
      </c>
      <c r="D133" s="3">
        <v>2</v>
      </c>
      <c r="E133" s="11" t="s">
        <v>195</v>
      </c>
      <c r="F133" s="3">
        <v>51</v>
      </c>
      <c r="G133" s="3">
        <f t="shared" si="13"/>
        <v>12</v>
      </c>
      <c r="H133" s="3">
        <f t="shared" si="7"/>
        <v>50.45</v>
      </c>
      <c r="I133" s="3">
        <f t="shared" si="8"/>
        <v>93.345073349199026</v>
      </c>
      <c r="J133" s="3">
        <f t="shared" si="9"/>
        <v>52.691964941569282</v>
      </c>
      <c r="K133" s="3">
        <f t="shared" si="10"/>
        <v>16.128547579298832</v>
      </c>
      <c r="L133" s="12" t="str">
        <f t="shared" si="11"/>
        <v/>
      </c>
      <c r="M133" s="12" t="str">
        <f t="shared" si="12"/>
        <v/>
      </c>
    </row>
    <row r="134" spans="1:13" ht="31.5">
      <c r="A134" s="3">
        <v>125</v>
      </c>
      <c r="B134" s="11" t="s">
        <v>71</v>
      </c>
      <c r="C134" s="3">
        <v>3</v>
      </c>
      <c r="D134" s="3">
        <v>1</v>
      </c>
      <c r="E134" s="11" t="s">
        <v>196</v>
      </c>
      <c r="F134" s="3">
        <v>97</v>
      </c>
      <c r="G134" s="3">
        <f t="shared" si="13"/>
        <v>46</v>
      </c>
      <c r="H134" s="3">
        <f t="shared" si="7"/>
        <v>50.45</v>
      </c>
      <c r="I134" s="3">
        <f t="shared" si="8"/>
        <v>93.345073349199026</v>
      </c>
      <c r="J134" s="3">
        <f t="shared" si="9"/>
        <v>52.691964941569282</v>
      </c>
      <c r="K134" s="3">
        <f t="shared" si="10"/>
        <v>16.128547579298832</v>
      </c>
      <c r="L134" s="12" t="str">
        <f t="shared" si="11"/>
        <v>OOC</v>
      </c>
      <c r="M134" s="12" t="str">
        <f t="shared" si="12"/>
        <v/>
      </c>
    </row>
    <row r="135" spans="1:13" ht="31.5">
      <c r="A135" s="3">
        <v>126</v>
      </c>
      <c r="B135" s="11" t="s">
        <v>71</v>
      </c>
      <c r="C135" s="3">
        <v>3</v>
      </c>
      <c r="D135" s="3">
        <v>25</v>
      </c>
      <c r="E135" s="11" t="s">
        <v>197</v>
      </c>
      <c r="F135" s="3">
        <v>34</v>
      </c>
      <c r="G135" s="3">
        <f t="shared" si="13"/>
        <v>63</v>
      </c>
      <c r="H135" s="3">
        <f t="shared" si="7"/>
        <v>50.45</v>
      </c>
      <c r="I135" s="3">
        <f t="shared" si="8"/>
        <v>93.345073349199026</v>
      </c>
      <c r="J135" s="3">
        <f t="shared" si="9"/>
        <v>52.691964941569282</v>
      </c>
      <c r="K135" s="3">
        <f t="shared" si="10"/>
        <v>16.128547579298832</v>
      </c>
      <c r="L135" s="12" t="str">
        <f t="shared" si="11"/>
        <v/>
      </c>
      <c r="M135" s="12" t="str">
        <f t="shared" si="12"/>
        <v/>
      </c>
    </row>
    <row r="136" spans="1:13" ht="31.5">
      <c r="A136" s="3">
        <v>127</v>
      </c>
      <c r="B136" s="11" t="s">
        <v>71</v>
      </c>
      <c r="C136" s="3">
        <v>3</v>
      </c>
      <c r="D136" s="3">
        <v>24</v>
      </c>
      <c r="E136" s="11" t="s">
        <v>198</v>
      </c>
      <c r="F136" s="3">
        <v>29</v>
      </c>
      <c r="G136" s="3">
        <f t="shared" si="13"/>
        <v>5</v>
      </c>
      <c r="H136" s="3">
        <f t="shared" si="7"/>
        <v>50.45</v>
      </c>
      <c r="I136" s="3">
        <f t="shared" si="8"/>
        <v>93.345073349199026</v>
      </c>
      <c r="J136" s="3">
        <f t="shared" si="9"/>
        <v>52.691964941569282</v>
      </c>
      <c r="K136" s="3">
        <f t="shared" si="10"/>
        <v>16.128547579298832</v>
      </c>
      <c r="L136" s="12" t="str">
        <f t="shared" si="11"/>
        <v/>
      </c>
      <c r="M136" s="12" t="str">
        <f t="shared" si="12"/>
        <v/>
      </c>
    </row>
    <row r="137" spans="1:13" ht="31.5">
      <c r="A137" s="3">
        <v>128</v>
      </c>
      <c r="B137" s="11" t="s">
        <v>71</v>
      </c>
      <c r="C137" s="3">
        <v>3</v>
      </c>
      <c r="D137" s="3">
        <v>23</v>
      </c>
      <c r="E137" s="11" t="s">
        <v>199</v>
      </c>
      <c r="F137" s="3">
        <v>46</v>
      </c>
      <c r="G137" s="3">
        <f t="shared" si="13"/>
        <v>17</v>
      </c>
      <c r="H137" s="3">
        <f t="shared" si="7"/>
        <v>50.45</v>
      </c>
      <c r="I137" s="3">
        <f t="shared" si="8"/>
        <v>93.345073349199026</v>
      </c>
      <c r="J137" s="3">
        <f t="shared" si="9"/>
        <v>52.691964941569282</v>
      </c>
      <c r="K137" s="3">
        <f t="shared" si="10"/>
        <v>16.128547579298832</v>
      </c>
      <c r="L137" s="12" t="str">
        <f t="shared" si="11"/>
        <v/>
      </c>
      <c r="M137" s="12" t="str">
        <f t="shared" si="12"/>
        <v/>
      </c>
    </row>
    <row r="138" spans="1:13" ht="31.5">
      <c r="A138" s="3">
        <v>129</v>
      </c>
      <c r="B138" s="11" t="s">
        <v>71</v>
      </c>
      <c r="C138" s="3">
        <v>3</v>
      </c>
      <c r="D138" s="3">
        <v>22</v>
      </c>
      <c r="E138" s="11" t="s">
        <v>200</v>
      </c>
      <c r="F138" s="3">
        <v>39</v>
      </c>
      <c r="G138" s="3">
        <f t="shared" si="13"/>
        <v>7</v>
      </c>
      <c r="H138" s="3">
        <f t="shared" ref="H138:H201" si="14">$Q$3</f>
        <v>50.45</v>
      </c>
      <c r="I138" s="3">
        <f t="shared" ref="I138:I201" si="15">$Q$6</f>
        <v>93.345073349199026</v>
      </c>
      <c r="J138" s="3">
        <f t="shared" ref="J138:J201" si="16">$Q$7</f>
        <v>52.691964941569282</v>
      </c>
      <c r="K138" s="3">
        <f t="shared" ref="K138:K201" si="17">$Q$4</f>
        <v>16.128547579298832</v>
      </c>
      <c r="L138" s="12" t="str">
        <f t="shared" ref="L138:L201" si="18">IF(F138&gt;$Q$6,"OOC","" )</f>
        <v/>
      </c>
      <c r="M138" s="12" t="str">
        <f t="shared" ref="M138:M201" si="19">IF(F138&gt;$B$3,"OOS","" )</f>
        <v/>
      </c>
    </row>
    <row r="139" spans="1:13" ht="31.5">
      <c r="A139" s="3">
        <v>130</v>
      </c>
      <c r="B139" s="11" t="s">
        <v>71</v>
      </c>
      <c r="C139" s="3">
        <v>3</v>
      </c>
      <c r="D139" s="3">
        <v>21</v>
      </c>
      <c r="E139" s="11" t="s">
        <v>201</v>
      </c>
      <c r="F139" s="3">
        <v>40</v>
      </c>
      <c r="G139" s="3">
        <f t="shared" ref="G139:G202" si="20">ABS(F139-F138)</f>
        <v>1</v>
      </c>
      <c r="H139" s="3">
        <f t="shared" si="14"/>
        <v>50.45</v>
      </c>
      <c r="I139" s="3">
        <f t="shared" si="15"/>
        <v>93.345073349199026</v>
      </c>
      <c r="J139" s="3">
        <f t="shared" si="16"/>
        <v>52.691964941569282</v>
      </c>
      <c r="K139" s="3">
        <f t="shared" si="17"/>
        <v>16.128547579298832</v>
      </c>
      <c r="L139" s="12" t="str">
        <f t="shared" si="18"/>
        <v/>
      </c>
      <c r="M139" s="12" t="str">
        <f t="shared" si="19"/>
        <v/>
      </c>
    </row>
    <row r="140" spans="1:13" ht="31.5">
      <c r="A140" s="3">
        <v>131</v>
      </c>
      <c r="B140" s="11" t="s">
        <v>71</v>
      </c>
      <c r="C140" s="3">
        <v>3</v>
      </c>
      <c r="D140" s="3">
        <v>20</v>
      </c>
      <c r="E140" s="11" t="s">
        <v>202</v>
      </c>
      <c r="F140" s="3">
        <v>36</v>
      </c>
      <c r="G140" s="3">
        <f t="shared" si="20"/>
        <v>4</v>
      </c>
      <c r="H140" s="3">
        <f t="shared" si="14"/>
        <v>50.45</v>
      </c>
      <c r="I140" s="3">
        <f t="shared" si="15"/>
        <v>93.345073349199026</v>
      </c>
      <c r="J140" s="3">
        <f t="shared" si="16"/>
        <v>52.691964941569282</v>
      </c>
      <c r="K140" s="3">
        <f t="shared" si="17"/>
        <v>16.128547579298832</v>
      </c>
      <c r="L140" s="12" t="str">
        <f t="shared" si="18"/>
        <v/>
      </c>
      <c r="M140" s="12" t="str">
        <f t="shared" si="19"/>
        <v/>
      </c>
    </row>
    <row r="141" spans="1:13" ht="31.5">
      <c r="A141" s="3">
        <v>132</v>
      </c>
      <c r="B141" s="11" t="s">
        <v>71</v>
      </c>
      <c r="C141" s="3">
        <v>3</v>
      </c>
      <c r="D141" s="3">
        <v>19</v>
      </c>
      <c r="E141" s="11" t="s">
        <v>203</v>
      </c>
      <c r="F141" s="3">
        <v>29</v>
      </c>
      <c r="G141" s="3">
        <f t="shared" si="20"/>
        <v>7</v>
      </c>
      <c r="H141" s="3">
        <f t="shared" si="14"/>
        <v>50.45</v>
      </c>
      <c r="I141" s="3">
        <f t="shared" si="15"/>
        <v>93.345073349199026</v>
      </c>
      <c r="J141" s="3">
        <f t="shared" si="16"/>
        <v>52.691964941569282</v>
      </c>
      <c r="K141" s="3">
        <f t="shared" si="17"/>
        <v>16.128547579298832</v>
      </c>
      <c r="L141" s="12" t="str">
        <f t="shared" si="18"/>
        <v/>
      </c>
      <c r="M141" s="12" t="str">
        <f t="shared" si="19"/>
        <v/>
      </c>
    </row>
    <row r="142" spans="1:13" ht="31.5">
      <c r="A142" s="3">
        <v>133</v>
      </c>
      <c r="B142" s="11" t="s">
        <v>71</v>
      </c>
      <c r="C142" s="3">
        <v>3</v>
      </c>
      <c r="D142" s="3">
        <v>18</v>
      </c>
      <c r="E142" s="11" t="s">
        <v>204</v>
      </c>
      <c r="F142" s="3">
        <v>37</v>
      </c>
      <c r="G142" s="3">
        <f t="shared" si="20"/>
        <v>8</v>
      </c>
      <c r="H142" s="3">
        <f t="shared" si="14"/>
        <v>50.45</v>
      </c>
      <c r="I142" s="3">
        <f t="shared" si="15"/>
        <v>93.345073349199026</v>
      </c>
      <c r="J142" s="3">
        <f t="shared" si="16"/>
        <v>52.691964941569282</v>
      </c>
      <c r="K142" s="3">
        <f t="shared" si="17"/>
        <v>16.128547579298832</v>
      </c>
      <c r="L142" s="12" t="str">
        <f t="shared" si="18"/>
        <v/>
      </c>
      <c r="M142" s="12" t="str">
        <f t="shared" si="19"/>
        <v/>
      </c>
    </row>
    <row r="143" spans="1:13" ht="31.5">
      <c r="A143" s="3">
        <v>134</v>
      </c>
      <c r="B143" s="11" t="s">
        <v>71</v>
      </c>
      <c r="C143" s="3">
        <v>3</v>
      </c>
      <c r="D143" s="3">
        <v>17</v>
      </c>
      <c r="E143" s="11" t="s">
        <v>205</v>
      </c>
      <c r="F143" s="3">
        <v>31</v>
      </c>
      <c r="G143" s="3">
        <f t="shared" si="20"/>
        <v>6</v>
      </c>
      <c r="H143" s="3">
        <f t="shared" si="14"/>
        <v>50.45</v>
      </c>
      <c r="I143" s="3">
        <f t="shared" si="15"/>
        <v>93.345073349199026</v>
      </c>
      <c r="J143" s="3">
        <f t="shared" si="16"/>
        <v>52.691964941569282</v>
      </c>
      <c r="K143" s="3">
        <f t="shared" si="17"/>
        <v>16.128547579298832</v>
      </c>
      <c r="L143" s="12" t="str">
        <f t="shared" si="18"/>
        <v/>
      </c>
      <c r="M143" s="12" t="str">
        <f t="shared" si="19"/>
        <v/>
      </c>
    </row>
    <row r="144" spans="1:13" ht="31.5">
      <c r="A144" s="3">
        <v>135</v>
      </c>
      <c r="B144" s="11" t="s">
        <v>71</v>
      </c>
      <c r="C144" s="3">
        <v>3</v>
      </c>
      <c r="D144" s="3">
        <v>16</v>
      </c>
      <c r="E144" s="11" t="s">
        <v>206</v>
      </c>
      <c r="F144" s="3">
        <v>78</v>
      </c>
      <c r="G144" s="3">
        <f t="shared" si="20"/>
        <v>47</v>
      </c>
      <c r="H144" s="3">
        <f t="shared" si="14"/>
        <v>50.45</v>
      </c>
      <c r="I144" s="3">
        <f t="shared" si="15"/>
        <v>93.345073349199026</v>
      </c>
      <c r="J144" s="3">
        <f t="shared" si="16"/>
        <v>52.691964941569282</v>
      </c>
      <c r="K144" s="3">
        <f t="shared" si="17"/>
        <v>16.128547579298832</v>
      </c>
      <c r="L144" s="12" t="str">
        <f t="shared" si="18"/>
        <v/>
      </c>
      <c r="M144" s="12" t="str">
        <f t="shared" si="19"/>
        <v/>
      </c>
    </row>
    <row r="145" spans="1:13" ht="31.5">
      <c r="A145" s="3">
        <v>136</v>
      </c>
      <c r="B145" s="11" t="s">
        <v>71</v>
      </c>
      <c r="C145" s="3">
        <v>3</v>
      </c>
      <c r="D145" s="3">
        <v>15</v>
      </c>
      <c r="E145" s="11" t="s">
        <v>207</v>
      </c>
      <c r="F145" s="3">
        <v>24</v>
      </c>
      <c r="G145" s="3">
        <f t="shared" si="20"/>
        <v>54</v>
      </c>
      <c r="H145" s="3">
        <f t="shared" si="14"/>
        <v>50.45</v>
      </c>
      <c r="I145" s="3">
        <f t="shared" si="15"/>
        <v>93.345073349199026</v>
      </c>
      <c r="J145" s="3">
        <f t="shared" si="16"/>
        <v>52.691964941569282</v>
      </c>
      <c r="K145" s="3">
        <f t="shared" si="17"/>
        <v>16.128547579298832</v>
      </c>
      <c r="L145" s="12" t="str">
        <f t="shared" si="18"/>
        <v/>
      </c>
      <c r="M145" s="12" t="str">
        <f t="shared" si="19"/>
        <v/>
      </c>
    </row>
    <row r="146" spans="1:13" ht="31.5">
      <c r="A146" s="3">
        <v>137</v>
      </c>
      <c r="B146" s="11" t="s">
        <v>71</v>
      </c>
      <c r="C146" s="3">
        <v>3</v>
      </c>
      <c r="D146" s="3">
        <v>14</v>
      </c>
      <c r="E146" s="11" t="s">
        <v>208</v>
      </c>
      <c r="F146" s="3">
        <v>23</v>
      </c>
      <c r="G146" s="3">
        <f t="shared" si="20"/>
        <v>1</v>
      </c>
      <c r="H146" s="3">
        <f t="shared" si="14"/>
        <v>50.45</v>
      </c>
      <c r="I146" s="3">
        <f t="shared" si="15"/>
        <v>93.345073349199026</v>
      </c>
      <c r="J146" s="3">
        <f t="shared" si="16"/>
        <v>52.691964941569282</v>
      </c>
      <c r="K146" s="3">
        <f t="shared" si="17"/>
        <v>16.128547579298832</v>
      </c>
      <c r="L146" s="12" t="str">
        <f t="shared" si="18"/>
        <v/>
      </c>
      <c r="M146" s="12" t="str">
        <f t="shared" si="19"/>
        <v/>
      </c>
    </row>
    <row r="147" spans="1:13" ht="31.5">
      <c r="A147" s="3">
        <v>138</v>
      </c>
      <c r="B147" s="11" t="s">
        <v>71</v>
      </c>
      <c r="C147" s="3">
        <v>3</v>
      </c>
      <c r="D147" s="3">
        <v>13</v>
      </c>
      <c r="E147" s="11" t="s">
        <v>209</v>
      </c>
      <c r="F147" s="3">
        <v>47</v>
      </c>
      <c r="G147" s="3">
        <f t="shared" si="20"/>
        <v>24</v>
      </c>
      <c r="H147" s="3">
        <f t="shared" si="14"/>
        <v>50.45</v>
      </c>
      <c r="I147" s="3">
        <f t="shared" si="15"/>
        <v>93.345073349199026</v>
      </c>
      <c r="J147" s="3">
        <f t="shared" si="16"/>
        <v>52.691964941569282</v>
      </c>
      <c r="K147" s="3">
        <f t="shared" si="17"/>
        <v>16.128547579298832</v>
      </c>
      <c r="L147" s="12" t="str">
        <f t="shared" si="18"/>
        <v/>
      </c>
      <c r="M147" s="12" t="str">
        <f t="shared" si="19"/>
        <v/>
      </c>
    </row>
    <row r="148" spans="1:13" ht="31.5">
      <c r="A148" s="3">
        <v>139</v>
      </c>
      <c r="B148" s="11" t="s">
        <v>71</v>
      </c>
      <c r="C148" s="3">
        <v>3</v>
      </c>
      <c r="D148" s="3">
        <v>12</v>
      </c>
      <c r="E148" s="11" t="s">
        <v>210</v>
      </c>
      <c r="F148" s="3">
        <v>37</v>
      </c>
      <c r="G148" s="3">
        <f t="shared" si="20"/>
        <v>10</v>
      </c>
      <c r="H148" s="3">
        <f t="shared" si="14"/>
        <v>50.45</v>
      </c>
      <c r="I148" s="3">
        <f t="shared" si="15"/>
        <v>93.345073349199026</v>
      </c>
      <c r="J148" s="3">
        <f t="shared" si="16"/>
        <v>52.691964941569282</v>
      </c>
      <c r="K148" s="3">
        <f t="shared" si="17"/>
        <v>16.128547579298832</v>
      </c>
      <c r="L148" s="12" t="str">
        <f t="shared" si="18"/>
        <v/>
      </c>
      <c r="M148" s="12" t="str">
        <f t="shared" si="19"/>
        <v/>
      </c>
    </row>
    <row r="149" spans="1:13" ht="31.5">
      <c r="A149" s="3">
        <v>140</v>
      </c>
      <c r="B149" s="11" t="s">
        <v>71</v>
      </c>
      <c r="C149" s="3">
        <v>3</v>
      </c>
      <c r="D149" s="3">
        <v>11</v>
      </c>
      <c r="E149" s="11" t="s">
        <v>211</v>
      </c>
      <c r="F149" s="3">
        <v>37</v>
      </c>
      <c r="G149" s="3">
        <f t="shared" si="20"/>
        <v>0</v>
      </c>
      <c r="H149" s="3">
        <f t="shared" si="14"/>
        <v>50.45</v>
      </c>
      <c r="I149" s="3">
        <f t="shared" si="15"/>
        <v>93.345073349199026</v>
      </c>
      <c r="J149" s="3">
        <f t="shared" si="16"/>
        <v>52.691964941569282</v>
      </c>
      <c r="K149" s="3">
        <f t="shared" si="17"/>
        <v>16.128547579298832</v>
      </c>
      <c r="L149" s="12" t="str">
        <f t="shared" si="18"/>
        <v/>
      </c>
      <c r="M149" s="12" t="str">
        <f t="shared" si="19"/>
        <v/>
      </c>
    </row>
    <row r="150" spans="1:13" ht="31.5">
      <c r="A150" s="3">
        <v>141</v>
      </c>
      <c r="B150" s="11" t="s">
        <v>71</v>
      </c>
      <c r="C150" s="3">
        <v>3</v>
      </c>
      <c r="D150" s="3">
        <v>10</v>
      </c>
      <c r="E150" s="11" t="s">
        <v>212</v>
      </c>
      <c r="F150" s="3">
        <v>27</v>
      </c>
      <c r="G150" s="3">
        <f t="shared" si="20"/>
        <v>10</v>
      </c>
      <c r="H150" s="3">
        <f t="shared" si="14"/>
        <v>50.45</v>
      </c>
      <c r="I150" s="3">
        <f t="shared" si="15"/>
        <v>93.345073349199026</v>
      </c>
      <c r="J150" s="3">
        <f t="shared" si="16"/>
        <v>52.691964941569282</v>
      </c>
      <c r="K150" s="3">
        <f t="shared" si="17"/>
        <v>16.128547579298832</v>
      </c>
      <c r="L150" s="12" t="str">
        <f t="shared" si="18"/>
        <v/>
      </c>
      <c r="M150" s="12" t="str">
        <f t="shared" si="19"/>
        <v/>
      </c>
    </row>
    <row r="151" spans="1:13" ht="31.5">
      <c r="A151" s="3">
        <v>142</v>
      </c>
      <c r="B151" s="11" t="s">
        <v>71</v>
      </c>
      <c r="C151" s="3">
        <v>3</v>
      </c>
      <c r="D151" s="3">
        <v>9</v>
      </c>
      <c r="E151" s="11" t="s">
        <v>213</v>
      </c>
      <c r="F151" s="3">
        <v>34</v>
      </c>
      <c r="G151" s="3">
        <f t="shared" si="20"/>
        <v>7</v>
      </c>
      <c r="H151" s="3">
        <f t="shared" si="14"/>
        <v>50.45</v>
      </c>
      <c r="I151" s="3">
        <f t="shared" si="15"/>
        <v>93.345073349199026</v>
      </c>
      <c r="J151" s="3">
        <f t="shared" si="16"/>
        <v>52.691964941569282</v>
      </c>
      <c r="K151" s="3">
        <f t="shared" si="17"/>
        <v>16.128547579298832</v>
      </c>
      <c r="L151" s="12" t="str">
        <f t="shared" si="18"/>
        <v/>
      </c>
      <c r="M151" s="12" t="str">
        <f t="shared" si="19"/>
        <v/>
      </c>
    </row>
    <row r="152" spans="1:13" ht="31.5">
      <c r="A152" s="3">
        <v>143</v>
      </c>
      <c r="B152" s="11" t="s">
        <v>71</v>
      </c>
      <c r="C152" s="3">
        <v>3</v>
      </c>
      <c r="D152" s="3">
        <v>8</v>
      </c>
      <c r="E152" s="11" t="s">
        <v>214</v>
      </c>
      <c r="F152" s="3">
        <v>37</v>
      </c>
      <c r="G152" s="3">
        <f t="shared" si="20"/>
        <v>3</v>
      </c>
      <c r="H152" s="3">
        <f t="shared" si="14"/>
        <v>50.45</v>
      </c>
      <c r="I152" s="3">
        <f t="shared" si="15"/>
        <v>93.345073349199026</v>
      </c>
      <c r="J152" s="3">
        <f t="shared" si="16"/>
        <v>52.691964941569282</v>
      </c>
      <c r="K152" s="3">
        <f t="shared" si="17"/>
        <v>16.128547579298832</v>
      </c>
      <c r="L152" s="12" t="str">
        <f t="shared" si="18"/>
        <v/>
      </c>
      <c r="M152" s="12" t="str">
        <f t="shared" si="19"/>
        <v/>
      </c>
    </row>
    <row r="153" spans="1:13" ht="31.5">
      <c r="A153" s="3">
        <v>144</v>
      </c>
      <c r="B153" s="11" t="s">
        <v>71</v>
      </c>
      <c r="C153" s="3">
        <v>3</v>
      </c>
      <c r="D153" s="3">
        <v>7</v>
      </c>
      <c r="E153" s="11" t="s">
        <v>215</v>
      </c>
      <c r="F153" s="3">
        <v>32</v>
      </c>
      <c r="G153" s="3">
        <f t="shared" si="20"/>
        <v>5</v>
      </c>
      <c r="H153" s="3">
        <f t="shared" si="14"/>
        <v>50.45</v>
      </c>
      <c r="I153" s="3">
        <f t="shared" si="15"/>
        <v>93.345073349199026</v>
      </c>
      <c r="J153" s="3">
        <f t="shared" si="16"/>
        <v>52.691964941569282</v>
      </c>
      <c r="K153" s="3">
        <f t="shared" si="17"/>
        <v>16.128547579298832</v>
      </c>
      <c r="L153" s="12" t="str">
        <f t="shared" si="18"/>
        <v/>
      </c>
      <c r="M153" s="12" t="str">
        <f t="shared" si="19"/>
        <v/>
      </c>
    </row>
    <row r="154" spans="1:13" ht="31.5">
      <c r="A154" s="3">
        <v>145</v>
      </c>
      <c r="B154" s="11" t="s">
        <v>71</v>
      </c>
      <c r="C154" s="3">
        <v>3</v>
      </c>
      <c r="D154" s="3">
        <v>6</v>
      </c>
      <c r="E154" s="11" t="s">
        <v>216</v>
      </c>
      <c r="F154" s="3">
        <v>32</v>
      </c>
      <c r="G154" s="3">
        <f t="shared" si="20"/>
        <v>0</v>
      </c>
      <c r="H154" s="3">
        <f t="shared" si="14"/>
        <v>50.45</v>
      </c>
      <c r="I154" s="3">
        <f t="shared" si="15"/>
        <v>93.345073349199026</v>
      </c>
      <c r="J154" s="3">
        <f t="shared" si="16"/>
        <v>52.691964941569282</v>
      </c>
      <c r="K154" s="3">
        <f t="shared" si="17"/>
        <v>16.128547579298832</v>
      </c>
      <c r="L154" s="12" t="str">
        <f t="shared" si="18"/>
        <v/>
      </c>
      <c r="M154" s="12" t="str">
        <f t="shared" si="19"/>
        <v/>
      </c>
    </row>
    <row r="155" spans="1:13" ht="31.5">
      <c r="A155" s="3">
        <v>146</v>
      </c>
      <c r="B155" s="11" t="s">
        <v>71</v>
      </c>
      <c r="C155" s="3">
        <v>3</v>
      </c>
      <c r="D155" s="3">
        <v>5</v>
      </c>
      <c r="E155" s="11" t="s">
        <v>217</v>
      </c>
      <c r="F155" s="3">
        <v>46</v>
      </c>
      <c r="G155" s="3">
        <f t="shared" si="20"/>
        <v>14</v>
      </c>
      <c r="H155" s="3">
        <f t="shared" si="14"/>
        <v>50.45</v>
      </c>
      <c r="I155" s="3">
        <f t="shared" si="15"/>
        <v>93.345073349199026</v>
      </c>
      <c r="J155" s="3">
        <f t="shared" si="16"/>
        <v>52.691964941569282</v>
      </c>
      <c r="K155" s="3">
        <f t="shared" si="17"/>
        <v>16.128547579298832</v>
      </c>
      <c r="L155" s="12" t="str">
        <f t="shared" si="18"/>
        <v/>
      </c>
      <c r="M155" s="12" t="str">
        <f t="shared" si="19"/>
        <v/>
      </c>
    </row>
    <row r="156" spans="1:13" ht="31.5">
      <c r="A156" s="3">
        <v>147</v>
      </c>
      <c r="B156" s="11" t="s">
        <v>71</v>
      </c>
      <c r="C156" s="3">
        <v>3</v>
      </c>
      <c r="D156" s="3">
        <v>4</v>
      </c>
      <c r="E156" s="11" t="s">
        <v>218</v>
      </c>
      <c r="F156" s="3">
        <v>37</v>
      </c>
      <c r="G156" s="3">
        <f t="shared" si="20"/>
        <v>9</v>
      </c>
      <c r="H156" s="3">
        <f t="shared" si="14"/>
        <v>50.45</v>
      </c>
      <c r="I156" s="3">
        <f t="shared" si="15"/>
        <v>93.345073349199026</v>
      </c>
      <c r="J156" s="3">
        <f t="shared" si="16"/>
        <v>52.691964941569282</v>
      </c>
      <c r="K156" s="3">
        <f t="shared" si="17"/>
        <v>16.128547579298832</v>
      </c>
      <c r="L156" s="12" t="str">
        <f t="shared" si="18"/>
        <v/>
      </c>
      <c r="M156" s="12" t="str">
        <f t="shared" si="19"/>
        <v/>
      </c>
    </row>
    <row r="157" spans="1:13" ht="31.5">
      <c r="A157" s="3">
        <v>148</v>
      </c>
      <c r="B157" s="11" t="s">
        <v>71</v>
      </c>
      <c r="C157" s="3">
        <v>3</v>
      </c>
      <c r="D157" s="3">
        <v>3</v>
      </c>
      <c r="E157" s="11" t="s">
        <v>219</v>
      </c>
      <c r="F157" s="3">
        <v>40</v>
      </c>
      <c r="G157" s="3">
        <f t="shared" si="20"/>
        <v>3</v>
      </c>
      <c r="H157" s="3">
        <f t="shared" si="14"/>
        <v>50.45</v>
      </c>
      <c r="I157" s="3">
        <f t="shared" si="15"/>
        <v>93.345073349199026</v>
      </c>
      <c r="J157" s="3">
        <f t="shared" si="16"/>
        <v>52.691964941569282</v>
      </c>
      <c r="K157" s="3">
        <f t="shared" si="17"/>
        <v>16.128547579298832</v>
      </c>
      <c r="L157" s="12" t="str">
        <f t="shared" si="18"/>
        <v/>
      </c>
      <c r="M157" s="12" t="str">
        <f t="shared" si="19"/>
        <v/>
      </c>
    </row>
    <row r="158" spans="1:13" ht="31.5">
      <c r="A158" s="3">
        <v>149</v>
      </c>
      <c r="B158" s="11" t="s">
        <v>71</v>
      </c>
      <c r="C158" s="3">
        <v>3</v>
      </c>
      <c r="D158" s="3">
        <v>2</v>
      </c>
      <c r="E158" s="11" t="s">
        <v>220</v>
      </c>
      <c r="F158" s="3">
        <v>31</v>
      </c>
      <c r="G158" s="3">
        <f t="shared" si="20"/>
        <v>9</v>
      </c>
      <c r="H158" s="3">
        <f t="shared" si="14"/>
        <v>50.45</v>
      </c>
      <c r="I158" s="3">
        <f t="shared" si="15"/>
        <v>93.345073349199026</v>
      </c>
      <c r="J158" s="3">
        <f t="shared" si="16"/>
        <v>52.691964941569282</v>
      </c>
      <c r="K158" s="3">
        <f t="shared" si="17"/>
        <v>16.128547579298832</v>
      </c>
      <c r="L158" s="12" t="str">
        <f t="shared" si="18"/>
        <v/>
      </c>
      <c r="M158" s="12" t="str">
        <f t="shared" si="19"/>
        <v/>
      </c>
    </row>
    <row r="159" spans="1:13" ht="31.5">
      <c r="A159" s="3">
        <v>150</v>
      </c>
      <c r="B159" s="11" t="s">
        <v>71</v>
      </c>
      <c r="C159" s="3">
        <v>3</v>
      </c>
      <c r="D159" s="3">
        <v>1</v>
      </c>
      <c r="E159" s="11" t="s">
        <v>221</v>
      </c>
      <c r="F159" s="3">
        <v>29</v>
      </c>
      <c r="G159" s="3">
        <f t="shared" si="20"/>
        <v>2</v>
      </c>
      <c r="H159" s="3">
        <f t="shared" si="14"/>
        <v>50.45</v>
      </c>
      <c r="I159" s="3">
        <f t="shared" si="15"/>
        <v>93.345073349199026</v>
      </c>
      <c r="J159" s="3">
        <f t="shared" si="16"/>
        <v>52.691964941569282</v>
      </c>
      <c r="K159" s="3">
        <f t="shared" si="17"/>
        <v>16.128547579298832</v>
      </c>
      <c r="L159" s="12" t="str">
        <f t="shared" si="18"/>
        <v/>
      </c>
      <c r="M159" s="12" t="str">
        <f t="shared" si="19"/>
        <v/>
      </c>
    </row>
    <row r="160" spans="1:13" ht="31.5">
      <c r="A160" s="3">
        <v>151</v>
      </c>
      <c r="B160" s="11" t="s">
        <v>71</v>
      </c>
      <c r="C160" s="3">
        <v>4</v>
      </c>
      <c r="D160" s="3">
        <v>25</v>
      </c>
      <c r="E160" s="11" t="s">
        <v>222</v>
      </c>
      <c r="F160" s="3">
        <v>21</v>
      </c>
      <c r="G160" s="3">
        <f t="shared" si="20"/>
        <v>8</v>
      </c>
      <c r="H160" s="3">
        <f t="shared" si="14"/>
        <v>50.45</v>
      </c>
      <c r="I160" s="3">
        <f t="shared" si="15"/>
        <v>93.345073349199026</v>
      </c>
      <c r="J160" s="3">
        <f t="shared" si="16"/>
        <v>52.691964941569282</v>
      </c>
      <c r="K160" s="3">
        <f t="shared" si="17"/>
        <v>16.128547579298832</v>
      </c>
      <c r="L160" s="12" t="str">
        <f t="shared" si="18"/>
        <v/>
      </c>
      <c r="M160" s="12" t="str">
        <f t="shared" si="19"/>
        <v/>
      </c>
    </row>
    <row r="161" spans="1:13" ht="31.5">
      <c r="A161" s="3">
        <v>152</v>
      </c>
      <c r="B161" s="11" t="s">
        <v>71</v>
      </c>
      <c r="C161" s="3">
        <v>4</v>
      </c>
      <c r="D161" s="3">
        <v>24</v>
      </c>
      <c r="E161" s="11" t="s">
        <v>223</v>
      </c>
      <c r="F161" s="3">
        <v>54</v>
      </c>
      <c r="G161" s="3">
        <f t="shared" si="20"/>
        <v>33</v>
      </c>
      <c r="H161" s="3">
        <f t="shared" si="14"/>
        <v>50.45</v>
      </c>
      <c r="I161" s="3">
        <f t="shared" si="15"/>
        <v>93.345073349199026</v>
      </c>
      <c r="J161" s="3">
        <f t="shared" si="16"/>
        <v>52.691964941569282</v>
      </c>
      <c r="K161" s="3">
        <f t="shared" si="17"/>
        <v>16.128547579298832</v>
      </c>
      <c r="L161" s="12" t="str">
        <f t="shared" si="18"/>
        <v/>
      </c>
      <c r="M161" s="12" t="str">
        <f t="shared" si="19"/>
        <v/>
      </c>
    </row>
    <row r="162" spans="1:13" ht="31.5">
      <c r="A162" s="3">
        <v>153</v>
      </c>
      <c r="B162" s="11" t="s">
        <v>71</v>
      </c>
      <c r="C162" s="3">
        <v>4</v>
      </c>
      <c r="D162" s="3">
        <v>23</v>
      </c>
      <c r="E162" s="11" t="s">
        <v>224</v>
      </c>
      <c r="F162" s="3">
        <v>72</v>
      </c>
      <c r="G162" s="3">
        <f t="shared" si="20"/>
        <v>18</v>
      </c>
      <c r="H162" s="3">
        <f t="shared" si="14"/>
        <v>50.45</v>
      </c>
      <c r="I162" s="3">
        <f t="shared" si="15"/>
        <v>93.345073349199026</v>
      </c>
      <c r="J162" s="3">
        <f t="shared" si="16"/>
        <v>52.691964941569282</v>
      </c>
      <c r="K162" s="3">
        <f t="shared" si="17"/>
        <v>16.128547579298832</v>
      </c>
      <c r="L162" s="12" t="str">
        <f t="shared" si="18"/>
        <v/>
      </c>
      <c r="M162" s="12" t="str">
        <f t="shared" si="19"/>
        <v/>
      </c>
    </row>
    <row r="163" spans="1:13" ht="31.5">
      <c r="A163" s="3">
        <v>154</v>
      </c>
      <c r="B163" s="11" t="s">
        <v>71</v>
      </c>
      <c r="C163" s="3">
        <v>4</v>
      </c>
      <c r="D163" s="3">
        <v>22</v>
      </c>
      <c r="E163" s="11" t="s">
        <v>225</v>
      </c>
      <c r="F163" s="3">
        <v>80</v>
      </c>
      <c r="G163" s="3">
        <f t="shared" si="20"/>
        <v>8</v>
      </c>
      <c r="H163" s="3">
        <f t="shared" si="14"/>
        <v>50.45</v>
      </c>
      <c r="I163" s="3">
        <f t="shared" si="15"/>
        <v>93.345073349199026</v>
      </c>
      <c r="J163" s="3">
        <f t="shared" si="16"/>
        <v>52.691964941569282</v>
      </c>
      <c r="K163" s="3">
        <f t="shared" si="17"/>
        <v>16.128547579298832</v>
      </c>
      <c r="L163" s="12" t="str">
        <f t="shared" si="18"/>
        <v/>
      </c>
      <c r="M163" s="12" t="str">
        <f t="shared" si="19"/>
        <v/>
      </c>
    </row>
    <row r="164" spans="1:13" ht="31.5">
      <c r="A164" s="3">
        <v>155</v>
      </c>
      <c r="B164" s="11" t="s">
        <v>71</v>
      </c>
      <c r="C164" s="3">
        <v>4</v>
      </c>
      <c r="D164" s="3">
        <v>21</v>
      </c>
      <c r="E164" s="11" t="s">
        <v>226</v>
      </c>
      <c r="F164" s="3">
        <v>81</v>
      </c>
      <c r="G164" s="3">
        <f t="shared" si="20"/>
        <v>1</v>
      </c>
      <c r="H164" s="3">
        <f t="shared" si="14"/>
        <v>50.45</v>
      </c>
      <c r="I164" s="3">
        <f t="shared" si="15"/>
        <v>93.345073349199026</v>
      </c>
      <c r="J164" s="3">
        <f t="shared" si="16"/>
        <v>52.691964941569282</v>
      </c>
      <c r="K164" s="3">
        <f t="shared" si="17"/>
        <v>16.128547579298832</v>
      </c>
      <c r="L164" s="12" t="str">
        <f t="shared" si="18"/>
        <v/>
      </c>
      <c r="M164" s="12" t="str">
        <f t="shared" si="19"/>
        <v/>
      </c>
    </row>
    <row r="165" spans="1:13" ht="31.5">
      <c r="A165" s="3">
        <v>156</v>
      </c>
      <c r="B165" s="11" t="s">
        <v>71</v>
      </c>
      <c r="C165" s="3">
        <v>4</v>
      </c>
      <c r="D165" s="3">
        <v>20</v>
      </c>
      <c r="E165" s="11" t="s">
        <v>227</v>
      </c>
      <c r="F165" s="3">
        <v>87</v>
      </c>
      <c r="G165" s="3">
        <f t="shared" si="20"/>
        <v>6</v>
      </c>
      <c r="H165" s="3">
        <f t="shared" si="14"/>
        <v>50.45</v>
      </c>
      <c r="I165" s="3">
        <f t="shared" si="15"/>
        <v>93.345073349199026</v>
      </c>
      <c r="J165" s="3">
        <f t="shared" si="16"/>
        <v>52.691964941569282</v>
      </c>
      <c r="K165" s="3">
        <f t="shared" si="17"/>
        <v>16.128547579298832</v>
      </c>
      <c r="L165" s="12" t="str">
        <f t="shared" si="18"/>
        <v/>
      </c>
      <c r="M165" s="12" t="str">
        <f t="shared" si="19"/>
        <v/>
      </c>
    </row>
    <row r="166" spans="1:13" ht="31.5">
      <c r="A166" s="3">
        <v>157</v>
      </c>
      <c r="B166" s="11" t="s">
        <v>71</v>
      </c>
      <c r="C166" s="3">
        <v>4</v>
      </c>
      <c r="D166" s="3">
        <v>19</v>
      </c>
      <c r="E166" s="11" t="s">
        <v>228</v>
      </c>
      <c r="F166" s="3">
        <v>83</v>
      </c>
      <c r="G166" s="3">
        <f t="shared" si="20"/>
        <v>4</v>
      </c>
      <c r="H166" s="3">
        <f t="shared" si="14"/>
        <v>50.45</v>
      </c>
      <c r="I166" s="3">
        <f t="shared" si="15"/>
        <v>93.345073349199026</v>
      </c>
      <c r="J166" s="3">
        <f t="shared" si="16"/>
        <v>52.691964941569282</v>
      </c>
      <c r="K166" s="3">
        <f t="shared" si="17"/>
        <v>16.128547579298832</v>
      </c>
      <c r="L166" s="12" t="str">
        <f t="shared" si="18"/>
        <v/>
      </c>
      <c r="M166" s="12" t="str">
        <f t="shared" si="19"/>
        <v/>
      </c>
    </row>
    <row r="167" spans="1:13" ht="31.5">
      <c r="A167" s="3">
        <v>158</v>
      </c>
      <c r="B167" s="11" t="s">
        <v>71</v>
      </c>
      <c r="C167" s="3">
        <v>4</v>
      </c>
      <c r="D167" s="3">
        <v>18</v>
      </c>
      <c r="E167" s="11" t="s">
        <v>229</v>
      </c>
      <c r="F167" s="3">
        <v>72</v>
      </c>
      <c r="G167" s="3">
        <f t="shared" si="20"/>
        <v>11</v>
      </c>
      <c r="H167" s="3">
        <f t="shared" si="14"/>
        <v>50.45</v>
      </c>
      <c r="I167" s="3">
        <f t="shared" si="15"/>
        <v>93.345073349199026</v>
      </c>
      <c r="J167" s="3">
        <f t="shared" si="16"/>
        <v>52.691964941569282</v>
      </c>
      <c r="K167" s="3">
        <f t="shared" si="17"/>
        <v>16.128547579298832</v>
      </c>
      <c r="L167" s="12" t="str">
        <f t="shared" si="18"/>
        <v/>
      </c>
      <c r="M167" s="12" t="str">
        <f t="shared" si="19"/>
        <v/>
      </c>
    </row>
    <row r="168" spans="1:13" ht="31.5">
      <c r="A168" s="3">
        <v>159</v>
      </c>
      <c r="B168" s="11" t="s">
        <v>71</v>
      </c>
      <c r="C168" s="3">
        <v>4</v>
      </c>
      <c r="D168" s="3">
        <v>17</v>
      </c>
      <c r="E168" s="11" t="s">
        <v>230</v>
      </c>
      <c r="F168" s="3">
        <v>69</v>
      </c>
      <c r="G168" s="3">
        <f t="shared" si="20"/>
        <v>3</v>
      </c>
      <c r="H168" s="3">
        <f t="shared" si="14"/>
        <v>50.45</v>
      </c>
      <c r="I168" s="3">
        <f t="shared" si="15"/>
        <v>93.345073349199026</v>
      </c>
      <c r="J168" s="3">
        <f t="shared" si="16"/>
        <v>52.691964941569282</v>
      </c>
      <c r="K168" s="3">
        <f t="shared" si="17"/>
        <v>16.128547579298832</v>
      </c>
      <c r="L168" s="12" t="str">
        <f t="shared" si="18"/>
        <v/>
      </c>
      <c r="M168" s="12" t="str">
        <f t="shared" si="19"/>
        <v/>
      </c>
    </row>
    <row r="169" spans="1:13" ht="31.5">
      <c r="A169" s="3">
        <v>160</v>
      </c>
      <c r="B169" s="11" t="s">
        <v>71</v>
      </c>
      <c r="C169" s="3">
        <v>4</v>
      </c>
      <c r="D169" s="3">
        <v>16</v>
      </c>
      <c r="E169" s="11" t="s">
        <v>231</v>
      </c>
      <c r="F169" s="3">
        <v>85</v>
      </c>
      <c r="G169" s="3">
        <f t="shared" si="20"/>
        <v>16</v>
      </c>
      <c r="H169" s="3">
        <f t="shared" si="14"/>
        <v>50.45</v>
      </c>
      <c r="I169" s="3">
        <f t="shared" si="15"/>
        <v>93.345073349199026</v>
      </c>
      <c r="J169" s="3">
        <f t="shared" si="16"/>
        <v>52.691964941569282</v>
      </c>
      <c r="K169" s="3">
        <f t="shared" si="17"/>
        <v>16.128547579298832</v>
      </c>
      <c r="L169" s="12" t="str">
        <f t="shared" si="18"/>
        <v/>
      </c>
      <c r="M169" s="12" t="str">
        <f t="shared" si="19"/>
        <v/>
      </c>
    </row>
    <row r="170" spans="1:13" ht="31.5">
      <c r="A170" s="3">
        <v>161</v>
      </c>
      <c r="B170" s="11" t="s">
        <v>71</v>
      </c>
      <c r="C170" s="3">
        <v>4</v>
      </c>
      <c r="D170" s="3">
        <v>15</v>
      </c>
      <c r="E170" s="11" t="s">
        <v>232</v>
      </c>
      <c r="F170" s="3">
        <v>200</v>
      </c>
      <c r="G170" s="3">
        <f t="shared" si="20"/>
        <v>115</v>
      </c>
      <c r="H170" s="3">
        <f t="shared" si="14"/>
        <v>50.45</v>
      </c>
      <c r="I170" s="3">
        <f t="shared" si="15"/>
        <v>93.345073349199026</v>
      </c>
      <c r="J170" s="3">
        <f t="shared" si="16"/>
        <v>52.691964941569282</v>
      </c>
      <c r="K170" s="3">
        <f t="shared" si="17"/>
        <v>16.128547579298832</v>
      </c>
      <c r="L170" s="12" t="str">
        <f t="shared" si="18"/>
        <v>OOC</v>
      </c>
      <c r="M170" s="12" t="str">
        <f t="shared" si="19"/>
        <v/>
      </c>
    </row>
    <row r="171" spans="1:13" ht="31.5">
      <c r="A171" s="3">
        <v>162</v>
      </c>
      <c r="B171" s="11" t="s">
        <v>71</v>
      </c>
      <c r="C171" s="3">
        <v>4</v>
      </c>
      <c r="D171" s="3">
        <v>14</v>
      </c>
      <c r="E171" s="11" t="s">
        <v>233</v>
      </c>
      <c r="F171" s="3">
        <v>52</v>
      </c>
      <c r="G171" s="3">
        <f t="shared" si="20"/>
        <v>148</v>
      </c>
      <c r="H171" s="3">
        <f t="shared" si="14"/>
        <v>50.45</v>
      </c>
      <c r="I171" s="3">
        <f t="shared" si="15"/>
        <v>93.345073349199026</v>
      </c>
      <c r="J171" s="3">
        <f t="shared" si="16"/>
        <v>52.691964941569282</v>
      </c>
      <c r="K171" s="3">
        <f t="shared" si="17"/>
        <v>16.128547579298832</v>
      </c>
      <c r="L171" s="12" t="str">
        <f t="shared" si="18"/>
        <v/>
      </c>
      <c r="M171" s="12" t="str">
        <f t="shared" si="19"/>
        <v/>
      </c>
    </row>
    <row r="172" spans="1:13" ht="31.5">
      <c r="A172" s="3">
        <v>163</v>
      </c>
      <c r="B172" s="11" t="s">
        <v>71</v>
      </c>
      <c r="C172" s="3">
        <v>4</v>
      </c>
      <c r="D172" s="3">
        <v>13</v>
      </c>
      <c r="E172" s="11" t="s">
        <v>234</v>
      </c>
      <c r="F172" s="3">
        <v>46</v>
      </c>
      <c r="G172" s="3">
        <f t="shared" si="20"/>
        <v>6</v>
      </c>
      <c r="H172" s="3">
        <f t="shared" si="14"/>
        <v>50.45</v>
      </c>
      <c r="I172" s="3">
        <f t="shared" si="15"/>
        <v>93.345073349199026</v>
      </c>
      <c r="J172" s="3">
        <f t="shared" si="16"/>
        <v>52.691964941569282</v>
      </c>
      <c r="K172" s="3">
        <f t="shared" si="17"/>
        <v>16.128547579298832</v>
      </c>
      <c r="L172" s="12" t="str">
        <f t="shared" si="18"/>
        <v/>
      </c>
      <c r="M172" s="12" t="str">
        <f t="shared" si="19"/>
        <v/>
      </c>
    </row>
    <row r="173" spans="1:13" ht="31.5">
      <c r="A173" s="3">
        <v>164</v>
      </c>
      <c r="B173" s="11" t="s">
        <v>71</v>
      </c>
      <c r="C173" s="3">
        <v>4</v>
      </c>
      <c r="D173" s="3">
        <v>12</v>
      </c>
      <c r="E173" s="11" t="s">
        <v>235</v>
      </c>
      <c r="F173" s="3">
        <v>93</v>
      </c>
      <c r="G173" s="3">
        <f t="shared" si="20"/>
        <v>47</v>
      </c>
      <c r="H173" s="3">
        <f t="shared" si="14"/>
        <v>50.45</v>
      </c>
      <c r="I173" s="3">
        <f t="shared" si="15"/>
        <v>93.345073349199026</v>
      </c>
      <c r="J173" s="3">
        <f t="shared" si="16"/>
        <v>52.691964941569282</v>
      </c>
      <c r="K173" s="3">
        <f t="shared" si="17"/>
        <v>16.128547579298832</v>
      </c>
      <c r="L173" s="12" t="str">
        <f t="shared" si="18"/>
        <v/>
      </c>
      <c r="M173" s="12" t="str">
        <f t="shared" si="19"/>
        <v/>
      </c>
    </row>
    <row r="174" spans="1:13" ht="31.5">
      <c r="A174" s="3">
        <v>165</v>
      </c>
      <c r="B174" s="11" t="s">
        <v>71</v>
      </c>
      <c r="C174" s="3">
        <v>4</v>
      </c>
      <c r="D174" s="3">
        <v>11</v>
      </c>
      <c r="E174" s="11" t="s">
        <v>236</v>
      </c>
      <c r="F174" s="3">
        <v>72</v>
      </c>
      <c r="G174" s="3">
        <f t="shared" si="20"/>
        <v>21</v>
      </c>
      <c r="H174" s="3">
        <f t="shared" si="14"/>
        <v>50.45</v>
      </c>
      <c r="I174" s="3">
        <f t="shared" si="15"/>
        <v>93.345073349199026</v>
      </c>
      <c r="J174" s="3">
        <f t="shared" si="16"/>
        <v>52.691964941569282</v>
      </c>
      <c r="K174" s="3">
        <f t="shared" si="17"/>
        <v>16.128547579298832</v>
      </c>
      <c r="L174" s="12" t="str">
        <f t="shared" si="18"/>
        <v/>
      </c>
      <c r="M174" s="12" t="str">
        <f t="shared" si="19"/>
        <v/>
      </c>
    </row>
    <row r="175" spans="1:13" ht="31.5">
      <c r="A175" s="3">
        <v>166</v>
      </c>
      <c r="B175" s="11" t="s">
        <v>71</v>
      </c>
      <c r="C175" s="3">
        <v>4</v>
      </c>
      <c r="D175" s="3">
        <v>10</v>
      </c>
      <c r="E175" s="11" t="s">
        <v>237</v>
      </c>
      <c r="F175" s="3">
        <v>36</v>
      </c>
      <c r="G175" s="3">
        <f t="shared" si="20"/>
        <v>36</v>
      </c>
      <c r="H175" s="3">
        <f t="shared" si="14"/>
        <v>50.45</v>
      </c>
      <c r="I175" s="3">
        <f t="shared" si="15"/>
        <v>93.345073349199026</v>
      </c>
      <c r="J175" s="3">
        <f t="shared" si="16"/>
        <v>52.691964941569282</v>
      </c>
      <c r="K175" s="3">
        <f t="shared" si="17"/>
        <v>16.128547579298832</v>
      </c>
      <c r="L175" s="12" t="str">
        <f t="shared" si="18"/>
        <v/>
      </c>
      <c r="M175" s="12" t="str">
        <f t="shared" si="19"/>
        <v/>
      </c>
    </row>
    <row r="176" spans="1:13" ht="31.5">
      <c r="A176" s="3">
        <v>167</v>
      </c>
      <c r="B176" s="11" t="s">
        <v>71</v>
      </c>
      <c r="C176" s="3">
        <v>4</v>
      </c>
      <c r="D176" s="3">
        <v>9</v>
      </c>
      <c r="E176" s="11" t="s">
        <v>238</v>
      </c>
      <c r="F176" s="3">
        <v>32</v>
      </c>
      <c r="G176" s="3">
        <f t="shared" si="20"/>
        <v>4</v>
      </c>
      <c r="H176" s="3">
        <f t="shared" si="14"/>
        <v>50.45</v>
      </c>
      <c r="I176" s="3">
        <f t="shared" si="15"/>
        <v>93.345073349199026</v>
      </c>
      <c r="J176" s="3">
        <f t="shared" si="16"/>
        <v>52.691964941569282</v>
      </c>
      <c r="K176" s="3">
        <f t="shared" si="17"/>
        <v>16.128547579298832</v>
      </c>
      <c r="L176" s="12" t="str">
        <f t="shared" si="18"/>
        <v/>
      </c>
      <c r="M176" s="12" t="str">
        <f t="shared" si="19"/>
        <v/>
      </c>
    </row>
    <row r="177" spans="1:13" ht="31.5">
      <c r="A177" s="3">
        <v>168</v>
      </c>
      <c r="B177" s="11" t="s">
        <v>71</v>
      </c>
      <c r="C177" s="3">
        <v>4</v>
      </c>
      <c r="D177" s="3">
        <v>8</v>
      </c>
      <c r="E177" s="11" t="s">
        <v>239</v>
      </c>
      <c r="F177" s="3">
        <v>26</v>
      </c>
      <c r="G177" s="3">
        <f t="shared" si="20"/>
        <v>6</v>
      </c>
      <c r="H177" s="3">
        <f t="shared" si="14"/>
        <v>50.45</v>
      </c>
      <c r="I177" s="3">
        <f t="shared" si="15"/>
        <v>93.345073349199026</v>
      </c>
      <c r="J177" s="3">
        <f t="shared" si="16"/>
        <v>52.691964941569282</v>
      </c>
      <c r="K177" s="3">
        <f t="shared" si="17"/>
        <v>16.128547579298832</v>
      </c>
      <c r="L177" s="12" t="str">
        <f t="shared" si="18"/>
        <v/>
      </c>
      <c r="M177" s="12" t="str">
        <f t="shared" si="19"/>
        <v/>
      </c>
    </row>
    <row r="178" spans="1:13" ht="31.5">
      <c r="A178" s="3">
        <v>169</v>
      </c>
      <c r="B178" s="11" t="s">
        <v>71</v>
      </c>
      <c r="C178" s="3">
        <v>4</v>
      </c>
      <c r="D178" s="3">
        <v>7</v>
      </c>
      <c r="E178" s="11" t="s">
        <v>240</v>
      </c>
      <c r="F178" s="3">
        <v>30</v>
      </c>
      <c r="G178" s="3">
        <f t="shared" si="20"/>
        <v>4</v>
      </c>
      <c r="H178" s="3">
        <f t="shared" si="14"/>
        <v>50.45</v>
      </c>
      <c r="I178" s="3">
        <f t="shared" si="15"/>
        <v>93.345073349199026</v>
      </c>
      <c r="J178" s="3">
        <f t="shared" si="16"/>
        <v>52.691964941569282</v>
      </c>
      <c r="K178" s="3">
        <f t="shared" si="17"/>
        <v>16.128547579298832</v>
      </c>
      <c r="L178" s="12" t="str">
        <f t="shared" si="18"/>
        <v/>
      </c>
      <c r="M178" s="12" t="str">
        <f t="shared" si="19"/>
        <v/>
      </c>
    </row>
    <row r="179" spans="1:13" ht="31.5">
      <c r="A179" s="3">
        <v>170</v>
      </c>
      <c r="B179" s="11" t="s">
        <v>71</v>
      </c>
      <c r="C179" s="3">
        <v>4</v>
      </c>
      <c r="D179" s="3">
        <v>6</v>
      </c>
      <c r="E179" s="11" t="s">
        <v>241</v>
      </c>
      <c r="F179" s="3">
        <v>27</v>
      </c>
      <c r="G179" s="3">
        <f t="shared" si="20"/>
        <v>3</v>
      </c>
      <c r="H179" s="3">
        <f t="shared" si="14"/>
        <v>50.45</v>
      </c>
      <c r="I179" s="3">
        <f t="shared" si="15"/>
        <v>93.345073349199026</v>
      </c>
      <c r="J179" s="3">
        <f t="shared" si="16"/>
        <v>52.691964941569282</v>
      </c>
      <c r="K179" s="3">
        <f t="shared" si="17"/>
        <v>16.128547579298832</v>
      </c>
      <c r="L179" s="12" t="str">
        <f t="shared" si="18"/>
        <v/>
      </c>
      <c r="M179" s="12" t="str">
        <f t="shared" si="19"/>
        <v/>
      </c>
    </row>
    <row r="180" spans="1:13" ht="31.5">
      <c r="A180" s="3">
        <v>171</v>
      </c>
      <c r="B180" s="11" t="s">
        <v>71</v>
      </c>
      <c r="C180" s="3">
        <v>4</v>
      </c>
      <c r="D180" s="3">
        <v>5</v>
      </c>
      <c r="E180" s="11" t="s">
        <v>242</v>
      </c>
      <c r="F180" s="3">
        <v>31</v>
      </c>
      <c r="G180" s="3">
        <f t="shared" si="20"/>
        <v>4</v>
      </c>
      <c r="H180" s="3">
        <f t="shared" si="14"/>
        <v>50.45</v>
      </c>
      <c r="I180" s="3">
        <f t="shared" si="15"/>
        <v>93.345073349199026</v>
      </c>
      <c r="J180" s="3">
        <f t="shared" si="16"/>
        <v>52.691964941569282</v>
      </c>
      <c r="K180" s="3">
        <f t="shared" si="17"/>
        <v>16.128547579298832</v>
      </c>
      <c r="L180" s="12" t="str">
        <f t="shared" si="18"/>
        <v/>
      </c>
      <c r="M180" s="12" t="str">
        <f t="shared" si="19"/>
        <v/>
      </c>
    </row>
    <row r="181" spans="1:13" ht="31.5">
      <c r="A181" s="3">
        <v>172</v>
      </c>
      <c r="B181" s="11" t="s">
        <v>71</v>
      </c>
      <c r="C181" s="3">
        <v>4</v>
      </c>
      <c r="D181" s="3">
        <v>4</v>
      </c>
      <c r="E181" s="11" t="s">
        <v>243</v>
      </c>
      <c r="F181" s="3">
        <v>50</v>
      </c>
      <c r="G181" s="3">
        <f t="shared" si="20"/>
        <v>19</v>
      </c>
      <c r="H181" s="3">
        <f t="shared" si="14"/>
        <v>50.45</v>
      </c>
      <c r="I181" s="3">
        <f t="shared" si="15"/>
        <v>93.345073349199026</v>
      </c>
      <c r="J181" s="3">
        <f t="shared" si="16"/>
        <v>52.691964941569282</v>
      </c>
      <c r="K181" s="3">
        <f t="shared" si="17"/>
        <v>16.128547579298832</v>
      </c>
      <c r="L181" s="12" t="str">
        <f t="shared" si="18"/>
        <v/>
      </c>
      <c r="M181" s="12" t="str">
        <f t="shared" si="19"/>
        <v/>
      </c>
    </row>
    <row r="182" spans="1:13" ht="31.5">
      <c r="A182" s="3">
        <v>173</v>
      </c>
      <c r="B182" s="11" t="s">
        <v>71</v>
      </c>
      <c r="C182" s="3">
        <v>4</v>
      </c>
      <c r="D182" s="3">
        <v>3</v>
      </c>
      <c r="E182" s="11" t="s">
        <v>244</v>
      </c>
      <c r="F182" s="3">
        <v>26</v>
      </c>
      <c r="G182" s="3">
        <f t="shared" si="20"/>
        <v>24</v>
      </c>
      <c r="H182" s="3">
        <f t="shared" si="14"/>
        <v>50.45</v>
      </c>
      <c r="I182" s="3">
        <f t="shared" si="15"/>
        <v>93.345073349199026</v>
      </c>
      <c r="J182" s="3">
        <f t="shared" si="16"/>
        <v>52.691964941569282</v>
      </c>
      <c r="K182" s="3">
        <f t="shared" si="17"/>
        <v>16.128547579298832</v>
      </c>
      <c r="L182" s="12" t="str">
        <f t="shared" si="18"/>
        <v/>
      </c>
      <c r="M182" s="12" t="str">
        <f t="shared" si="19"/>
        <v/>
      </c>
    </row>
    <row r="183" spans="1:13" ht="31.5">
      <c r="A183" s="3">
        <v>174</v>
      </c>
      <c r="B183" s="11" t="s">
        <v>71</v>
      </c>
      <c r="C183" s="3">
        <v>4</v>
      </c>
      <c r="D183" s="3">
        <v>2</v>
      </c>
      <c r="E183" s="11" t="s">
        <v>245</v>
      </c>
      <c r="F183" s="3">
        <v>36</v>
      </c>
      <c r="G183" s="3">
        <f t="shared" si="20"/>
        <v>10</v>
      </c>
      <c r="H183" s="3">
        <f t="shared" si="14"/>
        <v>50.45</v>
      </c>
      <c r="I183" s="3">
        <f t="shared" si="15"/>
        <v>93.345073349199026</v>
      </c>
      <c r="J183" s="3">
        <f t="shared" si="16"/>
        <v>52.691964941569282</v>
      </c>
      <c r="K183" s="3">
        <f t="shared" si="17"/>
        <v>16.128547579298832</v>
      </c>
      <c r="L183" s="12" t="str">
        <f t="shared" si="18"/>
        <v/>
      </c>
      <c r="M183" s="12" t="str">
        <f t="shared" si="19"/>
        <v/>
      </c>
    </row>
    <row r="184" spans="1:13" ht="31.5">
      <c r="A184" s="3">
        <v>175</v>
      </c>
      <c r="B184" s="11" t="s">
        <v>71</v>
      </c>
      <c r="C184" s="3">
        <v>4</v>
      </c>
      <c r="D184" s="3">
        <v>1</v>
      </c>
      <c r="E184" s="11" t="s">
        <v>246</v>
      </c>
      <c r="F184" s="3">
        <v>36</v>
      </c>
      <c r="G184" s="3">
        <f t="shared" si="20"/>
        <v>0</v>
      </c>
      <c r="H184" s="3">
        <f t="shared" si="14"/>
        <v>50.45</v>
      </c>
      <c r="I184" s="3">
        <f t="shared" si="15"/>
        <v>93.345073349199026</v>
      </c>
      <c r="J184" s="3">
        <f t="shared" si="16"/>
        <v>52.691964941569282</v>
      </c>
      <c r="K184" s="3">
        <f t="shared" si="17"/>
        <v>16.128547579298832</v>
      </c>
      <c r="L184" s="12" t="str">
        <f t="shared" si="18"/>
        <v/>
      </c>
      <c r="M184" s="12" t="str">
        <f t="shared" si="19"/>
        <v/>
      </c>
    </row>
    <row r="185" spans="1:13" ht="31.5">
      <c r="A185" s="3">
        <v>176</v>
      </c>
      <c r="B185" s="11" t="s">
        <v>71</v>
      </c>
      <c r="C185" s="3">
        <v>4</v>
      </c>
      <c r="D185" s="3">
        <v>25</v>
      </c>
      <c r="E185" s="11" t="s">
        <v>247</v>
      </c>
      <c r="F185" s="3">
        <v>15</v>
      </c>
      <c r="G185" s="3">
        <f t="shared" si="20"/>
        <v>21</v>
      </c>
      <c r="H185" s="3">
        <f t="shared" si="14"/>
        <v>50.45</v>
      </c>
      <c r="I185" s="3">
        <f t="shared" si="15"/>
        <v>93.345073349199026</v>
      </c>
      <c r="J185" s="3">
        <f t="shared" si="16"/>
        <v>52.691964941569282</v>
      </c>
      <c r="K185" s="3">
        <f t="shared" si="17"/>
        <v>16.128547579298832</v>
      </c>
      <c r="L185" s="12" t="str">
        <f t="shared" si="18"/>
        <v/>
      </c>
      <c r="M185" s="12" t="str">
        <f t="shared" si="19"/>
        <v/>
      </c>
    </row>
    <row r="186" spans="1:13" ht="31.5">
      <c r="A186" s="3">
        <v>177</v>
      </c>
      <c r="B186" s="11" t="s">
        <v>71</v>
      </c>
      <c r="C186" s="3">
        <v>4</v>
      </c>
      <c r="D186" s="3">
        <v>24</v>
      </c>
      <c r="E186" s="11" t="s">
        <v>248</v>
      </c>
      <c r="F186" s="3">
        <v>15</v>
      </c>
      <c r="G186" s="3">
        <f t="shared" si="20"/>
        <v>0</v>
      </c>
      <c r="H186" s="3">
        <f t="shared" si="14"/>
        <v>50.45</v>
      </c>
      <c r="I186" s="3">
        <f t="shared" si="15"/>
        <v>93.345073349199026</v>
      </c>
      <c r="J186" s="3">
        <f t="shared" si="16"/>
        <v>52.691964941569282</v>
      </c>
      <c r="K186" s="3">
        <f t="shared" si="17"/>
        <v>16.128547579298832</v>
      </c>
      <c r="L186" s="12" t="str">
        <f t="shared" si="18"/>
        <v/>
      </c>
      <c r="M186" s="12" t="str">
        <f t="shared" si="19"/>
        <v/>
      </c>
    </row>
    <row r="187" spans="1:13" ht="31.5">
      <c r="A187" s="3">
        <v>178</v>
      </c>
      <c r="B187" s="11" t="s">
        <v>71</v>
      </c>
      <c r="C187" s="3">
        <v>4</v>
      </c>
      <c r="D187" s="3">
        <v>23</v>
      </c>
      <c r="E187" s="11" t="s">
        <v>249</v>
      </c>
      <c r="F187" s="3">
        <v>53</v>
      </c>
      <c r="G187" s="3">
        <f t="shared" si="20"/>
        <v>38</v>
      </c>
      <c r="H187" s="3">
        <f t="shared" si="14"/>
        <v>50.45</v>
      </c>
      <c r="I187" s="3">
        <f t="shared" si="15"/>
        <v>93.345073349199026</v>
      </c>
      <c r="J187" s="3">
        <f t="shared" si="16"/>
        <v>52.691964941569282</v>
      </c>
      <c r="K187" s="3">
        <f t="shared" si="17"/>
        <v>16.128547579298832</v>
      </c>
      <c r="L187" s="12" t="str">
        <f t="shared" si="18"/>
        <v/>
      </c>
      <c r="M187" s="12" t="str">
        <f t="shared" si="19"/>
        <v/>
      </c>
    </row>
    <row r="188" spans="1:13" ht="31.5">
      <c r="A188" s="3">
        <v>179</v>
      </c>
      <c r="B188" s="11" t="s">
        <v>71</v>
      </c>
      <c r="C188" s="3">
        <v>4</v>
      </c>
      <c r="D188" s="3">
        <v>22</v>
      </c>
      <c r="E188" s="11" t="s">
        <v>250</v>
      </c>
      <c r="F188" s="3">
        <v>40</v>
      </c>
      <c r="G188" s="3">
        <f t="shared" si="20"/>
        <v>13</v>
      </c>
      <c r="H188" s="3">
        <f t="shared" si="14"/>
        <v>50.45</v>
      </c>
      <c r="I188" s="3">
        <f t="shared" si="15"/>
        <v>93.345073349199026</v>
      </c>
      <c r="J188" s="3">
        <f t="shared" si="16"/>
        <v>52.691964941569282</v>
      </c>
      <c r="K188" s="3">
        <f t="shared" si="17"/>
        <v>16.128547579298832</v>
      </c>
      <c r="L188" s="12" t="str">
        <f t="shared" si="18"/>
        <v/>
      </c>
      <c r="M188" s="12" t="str">
        <f t="shared" si="19"/>
        <v/>
      </c>
    </row>
    <row r="189" spans="1:13" ht="31.5">
      <c r="A189" s="3">
        <v>180</v>
      </c>
      <c r="B189" s="11" t="s">
        <v>71</v>
      </c>
      <c r="C189" s="3">
        <v>4</v>
      </c>
      <c r="D189" s="3">
        <v>21</v>
      </c>
      <c r="E189" s="11" t="s">
        <v>251</v>
      </c>
      <c r="F189" s="3">
        <v>41</v>
      </c>
      <c r="G189" s="3">
        <f t="shared" si="20"/>
        <v>1</v>
      </c>
      <c r="H189" s="3">
        <f t="shared" si="14"/>
        <v>50.45</v>
      </c>
      <c r="I189" s="3">
        <f t="shared" si="15"/>
        <v>93.345073349199026</v>
      </c>
      <c r="J189" s="3">
        <f t="shared" si="16"/>
        <v>52.691964941569282</v>
      </c>
      <c r="K189" s="3">
        <f t="shared" si="17"/>
        <v>16.128547579298832</v>
      </c>
      <c r="L189" s="12" t="str">
        <f t="shared" si="18"/>
        <v/>
      </c>
      <c r="M189" s="12" t="str">
        <f t="shared" si="19"/>
        <v/>
      </c>
    </row>
    <row r="190" spans="1:13" ht="31.5">
      <c r="A190" s="3">
        <v>181</v>
      </c>
      <c r="B190" s="11" t="s">
        <v>71</v>
      </c>
      <c r="C190" s="3">
        <v>4</v>
      </c>
      <c r="D190" s="3">
        <v>20</v>
      </c>
      <c r="E190" s="11" t="s">
        <v>252</v>
      </c>
      <c r="F190" s="3">
        <v>37</v>
      </c>
      <c r="G190" s="3">
        <f t="shared" si="20"/>
        <v>4</v>
      </c>
      <c r="H190" s="3">
        <f t="shared" si="14"/>
        <v>50.45</v>
      </c>
      <c r="I190" s="3">
        <f t="shared" si="15"/>
        <v>93.345073349199026</v>
      </c>
      <c r="J190" s="3">
        <f t="shared" si="16"/>
        <v>52.691964941569282</v>
      </c>
      <c r="K190" s="3">
        <f t="shared" si="17"/>
        <v>16.128547579298832</v>
      </c>
      <c r="L190" s="12" t="str">
        <f t="shared" si="18"/>
        <v/>
      </c>
      <c r="M190" s="12" t="str">
        <f t="shared" si="19"/>
        <v/>
      </c>
    </row>
    <row r="191" spans="1:13" ht="31.5">
      <c r="A191" s="3">
        <v>182</v>
      </c>
      <c r="B191" s="11" t="s">
        <v>71</v>
      </c>
      <c r="C191" s="3">
        <v>4</v>
      </c>
      <c r="D191" s="3">
        <v>19</v>
      </c>
      <c r="E191" s="11" t="s">
        <v>253</v>
      </c>
      <c r="F191" s="3">
        <v>37</v>
      </c>
      <c r="G191" s="3">
        <f t="shared" si="20"/>
        <v>0</v>
      </c>
      <c r="H191" s="3">
        <f t="shared" si="14"/>
        <v>50.45</v>
      </c>
      <c r="I191" s="3">
        <f t="shared" si="15"/>
        <v>93.345073349199026</v>
      </c>
      <c r="J191" s="3">
        <f t="shared" si="16"/>
        <v>52.691964941569282</v>
      </c>
      <c r="K191" s="3">
        <f t="shared" si="17"/>
        <v>16.128547579298832</v>
      </c>
      <c r="L191" s="12" t="str">
        <f t="shared" si="18"/>
        <v/>
      </c>
      <c r="M191" s="12" t="str">
        <f t="shared" si="19"/>
        <v/>
      </c>
    </row>
    <row r="192" spans="1:13" ht="31.5">
      <c r="A192" s="3">
        <v>183</v>
      </c>
      <c r="B192" s="11" t="s">
        <v>71</v>
      </c>
      <c r="C192" s="3">
        <v>4</v>
      </c>
      <c r="D192" s="3">
        <v>18</v>
      </c>
      <c r="E192" s="11" t="s">
        <v>254</v>
      </c>
      <c r="F192" s="3">
        <v>27</v>
      </c>
      <c r="G192" s="3">
        <f t="shared" si="20"/>
        <v>10</v>
      </c>
      <c r="H192" s="3">
        <f t="shared" si="14"/>
        <v>50.45</v>
      </c>
      <c r="I192" s="3">
        <f t="shared" si="15"/>
        <v>93.345073349199026</v>
      </c>
      <c r="J192" s="3">
        <f t="shared" si="16"/>
        <v>52.691964941569282</v>
      </c>
      <c r="K192" s="3">
        <f t="shared" si="17"/>
        <v>16.128547579298832</v>
      </c>
      <c r="L192" s="12" t="str">
        <f t="shared" si="18"/>
        <v/>
      </c>
      <c r="M192" s="12" t="str">
        <f t="shared" si="19"/>
        <v/>
      </c>
    </row>
    <row r="193" spans="1:13" ht="31.5">
      <c r="A193" s="3">
        <v>184</v>
      </c>
      <c r="B193" s="11" t="s">
        <v>71</v>
      </c>
      <c r="C193" s="3">
        <v>4</v>
      </c>
      <c r="D193" s="3">
        <v>17</v>
      </c>
      <c r="E193" s="11" t="s">
        <v>255</v>
      </c>
      <c r="F193" s="3">
        <v>49</v>
      </c>
      <c r="G193" s="3">
        <f t="shared" si="20"/>
        <v>22</v>
      </c>
      <c r="H193" s="3">
        <f t="shared" si="14"/>
        <v>50.45</v>
      </c>
      <c r="I193" s="3">
        <f t="shared" si="15"/>
        <v>93.345073349199026</v>
      </c>
      <c r="J193" s="3">
        <f t="shared" si="16"/>
        <v>52.691964941569282</v>
      </c>
      <c r="K193" s="3">
        <f t="shared" si="17"/>
        <v>16.128547579298832</v>
      </c>
      <c r="L193" s="12" t="str">
        <f t="shared" si="18"/>
        <v/>
      </c>
      <c r="M193" s="12" t="str">
        <f t="shared" si="19"/>
        <v/>
      </c>
    </row>
    <row r="194" spans="1:13" ht="31.5">
      <c r="A194" s="3">
        <v>185</v>
      </c>
      <c r="B194" s="11" t="s">
        <v>71</v>
      </c>
      <c r="C194" s="3">
        <v>4</v>
      </c>
      <c r="D194" s="3">
        <v>16</v>
      </c>
      <c r="E194" s="11" t="s">
        <v>256</v>
      </c>
      <c r="F194" s="3">
        <v>40</v>
      </c>
      <c r="G194" s="3">
        <f t="shared" si="20"/>
        <v>9</v>
      </c>
      <c r="H194" s="3">
        <f t="shared" si="14"/>
        <v>50.45</v>
      </c>
      <c r="I194" s="3">
        <f t="shared" si="15"/>
        <v>93.345073349199026</v>
      </c>
      <c r="J194" s="3">
        <f t="shared" si="16"/>
        <v>52.691964941569282</v>
      </c>
      <c r="K194" s="3">
        <f t="shared" si="17"/>
        <v>16.128547579298832</v>
      </c>
      <c r="L194" s="12" t="str">
        <f t="shared" si="18"/>
        <v/>
      </c>
      <c r="M194" s="12" t="str">
        <f t="shared" si="19"/>
        <v/>
      </c>
    </row>
    <row r="195" spans="1:13" ht="31.5">
      <c r="A195" s="3">
        <v>186</v>
      </c>
      <c r="B195" s="11" t="s">
        <v>71</v>
      </c>
      <c r="C195" s="3">
        <v>4</v>
      </c>
      <c r="D195" s="3">
        <v>15</v>
      </c>
      <c r="E195" s="11" t="s">
        <v>257</v>
      </c>
      <c r="F195" s="3">
        <v>40</v>
      </c>
      <c r="G195" s="3">
        <f t="shared" si="20"/>
        <v>0</v>
      </c>
      <c r="H195" s="3">
        <f t="shared" si="14"/>
        <v>50.45</v>
      </c>
      <c r="I195" s="3">
        <f t="shared" si="15"/>
        <v>93.345073349199026</v>
      </c>
      <c r="J195" s="3">
        <f t="shared" si="16"/>
        <v>52.691964941569282</v>
      </c>
      <c r="K195" s="3">
        <f t="shared" si="17"/>
        <v>16.128547579298832</v>
      </c>
      <c r="L195" s="12" t="str">
        <f t="shared" si="18"/>
        <v/>
      </c>
      <c r="M195" s="12" t="str">
        <f t="shared" si="19"/>
        <v/>
      </c>
    </row>
    <row r="196" spans="1:13" ht="31.5">
      <c r="A196" s="3">
        <v>187</v>
      </c>
      <c r="B196" s="11" t="s">
        <v>71</v>
      </c>
      <c r="C196" s="3">
        <v>4</v>
      </c>
      <c r="D196" s="3">
        <v>14</v>
      </c>
      <c r="E196" s="11" t="s">
        <v>258</v>
      </c>
      <c r="F196" s="3">
        <v>42</v>
      </c>
      <c r="G196" s="3">
        <f t="shared" si="20"/>
        <v>2</v>
      </c>
      <c r="H196" s="3">
        <f t="shared" si="14"/>
        <v>50.45</v>
      </c>
      <c r="I196" s="3">
        <f t="shared" si="15"/>
        <v>93.345073349199026</v>
      </c>
      <c r="J196" s="3">
        <f t="shared" si="16"/>
        <v>52.691964941569282</v>
      </c>
      <c r="K196" s="3">
        <f t="shared" si="17"/>
        <v>16.128547579298832</v>
      </c>
      <c r="L196" s="12" t="str">
        <f t="shared" si="18"/>
        <v/>
      </c>
      <c r="M196" s="12" t="str">
        <f t="shared" si="19"/>
        <v/>
      </c>
    </row>
    <row r="197" spans="1:13" ht="31.5">
      <c r="A197" s="3">
        <v>188</v>
      </c>
      <c r="B197" s="11" t="s">
        <v>71</v>
      </c>
      <c r="C197" s="3">
        <v>4</v>
      </c>
      <c r="D197" s="3">
        <v>13</v>
      </c>
      <c r="E197" s="11" t="s">
        <v>259</v>
      </c>
      <c r="F197" s="3">
        <v>46</v>
      </c>
      <c r="G197" s="3">
        <f t="shared" si="20"/>
        <v>4</v>
      </c>
      <c r="H197" s="3">
        <f t="shared" si="14"/>
        <v>50.45</v>
      </c>
      <c r="I197" s="3">
        <f t="shared" si="15"/>
        <v>93.345073349199026</v>
      </c>
      <c r="J197" s="3">
        <f t="shared" si="16"/>
        <v>52.691964941569282</v>
      </c>
      <c r="K197" s="3">
        <f t="shared" si="17"/>
        <v>16.128547579298832</v>
      </c>
      <c r="L197" s="12" t="str">
        <f t="shared" si="18"/>
        <v/>
      </c>
      <c r="M197" s="12" t="str">
        <f t="shared" si="19"/>
        <v/>
      </c>
    </row>
    <row r="198" spans="1:13" ht="31.5">
      <c r="A198" s="3">
        <v>189</v>
      </c>
      <c r="B198" s="11" t="s">
        <v>71</v>
      </c>
      <c r="C198" s="3">
        <v>4</v>
      </c>
      <c r="D198" s="3">
        <v>12</v>
      </c>
      <c r="E198" s="11" t="s">
        <v>260</v>
      </c>
      <c r="F198" s="3">
        <v>48</v>
      </c>
      <c r="G198" s="3">
        <f t="shared" si="20"/>
        <v>2</v>
      </c>
      <c r="H198" s="3">
        <f t="shared" si="14"/>
        <v>50.45</v>
      </c>
      <c r="I198" s="3">
        <f t="shared" si="15"/>
        <v>93.345073349199026</v>
      </c>
      <c r="J198" s="3">
        <f t="shared" si="16"/>
        <v>52.691964941569282</v>
      </c>
      <c r="K198" s="3">
        <f t="shared" si="17"/>
        <v>16.128547579298832</v>
      </c>
      <c r="L198" s="12" t="str">
        <f t="shared" si="18"/>
        <v/>
      </c>
      <c r="M198" s="12" t="str">
        <f t="shared" si="19"/>
        <v/>
      </c>
    </row>
    <row r="199" spans="1:13" ht="31.5">
      <c r="A199" s="3">
        <v>190</v>
      </c>
      <c r="B199" s="11" t="s">
        <v>71</v>
      </c>
      <c r="C199" s="3">
        <v>4</v>
      </c>
      <c r="D199" s="3">
        <v>11</v>
      </c>
      <c r="E199" s="11" t="s">
        <v>261</v>
      </c>
      <c r="F199" s="3">
        <v>54</v>
      </c>
      <c r="G199" s="3">
        <f t="shared" si="20"/>
        <v>6</v>
      </c>
      <c r="H199" s="3">
        <f t="shared" si="14"/>
        <v>50.45</v>
      </c>
      <c r="I199" s="3">
        <f t="shared" si="15"/>
        <v>93.345073349199026</v>
      </c>
      <c r="J199" s="3">
        <f t="shared" si="16"/>
        <v>52.691964941569282</v>
      </c>
      <c r="K199" s="3">
        <f t="shared" si="17"/>
        <v>16.128547579298832</v>
      </c>
      <c r="L199" s="12" t="str">
        <f t="shared" si="18"/>
        <v/>
      </c>
      <c r="M199" s="12" t="str">
        <f t="shared" si="19"/>
        <v/>
      </c>
    </row>
    <row r="200" spans="1:13" ht="31.5">
      <c r="A200" s="3">
        <v>191</v>
      </c>
      <c r="B200" s="11" t="s">
        <v>71</v>
      </c>
      <c r="C200" s="3">
        <v>4</v>
      </c>
      <c r="D200" s="3">
        <v>10</v>
      </c>
      <c r="E200" s="11" t="s">
        <v>262</v>
      </c>
      <c r="F200" s="3">
        <v>52</v>
      </c>
      <c r="G200" s="3">
        <f t="shared" si="20"/>
        <v>2</v>
      </c>
      <c r="H200" s="3">
        <f t="shared" si="14"/>
        <v>50.45</v>
      </c>
      <c r="I200" s="3">
        <f t="shared" si="15"/>
        <v>93.345073349199026</v>
      </c>
      <c r="J200" s="3">
        <f t="shared" si="16"/>
        <v>52.691964941569282</v>
      </c>
      <c r="K200" s="3">
        <f t="shared" si="17"/>
        <v>16.128547579298832</v>
      </c>
      <c r="L200" s="12" t="str">
        <f t="shared" si="18"/>
        <v/>
      </c>
      <c r="M200" s="12" t="str">
        <f t="shared" si="19"/>
        <v/>
      </c>
    </row>
    <row r="201" spans="1:13" ht="31.5">
      <c r="A201" s="3">
        <v>192</v>
      </c>
      <c r="B201" s="11" t="s">
        <v>71</v>
      </c>
      <c r="C201" s="3">
        <v>4</v>
      </c>
      <c r="D201" s="3">
        <v>9</v>
      </c>
      <c r="E201" s="11" t="s">
        <v>263</v>
      </c>
      <c r="F201" s="3">
        <v>45</v>
      </c>
      <c r="G201" s="3">
        <f t="shared" si="20"/>
        <v>7</v>
      </c>
      <c r="H201" s="3">
        <f t="shared" si="14"/>
        <v>50.45</v>
      </c>
      <c r="I201" s="3">
        <f t="shared" si="15"/>
        <v>93.345073349199026</v>
      </c>
      <c r="J201" s="3">
        <f t="shared" si="16"/>
        <v>52.691964941569282</v>
      </c>
      <c r="K201" s="3">
        <f t="shared" si="17"/>
        <v>16.128547579298832</v>
      </c>
      <c r="L201" s="12" t="str">
        <f t="shared" si="18"/>
        <v/>
      </c>
      <c r="M201" s="12" t="str">
        <f t="shared" si="19"/>
        <v/>
      </c>
    </row>
    <row r="202" spans="1:13" ht="31.5">
      <c r="A202" s="3">
        <v>193</v>
      </c>
      <c r="B202" s="11" t="s">
        <v>71</v>
      </c>
      <c r="C202" s="3">
        <v>4</v>
      </c>
      <c r="D202" s="3">
        <v>8</v>
      </c>
      <c r="E202" s="11" t="s">
        <v>264</v>
      </c>
      <c r="F202" s="3">
        <v>43</v>
      </c>
      <c r="G202" s="3">
        <f t="shared" si="20"/>
        <v>2</v>
      </c>
      <c r="H202" s="3">
        <f t="shared" ref="H202:H265" si="21">$Q$3</f>
        <v>50.45</v>
      </c>
      <c r="I202" s="3">
        <f t="shared" ref="I202:I265" si="22">$Q$6</f>
        <v>93.345073349199026</v>
      </c>
      <c r="J202" s="3">
        <f t="shared" ref="J202:J265" si="23">$Q$7</f>
        <v>52.691964941569282</v>
      </c>
      <c r="K202" s="3">
        <f t="shared" ref="K202:K265" si="24">$Q$4</f>
        <v>16.128547579298832</v>
      </c>
      <c r="L202" s="12" t="str">
        <f t="shared" ref="L202:L265" si="25">IF(F202&gt;$Q$6,"OOC","" )</f>
        <v/>
      </c>
      <c r="M202" s="12" t="str">
        <f t="shared" ref="M202:M265" si="26">IF(F202&gt;$B$3,"OOS","" )</f>
        <v/>
      </c>
    </row>
    <row r="203" spans="1:13" ht="31.5">
      <c r="A203" s="3">
        <v>194</v>
      </c>
      <c r="B203" s="11" t="s">
        <v>71</v>
      </c>
      <c r="C203" s="3">
        <v>4</v>
      </c>
      <c r="D203" s="3">
        <v>7</v>
      </c>
      <c r="E203" s="11" t="s">
        <v>265</v>
      </c>
      <c r="F203" s="3">
        <v>72</v>
      </c>
      <c r="G203" s="3">
        <f t="shared" ref="G203:G266" si="27">ABS(F203-F202)</f>
        <v>29</v>
      </c>
      <c r="H203" s="3">
        <f t="shared" si="21"/>
        <v>50.45</v>
      </c>
      <c r="I203" s="3">
        <f t="shared" si="22"/>
        <v>93.345073349199026</v>
      </c>
      <c r="J203" s="3">
        <f t="shared" si="23"/>
        <v>52.691964941569282</v>
      </c>
      <c r="K203" s="3">
        <f t="shared" si="24"/>
        <v>16.128547579298832</v>
      </c>
      <c r="L203" s="12" t="str">
        <f t="shared" si="25"/>
        <v/>
      </c>
      <c r="M203" s="12" t="str">
        <f t="shared" si="26"/>
        <v/>
      </c>
    </row>
    <row r="204" spans="1:13" ht="31.5">
      <c r="A204" s="3">
        <v>195</v>
      </c>
      <c r="B204" s="11" t="s">
        <v>71</v>
      </c>
      <c r="C204" s="3">
        <v>4</v>
      </c>
      <c r="D204" s="3">
        <v>6</v>
      </c>
      <c r="E204" s="11" t="s">
        <v>266</v>
      </c>
      <c r="F204" s="3">
        <v>67</v>
      </c>
      <c r="G204" s="3">
        <f t="shared" si="27"/>
        <v>5</v>
      </c>
      <c r="H204" s="3">
        <f t="shared" si="21"/>
        <v>50.45</v>
      </c>
      <c r="I204" s="3">
        <f t="shared" si="22"/>
        <v>93.345073349199026</v>
      </c>
      <c r="J204" s="3">
        <f t="shared" si="23"/>
        <v>52.691964941569282</v>
      </c>
      <c r="K204" s="3">
        <f t="shared" si="24"/>
        <v>16.128547579298832</v>
      </c>
      <c r="L204" s="12" t="str">
        <f t="shared" si="25"/>
        <v/>
      </c>
      <c r="M204" s="12" t="str">
        <f t="shared" si="26"/>
        <v/>
      </c>
    </row>
    <row r="205" spans="1:13" ht="31.5">
      <c r="A205" s="3">
        <v>196</v>
      </c>
      <c r="B205" s="11" t="s">
        <v>71</v>
      </c>
      <c r="C205" s="3">
        <v>4</v>
      </c>
      <c r="D205" s="3">
        <v>5</v>
      </c>
      <c r="E205" s="11" t="s">
        <v>267</v>
      </c>
      <c r="F205" s="3">
        <v>70</v>
      </c>
      <c r="G205" s="3">
        <f t="shared" si="27"/>
        <v>3</v>
      </c>
      <c r="H205" s="3">
        <f t="shared" si="21"/>
        <v>50.45</v>
      </c>
      <c r="I205" s="3">
        <f t="shared" si="22"/>
        <v>93.345073349199026</v>
      </c>
      <c r="J205" s="3">
        <f t="shared" si="23"/>
        <v>52.691964941569282</v>
      </c>
      <c r="K205" s="3">
        <f t="shared" si="24"/>
        <v>16.128547579298832</v>
      </c>
      <c r="L205" s="12" t="str">
        <f t="shared" si="25"/>
        <v/>
      </c>
      <c r="M205" s="12" t="str">
        <f t="shared" si="26"/>
        <v/>
      </c>
    </row>
    <row r="206" spans="1:13" ht="31.5">
      <c r="A206" s="3">
        <v>197</v>
      </c>
      <c r="B206" s="11" t="s">
        <v>71</v>
      </c>
      <c r="C206" s="3">
        <v>4</v>
      </c>
      <c r="D206" s="3">
        <v>4</v>
      </c>
      <c r="E206" s="11" t="s">
        <v>268</v>
      </c>
      <c r="F206" s="3">
        <v>13</v>
      </c>
      <c r="G206" s="3">
        <f t="shared" si="27"/>
        <v>57</v>
      </c>
      <c r="H206" s="3">
        <f t="shared" si="21"/>
        <v>50.45</v>
      </c>
      <c r="I206" s="3">
        <f t="shared" si="22"/>
        <v>93.345073349199026</v>
      </c>
      <c r="J206" s="3">
        <f t="shared" si="23"/>
        <v>52.691964941569282</v>
      </c>
      <c r="K206" s="3">
        <f t="shared" si="24"/>
        <v>16.128547579298832</v>
      </c>
      <c r="L206" s="12" t="str">
        <f t="shared" si="25"/>
        <v/>
      </c>
      <c r="M206" s="12" t="str">
        <f t="shared" si="26"/>
        <v/>
      </c>
    </row>
    <row r="207" spans="1:13" ht="31.5">
      <c r="A207" s="3">
        <v>198</v>
      </c>
      <c r="B207" s="11" t="s">
        <v>71</v>
      </c>
      <c r="C207" s="3">
        <v>4</v>
      </c>
      <c r="D207" s="3">
        <v>3</v>
      </c>
      <c r="E207" s="11" t="s">
        <v>269</v>
      </c>
      <c r="F207" s="3">
        <v>17</v>
      </c>
      <c r="G207" s="3">
        <f t="shared" si="27"/>
        <v>4</v>
      </c>
      <c r="H207" s="3">
        <f t="shared" si="21"/>
        <v>50.45</v>
      </c>
      <c r="I207" s="3">
        <f t="shared" si="22"/>
        <v>93.345073349199026</v>
      </c>
      <c r="J207" s="3">
        <f t="shared" si="23"/>
        <v>52.691964941569282</v>
      </c>
      <c r="K207" s="3">
        <f t="shared" si="24"/>
        <v>16.128547579298832</v>
      </c>
      <c r="L207" s="12" t="str">
        <f t="shared" si="25"/>
        <v/>
      </c>
      <c r="M207" s="12" t="str">
        <f t="shared" si="26"/>
        <v/>
      </c>
    </row>
    <row r="208" spans="1:13" ht="31.5">
      <c r="A208" s="3">
        <v>199</v>
      </c>
      <c r="B208" s="11" t="s">
        <v>71</v>
      </c>
      <c r="C208" s="3">
        <v>4</v>
      </c>
      <c r="D208" s="3">
        <v>2</v>
      </c>
      <c r="E208" s="11" t="s">
        <v>270</v>
      </c>
      <c r="F208" s="3">
        <v>25</v>
      </c>
      <c r="G208" s="3">
        <f t="shared" si="27"/>
        <v>8</v>
      </c>
      <c r="H208" s="3">
        <f t="shared" si="21"/>
        <v>50.45</v>
      </c>
      <c r="I208" s="3">
        <f t="shared" si="22"/>
        <v>93.345073349199026</v>
      </c>
      <c r="J208" s="3">
        <f t="shared" si="23"/>
        <v>52.691964941569282</v>
      </c>
      <c r="K208" s="3">
        <f t="shared" si="24"/>
        <v>16.128547579298832</v>
      </c>
      <c r="L208" s="12" t="str">
        <f t="shared" si="25"/>
        <v/>
      </c>
      <c r="M208" s="12" t="str">
        <f t="shared" si="26"/>
        <v/>
      </c>
    </row>
    <row r="209" spans="1:13" ht="31.5">
      <c r="A209" s="3">
        <v>200</v>
      </c>
      <c r="B209" s="11" t="s">
        <v>71</v>
      </c>
      <c r="C209" s="3">
        <v>4</v>
      </c>
      <c r="D209" s="3">
        <v>1</v>
      </c>
      <c r="E209" s="11" t="s">
        <v>271</v>
      </c>
      <c r="F209" s="3">
        <v>26</v>
      </c>
      <c r="G209" s="3">
        <f t="shared" si="27"/>
        <v>1</v>
      </c>
      <c r="H209" s="3">
        <f t="shared" si="21"/>
        <v>50.45</v>
      </c>
      <c r="I209" s="3">
        <f t="shared" si="22"/>
        <v>93.345073349199026</v>
      </c>
      <c r="J209" s="3">
        <f t="shared" si="23"/>
        <v>52.691964941569282</v>
      </c>
      <c r="K209" s="3">
        <f t="shared" si="24"/>
        <v>16.128547579298832</v>
      </c>
      <c r="L209" s="12" t="str">
        <f t="shared" si="25"/>
        <v/>
      </c>
      <c r="M209" s="12" t="str">
        <f t="shared" si="26"/>
        <v/>
      </c>
    </row>
    <row r="210" spans="1:13" ht="31.5">
      <c r="A210" s="3">
        <v>201</v>
      </c>
      <c r="B210" s="11" t="s">
        <v>71</v>
      </c>
      <c r="C210" s="3">
        <v>5</v>
      </c>
      <c r="D210" s="3">
        <v>25</v>
      </c>
      <c r="E210" s="11" t="s">
        <v>272</v>
      </c>
      <c r="F210" s="3">
        <v>25</v>
      </c>
      <c r="G210" s="3">
        <f t="shared" si="27"/>
        <v>1</v>
      </c>
      <c r="H210" s="3">
        <f t="shared" si="21"/>
        <v>50.45</v>
      </c>
      <c r="I210" s="3">
        <f t="shared" si="22"/>
        <v>93.345073349199026</v>
      </c>
      <c r="J210" s="3">
        <f t="shared" si="23"/>
        <v>52.691964941569282</v>
      </c>
      <c r="K210" s="3">
        <f t="shared" si="24"/>
        <v>16.128547579298832</v>
      </c>
      <c r="L210" s="12" t="str">
        <f t="shared" si="25"/>
        <v/>
      </c>
      <c r="M210" s="12" t="str">
        <f t="shared" si="26"/>
        <v/>
      </c>
    </row>
    <row r="211" spans="1:13" ht="31.5">
      <c r="A211" s="3">
        <v>202</v>
      </c>
      <c r="B211" s="11" t="s">
        <v>71</v>
      </c>
      <c r="C211" s="3">
        <v>5</v>
      </c>
      <c r="D211" s="3">
        <v>24</v>
      </c>
      <c r="E211" s="11" t="s">
        <v>273</v>
      </c>
      <c r="F211" s="3">
        <v>78</v>
      </c>
      <c r="G211" s="3">
        <f t="shared" si="27"/>
        <v>53</v>
      </c>
      <c r="H211" s="3">
        <f t="shared" si="21"/>
        <v>50.45</v>
      </c>
      <c r="I211" s="3">
        <f t="shared" si="22"/>
        <v>93.345073349199026</v>
      </c>
      <c r="J211" s="3">
        <f t="shared" si="23"/>
        <v>52.691964941569282</v>
      </c>
      <c r="K211" s="3">
        <f t="shared" si="24"/>
        <v>16.128547579298832</v>
      </c>
      <c r="L211" s="12" t="str">
        <f t="shared" si="25"/>
        <v/>
      </c>
      <c r="M211" s="12" t="str">
        <f t="shared" si="26"/>
        <v/>
      </c>
    </row>
    <row r="212" spans="1:13" ht="31.5">
      <c r="A212" s="3">
        <v>203</v>
      </c>
      <c r="B212" s="11" t="s">
        <v>71</v>
      </c>
      <c r="C212" s="3">
        <v>5</v>
      </c>
      <c r="D212" s="3">
        <v>23</v>
      </c>
      <c r="E212" s="11" t="s">
        <v>274</v>
      </c>
      <c r="F212" s="3">
        <v>53</v>
      </c>
      <c r="G212" s="3">
        <f t="shared" si="27"/>
        <v>25</v>
      </c>
      <c r="H212" s="3">
        <f t="shared" si="21"/>
        <v>50.45</v>
      </c>
      <c r="I212" s="3">
        <f t="shared" si="22"/>
        <v>93.345073349199026</v>
      </c>
      <c r="J212" s="3">
        <f t="shared" si="23"/>
        <v>52.691964941569282</v>
      </c>
      <c r="K212" s="3">
        <f t="shared" si="24"/>
        <v>16.128547579298832</v>
      </c>
      <c r="L212" s="12" t="str">
        <f t="shared" si="25"/>
        <v/>
      </c>
      <c r="M212" s="12" t="str">
        <f t="shared" si="26"/>
        <v/>
      </c>
    </row>
    <row r="213" spans="1:13" ht="31.5">
      <c r="A213" s="3">
        <v>204</v>
      </c>
      <c r="B213" s="11" t="s">
        <v>71</v>
      </c>
      <c r="C213" s="3">
        <v>5</v>
      </c>
      <c r="D213" s="3">
        <v>22</v>
      </c>
      <c r="E213" s="11" t="s">
        <v>275</v>
      </c>
      <c r="F213" s="3">
        <v>67</v>
      </c>
      <c r="G213" s="3">
        <f t="shared" si="27"/>
        <v>14</v>
      </c>
      <c r="H213" s="3">
        <f t="shared" si="21"/>
        <v>50.45</v>
      </c>
      <c r="I213" s="3">
        <f t="shared" si="22"/>
        <v>93.345073349199026</v>
      </c>
      <c r="J213" s="3">
        <f t="shared" si="23"/>
        <v>52.691964941569282</v>
      </c>
      <c r="K213" s="3">
        <f t="shared" si="24"/>
        <v>16.128547579298832</v>
      </c>
      <c r="L213" s="12" t="str">
        <f t="shared" si="25"/>
        <v/>
      </c>
      <c r="M213" s="12" t="str">
        <f t="shared" si="26"/>
        <v/>
      </c>
    </row>
    <row r="214" spans="1:13" ht="31.5">
      <c r="A214" s="3">
        <v>205</v>
      </c>
      <c r="B214" s="11" t="s">
        <v>71</v>
      </c>
      <c r="C214" s="3">
        <v>5</v>
      </c>
      <c r="D214" s="3">
        <v>21</v>
      </c>
      <c r="E214" s="11" t="s">
        <v>276</v>
      </c>
      <c r="F214" s="3">
        <v>40</v>
      </c>
      <c r="G214" s="3">
        <f t="shared" si="27"/>
        <v>27</v>
      </c>
      <c r="H214" s="3">
        <f t="shared" si="21"/>
        <v>50.45</v>
      </c>
      <c r="I214" s="3">
        <f t="shared" si="22"/>
        <v>93.345073349199026</v>
      </c>
      <c r="J214" s="3">
        <f t="shared" si="23"/>
        <v>52.691964941569282</v>
      </c>
      <c r="K214" s="3">
        <f t="shared" si="24"/>
        <v>16.128547579298832</v>
      </c>
      <c r="L214" s="12" t="str">
        <f t="shared" si="25"/>
        <v/>
      </c>
      <c r="M214" s="12" t="str">
        <f t="shared" si="26"/>
        <v/>
      </c>
    </row>
    <row r="215" spans="1:13" ht="31.5">
      <c r="A215" s="3">
        <v>206</v>
      </c>
      <c r="B215" s="11" t="s">
        <v>71</v>
      </c>
      <c r="C215" s="3">
        <v>5</v>
      </c>
      <c r="D215" s="3">
        <v>20</v>
      </c>
      <c r="E215" s="11" t="s">
        <v>277</v>
      </c>
      <c r="F215" s="3">
        <v>42</v>
      </c>
      <c r="G215" s="3">
        <f t="shared" si="27"/>
        <v>2</v>
      </c>
      <c r="H215" s="3">
        <f t="shared" si="21"/>
        <v>50.45</v>
      </c>
      <c r="I215" s="3">
        <f t="shared" si="22"/>
        <v>93.345073349199026</v>
      </c>
      <c r="J215" s="3">
        <f t="shared" si="23"/>
        <v>52.691964941569282</v>
      </c>
      <c r="K215" s="3">
        <f t="shared" si="24"/>
        <v>16.128547579298832</v>
      </c>
      <c r="L215" s="12" t="str">
        <f t="shared" si="25"/>
        <v/>
      </c>
      <c r="M215" s="12" t="str">
        <f t="shared" si="26"/>
        <v/>
      </c>
    </row>
    <row r="216" spans="1:13" ht="31.5">
      <c r="A216" s="3">
        <v>207</v>
      </c>
      <c r="B216" s="11" t="s">
        <v>71</v>
      </c>
      <c r="C216" s="3">
        <v>5</v>
      </c>
      <c r="D216" s="3">
        <v>19</v>
      </c>
      <c r="E216" s="11" t="s">
        <v>278</v>
      </c>
      <c r="F216" s="3">
        <v>52</v>
      </c>
      <c r="G216" s="3">
        <f t="shared" si="27"/>
        <v>10</v>
      </c>
      <c r="H216" s="3">
        <f t="shared" si="21"/>
        <v>50.45</v>
      </c>
      <c r="I216" s="3">
        <f t="shared" si="22"/>
        <v>93.345073349199026</v>
      </c>
      <c r="J216" s="3">
        <f t="shared" si="23"/>
        <v>52.691964941569282</v>
      </c>
      <c r="K216" s="3">
        <f t="shared" si="24"/>
        <v>16.128547579298832</v>
      </c>
      <c r="L216" s="12" t="str">
        <f t="shared" si="25"/>
        <v/>
      </c>
      <c r="M216" s="12" t="str">
        <f t="shared" si="26"/>
        <v/>
      </c>
    </row>
    <row r="217" spans="1:13" ht="31.5">
      <c r="A217" s="3">
        <v>208</v>
      </c>
      <c r="B217" s="11" t="s">
        <v>71</v>
      </c>
      <c r="C217" s="3">
        <v>5</v>
      </c>
      <c r="D217" s="3">
        <v>18</v>
      </c>
      <c r="E217" s="11" t="s">
        <v>279</v>
      </c>
      <c r="F217" s="3">
        <v>85</v>
      </c>
      <c r="G217" s="3">
        <f t="shared" si="27"/>
        <v>33</v>
      </c>
      <c r="H217" s="3">
        <f t="shared" si="21"/>
        <v>50.45</v>
      </c>
      <c r="I217" s="3">
        <f t="shared" si="22"/>
        <v>93.345073349199026</v>
      </c>
      <c r="J217" s="3">
        <f t="shared" si="23"/>
        <v>52.691964941569282</v>
      </c>
      <c r="K217" s="3">
        <f t="shared" si="24"/>
        <v>16.128547579298832</v>
      </c>
      <c r="L217" s="12" t="str">
        <f t="shared" si="25"/>
        <v/>
      </c>
      <c r="M217" s="12" t="str">
        <f t="shared" si="26"/>
        <v/>
      </c>
    </row>
    <row r="218" spans="1:13" ht="31.5">
      <c r="A218" s="3">
        <v>209</v>
      </c>
      <c r="B218" s="11" t="s">
        <v>71</v>
      </c>
      <c r="C218" s="3">
        <v>5</v>
      </c>
      <c r="D218" s="3">
        <v>17</v>
      </c>
      <c r="E218" s="11" t="s">
        <v>280</v>
      </c>
      <c r="F218" s="3">
        <v>42</v>
      </c>
      <c r="G218" s="3">
        <f t="shared" si="27"/>
        <v>43</v>
      </c>
      <c r="H218" s="3">
        <f t="shared" si="21"/>
        <v>50.45</v>
      </c>
      <c r="I218" s="3">
        <f t="shared" si="22"/>
        <v>93.345073349199026</v>
      </c>
      <c r="J218" s="3">
        <f t="shared" si="23"/>
        <v>52.691964941569282</v>
      </c>
      <c r="K218" s="3">
        <f t="shared" si="24"/>
        <v>16.128547579298832</v>
      </c>
      <c r="L218" s="12" t="str">
        <f t="shared" si="25"/>
        <v/>
      </c>
      <c r="M218" s="12" t="str">
        <f t="shared" si="26"/>
        <v/>
      </c>
    </row>
    <row r="219" spans="1:13" ht="31.5">
      <c r="A219" s="3">
        <v>210</v>
      </c>
      <c r="B219" s="11" t="s">
        <v>71</v>
      </c>
      <c r="C219" s="3">
        <v>5</v>
      </c>
      <c r="D219" s="3">
        <v>16</v>
      </c>
      <c r="E219" s="11" t="s">
        <v>281</v>
      </c>
      <c r="F219" s="3">
        <v>33</v>
      </c>
      <c r="G219" s="3">
        <f t="shared" si="27"/>
        <v>9</v>
      </c>
      <c r="H219" s="3">
        <f t="shared" si="21"/>
        <v>50.45</v>
      </c>
      <c r="I219" s="3">
        <f t="shared" si="22"/>
        <v>93.345073349199026</v>
      </c>
      <c r="J219" s="3">
        <f t="shared" si="23"/>
        <v>52.691964941569282</v>
      </c>
      <c r="K219" s="3">
        <f t="shared" si="24"/>
        <v>16.128547579298832</v>
      </c>
      <c r="L219" s="12" t="str">
        <f t="shared" si="25"/>
        <v/>
      </c>
      <c r="M219" s="12" t="str">
        <f t="shared" si="26"/>
        <v/>
      </c>
    </row>
    <row r="220" spans="1:13" ht="31.5">
      <c r="A220" s="3">
        <v>211</v>
      </c>
      <c r="B220" s="11" t="s">
        <v>71</v>
      </c>
      <c r="C220" s="3">
        <v>5</v>
      </c>
      <c r="D220" s="3">
        <v>15</v>
      </c>
      <c r="E220" s="11" t="s">
        <v>282</v>
      </c>
      <c r="F220" s="3">
        <v>56</v>
      </c>
      <c r="G220" s="3">
        <f t="shared" si="27"/>
        <v>23</v>
      </c>
      <c r="H220" s="3">
        <f t="shared" si="21"/>
        <v>50.45</v>
      </c>
      <c r="I220" s="3">
        <f t="shared" si="22"/>
        <v>93.345073349199026</v>
      </c>
      <c r="J220" s="3">
        <f t="shared" si="23"/>
        <v>52.691964941569282</v>
      </c>
      <c r="K220" s="3">
        <f t="shared" si="24"/>
        <v>16.128547579298832</v>
      </c>
      <c r="L220" s="12" t="str">
        <f t="shared" si="25"/>
        <v/>
      </c>
      <c r="M220" s="12" t="str">
        <f t="shared" si="26"/>
        <v/>
      </c>
    </row>
    <row r="221" spans="1:13" ht="31.5">
      <c r="A221" s="3">
        <v>212</v>
      </c>
      <c r="B221" s="11" t="s">
        <v>71</v>
      </c>
      <c r="C221" s="3">
        <v>5</v>
      </c>
      <c r="D221" s="3">
        <v>14</v>
      </c>
      <c r="E221" s="11" t="s">
        <v>283</v>
      </c>
      <c r="F221" s="3">
        <v>40</v>
      </c>
      <c r="G221" s="3">
        <f t="shared" si="27"/>
        <v>16</v>
      </c>
      <c r="H221" s="3">
        <f t="shared" si="21"/>
        <v>50.45</v>
      </c>
      <c r="I221" s="3">
        <f t="shared" si="22"/>
        <v>93.345073349199026</v>
      </c>
      <c r="J221" s="3">
        <f t="shared" si="23"/>
        <v>52.691964941569282</v>
      </c>
      <c r="K221" s="3">
        <f t="shared" si="24"/>
        <v>16.128547579298832</v>
      </c>
      <c r="L221" s="12" t="str">
        <f t="shared" si="25"/>
        <v/>
      </c>
      <c r="M221" s="12" t="str">
        <f t="shared" si="26"/>
        <v/>
      </c>
    </row>
    <row r="222" spans="1:13" ht="31.5">
      <c r="A222" s="3">
        <v>213</v>
      </c>
      <c r="B222" s="11" t="s">
        <v>71</v>
      </c>
      <c r="C222" s="3">
        <v>5</v>
      </c>
      <c r="D222" s="3">
        <v>13</v>
      </c>
      <c r="E222" s="11" t="s">
        <v>284</v>
      </c>
      <c r="F222" s="3">
        <v>50</v>
      </c>
      <c r="G222" s="3">
        <f t="shared" si="27"/>
        <v>10</v>
      </c>
      <c r="H222" s="3">
        <f t="shared" si="21"/>
        <v>50.45</v>
      </c>
      <c r="I222" s="3">
        <f t="shared" si="22"/>
        <v>93.345073349199026</v>
      </c>
      <c r="J222" s="3">
        <f t="shared" si="23"/>
        <v>52.691964941569282</v>
      </c>
      <c r="K222" s="3">
        <f t="shared" si="24"/>
        <v>16.128547579298832</v>
      </c>
      <c r="L222" s="12" t="str">
        <f t="shared" si="25"/>
        <v/>
      </c>
      <c r="M222" s="12" t="str">
        <f t="shared" si="26"/>
        <v/>
      </c>
    </row>
    <row r="223" spans="1:13" ht="31.5">
      <c r="A223" s="3">
        <v>214</v>
      </c>
      <c r="B223" s="11" t="s">
        <v>71</v>
      </c>
      <c r="C223" s="3">
        <v>5</v>
      </c>
      <c r="D223" s="3">
        <v>12</v>
      </c>
      <c r="E223" s="11" t="s">
        <v>285</v>
      </c>
      <c r="F223" s="3">
        <v>57</v>
      </c>
      <c r="G223" s="3">
        <f t="shared" si="27"/>
        <v>7</v>
      </c>
      <c r="H223" s="3">
        <f t="shared" si="21"/>
        <v>50.45</v>
      </c>
      <c r="I223" s="3">
        <f t="shared" si="22"/>
        <v>93.345073349199026</v>
      </c>
      <c r="J223" s="3">
        <f t="shared" si="23"/>
        <v>52.691964941569282</v>
      </c>
      <c r="K223" s="3">
        <f t="shared" si="24"/>
        <v>16.128547579298832</v>
      </c>
      <c r="L223" s="12" t="str">
        <f t="shared" si="25"/>
        <v/>
      </c>
      <c r="M223" s="12" t="str">
        <f t="shared" si="26"/>
        <v/>
      </c>
    </row>
    <row r="224" spans="1:13" ht="31.5">
      <c r="A224" s="3">
        <v>215</v>
      </c>
      <c r="B224" s="11" t="s">
        <v>71</v>
      </c>
      <c r="C224" s="3">
        <v>5</v>
      </c>
      <c r="D224" s="3">
        <v>11</v>
      </c>
      <c r="E224" s="11" t="s">
        <v>286</v>
      </c>
      <c r="F224" s="3">
        <v>170</v>
      </c>
      <c r="G224" s="3">
        <f t="shared" si="27"/>
        <v>113</v>
      </c>
      <c r="H224" s="3">
        <f t="shared" si="21"/>
        <v>50.45</v>
      </c>
      <c r="I224" s="3">
        <f t="shared" si="22"/>
        <v>93.345073349199026</v>
      </c>
      <c r="J224" s="3">
        <f t="shared" si="23"/>
        <v>52.691964941569282</v>
      </c>
      <c r="K224" s="3">
        <f t="shared" si="24"/>
        <v>16.128547579298832</v>
      </c>
      <c r="L224" s="12" t="str">
        <f t="shared" si="25"/>
        <v>OOC</v>
      </c>
      <c r="M224" s="12" t="str">
        <f t="shared" si="26"/>
        <v/>
      </c>
    </row>
    <row r="225" spans="1:13" ht="31.5">
      <c r="A225" s="3">
        <v>216</v>
      </c>
      <c r="B225" s="11" t="s">
        <v>71</v>
      </c>
      <c r="C225" s="3">
        <v>5</v>
      </c>
      <c r="D225" s="3">
        <v>10</v>
      </c>
      <c r="E225" s="11" t="s">
        <v>287</v>
      </c>
      <c r="F225" s="3">
        <v>34</v>
      </c>
      <c r="G225" s="3">
        <f t="shared" si="27"/>
        <v>136</v>
      </c>
      <c r="H225" s="3">
        <f t="shared" si="21"/>
        <v>50.45</v>
      </c>
      <c r="I225" s="3">
        <f t="shared" si="22"/>
        <v>93.345073349199026</v>
      </c>
      <c r="J225" s="3">
        <f t="shared" si="23"/>
        <v>52.691964941569282</v>
      </c>
      <c r="K225" s="3">
        <f t="shared" si="24"/>
        <v>16.128547579298832</v>
      </c>
      <c r="L225" s="12" t="str">
        <f t="shared" si="25"/>
        <v/>
      </c>
      <c r="M225" s="12" t="str">
        <f t="shared" si="26"/>
        <v/>
      </c>
    </row>
    <row r="226" spans="1:13" ht="31.5">
      <c r="A226" s="3">
        <v>217</v>
      </c>
      <c r="B226" s="11" t="s">
        <v>71</v>
      </c>
      <c r="C226" s="3">
        <v>5</v>
      </c>
      <c r="D226" s="3">
        <v>9</v>
      </c>
      <c r="E226" s="11" t="s">
        <v>288</v>
      </c>
      <c r="F226" s="3">
        <v>45</v>
      </c>
      <c r="G226" s="3">
        <f t="shared" si="27"/>
        <v>11</v>
      </c>
      <c r="H226" s="3">
        <f t="shared" si="21"/>
        <v>50.45</v>
      </c>
      <c r="I226" s="3">
        <f t="shared" si="22"/>
        <v>93.345073349199026</v>
      </c>
      <c r="J226" s="3">
        <f t="shared" si="23"/>
        <v>52.691964941569282</v>
      </c>
      <c r="K226" s="3">
        <f t="shared" si="24"/>
        <v>16.128547579298832</v>
      </c>
      <c r="L226" s="12" t="str">
        <f t="shared" si="25"/>
        <v/>
      </c>
      <c r="M226" s="12" t="str">
        <f t="shared" si="26"/>
        <v/>
      </c>
    </row>
    <row r="227" spans="1:13" ht="31.5">
      <c r="A227" s="3">
        <v>218</v>
      </c>
      <c r="B227" s="11" t="s">
        <v>71</v>
      </c>
      <c r="C227" s="3">
        <v>5</v>
      </c>
      <c r="D227" s="3">
        <v>8</v>
      </c>
      <c r="E227" s="11" t="s">
        <v>289</v>
      </c>
      <c r="F227" s="3">
        <v>66</v>
      </c>
      <c r="G227" s="3">
        <f t="shared" si="27"/>
        <v>21</v>
      </c>
      <c r="H227" s="3">
        <f t="shared" si="21"/>
        <v>50.45</v>
      </c>
      <c r="I227" s="3">
        <f t="shared" si="22"/>
        <v>93.345073349199026</v>
      </c>
      <c r="J227" s="3">
        <f t="shared" si="23"/>
        <v>52.691964941569282</v>
      </c>
      <c r="K227" s="3">
        <f t="shared" si="24"/>
        <v>16.128547579298832</v>
      </c>
      <c r="L227" s="12" t="str">
        <f t="shared" si="25"/>
        <v/>
      </c>
      <c r="M227" s="12" t="str">
        <f t="shared" si="26"/>
        <v/>
      </c>
    </row>
    <row r="228" spans="1:13" ht="31.5">
      <c r="A228" s="3">
        <v>219</v>
      </c>
      <c r="B228" s="11" t="s">
        <v>71</v>
      </c>
      <c r="C228" s="3">
        <v>5</v>
      </c>
      <c r="D228" s="3">
        <v>7</v>
      </c>
      <c r="E228" s="11" t="s">
        <v>290</v>
      </c>
      <c r="F228" s="3">
        <v>39</v>
      </c>
      <c r="G228" s="3">
        <f t="shared" si="27"/>
        <v>27</v>
      </c>
      <c r="H228" s="3">
        <f t="shared" si="21"/>
        <v>50.45</v>
      </c>
      <c r="I228" s="3">
        <f t="shared" si="22"/>
        <v>93.345073349199026</v>
      </c>
      <c r="J228" s="3">
        <f t="shared" si="23"/>
        <v>52.691964941569282</v>
      </c>
      <c r="K228" s="3">
        <f t="shared" si="24"/>
        <v>16.128547579298832</v>
      </c>
      <c r="L228" s="12" t="str">
        <f t="shared" si="25"/>
        <v/>
      </c>
      <c r="M228" s="12" t="str">
        <f t="shared" si="26"/>
        <v/>
      </c>
    </row>
    <row r="229" spans="1:13" ht="31.5">
      <c r="A229" s="3">
        <v>220</v>
      </c>
      <c r="B229" s="11" t="s">
        <v>71</v>
      </c>
      <c r="C229" s="3">
        <v>5</v>
      </c>
      <c r="D229" s="3">
        <v>6</v>
      </c>
      <c r="E229" s="11" t="s">
        <v>291</v>
      </c>
      <c r="F229" s="3">
        <v>22</v>
      </c>
      <c r="G229" s="3">
        <f t="shared" si="27"/>
        <v>17</v>
      </c>
      <c r="H229" s="3">
        <f t="shared" si="21"/>
        <v>50.45</v>
      </c>
      <c r="I229" s="3">
        <f t="shared" si="22"/>
        <v>93.345073349199026</v>
      </c>
      <c r="J229" s="3">
        <f t="shared" si="23"/>
        <v>52.691964941569282</v>
      </c>
      <c r="K229" s="3">
        <f t="shared" si="24"/>
        <v>16.128547579298832</v>
      </c>
      <c r="L229" s="12" t="str">
        <f t="shared" si="25"/>
        <v/>
      </c>
      <c r="M229" s="12" t="str">
        <f t="shared" si="26"/>
        <v/>
      </c>
    </row>
    <row r="230" spans="1:13" ht="31.5">
      <c r="A230" s="3">
        <v>221</v>
      </c>
      <c r="B230" s="11" t="s">
        <v>71</v>
      </c>
      <c r="C230" s="3">
        <v>5</v>
      </c>
      <c r="D230" s="3">
        <v>5</v>
      </c>
      <c r="E230" s="11" t="s">
        <v>292</v>
      </c>
      <c r="F230" s="3">
        <v>30</v>
      </c>
      <c r="G230" s="3">
        <f t="shared" si="27"/>
        <v>8</v>
      </c>
      <c r="H230" s="3">
        <f t="shared" si="21"/>
        <v>50.45</v>
      </c>
      <c r="I230" s="3">
        <f t="shared" si="22"/>
        <v>93.345073349199026</v>
      </c>
      <c r="J230" s="3">
        <f t="shared" si="23"/>
        <v>52.691964941569282</v>
      </c>
      <c r="K230" s="3">
        <f t="shared" si="24"/>
        <v>16.128547579298832</v>
      </c>
      <c r="L230" s="12" t="str">
        <f t="shared" si="25"/>
        <v/>
      </c>
      <c r="M230" s="12" t="str">
        <f t="shared" si="26"/>
        <v/>
      </c>
    </row>
    <row r="231" spans="1:13" ht="31.5">
      <c r="A231" s="3">
        <v>222</v>
      </c>
      <c r="B231" s="11" t="s">
        <v>71</v>
      </c>
      <c r="C231" s="3">
        <v>5</v>
      </c>
      <c r="D231" s="3">
        <v>4</v>
      </c>
      <c r="E231" s="11" t="s">
        <v>293</v>
      </c>
      <c r="F231" s="3">
        <v>27</v>
      </c>
      <c r="G231" s="3">
        <f t="shared" si="27"/>
        <v>3</v>
      </c>
      <c r="H231" s="3">
        <f t="shared" si="21"/>
        <v>50.45</v>
      </c>
      <c r="I231" s="3">
        <f t="shared" si="22"/>
        <v>93.345073349199026</v>
      </c>
      <c r="J231" s="3">
        <f t="shared" si="23"/>
        <v>52.691964941569282</v>
      </c>
      <c r="K231" s="3">
        <f t="shared" si="24"/>
        <v>16.128547579298832</v>
      </c>
      <c r="L231" s="12" t="str">
        <f t="shared" si="25"/>
        <v/>
      </c>
      <c r="M231" s="12" t="str">
        <f t="shared" si="26"/>
        <v/>
      </c>
    </row>
    <row r="232" spans="1:13" ht="31.5">
      <c r="A232" s="3">
        <v>223</v>
      </c>
      <c r="B232" s="11" t="s">
        <v>71</v>
      </c>
      <c r="C232" s="3">
        <v>5</v>
      </c>
      <c r="D232" s="3">
        <v>3</v>
      </c>
      <c r="E232" s="11" t="s">
        <v>294</v>
      </c>
      <c r="F232" s="3">
        <v>41</v>
      </c>
      <c r="G232" s="3">
        <f t="shared" si="27"/>
        <v>14</v>
      </c>
      <c r="H232" s="3">
        <f t="shared" si="21"/>
        <v>50.45</v>
      </c>
      <c r="I232" s="3">
        <f t="shared" si="22"/>
        <v>93.345073349199026</v>
      </c>
      <c r="J232" s="3">
        <f t="shared" si="23"/>
        <v>52.691964941569282</v>
      </c>
      <c r="K232" s="3">
        <f t="shared" si="24"/>
        <v>16.128547579298832</v>
      </c>
      <c r="L232" s="12" t="str">
        <f t="shared" si="25"/>
        <v/>
      </c>
      <c r="M232" s="12" t="str">
        <f t="shared" si="26"/>
        <v/>
      </c>
    </row>
    <row r="233" spans="1:13" ht="31.5">
      <c r="A233" s="3">
        <v>224</v>
      </c>
      <c r="B233" s="11" t="s">
        <v>71</v>
      </c>
      <c r="C233" s="3">
        <v>5</v>
      </c>
      <c r="D233" s="3">
        <v>2</v>
      </c>
      <c r="E233" s="11" t="s">
        <v>295</v>
      </c>
      <c r="F233" s="3">
        <v>29</v>
      </c>
      <c r="G233" s="3">
        <f t="shared" si="27"/>
        <v>12</v>
      </c>
      <c r="H233" s="3">
        <f t="shared" si="21"/>
        <v>50.45</v>
      </c>
      <c r="I233" s="3">
        <f t="shared" si="22"/>
        <v>93.345073349199026</v>
      </c>
      <c r="J233" s="3">
        <f t="shared" si="23"/>
        <v>52.691964941569282</v>
      </c>
      <c r="K233" s="3">
        <f t="shared" si="24"/>
        <v>16.128547579298832</v>
      </c>
      <c r="L233" s="12" t="str">
        <f t="shared" si="25"/>
        <v/>
      </c>
      <c r="M233" s="12" t="str">
        <f t="shared" si="26"/>
        <v/>
      </c>
    </row>
    <row r="234" spans="1:13" ht="31.5">
      <c r="A234" s="3">
        <v>225</v>
      </c>
      <c r="B234" s="11" t="s">
        <v>71</v>
      </c>
      <c r="C234" s="3">
        <v>5</v>
      </c>
      <c r="D234" s="3">
        <v>1</v>
      </c>
      <c r="E234" s="11" t="s">
        <v>296</v>
      </c>
      <c r="F234" s="3">
        <v>21</v>
      </c>
      <c r="G234" s="3">
        <f t="shared" si="27"/>
        <v>8</v>
      </c>
      <c r="H234" s="3">
        <f t="shared" si="21"/>
        <v>50.45</v>
      </c>
      <c r="I234" s="3">
        <f t="shared" si="22"/>
        <v>93.345073349199026</v>
      </c>
      <c r="J234" s="3">
        <f t="shared" si="23"/>
        <v>52.691964941569282</v>
      </c>
      <c r="K234" s="3">
        <f t="shared" si="24"/>
        <v>16.128547579298832</v>
      </c>
      <c r="L234" s="12" t="str">
        <f t="shared" si="25"/>
        <v/>
      </c>
      <c r="M234" s="12" t="str">
        <f t="shared" si="26"/>
        <v/>
      </c>
    </row>
    <row r="235" spans="1:13" ht="31.5">
      <c r="A235" s="3">
        <v>226</v>
      </c>
      <c r="B235" s="11" t="s">
        <v>71</v>
      </c>
      <c r="C235" s="3">
        <v>5</v>
      </c>
      <c r="D235" s="3">
        <v>25</v>
      </c>
      <c r="E235" s="11" t="s">
        <v>297</v>
      </c>
      <c r="F235" s="3">
        <v>45</v>
      </c>
      <c r="G235" s="3">
        <f t="shared" si="27"/>
        <v>24</v>
      </c>
      <c r="H235" s="3">
        <f t="shared" si="21"/>
        <v>50.45</v>
      </c>
      <c r="I235" s="3">
        <f t="shared" si="22"/>
        <v>93.345073349199026</v>
      </c>
      <c r="J235" s="3">
        <f t="shared" si="23"/>
        <v>52.691964941569282</v>
      </c>
      <c r="K235" s="3">
        <f t="shared" si="24"/>
        <v>16.128547579298832</v>
      </c>
      <c r="L235" s="12" t="str">
        <f t="shared" si="25"/>
        <v/>
      </c>
      <c r="M235" s="12" t="str">
        <f t="shared" si="26"/>
        <v/>
      </c>
    </row>
    <row r="236" spans="1:13" ht="31.5">
      <c r="A236" s="3">
        <v>227</v>
      </c>
      <c r="B236" s="11" t="s">
        <v>71</v>
      </c>
      <c r="C236" s="3">
        <v>5</v>
      </c>
      <c r="D236" s="3">
        <v>24</v>
      </c>
      <c r="E236" s="11" t="s">
        <v>298</v>
      </c>
      <c r="F236" s="3">
        <v>14</v>
      </c>
      <c r="G236" s="3">
        <f t="shared" si="27"/>
        <v>31</v>
      </c>
      <c r="H236" s="3">
        <f t="shared" si="21"/>
        <v>50.45</v>
      </c>
      <c r="I236" s="3">
        <f t="shared" si="22"/>
        <v>93.345073349199026</v>
      </c>
      <c r="J236" s="3">
        <f t="shared" si="23"/>
        <v>52.691964941569282</v>
      </c>
      <c r="K236" s="3">
        <f t="shared" si="24"/>
        <v>16.128547579298832</v>
      </c>
      <c r="L236" s="12" t="str">
        <f t="shared" si="25"/>
        <v/>
      </c>
      <c r="M236" s="12" t="str">
        <f t="shared" si="26"/>
        <v/>
      </c>
    </row>
    <row r="237" spans="1:13" ht="31.5">
      <c r="A237" s="3">
        <v>228</v>
      </c>
      <c r="B237" s="11" t="s">
        <v>71</v>
      </c>
      <c r="C237" s="3">
        <v>5</v>
      </c>
      <c r="D237" s="3">
        <v>23</v>
      </c>
      <c r="E237" s="11" t="s">
        <v>299</v>
      </c>
      <c r="F237" s="3">
        <v>16</v>
      </c>
      <c r="G237" s="3">
        <f t="shared" si="27"/>
        <v>2</v>
      </c>
      <c r="H237" s="3">
        <f t="shared" si="21"/>
        <v>50.45</v>
      </c>
      <c r="I237" s="3">
        <f t="shared" si="22"/>
        <v>93.345073349199026</v>
      </c>
      <c r="J237" s="3">
        <f t="shared" si="23"/>
        <v>52.691964941569282</v>
      </c>
      <c r="K237" s="3">
        <f t="shared" si="24"/>
        <v>16.128547579298832</v>
      </c>
      <c r="L237" s="12" t="str">
        <f t="shared" si="25"/>
        <v/>
      </c>
      <c r="M237" s="12" t="str">
        <f t="shared" si="26"/>
        <v/>
      </c>
    </row>
    <row r="238" spans="1:13" ht="31.5">
      <c r="A238" s="3">
        <v>229</v>
      </c>
      <c r="B238" s="11" t="s">
        <v>71</v>
      </c>
      <c r="C238" s="3">
        <v>5</v>
      </c>
      <c r="D238" s="3">
        <v>22</v>
      </c>
      <c r="E238" s="11" t="s">
        <v>300</v>
      </c>
      <c r="F238" s="3">
        <v>19</v>
      </c>
      <c r="G238" s="3">
        <f t="shared" si="27"/>
        <v>3</v>
      </c>
      <c r="H238" s="3">
        <f t="shared" si="21"/>
        <v>50.45</v>
      </c>
      <c r="I238" s="3">
        <f t="shared" si="22"/>
        <v>93.345073349199026</v>
      </c>
      <c r="J238" s="3">
        <f t="shared" si="23"/>
        <v>52.691964941569282</v>
      </c>
      <c r="K238" s="3">
        <f t="shared" si="24"/>
        <v>16.128547579298832</v>
      </c>
      <c r="L238" s="12" t="str">
        <f t="shared" si="25"/>
        <v/>
      </c>
      <c r="M238" s="12" t="str">
        <f t="shared" si="26"/>
        <v/>
      </c>
    </row>
    <row r="239" spans="1:13" ht="31.5">
      <c r="A239" s="3">
        <v>230</v>
      </c>
      <c r="B239" s="11" t="s">
        <v>71</v>
      </c>
      <c r="C239" s="3">
        <v>5</v>
      </c>
      <c r="D239" s="3">
        <v>21</v>
      </c>
      <c r="E239" s="11" t="s">
        <v>301</v>
      </c>
      <c r="F239" s="3">
        <v>15</v>
      </c>
      <c r="G239" s="3">
        <f t="shared" si="27"/>
        <v>4</v>
      </c>
      <c r="H239" s="3">
        <f t="shared" si="21"/>
        <v>50.45</v>
      </c>
      <c r="I239" s="3">
        <f t="shared" si="22"/>
        <v>93.345073349199026</v>
      </c>
      <c r="J239" s="3">
        <f t="shared" si="23"/>
        <v>52.691964941569282</v>
      </c>
      <c r="K239" s="3">
        <f t="shared" si="24"/>
        <v>16.128547579298832</v>
      </c>
      <c r="L239" s="12" t="str">
        <f t="shared" si="25"/>
        <v/>
      </c>
      <c r="M239" s="12" t="str">
        <f t="shared" si="26"/>
        <v/>
      </c>
    </row>
    <row r="240" spans="1:13" ht="31.5">
      <c r="A240" s="3">
        <v>231</v>
      </c>
      <c r="B240" s="11" t="s">
        <v>71</v>
      </c>
      <c r="C240" s="3">
        <v>5</v>
      </c>
      <c r="D240" s="3">
        <v>20</v>
      </c>
      <c r="E240" s="11" t="s">
        <v>302</v>
      </c>
      <c r="F240" s="3">
        <v>21</v>
      </c>
      <c r="G240" s="3">
        <f t="shared" si="27"/>
        <v>6</v>
      </c>
      <c r="H240" s="3">
        <f t="shared" si="21"/>
        <v>50.45</v>
      </c>
      <c r="I240" s="3">
        <f t="shared" si="22"/>
        <v>93.345073349199026</v>
      </c>
      <c r="J240" s="3">
        <f t="shared" si="23"/>
        <v>52.691964941569282</v>
      </c>
      <c r="K240" s="3">
        <f t="shared" si="24"/>
        <v>16.128547579298832</v>
      </c>
      <c r="L240" s="12" t="str">
        <f t="shared" si="25"/>
        <v/>
      </c>
      <c r="M240" s="12" t="str">
        <f t="shared" si="26"/>
        <v/>
      </c>
    </row>
    <row r="241" spans="1:13" ht="31.5">
      <c r="A241" s="3">
        <v>232</v>
      </c>
      <c r="B241" s="11" t="s">
        <v>71</v>
      </c>
      <c r="C241" s="3">
        <v>5</v>
      </c>
      <c r="D241" s="3">
        <v>19</v>
      </c>
      <c r="E241" s="11" t="s">
        <v>303</v>
      </c>
      <c r="F241" s="3">
        <v>18</v>
      </c>
      <c r="G241" s="3">
        <f t="shared" si="27"/>
        <v>3</v>
      </c>
      <c r="H241" s="3">
        <f t="shared" si="21"/>
        <v>50.45</v>
      </c>
      <c r="I241" s="3">
        <f t="shared" si="22"/>
        <v>93.345073349199026</v>
      </c>
      <c r="J241" s="3">
        <f t="shared" si="23"/>
        <v>52.691964941569282</v>
      </c>
      <c r="K241" s="3">
        <f t="shared" si="24"/>
        <v>16.128547579298832</v>
      </c>
      <c r="L241" s="12" t="str">
        <f t="shared" si="25"/>
        <v/>
      </c>
      <c r="M241" s="12" t="str">
        <f t="shared" si="26"/>
        <v/>
      </c>
    </row>
    <row r="242" spans="1:13" ht="31.5">
      <c r="A242" s="3">
        <v>233</v>
      </c>
      <c r="B242" s="11" t="s">
        <v>71</v>
      </c>
      <c r="C242" s="3">
        <v>5</v>
      </c>
      <c r="D242" s="3">
        <v>18</v>
      </c>
      <c r="E242" s="11" t="s">
        <v>304</v>
      </c>
      <c r="F242" s="3">
        <v>17</v>
      </c>
      <c r="G242" s="3">
        <f t="shared" si="27"/>
        <v>1</v>
      </c>
      <c r="H242" s="3">
        <f t="shared" si="21"/>
        <v>50.45</v>
      </c>
      <c r="I242" s="3">
        <f t="shared" si="22"/>
        <v>93.345073349199026</v>
      </c>
      <c r="J242" s="3">
        <f t="shared" si="23"/>
        <v>52.691964941569282</v>
      </c>
      <c r="K242" s="3">
        <f t="shared" si="24"/>
        <v>16.128547579298832</v>
      </c>
      <c r="L242" s="12" t="str">
        <f t="shared" si="25"/>
        <v/>
      </c>
      <c r="M242" s="12" t="str">
        <f t="shared" si="26"/>
        <v/>
      </c>
    </row>
    <row r="243" spans="1:13" ht="31.5">
      <c r="A243" s="3">
        <v>234</v>
      </c>
      <c r="B243" s="11" t="s">
        <v>71</v>
      </c>
      <c r="C243" s="3">
        <v>5</v>
      </c>
      <c r="D243" s="3">
        <v>17</v>
      </c>
      <c r="E243" s="11" t="s">
        <v>305</v>
      </c>
      <c r="F243" s="3">
        <v>26</v>
      </c>
      <c r="G243" s="3">
        <f t="shared" si="27"/>
        <v>9</v>
      </c>
      <c r="H243" s="3">
        <f t="shared" si="21"/>
        <v>50.45</v>
      </c>
      <c r="I243" s="3">
        <f t="shared" si="22"/>
        <v>93.345073349199026</v>
      </c>
      <c r="J243" s="3">
        <f t="shared" si="23"/>
        <v>52.691964941569282</v>
      </c>
      <c r="K243" s="3">
        <f t="shared" si="24"/>
        <v>16.128547579298832</v>
      </c>
      <c r="L243" s="12" t="str">
        <f t="shared" si="25"/>
        <v/>
      </c>
      <c r="M243" s="12" t="str">
        <f t="shared" si="26"/>
        <v/>
      </c>
    </row>
    <row r="244" spans="1:13" ht="31.5">
      <c r="A244" s="3">
        <v>235</v>
      </c>
      <c r="B244" s="11" t="s">
        <v>71</v>
      </c>
      <c r="C244" s="3">
        <v>5</v>
      </c>
      <c r="D244" s="3">
        <v>16</v>
      </c>
      <c r="E244" s="11" t="s">
        <v>306</v>
      </c>
      <c r="F244" s="3">
        <v>14</v>
      </c>
      <c r="G244" s="3">
        <f t="shared" si="27"/>
        <v>12</v>
      </c>
      <c r="H244" s="3">
        <f t="shared" si="21"/>
        <v>50.45</v>
      </c>
      <c r="I244" s="3">
        <f t="shared" si="22"/>
        <v>93.345073349199026</v>
      </c>
      <c r="J244" s="3">
        <f t="shared" si="23"/>
        <v>52.691964941569282</v>
      </c>
      <c r="K244" s="3">
        <f t="shared" si="24"/>
        <v>16.128547579298832</v>
      </c>
      <c r="L244" s="12" t="str">
        <f t="shared" si="25"/>
        <v/>
      </c>
      <c r="M244" s="12" t="str">
        <f t="shared" si="26"/>
        <v/>
      </c>
    </row>
    <row r="245" spans="1:13" ht="31.5">
      <c r="A245" s="3">
        <v>236</v>
      </c>
      <c r="B245" s="11" t="s">
        <v>71</v>
      </c>
      <c r="C245" s="3">
        <v>5</v>
      </c>
      <c r="D245" s="3">
        <v>15</v>
      </c>
      <c r="E245" s="11" t="s">
        <v>307</v>
      </c>
      <c r="F245" s="3">
        <v>27</v>
      </c>
      <c r="G245" s="3">
        <f t="shared" si="27"/>
        <v>13</v>
      </c>
      <c r="H245" s="3">
        <f t="shared" si="21"/>
        <v>50.45</v>
      </c>
      <c r="I245" s="3">
        <f t="shared" si="22"/>
        <v>93.345073349199026</v>
      </c>
      <c r="J245" s="3">
        <f t="shared" si="23"/>
        <v>52.691964941569282</v>
      </c>
      <c r="K245" s="3">
        <f t="shared" si="24"/>
        <v>16.128547579298832</v>
      </c>
      <c r="L245" s="12" t="str">
        <f t="shared" si="25"/>
        <v/>
      </c>
      <c r="M245" s="12" t="str">
        <f t="shared" si="26"/>
        <v/>
      </c>
    </row>
    <row r="246" spans="1:13" ht="31.5">
      <c r="A246" s="3">
        <v>237</v>
      </c>
      <c r="B246" s="11" t="s">
        <v>71</v>
      </c>
      <c r="C246" s="3">
        <v>5</v>
      </c>
      <c r="D246" s="3">
        <v>14</v>
      </c>
      <c r="E246" s="11" t="s">
        <v>308</v>
      </c>
      <c r="F246" s="3">
        <v>43</v>
      </c>
      <c r="G246" s="3">
        <f t="shared" si="27"/>
        <v>16</v>
      </c>
      <c r="H246" s="3">
        <f t="shared" si="21"/>
        <v>50.45</v>
      </c>
      <c r="I246" s="3">
        <f t="shared" si="22"/>
        <v>93.345073349199026</v>
      </c>
      <c r="J246" s="3">
        <f t="shared" si="23"/>
        <v>52.691964941569282</v>
      </c>
      <c r="K246" s="3">
        <f t="shared" si="24"/>
        <v>16.128547579298832</v>
      </c>
      <c r="L246" s="12" t="str">
        <f t="shared" si="25"/>
        <v/>
      </c>
      <c r="M246" s="12" t="str">
        <f t="shared" si="26"/>
        <v/>
      </c>
    </row>
    <row r="247" spans="1:13" ht="31.5">
      <c r="A247" s="3">
        <v>238</v>
      </c>
      <c r="B247" s="11" t="s">
        <v>71</v>
      </c>
      <c r="C247" s="3">
        <v>5</v>
      </c>
      <c r="D247" s="3">
        <v>13</v>
      </c>
      <c r="E247" s="11" t="s">
        <v>309</v>
      </c>
      <c r="F247" s="3">
        <v>57</v>
      </c>
      <c r="G247" s="3">
        <f t="shared" si="27"/>
        <v>14</v>
      </c>
      <c r="H247" s="3">
        <f t="shared" si="21"/>
        <v>50.45</v>
      </c>
      <c r="I247" s="3">
        <f t="shared" si="22"/>
        <v>93.345073349199026</v>
      </c>
      <c r="J247" s="3">
        <f t="shared" si="23"/>
        <v>52.691964941569282</v>
      </c>
      <c r="K247" s="3">
        <f t="shared" si="24"/>
        <v>16.128547579298832</v>
      </c>
      <c r="L247" s="12" t="str">
        <f t="shared" si="25"/>
        <v/>
      </c>
      <c r="M247" s="12" t="str">
        <f t="shared" si="26"/>
        <v/>
      </c>
    </row>
    <row r="248" spans="1:13" ht="31.5">
      <c r="A248" s="3">
        <v>239</v>
      </c>
      <c r="B248" s="11" t="s">
        <v>71</v>
      </c>
      <c r="C248" s="3">
        <v>5</v>
      </c>
      <c r="D248" s="3">
        <v>12</v>
      </c>
      <c r="E248" s="11" t="s">
        <v>310</v>
      </c>
      <c r="F248" s="3">
        <v>30</v>
      </c>
      <c r="G248" s="3">
        <f t="shared" si="27"/>
        <v>27</v>
      </c>
      <c r="H248" s="3">
        <f t="shared" si="21"/>
        <v>50.45</v>
      </c>
      <c r="I248" s="3">
        <f t="shared" si="22"/>
        <v>93.345073349199026</v>
      </c>
      <c r="J248" s="3">
        <f t="shared" si="23"/>
        <v>52.691964941569282</v>
      </c>
      <c r="K248" s="3">
        <f t="shared" si="24"/>
        <v>16.128547579298832</v>
      </c>
      <c r="L248" s="12" t="str">
        <f t="shared" si="25"/>
        <v/>
      </c>
      <c r="M248" s="12" t="str">
        <f t="shared" si="26"/>
        <v/>
      </c>
    </row>
    <row r="249" spans="1:13" ht="31.5">
      <c r="A249" s="3">
        <v>240</v>
      </c>
      <c r="B249" s="11" t="s">
        <v>71</v>
      </c>
      <c r="C249" s="3">
        <v>5</v>
      </c>
      <c r="D249" s="3">
        <v>11</v>
      </c>
      <c r="E249" s="11" t="s">
        <v>311</v>
      </c>
      <c r="F249" s="3">
        <v>50</v>
      </c>
      <c r="G249" s="3">
        <f t="shared" si="27"/>
        <v>20</v>
      </c>
      <c r="H249" s="3">
        <f t="shared" si="21"/>
        <v>50.45</v>
      </c>
      <c r="I249" s="3">
        <f t="shared" si="22"/>
        <v>93.345073349199026</v>
      </c>
      <c r="J249" s="3">
        <f t="shared" si="23"/>
        <v>52.691964941569282</v>
      </c>
      <c r="K249" s="3">
        <f t="shared" si="24"/>
        <v>16.128547579298832</v>
      </c>
      <c r="L249" s="12" t="str">
        <f t="shared" si="25"/>
        <v/>
      </c>
      <c r="M249" s="12" t="str">
        <f t="shared" si="26"/>
        <v/>
      </c>
    </row>
    <row r="250" spans="1:13" ht="31.5">
      <c r="A250" s="3">
        <v>241</v>
      </c>
      <c r="B250" s="11" t="s">
        <v>71</v>
      </c>
      <c r="C250" s="3">
        <v>5</v>
      </c>
      <c r="D250" s="3">
        <v>10</v>
      </c>
      <c r="E250" s="11" t="s">
        <v>312</v>
      </c>
      <c r="F250" s="3">
        <v>45</v>
      </c>
      <c r="G250" s="3">
        <f t="shared" si="27"/>
        <v>5</v>
      </c>
      <c r="H250" s="3">
        <f t="shared" si="21"/>
        <v>50.45</v>
      </c>
      <c r="I250" s="3">
        <f t="shared" si="22"/>
        <v>93.345073349199026</v>
      </c>
      <c r="J250" s="3">
        <f t="shared" si="23"/>
        <v>52.691964941569282</v>
      </c>
      <c r="K250" s="3">
        <f t="shared" si="24"/>
        <v>16.128547579298832</v>
      </c>
      <c r="L250" s="12" t="str">
        <f t="shared" si="25"/>
        <v/>
      </c>
      <c r="M250" s="12" t="str">
        <f t="shared" si="26"/>
        <v/>
      </c>
    </row>
    <row r="251" spans="1:13" ht="31.5">
      <c r="A251" s="3">
        <v>242</v>
      </c>
      <c r="B251" s="11" t="s">
        <v>71</v>
      </c>
      <c r="C251" s="3">
        <v>5</v>
      </c>
      <c r="D251" s="3">
        <v>9</v>
      </c>
      <c r="E251" s="11" t="s">
        <v>313</v>
      </c>
      <c r="F251" s="3">
        <v>54</v>
      </c>
      <c r="G251" s="3">
        <f t="shared" si="27"/>
        <v>9</v>
      </c>
      <c r="H251" s="3">
        <f t="shared" si="21"/>
        <v>50.45</v>
      </c>
      <c r="I251" s="3">
        <f t="shared" si="22"/>
        <v>93.345073349199026</v>
      </c>
      <c r="J251" s="3">
        <f t="shared" si="23"/>
        <v>52.691964941569282</v>
      </c>
      <c r="K251" s="3">
        <f t="shared" si="24"/>
        <v>16.128547579298832</v>
      </c>
      <c r="L251" s="12" t="str">
        <f t="shared" si="25"/>
        <v/>
      </c>
      <c r="M251" s="12" t="str">
        <f t="shared" si="26"/>
        <v/>
      </c>
    </row>
    <row r="252" spans="1:13" ht="31.5">
      <c r="A252" s="3">
        <v>243</v>
      </c>
      <c r="B252" s="11" t="s">
        <v>71</v>
      </c>
      <c r="C252" s="3">
        <v>5</v>
      </c>
      <c r="D252" s="3">
        <v>8</v>
      </c>
      <c r="E252" s="11" t="s">
        <v>314</v>
      </c>
      <c r="F252" s="3">
        <v>62</v>
      </c>
      <c r="G252" s="3">
        <f t="shared" si="27"/>
        <v>8</v>
      </c>
      <c r="H252" s="3">
        <f t="shared" si="21"/>
        <v>50.45</v>
      </c>
      <c r="I252" s="3">
        <f t="shared" si="22"/>
        <v>93.345073349199026</v>
      </c>
      <c r="J252" s="3">
        <f t="shared" si="23"/>
        <v>52.691964941569282</v>
      </c>
      <c r="K252" s="3">
        <f t="shared" si="24"/>
        <v>16.128547579298832</v>
      </c>
      <c r="L252" s="12" t="str">
        <f t="shared" si="25"/>
        <v/>
      </c>
      <c r="M252" s="12" t="str">
        <f t="shared" si="26"/>
        <v/>
      </c>
    </row>
    <row r="253" spans="1:13" ht="31.5">
      <c r="A253" s="3">
        <v>244</v>
      </c>
      <c r="B253" s="11" t="s">
        <v>71</v>
      </c>
      <c r="C253" s="3">
        <v>5</v>
      </c>
      <c r="D253" s="3">
        <v>7</v>
      </c>
      <c r="E253" s="11" t="s">
        <v>315</v>
      </c>
      <c r="F253" s="3">
        <v>26</v>
      </c>
      <c r="G253" s="3">
        <f t="shared" si="27"/>
        <v>36</v>
      </c>
      <c r="H253" s="3">
        <f t="shared" si="21"/>
        <v>50.45</v>
      </c>
      <c r="I253" s="3">
        <f t="shared" si="22"/>
        <v>93.345073349199026</v>
      </c>
      <c r="J253" s="3">
        <f t="shared" si="23"/>
        <v>52.691964941569282</v>
      </c>
      <c r="K253" s="3">
        <f t="shared" si="24"/>
        <v>16.128547579298832</v>
      </c>
      <c r="L253" s="12" t="str">
        <f t="shared" si="25"/>
        <v/>
      </c>
      <c r="M253" s="12" t="str">
        <f t="shared" si="26"/>
        <v/>
      </c>
    </row>
    <row r="254" spans="1:13" ht="31.5">
      <c r="A254" s="3">
        <v>245</v>
      </c>
      <c r="B254" s="11" t="s">
        <v>71</v>
      </c>
      <c r="C254" s="3">
        <v>5</v>
      </c>
      <c r="D254" s="3">
        <v>6</v>
      </c>
      <c r="E254" s="11" t="s">
        <v>316</v>
      </c>
      <c r="F254" s="3">
        <v>29</v>
      </c>
      <c r="G254" s="3">
        <f t="shared" si="27"/>
        <v>3</v>
      </c>
      <c r="H254" s="3">
        <f t="shared" si="21"/>
        <v>50.45</v>
      </c>
      <c r="I254" s="3">
        <f t="shared" si="22"/>
        <v>93.345073349199026</v>
      </c>
      <c r="J254" s="3">
        <f t="shared" si="23"/>
        <v>52.691964941569282</v>
      </c>
      <c r="K254" s="3">
        <f t="shared" si="24"/>
        <v>16.128547579298832</v>
      </c>
      <c r="L254" s="12" t="str">
        <f t="shared" si="25"/>
        <v/>
      </c>
      <c r="M254" s="12" t="str">
        <f t="shared" si="26"/>
        <v/>
      </c>
    </row>
    <row r="255" spans="1:13" ht="31.5">
      <c r="A255" s="3">
        <v>246</v>
      </c>
      <c r="B255" s="11" t="s">
        <v>71</v>
      </c>
      <c r="C255" s="3">
        <v>5</v>
      </c>
      <c r="D255" s="3">
        <v>5</v>
      </c>
      <c r="E255" s="11" t="s">
        <v>317</v>
      </c>
      <c r="F255" s="3">
        <v>27</v>
      </c>
      <c r="G255" s="3">
        <f t="shared" si="27"/>
        <v>2</v>
      </c>
      <c r="H255" s="3">
        <f t="shared" si="21"/>
        <v>50.45</v>
      </c>
      <c r="I255" s="3">
        <f t="shared" si="22"/>
        <v>93.345073349199026</v>
      </c>
      <c r="J255" s="3">
        <f t="shared" si="23"/>
        <v>52.691964941569282</v>
      </c>
      <c r="K255" s="3">
        <f t="shared" si="24"/>
        <v>16.128547579298832</v>
      </c>
      <c r="L255" s="12" t="str">
        <f t="shared" si="25"/>
        <v/>
      </c>
      <c r="M255" s="12" t="str">
        <f t="shared" si="26"/>
        <v/>
      </c>
    </row>
    <row r="256" spans="1:13" ht="31.5">
      <c r="A256" s="3">
        <v>247</v>
      </c>
      <c r="B256" s="11" t="s">
        <v>71</v>
      </c>
      <c r="C256" s="3">
        <v>5</v>
      </c>
      <c r="D256" s="3">
        <v>4</v>
      </c>
      <c r="E256" s="11" t="s">
        <v>318</v>
      </c>
      <c r="F256" s="3">
        <v>19</v>
      </c>
      <c r="G256" s="3">
        <f t="shared" si="27"/>
        <v>8</v>
      </c>
      <c r="H256" s="3">
        <f t="shared" si="21"/>
        <v>50.45</v>
      </c>
      <c r="I256" s="3">
        <f t="shared" si="22"/>
        <v>93.345073349199026</v>
      </c>
      <c r="J256" s="3">
        <f t="shared" si="23"/>
        <v>52.691964941569282</v>
      </c>
      <c r="K256" s="3">
        <f t="shared" si="24"/>
        <v>16.128547579298832</v>
      </c>
      <c r="L256" s="12" t="str">
        <f t="shared" si="25"/>
        <v/>
      </c>
      <c r="M256" s="12" t="str">
        <f t="shared" si="26"/>
        <v/>
      </c>
    </row>
    <row r="257" spans="1:13" ht="31.5">
      <c r="A257" s="3">
        <v>248</v>
      </c>
      <c r="B257" s="11" t="s">
        <v>71</v>
      </c>
      <c r="C257" s="3">
        <v>5</v>
      </c>
      <c r="D257" s="3">
        <v>3</v>
      </c>
      <c r="E257" s="11" t="s">
        <v>319</v>
      </c>
      <c r="F257" s="3">
        <v>53</v>
      </c>
      <c r="G257" s="3">
        <f t="shared" si="27"/>
        <v>34</v>
      </c>
      <c r="H257" s="3">
        <f t="shared" si="21"/>
        <v>50.45</v>
      </c>
      <c r="I257" s="3">
        <f t="shared" si="22"/>
        <v>93.345073349199026</v>
      </c>
      <c r="J257" s="3">
        <f t="shared" si="23"/>
        <v>52.691964941569282</v>
      </c>
      <c r="K257" s="3">
        <f t="shared" si="24"/>
        <v>16.128547579298832</v>
      </c>
      <c r="L257" s="12" t="str">
        <f t="shared" si="25"/>
        <v/>
      </c>
      <c r="M257" s="12" t="str">
        <f t="shared" si="26"/>
        <v/>
      </c>
    </row>
    <row r="258" spans="1:13" ht="31.5">
      <c r="A258" s="3">
        <v>249</v>
      </c>
      <c r="B258" s="11" t="s">
        <v>71</v>
      </c>
      <c r="C258" s="3">
        <v>5</v>
      </c>
      <c r="D258" s="3">
        <v>2</v>
      </c>
      <c r="E258" s="11" t="s">
        <v>320</v>
      </c>
      <c r="F258" s="3">
        <v>28</v>
      </c>
      <c r="G258" s="3">
        <f t="shared" si="27"/>
        <v>25</v>
      </c>
      <c r="H258" s="3">
        <f t="shared" si="21"/>
        <v>50.45</v>
      </c>
      <c r="I258" s="3">
        <f t="shared" si="22"/>
        <v>93.345073349199026</v>
      </c>
      <c r="J258" s="3">
        <f t="shared" si="23"/>
        <v>52.691964941569282</v>
      </c>
      <c r="K258" s="3">
        <f t="shared" si="24"/>
        <v>16.128547579298832</v>
      </c>
      <c r="L258" s="12" t="str">
        <f t="shared" si="25"/>
        <v/>
      </c>
      <c r="M258" s="12" t="str">
        <f t="shared" si="26"/>
        <v/>
      </c>
    </row>
    <row r="259" spans="1:13" ht="31.5">
      <c r="A259" s="3">
        <v>250</v>
      </c>
      <c r="B259" s="11" t="s">
        <v>71</v>
      </c>
      <c r="C259" s="3">
        <v>5</v>
      </c>
      <c r="D259" s="3">
        <v>1</v>
      </c>
      <c r="E259" s="11" t="s">
        <v>321</v>
      </c>
      <c r="F259" s="3">
        <v>25</v>
      </c>
      <c r="G259" s="3">
        <f t="shared" si="27"/>
        <v>3</v>
      </c>
      <c r="H259" s="3">
        <f t="shared" si="21"/>
        <v>50.45</v>
      </c>
      <c r="I259" s="3">
        <f t="shared" si="22"/>
        <v>93.345073349199026</v>
      </c>
      <c r="J259" s="3">
        <f t="shared" si="23"/>
        <v>52.691964941569282</v>
      </c>
      <c r="K259" s="3">
        <f t="shared" si="24"/>
        <v>16.128547579298832</v>
      </c>
      <c r="L259" s="12" t="str">
        <f t="shared" si="25"/>
        <v/>
      </c>
      <c r="M259" s="12" t="str">
        <f t="shared" si="26"/>
        <v/>
      </c>
    </row>
    <row r="260" spans="1:13" ht="31.5">
      <c r="A260" s="3">
        <v>251</v>
      </c>
      <c r="B260" s="11" t="s">
        <v>71</v>
      </c>
      <c r="C260" s="3">
        <v>6</v>
      </c>
      <c r="D260" s="3">
        <v>25</v>
      </c>
      <c r="E260" s="11" t="s">
        <v>322</v>
      </c>
      <c r="F260" s="3">
        <v>44</v>
      </c>
      <c r="G260" s="3">
        <f t="shared" si="27"/>
        <v>19</v>
      </c>
      <c r="H260" s="3">
        <f t="shared" si="21"/>
        <v>50.45</v>
      </c>
      <c r="I260" s="3">
        <f t="shared" si="22"/>
        <v>93.345073349199026</v>
      </c>
      <c r="J260" s="3">
        <f t="shared" si="23"/>
        <v>52.691964941569282</v>
      </c>
      <c r="K260" s="3">
        <f t="shared" si="24"/>
        <v>16.128547579298832</v>
      </c>
      <c r="L260" s="12" t="str">
        <f t="shared" si="25"/>
        <v/>
      </c>
      <c r="M260" s="12" t="str">
        <f t="shared" si="26"/>
        <v/>
      </c>
    </row>
    <row r="261" spans="1:13" ht="31.5">
      <c r="A261" s="3">
        <v>252</v>
      </c>
      <c r="B261" s="11" t="s">
        <v>71</v>
      </c>
      <c r="C261" s="3">
        <v>6</v>
      </c>
      <c r="D261" s="3">
        <v>24</v>
      </c>
      <c r="E261" s="11" t="s">
        <v>323</v>
      </c>
      <c r="F261" s="3">
        <v>29</v>
      </c>
      <c r="G261" s="3">
        <f t="shared" si="27"/>
        <v>15</v>
      </c>
      <c r="H261" s="3">
        <f t="shared" si="21"/>
        <v>50.45</v>
      </c>
      <c r="I261" s="3">
        <f t="shared" si="22"/>
        <v>93.345073349199026</v>
      </c>
      <c r="J261" s="3">
        <f t="shared" si="23"/>
        <v>52.691964941569282</v>
      </c>
      <c r="K261" s="3">
        <f t="shared" si="24"/>
        <v>16.128547579298832</v>
      </c>
      <c r="L261" s="12" t="str">
        <f t="shared" si="25"/>
        <v/>
      </c>
      <c r="M261" s="12" t="str">
        <f t="shared" si="26"/>
        <v/>
      </c>
    </row>
    <row r="262" spans="1:13" ht="31.5">
      <c r="A262" s="3">
        <v>253</v>
      </c>
      <c r="B262" s="11" t="s">
        <v>71</v>
      </c>
      <c r="C262" s="3">
        <v>6</v>
      </c>
      <c r="D262" s="3">
        <v>23</v>
      </c>
      <c r="E262" s="11" t="s">
        <v>324</v>
      </c>
      <c r="F262" s="3">
        <v>21</v>
      </c>
      <c r="G262" s="3">
        <f t="shared" si="27"/>
        <v>8</v>
      </c>
      <c r="H262" s="3">
        <f t="shared" si="21"/>
        <v>50.45</v>
      </c>
      <c r="I262" s="3">
        <f t="shared" si="22"/>
        <v>93.345073349199026</v>
      </c>
      <c r="J262" s="3">
        <f t="shared" si="23"/>
        <v>52.691964941569282</v>
      </c>
      <c r="K262" s="3">
        <f t="shared" si="24"/>
        <v>16.128547579298832</v>
      </c>
      <c r="L262" s="12" t="str">
        <f t="shared" si="25"/>
        <v/>
      </c>
      <c r="M262" s="12" t="str">
        <f t="shared" si="26"/>
        <v/>
      </c>
    </row>
    <row r="263" spans="1:13" ht="31.5">
      <c r="A263" s="3">
        <v>254</v>
      </c>
      <c r="B263" s="11" t="s">
        <v>71</v>
      </c>
      <c r="C263" s="3">
        <v>6</v>
      </c>
      <c r="D263" s="3">
        <v>22</v>
      </c>
      <c r="E263" s="11" t="s">
        <v>325</v>
      </c>
      <c r="F263" s="3">
        <v>12</v>
      </c>
      <c r="G263" s="3">
        <f t="shared" si="27"/>
        <v>9</v>
      </c>
      <c r="H263" s="3">
        <f t="shared" si="21"/>
        <v>50.45</v>
      </c>
      <c r="I263" s="3">
        <f t="shared" si="22"/>
        <v>93.345073349199026</v>
      </c>
      <c r="J263" s="3">
        <f t="shared" si="23"/>
        <v>52.691964941569282</v>
      </c>
      <c r="K263" s="3">
        <f t="shared" si="24"/>
        <v>16.128547579298832</v>
      </c>
      <c r="L263" s="12" t="str">
        <f t="shared" si="25"/>
        <v/>
      </c>
      <c r="M263" s="12" t="str">
        <f t="shared" si="26"/>
        <v/>
      </c>
    </row>
    <row r="264" spans="1:13" ht="31.5">
      <c r="A264" s="3">
        <v>255</v>
      </c>
      <c r="B264" s="11" t="s">
        <v>71</v>
      </c>
      <c r="C264" s="3">
        <v>6</v>
      </c>
      <c r="D264" s="3">
        <v>21</v>
      </c>
      <c r="E264" s="11" t="s">
        <v>326</v>
      </c>
      <c r="F264" s="3">
        <v>27</v>
      </c>
      <c r="G264" s="3">
        <f t="shared" si="27"/>
        <v>15</v>
      </c>
      <c r="H264" s="3">
        <f t="shared" si="21"/>
        <v>50.45</v>
      </c>
      <c r="I264" s="3">
        <f t="shared" si="22"/>
        <v>93.345073349199026</v>
      </c>
      <c r="J264" s="3">
        <f t="shared" si="23"/>
        <v>52.691964941569282</v>
      </c>
      <c r="K264" s="3">
        <f t="shared" si="24"/>
        <v>16.128547579298832</v>
      </c>
      <c r="L264" s="12" t="str">
        <f t="shared" si="25"/>
        <v/>
      </c>
      <c r="M264" s="12" t="str">
        <f t="shared" si="26"/>
        <v/>
      </c>
    </row>
    <row r="265" spans="1:13" ht="31.5">
      <c r="A265" s="3">
        <v>256</v>
      </c>
      <c r="B265" s="11" t="s">
        <v>71</v>
      </c>
      <c r="C265" s="3">
        <v>6</v>
      </c>
      <c r="D265" s="3">
        <v>20</v>
      </c>
      <c r="E265" s="11" t="s">
        <v>327</v>
      </c>
      <c r="F265" s="3">
        <v>34</v>
      </c>
      <c r="G265" s="3">
        <f t="shared" si="27"/>
        <v>7</v>
      </c>
      <c r="H265" s="3">
        <f t="shared" si="21"/>
        <v>50.45</v>
      </c>
      <c r="I265" s="3">
        <f t="shared" si="22"/>
        <v>93.345073349199026</v>
      </c>
      <c r="J265" s="3">
        <f t="shared" si="23"/>
        <v>52.691964941569282</v>
      </c>
      <c r="K265" s="3">
        <f t="shared" si="24"/>
        <v>16.128547579298832</v>
      </c>
      <c r="L265" s="12" t="str">
        <f t="shared" si="25"/>
        <v/>
      </c>
      <c r="M265" s="12" t="str">
        <f t="shared" si="26"/>
        <v/>
      </c>
    </row>
    <row r="266" spans="1:13" ht="31.5">
      <c r="A266" s="3">
        <v>257</v>
      </c>
      <c r="B266" s="11" t="s">
        <v>71</v>
      </c>
      <c r="C266" s="3">
        <v>6</v>
      </c>
      <c r="D266" s="3">
        <v>19</v>
      </c>
      <c r="E266" s="11" t="s">
        <v>328</v>
      </c>
      <c r="F266" s="3">
        <v>47</v>
      </c>
      <c r="G266" s="3">
        <f t="shared" si="27"/>
        <v>13</v>
      </c>
      <c r="H266" s="3">
        <f t="shared" ref="H266:H329" si="28">$Q$3</f>
        <v>50.45</v>
      </c>
      <c r="I266" s="3">
        <f t="shared" ref="I266:I329" si="29">$Q$6</f>
        <v>93.345073349199026</v>
      </c>
      <c r="J266" s="3">
        <f t="shared" ref="J266:J329" si="30">$Q$7</f>
        <v>52.691964941569282</v>
      </c>
      <c r="K266" s="3">
        <f t="shared" ref="K266:K329" si="31">$Q$4</f>
        <v>16.128547579298832</v>
      </c>
      <c r="L266" s="12" t="str">
        <f t="shared" ref="L266:L329" si="32">IF(F266&gt;$Q$6,"OOC","" )</f>
        <v/>
      </c>
      <c r="M266" s="12" t="str">
        <f t="shared" ref="M266:M329" si="33">IF(F266&gt;$B$3,"OOS","" )</f>
        <v/>
      </c>
    </row>
    <row r="267" spans="1:13" ht="31.5">
      <c r="A267" s="3">
        <v>258</v>
      </c>
      <c r="B267" s="11" t="s">
        <v>71</v>
      </c>
      <c r="C267" s="3">
        <v>6</v>
      </c>
      <c r="D267" s="3">
        <v>18</v>
      </c>
      <c r="E267" s="11" t="s">
        <v>329</v>
      </c>
      <c r="F267" s="3">
        <v>28</v>
      </c>
      <c r="G267" s="3">
        <f t="shared" ref="G267:G330" si="34">ABS(F267-F266)</f>
        <v>19</v>
      </c>
      <c r="H267" s="3">
        <f t="shared" si="28"/>
        <v>50.45</v>
      </c>
      <c r="I267" s="3">
        <f t="shared" si="29"/>
        <v>93.345073349199026</v>
      </c>
      <c r="J267" s="3">
        <f t="shared" si="30"/>
        <v>52.691964941569282</v>
      </c>
      <c r="K267" s="3">
        <f t="shared" si="31"/>
        <v>16.128547579298832</v>
      </c>
      <c r="L267" s="12" t="str">
        <f t="shared" si="32"/>
        <v/>
      </c>
      <c r="M267" s="12" t="str">
        <f t="shared" si="33"/>
        <v/>
      </c>
    </row>
    <row r="268" spans="1:13" ht="31.5">
      <c r="A268" s="3">
        <v>259</v>
      </c>
      <c r="B268" s="11" t="s">
        <v>71</v>
      </c>
      <c r="C268" s="3">
        <v>6</v>
      </c>
      <c r="D268" s="3">
        <v>17</v>
      </c>
      <c r="E268" s="11" t="s">
        <v>330</v>
      </c>
      <c r="F268" s="3">
        <v>27</v>
      </c>
      <c r="G268" s="3">
        <f t="shared" si="34"/>
        <v>1</v>
      </c>
      <c r="H268" s="3">
        <f t="shared" si="28"/>
        <v>50.45</v>
      </c>
      <c r="I268" s="3">
        <f t="shared" si="29"/>
        <v>93.345073349199026</v>
      </c>
      <c r="J268" s="3">
        <f t="shared" si="30"/>
        <v>52.691964941569282</v>
      </c>
      <c r="K268" s="3">
        <f t="shared" si="31"/>
        <v>16.128547579298832</v>
      </c>
      <c r="L268" s="12" t="str">
        <f t="shared" si="32"/>
        <v/>
      </c>
      <c r="M268" s="12" t="str">
        <f t="shared" si="33"/>
        <v/>
      </c>
    </row>
    <row r="269" spans="1:13" ht="31.5">
      <c r="A269" s="3">
        <v>260</v>
      </c>
      <c r="B269" s="11" t="s">
        <v>71</v>
      </c>
      <c r="C269" s="3">
        <v>6</v>
      </c>
      <c r="D269" s="3">
        <v>16</v>
      </c>
      <c r="E269" s="11" t="s">
        <v>331</v>
      </c>
      <c r="F269" s="3">
        <v>13</v>
      </c>
      <c r="G269" s="3">
        <f t="shared" si="34"/>
        <v>14</v>
      </c>
      <c r="H269" s="3">
        <f t="shared" si="28"/>
        <v>50.45</v>
      </c>
      <c r="I269" s="3">
        <f t="shared" si="29"/>
        <v>93.345073349199026</v>
      </c>
      <c r="J269" s="3">
        <f t="shared" si="30"/>
        <v>52.691964941569282</v>
      </c>
      <c r="K269" s="3">
        <f t="shared" si="31"/>
        <v>16.128547579298832</v>
      </c>
      <c r="L269" s="12" t="str">
        <f t="shared" si="32"/>
        <v/>
      </c>
      <c r="M269" s="12" t="str">
        <f t="shared" si="33"/>
        <v/>
      </c>
    </row>
    <row r="270" spans="1:13" ht="31.5">
      <c r="A270" s="3">
        <v>261</v>
      </c>
      <c r="B270" s="11" t="s">
        <v>71</v>
      </c>
      <c r="C270" s="3">
        <v>6</v>
      </c>
      <c r="D270" s="3">
        <v>15</v>
      </c>
      <c r="E270" s="11" t="s">
        <v>332</v>
      </c>
      <c r="F270" s="3">
        <v>23</v>
      </c>
      <c r="G270" s="3">
        <f t="shared" si="34"/>
        <v>10</v>
      </c>
      <c r="H270" s="3">
        <f t="shared" si="28"/>
        <v>50.45</v>
      </c>
      <c r="I270" s="3">
        <f t="shared" si="29"/>
        <v>93.345073349199026</v>
      </c>
      <c r="J270" s="3">
        <f t="shared" si="30"/>
        <v>52.691964941569282</v>
      </c>
      <c r="K270" s="3">
        <f t="shared" si="31"/>
        <v>16.128547579298832</v>
      </c>
      <c r="L270" s="12" t="str">
        <f t="shared" si="32"/>
        <v/>
      </c>
      <c r="M270" s="12" t="str">
        <f t="shared" si="33"/>
        <v/>
      </c>
    </row>
    <row r="271" spans="1:13" ht="31.5">
      <c r="A271" s="3">
        <v>262</v>
      </c>
      <c r="B271" s="11" t="s">
        <v>71</v>
      </c>
      <c r="C271" s="3">
        <v>6</v>
      </c>
      <c r="D271" s="3">
        <v>14</v>
      </c>
      <c r="E271" s="11" t="s">
        <v>333</v>
      </c>
      <c r="F271" s="3">
        <v>16</v>
      </c>
      <c r="G271" s="3">
        <f t="shared" si="34"/>
        <v>7</v>
      </c>
      <c r="H271" s="3">
        <f t="shared" si="28"/>
        <v>50.45</v>
      </c>
      <c r="I271" s="3">
        <f t="shared" si="29"/>
        <v>93.345073349199026</v>
      </c>
      <c r="J271" s="3">
        <f t="shared" si="30"/>
        <v>52.691964941569282</v>
      </c>
      <c r="K271" s="3">
        <f t="shared" si="31"/>
        <v>16.128547579298832</v>
      </c>
      <c r="L271" s="12" t="str">
        <f t="shared" si="32"/>
        <v/>
      </c>
      <c r="M271" s="12" t="str">
        <f t="shared" si="33"/>
        <v/>
      </c>
    </row>
    <row r="272" spans="1:13" ht="31.5">
      <c r="A272" s="3">
        <v>263</v>
      </c>
      <c r="B272" s="11" t="s">
        <v>71</v>
      </c>
      <c r="C272" s="3">
        <v>6</v>
      </c>
      <c r="D272" s="3">
        <v>13</v>
      </c>
      <c r="E272" s="11" t="s">
        <v>334</v>
      </c>
      <c r="F272" s="3">
        <v>18</v>
      </c>
      <c r="G272" s="3">
        <f t="shared" si="34"/>
        <v>2</v>
      </c>
      <c r="H272" s="3">
        <f t="shared" si="28"/>
        <v>50.45</v>
      </c>
      <c r="I272" s="3">
        <f t="shared" si="29"/>
        <v>93.345073349199026</v>
      </c>
      <c r="J272" s="3">
        <f t="shared" si="30"/>
        <v>52.691964941569282</v>
      </c>
      <c r="K272" s="3">
        <f t="shared" si="31"/>
        <v>16.128547579298832</v>
      </c>
      <c r="L272" s="12" t="str">
        <f t="shared" si="32"/>
        <v/>
      </c>
      <c r="M272" s="12" t="str">
        <f t="shared" si="33"/>
        <v/>
      </c>
    </row>
    <row r="273" spans="1:13" ht="31.5">
      <c r="A273" s="3">
        <v>264</v>
      </c>
      <c r="B273" s="11" t="s">
        <v>71</v>
      </c>
      <c r="C273" s="3">
        <v>6</v>
      </c>
      <c r="D273" s="3">
        <v>12</v>
      </c>
      <c r="E273" s="11" t="s">
        <v>335</v>
      </c>
      <c r="F273" s="3">
        <v>19</v>
      </c>
      <c r="G273" s="3">
        <f t="shared" si="34"/>
        <v>1</v>
      </c>
      <c r="H273" s="3">
        <f t="shared" si="28"/>
        <v>50.45</v>
      </c>
      <c r="I273" s="3">
        <f t="shared" si="29"/>
        <v>93.345073349199026</v>
      </c>
      <c r="J273" s="3">
        <f t="shared" si="30"/>
        <v>52.691964941569282</v>
      </c>
      <c r="K273" s="3">
        <f t="shared" si="31"/>
        <v>16.128547579298832</v>
      </c>
      <c r="L273" s="12" t="str">
        <f t="shared" si="32"/>
        <v/>
      </c>
      <c r="M273" s="12" t="str">
        <f t="shared" si="33"/>
        <v/>
      </c>
    </row>
    <row r="274" spans="1:13" ht="31.5">
      <c r="A274" s="3">
        <v>265</v>
      </c>
      <c r="B274" s="11" t="s">
        <v>71</v>
      </c>
      <c r="C274" s="3">
        <v>6</v>
      </c>
      <c r="D274" s="3">
        <v>11</v>
      </c>
      <c r="E274" s="11" t="s">
        <v>336</v>
      </c>
      <c r="F274" s="3">
        <v>12</v>
      </c>
      <c r="G274" s="3">
        <f t="shared" si="34"/>
        <v>7</v>
      </c>
      <c r="H274" s="3">
        <f t="shared" si="28"/>
        <v>50.45</v>
      </c>
      <c r="I274" s="3">
        <f t="shared" si="29"/>
        <v>93.345073349199026</v>
      </c>
      <c r="J274" s="3">
        <f t="shared" si="30"/>
        <v>52.691964941569282</v>
      </c>
      <c r="K274" s="3">
        <f t="shared" si="31"/>
        <v>16.128547579298832</v>
      </c>
      <c r="L274" s="12" t="str">
        <f t="shared" si="32"/>
        <v/>
      </c>
      <c r="M274" s="12" t="str">
        <f t="shared" si="33"/>
        <v/>
      </c>
    </row>
    <row r="275" spans="1:13" ht="31.5">
      <c r="A275" s="3">
        <v>266</v>
      </c>
      <c r="B275" s="11" t="s">
        <v>71</v>
      </c>
      <c r="C275" s="3">
        <v>6</v>
      </c>
      <c r="D275" s="3">
        <v>10</v>
      </c>
      <c r="E275" s="11" t="s">
        <v>337</v>
      </c>
      <c r="F275" s="3">
        <v>13</v>
      </c>
      <c r="G275" s="3">
        <f t="shared" si="34"/>
        <v>1</v>
      </c>
      <c r="H275" s="3">
        <f t="shared" si="28"/>
        <v>50.45</v>
      </c>
      <c r="I275" s="3">
        <f t="shared" si="29"/>
        <v>93.345073349199026</v>
      </c>
      <c r="J275" s="3">
        <f t="shared" si="30"/>
        <v>52.691964941569282</v>
      </c>
      <c r="K275" s="3">
        <f t="shared" si="31"/>
        <v>16.128547579298832</v>
      </c>
      <c r="L275" s="12" t="str">
        <f t="shared" si="32"/>
        <v/>
      </c>
      <c r="M275" s="12" t="str">
        <f t="shared" si="33"/>
        <v/>
      </c>
    </row>
    <row r="276" spans="1:13" ht="31.5">
      <c r="A276" s="3">
        <v>267</v>
      </c>
      <c r="B276" s="11" t="s">
        <v>71</v>
      </c>
      <c r="C276" s="3">
        <v>6</v>
      </c>
      <c r="D276" s="3">
        <v>9</v>
      </c>
      <c r="E276" s="11" t="s">
        <v>338</v>
      </c>
      <c r="F276" s="3">
        <v>42</v>
      </c>
      <c r="G276" s="3">
        <f t="shared" si="34"/>
        <v>29</v>
      </c>
      <c r="H276" s="3">
        <f t="shared" si="28"/>
        <v>50.45</v>
      </c>
      <c r="I276" s="3">
        <f t="shared" si="29"/>
        <v>93.345073349199026</v>
      </c>
      <c r="J276" s="3">
        <f t="shared" si="30"/>
        <v>52.691964941569282</v>
      </c>
      <c r="K276" s="3">
        <f t="shared" si="31"/>
        <v>16.128547579298832</v>
      </c>
      <c r="L276" s="12" t="str">
        <f t="shared" si="32"/>
        <v/>
      </c>
      <c r="M276" s="12" t="str">
        <f t="shared" si="33"/>
        <v/>
      </c>
    </row>
    <row r="277" spans="1:13" ht="31.5">
      <c r="A277" s="3">
        <v>268</v>
      </c>
      <c r="B277" s="11" t="s">
        <v>71</v>
      </c>
      <c r="C277" s="3">
        <v>6</v>
      </c>
      <c r="D277" s="3">
        <v>8</v>
      </c>
      <c r="E277" s="11" t="s">
        <v>339</v>
      </c>
      <c r="F277" s="3">
        <v>24</v>
      </c>
      <c r="G277" s="3">
        <f t="shared" si="34"/>
        <v>18</v>
      </c>
      <c r="H277" s="3">
        <f t="shared" si="28"/>
        <v>50.45</v>
      </c>
      <c r="I277" s="3">
        <f t="shared" si="29"/>
        <v>93.345073349199026</v>
      </c>
      <c r="J277" s="3">
        <f t="shared" si="30"/>
        <v>52.691964941569282</v>
      </c>
      <c r="K277" s="3">
        <f t="shared" si="31"/>
        <v>16.128547579298832</v>
      </c>
      <c r="L277" s="12" t="str">
        <f t="shared" si="32"/>
        <v/>
      </c>
      <c r="M277" s="12" t="str">
        <f t="shared" si="33"/>
        <v/>
      </c>
    </row>
    <row r="278" spans="1:13" ht="31.5">
      <c r="A278" s="3">
        <v>269</v>
      </c>
      <c r="B278" s="11" t="s">
        <v>71</v>
      </c>
      <c r="C278" s="3">
        <v>6</v>
      </c>
      <c r="D278" s="3">
        <v>7</v>
      </c>
      <c r="E278" s="11" t="s">
        <v>340</v>
      </c>
      <c r="F278" s="3">
        <v>19</v>
      </c>
      <c r="G278" s="3">
        <f t="shared" si="34"/>
        <v>5</v>
      </c>
      <c r="H278" s="3">
        <f t="shared" si="28"/>
        <v>50.45</v>
      </c>
      <c r="I278" s="3">
        <f t="shared" si="29"/>
        <v>93.345073349199026</v>
      </c>
      <c r="J278" s="3">
        <f t="shared" si="30"/>
        <v>52.691964941569282</v>
      </c>
      <c r="K278" s="3">
        <f t="shared" si="31"/>
        <v>16.128547579298832</v>
      </c>
      <c r="L278" s="12" t="str">
        <f t="shared" si="32"/>
        <v/>
      </c>
      <c r="M278" s="12" t="str">
        <f t="shared" si="33"/>
        <v/>
      </c>
    </row>
    <row r="279" spans="1:13" ht="31.5">
      <c r="A279" s="3">
        <v>270</v>
      </c>
      <c r="B279" s="11" t="s">
        <v>71</v>
      </c>
      <c r="C279" s="3">
        <v>6</v>
      </c>
      <c r="D279" s="3">
        <v>6</v>
      </c>
      <c r="E279" s="11" t="s">
        <v>341</v>
      </c>
      <c r="F279" s="3">
        <v>26</v>
      </c>
      <c r="G279" s="3">
        <f t="shared" si="34"/>
        <v>7</v>
      </c>
      <c r="H279" s="3">
        <f t="shared" si="28"/>
        <v>50.45</v>
      </c>
      <c r="I279" s="3">
        <f t="shared" si="29"/>
        <v>93.345073349199026</v>
      </c>
      <c r="J279" s="3">
        <f t="shared" si="30"/>
        <v>52.691964941569282</v>
      </c>
      <c r="K279" s="3">
        <f t="shared" si="31"/>
        <v>16.128547579298832</v>
      </c>
      <c r="L279" s="12" t="str">
        <f t="shared" si="32"/>
        <v/>
      </c>
      <c r="M279" s="12" t="str">
        <f t="shared" si="33"/>
        <v/>
      </c>
    </row>
    <row r="280" spans="1:13" ht="31.5">
      <c r="A280" s="3">
        <v>271</v>
      </c>
      <c r="B280" s="11" t="s">
        <v>71</v>
      </c>
      <c r="C280" s="3">
        <v>6</v>
      </c>
      <c r="D280" s="3">
        <v>5</v>
      </c>
      <c r="E280" s="11" t="s">
        <v>342</v>
      </c>
      <c r="F280" s="3">
        <v>18</v>
      </c>
      <c r="G280" s="3">
        <f t="shared" si="34"/>
        <v>8</v>
      </c>
      <c r="H280" s="3">
        <f t="shared" si="28"/>
        <v>50.45</v>
      </c>
      <c r="I280" s="3">
        <f t="shared" si="29"/>
        <v>93.345073349199026</v>
      </c>
      <c r="J280" s="3">
        <f t="shared" si="30"/>
        <v>52.691964941569282</v>
      </c>
      <c r="K280" s="3">
        <f t="shared" si="31"/>
        <v>16.128547579298832</v>
      </c>
      <c r="L280" s="12" t="str">
        <f t="shared" si="32"/>
        <v/>
      </c>
      <c r="M280" s="12" t="str">
        <f t="shared" si="33"/>
        <v/>
      </c>
    </row>
    <row r="281" spans="1:13" ht="31.5">
      <c r="A281" s="3">
        <v>272</v>
      </c>
      <c r="B281" s="11" t="s">
        <v>71</v>
      </c>
      <c r="C281" s="3">
        <v>6</v>
      </c>
      <c r="D281" s="3">
        <v>4</v>
      </c>
      <c r="E281" s="11" t="s">
        <v>343</v>
      </c>
      <c r="F281" s="3">
        <v>33</v>
      </c>
      <c r="G281" s="3">
        <f t="shared" si="34"/>
        <v>15</v>
      </c>
      <c r="H281" s="3">
        <f t="shared" si="28"/>
        <v>50.45</v>
      </c>
      <c r="I281" s="3">
        <f t="shared" si="29"/>
        <v>93.345073349199026</v>
      </c>
      <c r="J281" s="3">
        <f t="shared" si="30"/>
        <v>52.691964941569282</v>
      </c>
      <c r="K281" s="3">
        <f t="shared" si="31"/>
        <v>16.128547579298832</v>
      </c>
      <c r="L281" s="12" t="str">
        <f t="shared" si="32"/>
        <v/>
      </c>
      <c r="M281" s="12" t="str">
        <f t="shared" si="33"/>
        <v/>
      </c>
    </row>
    <row r="282" spans="1:13" ht="31.5">
      <c r="A282" s="3">
        <v>273</v>
      </c>
      <c r="B282" s="11" t="s">
        <v>71</v>
      </c>
      <c r="C282" s="3">
        <v>6</v>
      </c>
      <c r="D282" s="3">
        <v>3</v>
      </c>
      <c r="E282" s="11" t="s">
        <v>344</v>
      </c>
      <c r="F282" s="3">
        <v>24</v>
      </c>
      <c r="G282" s="3">
        <f t="shared" si="34"/>
        <v>9</v>
      </c>
      <c r="H282" s="3">
        <f t="shared" si="28"/>
        <v>50.45</v>
      </c>
      <c r="I282" s="3">
        <f t="shared" si="29"/>
        <v>93.345073349199026</v>
      </c>
      <c r="J282" s="3">
        <f t="shared" si="30"/>
        <v>52.691964941569282</v>
      </c>
      <c r="K282" s="3">
        <f t="shared" si="31"/>
        <v>16.128547579298832</v>
      </c>
      <c r="L282" s="12" t="str">
        <f t="shared" si="32"/>
        <v/>
      </c>
      <c r="M282" s="12" t="str">
        <f t="shared" si="33"/>
        <v/>
      </c>
    </row>
    <row r="283" spans="1:13" ht="31.5">
      <c r="A283" s="3">
        <v>274</v>
      </c>
      <c r="B283" s="11" t="s">
        <v>71</v>
      </c>
      <c r="C283" s="3">
        <v>6</v>
      </c>
      <c r="D283" s="3">
        <v>2</v>
      </c>
      <c r="E283" s="11" t="s">
        <v>345</v>
      </c>
      <c r="F283" s="3">
        <v>25</v>
      </c>
      <c r="G283" s="3">
        <f t="shared" si="34"/>
        <v>1</v>
      </c>
      <c r="H283" s="3">
        <f t="shared" si="28"/>
        <v>50.45</v>
      </c>
      <c r="I283" s="3">
        <f t="shared" si="29"/>
        <v>93.345073349199026</v>
      </c>
      <c r="J283" s="3">
        <f t="shared" si="30"/>
        <v>52.691964941569282</v>
      </c>
      <c r="K283" s="3">
        <f t="shared" si="31"/>
        <v>16.128547579298832</v>
      </c>
      <c r="L283" s="12" t="str">
        <f t="shared" si="32"/>
        <v/>
      </c>
      <c r="M283" s="12" t="str">
        <f t="shared" si="33"/>
        <v/>
      </c>
    </row>
    <row r="284" spans="1:13" ht="31.5">
      <c r="A284" s="3">
        <v>275</v>
      </c>
      <c r="B284" s="11" t="s">
        <v>71</v>
      </c>
      <c r="C284" s="3">
        <v>6</v>
      </c>
      <c r="D284" s="3">
        <v>1</v>
      </c>
      <c r="E284" s="11" t="s">
        <v>346</v>
      </c>
      <c r="F284" s="3">
        <v>53</v>
      </c>
      <c r="G284" s="3">
        <f t="shared" si="34"/>
        <v>28</v>
      </c>
      <c r="H284" s="3">
        <f t="shared" si="28"/>
        <v>50.45</v>
      </c>
      <c r="I284" s="3">
        <f t="shared" si="29"/>
        <v>93.345073349199026</v>
      </c>
      <c r="J284" s="3">
        <f t="shared" si="30"/>
        <v>52.691964941569282</v>
      </c>
      <c r="K284" s="3">
        <f t="shared" si="31"/>
        <v>16.128547579298832</v>
      </c>
      <c r="L284" s="12" t="str">
        <f t="shared" si="32"/>
        <v/>
      </c>
      <c r="M284" s="12" t="str">
        <f t="shared" si="33"/>
        <v/>
      </c>
    </row>
    <row r="285" spans="1:13" ht="31.5">
      <c r="A285" s="3">
        <v>276</v>
      </c>
      <c r="B285" s="11" t="s">
        <v>71</v>
      </c>
      <c r="C285" s="3">
        <v>6</v>
      </c>
      <c r="D285" s="3">
        <v>25</v>
      </c>
      <c r="E285" s="11" t="s">
        <v>347</v>
      </c>
      <c r="F285" s="3">
        <v>45</v>
      </c>
      <c r="G285" s="3">
        <f t="shared" si="34"/>
        <v>8</v>
      </c>
      <c r="H285" s="3">
        <f t="shared" si="28"/>
        <v>50.45</v>
      </c>
      <c r="I285" s="3">
        <f t="shared" si="29"/>
        <v>93.345073349199026</v>
      </c>
      <c r="J285" s="3">
        <f t="shared" si="30"/>
        <v>52.691964941569282</v>
      </c>
      <c r="K285" s="3">
        <f t="shared" si="31"/>
        <v>16.128547579298832</v>
      </c>
      <c r="L285" s="12" t="str">
        <f t="shared" si="32"/>
        <v/>
      </c>
      <c r="M285" s="12" t="str">
        <f t="shared" si="33"/>
        <v/>
      </c>
    </row>
    <row r="286" spans="1:13" ht="31.5">
      <c r="A286" s="3">
        <v>277</v>
      </c>
      <c r="B286" s="11" t="s">
        <v>71</v>
      </c>
      <c r="C286" s="3">
        <v>6</v>
      </c>
      <c r="D286" s="3">
        <v>24</v>
      </c>
      <c r="E286" s="11" t="s">
        <v>348</v>
      </c>
      <c r="F286" s="3">
        <v>32</v>
      </c>
      <c r="G286" s="3">
        <f t="shared" si="34"/>
        <v>13</v>
      </c>
      <c r="H286" s="3">
        <f t="shared" si="28"/>
        <v>50.45</v>
      </c>
      <c r="I286" s="3">
        <f t="shared" si="29"/>
        <v>93.345073349199026</v>
      </c>
      <c r="J286" s="3">
        <f t="shared" si="30"/>
        <v>52.691964941569282</v>
      </c>
      <c r="K286" s="3">
        <f t="shared" si="31"/>
        <v>16.128547579298832</v>
      </c>
      <c r="L286" s="12" t="str">
        <f t="shared" si="32"/>
        <v/>
      </c>
      <c r="M286" s="12" t="str">
        <f t="shared" si="33"/>
        <v/>
      </c>
    </row>
    <row r="287" spans="1:13" ht="31.5">
      <c r="A287" s="3">
        <v>278</v>
      </c>
      <c r="B287" s="11" t="s">
        <v>71</v>
      </c>
      <c r="C287" s="3">
        <v>6</v>
      </c>
      <c r="D287" s="3">
        <v>23</v>
      </c>
      <c r="E287" s="11" t="s">
        <v>349</v>
      </c>
      <c r="F287" s="3">
        <v>37</v>
      </c>
      <c r="G287" s="3">
        <f t="shared" si="34"/>
        <v>5</v>
      </c>
      <c r="H287" s="3">
        <f t="shared" si="28"/>
        <v>50.45</v>
      </c>
      <c r="I287" s="3">
        <f t="shared" si="29"/>
        <v>93.345073349199026</v>
      </c>
      <c r="J287" s="3">
        <f t="shared" si="30"/>
        <v>52.691964941569282</v>
      </c>
      <c r="K287" s="3">
        <f t="shared" si="31"/>
        <v>16.128547579298832</v>
      </c>
      <c r="L287" s="12" t="str">
        <f t="shared" si="32"/>
        <v/>
      </c>
      <c r="M287" s="12" t="str">
        <f t="shared" si="33"/>
        <v/>
      </c>
    </row>
    <row r="288" spans="1:13" ht="31.5">
      <c r="A288" s="3">
        <v>279</v>
      </c>
      <c r="B288" s="11" t="s">
        <v>71</v>
      </c>
      <c r="C288" s="3">
        <v>6</v>
      </c>
      <c r="D288" s="3">
        <v>22</v>
      </c>
      <c r="E288" s="11" t="s">
        <v>350</v>
      </c>
      <c r="F288" s="3">
        <v>52</v>
      </c>
      <c r="G288" s="3">
        <f t="shared" si="34"/>
        <v>15</v>
      </c>
      <c r="H288" s="3">
        <f t="shared" si="28"/>
        <v>50.45</v>
      </c>
      <c r="I288" s="3">
        <f t="shared" si="29"/>
        <v>93.345073349199026</v>
      </c>
      <c r="J288" s="3">
        <f t="shared" si="30"/>
        <v>52.691964941569282</v>
      </c>
      <c r="K288" s="3">
        <f t="shared" si="31"/>
        <v>16.128547579298832</v>
      </c>
      <c r="L288" s="12" t="str">
        <f t="shared" si="32"/>
        <v/>
      </c>
      <c r="M288" s="12" t="str">
        <f t="shared" si="33"/>
        <v/>
      </c>
    </row>
    <row r="289" spans="1:13" ht="31.5">
      <c r="A289" s="3">
        <v>280</v>
      </c>
      <c r="B289" s="11" t="s">
        <v>71</v>
      </c>
      <c r="C289" s="3">
        <v>6</v>
      </c>
      <c r="D289" s="3">
        <v>21</v>
      </c>
      <c r="E289" s="11" t="s">
        <v>351</v>
      </c>
      <c r="F289" s="3">
        <v>54</v>
      </c>
      <c r="G289" s="3">
        <f t="shared" si="34"/>
        <v>2</v>
      </c>
      <c r="H289" s="3">
        <f t="shared" si="28"/>
        <v>50.45</v>
      </c>
      <c r="I289" s="3">
        <f t="shared" si="29"/>
        <v>93.345073349199026</v>
      </c>
      <c r="J289" s="3">
        <f t="shared" si="30"/>
        <v>52.691964941569282</v>
      </c>
      <c r="K289" s="3">
        <f t="shared" si="31"/>
        <v>16.128547579298832</v>
      </c>
      <c r="L289" s="12" t="str">
        <f t="shared" si="32"/>
        <v/>
      </c>
      <c r="M289" s="12" t="str">
        <f t="shared" si="33"/>
        <v/>
      </c>
    </row>
    <row r="290" spans="1:13" ht="31.5">
      <c r="A290" s="3">
        <v>281</v>
      </c>
      <c r="B290" s="11" t="s">
        <v>71</v>
      </c>
      <c r="C290" s="3">
        <v>6</v>
      </c>
      <c r="D290" s="3">
        <v>20</v>
      </c>
      <c r="E290" s="11" t="s">
        <v>352</v>
      </c>
      <c r="F290" s="3">
        <v>50</v>
      </c>
      <c r="G290" s="3">
        <f t="shared" si="34"/>
        <v>4</v>
      </c>
      <c r="H290" s="3">
        <f t="shared" si="28"/>
        <v>50.45</v>
      </c>
      <c r="I290" s="3">
        <f t="shared" si="29"/>
        <v>93.345073349199026</v>
      </c>
      <c r="J290" s="3">
        <f t="shared" si="30"/>
        <v>52.691964941569282</v>
      </c>
      <c r="K290" s="3">
        <f t="shared" si="31"/>
        <v>16.128547579298832</v>
      </c>
      <c r="L290" s="12" t="str">
        <f t="shared" si="32"/>
        <v/>
      </c>
      <c r="M290" s="12" t="str">
        <f t="shared" si="33"/>
        <v/>
      </c>
    </row>
    <row r="291" spans="1:13" ht="31.5">
      <c r="A291" s="3">
        <v>282</v>
      </c>
      <c r="B291" s="11" t="s">
        <v>71</v>
      </c>
      <c r="C291" s="3">
        <v>6</v>
      </c>
      <c r="D291" s="3">
        <v>19</v>
      </c>
      <c r="E291" s="11" t="s">
        <v>353</v>
      </c>
      <c r="F291" s="3">
        <v>77</v>
      </c>
      <c r="G291" s="3">
        <f t="shared" si="34"/>
        <v>27</v>
      </c>
      <c r="H291" s="3">
        <f t="shared" si="28"/>
        <v>50.45</v>
      </c>
      <c r="I291" s="3">
        <f t="shared" si="29"/>
        <v>93.345073349199026</v>
      </c>
      <c r="J291" s="3">
        <f t="shared" si="30"/>
        <v>52.691964941569282</v>
      </c>
      <c r="K291" s="3">
        <f t="shared" si="31"/>
        <v>16.128547579298832</v>
      </c>
      <c r="L291" s="12" t="str">
        <f t="shared" si="32"/>
        <v/>
      </c>
      <c r="M291" s="12" t="str">
        <f t="shared" si="33"/>
        <v/>
      </c>
    </row>
    <row r="292" spans="1:13" ht="31.5">
      <c r="A292" s="3">
        <v>283</v>
      </c>
      <c r="B292" s="11" t="s">
        <v>71</v>
      </c>
      <c r="C292" s="3">
        <v>6</v>
      </c>
      <c r="D292" s="3">
        <v>18</v>
      </c>
      <c r="E292" s="11" t="s">
        <v>354</v>
      </c>
      <c r="F292" s="3">
        <v>46</v>
      </c>
      <c r="G292" s="3">
        <f t="shared" si="34"/>
        <v>31</v>
      </c>
      <c r="H292" s="3">
        <f t="shared" si="28"/>
        <v>50.45</v>
      </c>
      <c r="I292" s="3">
        <f t="shared" si="29"/>
        <v>93.345073349199026</v>
      </c>
      <c r="J292" s="3">
        <f t="shared" si="30"/>
        <v>52.691964941569282</v>
      </c>
      <c r="K292" s="3">
        <f t="shared" si="31"/>
        <v>16.128547579298832</v>
      </c>
      <c r="L292" s="12" t="str">
        <f t="shared" si="32"/>
        <v/>
      </c>
      <c r="M292" s="12" t="str">
        <f t="shared" si="33"/>
        <v/>
      </c>
    </row>
    <row r="293" spans="1:13" ht="31.5">
      <c r="A293" s="3">
        <v>284</v>
      </c>
      <c r="B293" s="11" t="s">
        <v>71</v>
      </c>
      <c r="C293" s="3">
        <v>6</v>
      </c>
      <c r="D293" s="3">
        <v>17</v>
      </c>
      <c r="E293" s="11" t="s">
        <v>355</v>
      </c>
      <c r="F293" s="3">
        <v>67</v>
      </c>
      <c r="G293" s="3">
        <f t="shared" si="34"/>
        <v>21</v>
      </c>
      <c r="H293" s="3">
        <f t="shared" si="28"/>
        <v>50.45</v>
      </c>
      <c r="I293" s="3">
        <f t="shared" si="29"/>
        <v>93.345073349199026</v>
      </c>
      <c r="J293" s="3">
        <f t="shared" si="30"/>
        <v>52.691964941569282</v>
      </c>
      <c r="K293" s="3">
        <f t="shared" si="31"/>
        <v>16.128547579298832</v>
      </c>
      <c r="L293" s="12" t="str">
        <f t="shared" si="32"/>
        <v/>
      </c>
      <c r="M293" s="12" t="str">
        <f t="shared" si="33"/>
        <v/>
      </c>
    </row>
    <row r="294" spans="1:13" ht="31.5">
      <c r="A294" s="3">
        <v>285</v>
      </c>
      <c r="B294" s="11" t="s">
        <v>71</v>
      </c>
      <c r="C294" s="3">
        <v>6</v>
      </c>
      <c r="D294" s="3">
        <v>16</v>
      </c>
      <c r="E294" s="11" t="s">
        <v>356</v>
      </c>
      <c r="F294" s="3">
        <v>67</v>
      </c>
      <c r="G294" s="3">
        <f t="shared" si="34"/>
        <v>0</v>
      </c>
      <c r="H294" s="3">
        <f t="shared" si="28"/>
        <v>50.45</v>
      </c>
      <c r="I294" s="3">
        <f t="shared" si="29"/>
        <v>93.345073349199026</v>
      </c>
      <c r="J294" s="3">
        <f t="shared" si="30"/>
        <v>52.691964941569282</v>
      </c>
      <c r="K294" s="3">
        <f t="shared" si="31"/>
        <v>16.128547579298832</v>
      </c>
      <c r="L294" s="12" t="str">
        <f t="shared" si="32"/>
        <v/>
      </c>
      <c r="M294" s="12" t="str">
        <f t="shared" si="33"/>
        <v/>
      </c>
    </row>
    <row r="295" spans="1:13" ht="31.5">
      <c r="A295" s="3">
        <v>286</v>
      </c>
      <c r="B295" s="11" t="s">
        <v>71</v>
      </c>
      <c r="C295" s="3">
        <v>6</v>
      </c>
      <c r="D295" s="3">
        <v>15</v>
      </c>
      <c r="E295" s="11" t="s">
        <v>357</v>
      </c>
      <c r="F295" s="3">
        <v>45</v>
      </c>
      <c r="G295" s="3">
        <f t="shared" si="34"/>
        <v>22</v>
      </c>
      <c r="H295" s="3">
        <f t="shared" si="28"/>
        <v>50.45</v>
      </c>
      <c r="I295" s="3">
        <f t="shared" si="29"/>
        <v>93.345073349199026</v>
      </c>
      <c r="J295" s="3">
        <f t="shared" si="30"/>
        <v>52.691964941569282</v>
      </c>
      <c r="K295" s="3">
        <f t="shared" si="31"/>
        <v>16.128547579298832</v>
      </c>
      <c r="L295" s="12" t="str">
        <f t="shared" si="32"/>
        <v/>
      </c>
      <c r="M295" s="12" t="str">
        <f t="shared" si="33"/>
        <v/>
      </c>
    </row>
    <row r="296" spans="1:13" ht="31.5">
      <c r="A296" s="3">
        <v>287</v>
      </c>
      <c r="B296" s="11" t="s">
        <v>71</v>
      </c>
      <c r="C296" s="3">
        <v>6</v>
      </c>
      <c r="D296" s="3">
        <v>14</v>
      </c>
      <c r="E296" s="11" t="s">
        <v>358</v>
      </c>
      <c r="F296" s="3">
        <v>71</v>
      </c>
      <c r="G296" s="3">
        <f t="shared" si="34"/>
        <v>26</v>
      </c>
      <c r="H296" s="3">
        <f t="shared" si="28"/>
        <v>50.45</v>
      </c>
      <c r="I296" s="3">
        <f t="shared" si="29"/>
        <v>93.345073349199026</v>
      </c>
      <c r="J296" s="3">
        <f t="shared" si="30"/>
        <v>52.691964941569282</v>
      </c>
      <c r="K296" s="3">
        <f t="shared" si="31"/>
        <v>16.128547579298832</v>
      </c>
      <c r="L296" s="12" t="str">
        <f t="shared" si="32"/>
        <v/>
      </c>
      <c r="M296" s="12" t="str">
        <f t="shared" si="33"/>
        <v/>
      </c>
    </row>
    <row r="297" spans="1:13" ht="31.5">
      <c r="A297" s="3">
        <v>288</v>
      </c>
      <c r="B297" s="11" t="s">
        <v>71</v>
      </c>
      <c r="C297" s="3">
        <v>6</v>
      </c>
      <c r="D297" s="3">
        <v>13</v>
      </c>
      <c r="E297" s="11" t="s">
        <v>359</v>
      </c>
      <c r="F297" s="3">
        <v>72</v>
      </c>
      <c r="G297" s="3">
        <f t="shared" si="34"/>
        <v>1</v>
      </c>
      <c r="H297" s="3">
        <f t="shared" si="28"/>
        <v>50.45</v>
      </c>
      <c r="I297" s="3">
        <f t="shared" si="29"/>
        <v>93.345073349199026</v>
      </c>
      <c r="J297" s="3">
        <f t="shared" si="30"/>
        <v>52.691964941569282</v>
      </c>
      <c r="K297" s="3">
        <f t="shared" si="31"/>
        <v>16.128547579298832</v>
      </c>
      <c r="L297" s="12" t="str">
        <f t="shared" si="32"/>
        <v/>
      </c>
      <c r="M297" s="12" t="str">
        <f t="shared" si="33"/>
        <v/>
      </c>
    </row>
    <row r="298" spans="1:13" ht="31.5">
      <c r="A298" s="3">
        <v>289</v>
      </c>
      <c r="B298" s="11" t="s">
        <v>71</v>
      </c>
      <c r="C298" s="3">
        <v>6</v>
      </c>
      <c r="D298" s="3">
        <v>12</v>
      </c>
      <c r="E298" s="11" t="s">
        <v>360</v>
      </c>
      <c r="F298" s="3">
        <v>62</v>
      </c>
      <c r="G298" s="3">
        <f t="shared" si="34"/>
        <v>10</v>
      </c>
      <c r="H298" s="3">
        <f t="shared" si="28"/>
        <v>50.45</v>
      </c>
      <c r="I298" s="3">
        <f t="shared" si="29"/>
        <v>93.345073349199026</v>
      </c>
      <c r="J298" s="3">
        <f t="shared" si="30"/>
        <v>52.691964941569282</v>
      </c>
      <c r="K298" s="3">
        <f t="shared" si="31"/>
        <v>16.128547579298832</v>
      </c>
      <c r="L298" s="12" t="str">
        <f t="shared" si="32"/>
        <v/>
      </c>
      <c r="M298" s="12" t="str">
        <f t="shared" si="33"/>
        <v/>
      </c>
    </row>
    <row r="299" spans="1:13" ht="31.5">
      <c r="A299" s="3">
        <v>290</v>
      </c>
      <c r="B299" s="11" t="s">
        <v>71</v>
      </c>
      <c r="C299" s="3">
        <v>6</v>
      </c>
      <c r="D299" s="3">
        <v>11</v>
      </c>
      <c r="E299" s="11" t="s">
        <v>361</v>
      </c>
      <c r="F299" s="3">
        <v>109</v>
      </c>
      <c r="G299" s="3">
        <f t="shared" si="34"/>
        <v>47</v>
      </c>
      <c r="H299" s="3">
        <f t="shared" si="28"/>
        <v>50.45</v>
      </c>
      <c r="I299" s="3">
        <f t="shared" si="29"/>
        <v>93.345073349199026</v>
      </c>
      <c r="J299" s="3">
        <f t="shared" si="30"/>
        <v>52.691964941569282</v>
      </c>
      <c r="K299" s="3">
        <f t="shared" si="31"/>
        <v>16.128547579298832</v>
      </c>
      <c r="L299" s="12" t="str">
        <f t="shared" si="32"/>
        <v>OOC</v>
      </c>
      <c r="M299" s="12" t="str">
        <f t="shared" si="33"/>
        <v/>
      </c>
    </row>
    <row r="300" spans="1:13" ht="31.5">
      <c r="A300" s="3">
        <v>291</v>
      </c>
      <c r="B300" s="11" t="s">
        <v>71</v>
      </c>
      <c r="C300" s="3">
        <v>6</v>
      </c>
      <c r="D300" s="3">
        <v>10</v>
      </c>
      <c r="E300" s="11" t="s">
        <v>362</v>
      </c>
      <c r="F300" s="3">
        <v>115</v>
      </c>
      <c r="G300" s="3">
        <f t="shared" si="34"/>
        <v>6</v>
      </c>
      <c r="H300" s="3">
        <f t="shared" si="28"/>
        <v>50.45</v>
      </c>
      <c r="I300" s="3">
        <f t="shared" si="29"/>
        <v>93.345073349199026</v>
      </c>
      <c r="J300" s="3">
        <f t="shared" si="30"/>
        <v>52.691964941569282</v>
      </c>
      <c r="K300" s="3">
        <f t="shared" si="31"/>
        <v>16.128547579298832</v>
      </c>
      <c r="L300" s="12" t="str">
        <f t="shared" si="32"/>
        <v>OOC</v>
      </c>
      <c r="M300" s="12" t="str">
        <f t="shared" si="33"/>
        <v/>
      </c>
    </row>
    <row r="301" spans="1:13" ht="31.5">
      <c r="A301" s="3">
        <v>292</v>
      </c>
      <c r="B301" s="11" t="s">
        <v>71</v>
      </c>
      <c r="C301" s="3">
        <v>6</v>
      </c>
      <c r="D301" s="3">
        <v>9</v>
      </c>
      <c r="E301" s="11" t="s">
        <v>363</v>
      </c>
      <c r="F301" s="3">
        <v>27</v>
      </c>
      <c r="G301" s="3">
        <f t="shared" si="34"/>
        <v>88</v>
      </c>
      <c r="H301" s="3">
        <f t="shared" si="28"/>
        <v>50.45</v>
      </c>
      <c r="I301" s="3">
        <f t="shared" si="29"/>
        <v>93.345073349199026</v>
      </c>
      <c r="J301" s="3">
        <f t="shared" si="30"/>
        <v>52.691964941569282</v>
      </c>
      <c r="K301" s="3">
        <f t="shared" si="31"/>
        <v>16.128547579298832</v>
      </c>
      <c r="L301" s="12" t="str">
        <f t="shared" si="32"/>
        <v/>
      </c>
      <c r="M301" s="12" t="str">
        <f t="shared" si="33"/>
        <v/>
      </c>
    </row>
    <row r="302" spans="1:13" ht="31.5">
      <c r="A302" s="3">
        <v>293</v>
      </c>
      <c r="B302" s="11" t="s">
        <v>71</v>
      </c>
      <c r="C302" s="3">
        <v>6</v>
      </c>
      <c r="D302" s="3">
        <v>8</v>
      </c>
      <c r="E302" s="11" t="s">
        <v>364</v>
      </c>
      <c r="F302" s="3">
        <v>30</v>
      </c>
      <c r="G302" s="3">
        <f t="shared" si="34"/>
        <v>3</v>
      </c>
      <c r="H302" s="3">
        <f t="shared" si="28"/>
        <v>50.45</v>
      </c>
      <c r="I302" s="3">
        <f t="shared" si="29"/>
        <v>93.345073349199026</v>
      </c>
      <c r="J302" s="3">
        <f t="shared" si="30"/>
        <v>52.691964941569282</v>
      </c>
      <c r="K302" s="3">
        <f t="shared" si="31"/>
        <v>16.128547579298832</v>
      </c>
      <c r="L302" s="12" t="str">
        <f t="shared" si="32"/>
        <v/>
      </c>
      <c r="M302" s="12" t="str">
        <f t="shared" si="33"/>
        <v/>
      </c>
    </row>
    <row r="303" spans="1:13" ht="31.5">
      <c r="A303" s="3">
        <v>294</v>
      </c>
      <c r="B303" s="11" t="s">
        <v>71</v>
      </c>
      <c r="C303" s="3">
        <v>6</v>
      </c>
      <c r="D303" s="3">
        <v>7</v>
      </c>
      <c r="E303" s="11" t="s">
        <v>365</v>
      </c>
      <c r="F303" s="3">
        <v>24</v>
      </c>
      <c r="G303" s="3">
        <f t="shared" si="34"/>
        <v>6</v>
      </c>
      <c r="H303" s="3">
        <f t="shared" si="28"/>
        <v>50.45</v>
      </c>
      <c r="I303" s="3">
        <f t="shared" si="29"/>
        <v>93.345073349199026</v>
      </c>
      <c r="J303" s="3">
        <f t="shared" si="30"/>
        <v>52.691964941569282</v>
      </c>
      <c r="K303" s="3">
        <f t="shared" si="31"/>
        <v>16.128547579298832</v>
      </c>
      <c r="L303" s="12" t="str">
        <f t="shared" si="32"/>
        <v/>
      </c>
      <c r="M303" s="12" t="str">
        <f t="shared" si="33"/>
        <v/>
      </c>
    </row>
    <row r="304" spans="1:13" ht="31.5">
      <c r="A304" s="3">
        <v>295</v>
      </c>
      <c r="B304" s="11" t="s">
        <v>71</v>
      </c>
      <c r="C304" s="3">
        <v>6</v>
      </c>
      <c r="D304" s="3">
        <v>6</v>
      </c>
      <c r="E304" s="11" t="s">
        <v>366</v>
      </c>
      <c r="F304" s="3">
        <v>27</v>
      </c>
      <c r="G304" s="3">
        <f t="shared" si="34"/>
        <v>3</v>
      </c>
      <c r="H304" s="3">
        <f t="shared" si="28"/>
        <v>50.45</v>
      </c>
      <c r="I304" s="3">
        <f t="shared" si="29"/>
        <v>93.345073349199026</v>
      </c>
      <c r="J304" s="3">
        <f t="shared" si="30"/>
        <v>52.691964941569282</v>
      </c>
      <c r="K304" s="3">
        <f t="shared" si="31"/>
        <v>16.128547579298832</v>
      </c>
      <c r="L304" s="12" t="str">
        <f t="shared" si="32"/>
        <v/>
      </c>
      <c r="M304" s="12" t="str">
        <f t="shared" si="33"/>
        <v/>
      </c>
    </row>
    <row r="305" spans="1:13" ht="31.5">
      <c r="A305" s="3">
        <v>296</v>
      </c>
      <c r="B305" s="11" t="s">
        <v>71</v>
      </c>
      <c r="C305" s="3">
        <v>6</v>
      </c>
      <c r="D305" s="3">
        <v>5</v>
      </c>
      <c r="E305" s="11" t="s">
        <v>367</v>
      </c>
      <c r="F305" s="3">
        <v>22</v>
      </c>
      <c r="G305" s="3">
        <f t="shared" si="34"/>
        <v>5</v>
      </c>
      <c r="H305" s="3">
        <f t="shared" si="28"/>
        <v>50.45</v>
      </c>
      <c r="I305" s="3">
        <f t="shared" si="29"/>
        <v>93.345073349199026</v>
      </c>
      <c r="J305" s="3">
        <f t="shared" si="30"/>
        <v>52.691964941569282</v>
      </c>
      <c r="K305" s="3">
        <f t="shared" si="31"/>
        <v>16.128547579298832</v>
      </c>
      <c r="L305" s="12" t="str">
        <f t="shared" si="32"/>
        <v/>
      </c>
      <c r="M305" s="12" t="str">
        <f t="shared" si="33"/>
        <v/>
      </c>
    </row>
    <row r="306" spans="1:13" ht="31.5">
      <c r="A306" s="3">
        <v>297</v>
      </c>
      <c r="B306" s="11" t="s">
        <v>71</v>
      </c>
      <c r="C306" s="3">
        <v>6</v>
      </c>
      <c r="D306" s="3">
        <v>4</v>
      </c>
      <c r="E306" s="11" t="s">
        <v>368</v>
      </c>
      <c r="F306" s="3">
        <v>51</v>
      </c>
      <c r="G306" s="3">
        <f t="shared" si="34"/>
        <v>29</v>
      </c>
      <c r="H306" s="3">
        <f t="shared" si="28"/>
        <v>50.45</v>
      </c>
      <c r="I306" s="3">
        <f t="shared" si="29"/>
        <v>93.345073349199026</v>
      </c>
      <c r="J306" s="3">
        <f t="shared" si="30"/>
        <v>52.691964941569282</v>
      </c>
      <c r="K306" s="3">
        <f t="shared" si="31"/>
        <v>16.128547579298832</v>
      </c>
      <c r="L306" s="12" t="str">
        <f t="shared" si="32"/>
        <v/>
      </c>
      <c r="M306" s="12" t="str">
        <f t="shared" si="33"/>
        <v/>
      </c>
    </row>
    <row r="307" spans="1:13" ht="31.5">
      <c r="A307" s="3">
        <v>298</v>
      </c>
      <c r="B307" s="11" t="s">
        <v>71</v>
      </c>
      <c r="C307" s="3">
        <v>6</v>
      </c>
      <c r="D307" s="3">
        <v>3</v>
      </c>
      <c r="E307" s="11" t="s">
        <v>369</v>
      </c>
      <c r="F307" s="3">
        <v>38</v>
      </c>
      <c r="G307" s="3">
        <f t="shared" si="34"/>
        <v>13</v>
      </c>
      <c r="H307" s="3">
        <f t="shared" si="28"/>
        <v>50.45</v>
      </c>
      <c r="I307" s="3">
        <f t="shared" si="29"/>
        <v>93.345073349199026</v>
      </c>
      <c r="J307" s="3">
        <f t="shared" si="30"/>
        <v>52.691964941569282</v>
      </c>
      <c r="K307" s="3">
        <f t="shared" si="31"/>
        <v>16.128547579298832</v>
      </c>
      <c r="L307" s="12" t="str">
        <f t="shared" si="32"/>
        <v/>
      </c>
      <c r="M307" s="12" t="str">
        <f t="shared" si="33"/>
        <v/>
      </c>
    </row>
    <row r="308" spans="1:13" ht="31.5">
      <c r="A308" s="3">
        <v>299</v>
      </c>
      <c r="B308" s="11" t="s">
        <v>71</v>
      </c>
      <c r="C308" s="3">
        <v>6</v>
      </c>
      <c r="D308" s="3">
        <v>2</v>
      </c>
      <c r="E308" s="11" t="s">
        <v>370</v>
      </c>
      <c r="F308" s="3">
        <v>56</v>
      </c>
      <c r="G308" s="3">
        <f t="shared" si="34"/>
        <v>18</v>
      </c>
      <c r="H308" s="3">
        <f t="shared" si="28"/>
        <v>50.45</v>
      </c>
      <c r="I308" s="3">
        <f t="shared" si="29"/>
        <v>93.345073349199026</v>
      </c>
      <c r="J308" s="3">
        <f t="shared" si="30"/>
        <v>52.691964941569282</v>
      </c>
      <c r="K308" s="3">
        <f t="shared" si="31"/>
        <v>16.128547579298832</v>
      </c>
      <c r="L308" s="12" t="str">
        <f t="shared" si="32"/>
        <v/>
      </c>
      <c r="M308" s="12" t="str">
        <f t="shared" si="33"/>
        <v/>
      </c>
    </row>
    <row r="309" spans="1:13" ht="31.5">
      <c r="A309" s="3">
        <v>300</v>
      </c>
      <c r="B309" s="11" t="s">
        <v>71</v>
      </c>
      <c r="C309" s="3">
        <v>6</v>
      </c>
      <c r="D309" s="3">
        <v>1</v>
      </c>
      <c r="E309" s="11" t="s">
        <v>371</v>
      </c>
      <c r="F309" s="3">
        <v>47</v>
      </c>
      <c r="G309" s="3">
        <f t="shared" si="34"/>
        <v>9</v>
      </c>
      <c r="H309" s="3">
        <f t="shared" si="28"/>
        <v>50.45</v>
      </c>
      <c r="I309" s="3">
        <f t="shared" si="29"/>
        <v>93.345073349199026</v>
      </c>
      <c r="J309" s="3">
        <f t="shared" si="30"/>
        <v>52.691964941569282</v>
      </c>
      <c r="K309" s="3">
        <f t="shared" si="31"/>
        <v>16.128547579298832</v>
      </c>
      <c r="L309" s="12" t="str">
        <f t="shared" si="32"/>
        <v/>
      </c>
      <c r="M309" s="12" t="str">
        <f t="shared" si="33"/>
        <v/>
      </c>
    </row>
    <row r="310" spans="1:13" ht="31.5">
      <c r="A310" s="3">
        <v>301</v>
      </c>
      <c r="B310" s="11" t="s">
        <v>372</v>
      </c>
      <c r="C310" s="3">
        <v>1</v>
      </c>
      <c r="D310" s="3">
        <v>25</v>
      </c>
      <c r="E310" s="11" t="s">
        <v>373</v>
      </c>
      <c r="F310" s="3">
        <v>33</v>
      </c>
      <c r="G310" s="3">
        <f t="shared" si="34"/>
        <v>14</v>
      </c>
      <c r="H310" s="3">
        <f t="shared" si="28"/>
        <v>50.45</v>
      </c>
      <c r="I310" s="3">
        <f t="shared" si="29"/>
        <v>93.345073349199026</v>
      </c>
      <c r="J310" s="3">
        <f t="shared" si="30"/>
        <v>52.691964941569282</v>
      </c>
      <c r="K310" s="3">
        <f t="shared" si="31"/>
        <v>16.128547579298832</v>
      </c>
      <c r="L310" s="12" t="str">
        <f t="shared" si="32"/>
        <v/>
      </c>
      <c r="M310" s="12" t="str">
        <f t="shared" si="33"/>
        <v/>
      </c>
    </row>
    <row r="311" spans="1:13" ht="31.5">
      <c r="A311" s="3">
        <v>302</v>
      </c>
      <c r="B311" s="11" t="s">
        <v>372</v>
      </c>
      <c r="C311" s="3">
        <v>1</v>
      </c>
      <c r="D311" s="3">
        <v>24</v>
      </c>
      <c r="E311" s="11" t="s">
        <v>374</v>
      </c>
      <c r="F311" s="3">
        <v>49</v>
      </c>
      <c r="G311" s="3">
        <f t="shared" si="34"/>
        <v>16</v>
      </c>
      <c r="H311" s="3">
        <f t="shared" si="28"/>
        <v>50.45</v>
      </c>
      <c r="I311" s="3">
        <f t="shared" si="29"/>
        <v>93.345073349199026</v>
      </c>
      <c r="J311" s="3">
        <f t="shared" si="30"/>
        <v>52.691964941569282</v>
      </c>
      <c r="K311" s="3">
        <f t="shared" si="31"/>
        <v>16.128547579298832</v>
      </c>
      <c r="L311" s="12" t="str">
        <f t="shared" si="32"/>
        <v/>
      </c>
      <c r="M311" s="12" t="str">
        <f t="shared" si="33"/>
        <v/>
      </c>
    </row>
    <row r="312" spans="1:13" ht="31.5">
      <c r="A312" s="3">
        <v>303</v>
      </c>
      <c r="B312" s="11" t="s">
        <v>372</v>
      </c>
      <c r="C312" s="3">
        <v>1</v>
      </c>
      <c r="D312" s="3">
        <v>23</v>
      </c>
      <c r="E312" s="11" t="s">
        <v>375</v>
      </c>
      <c r="F312" s="3">
        <v>72</v>
      </c>
      <c r="G312" s="3">
        <f t="shared" si="34"/>
        <v>23</v>
      </c>
      <c r="H312" s="3">
        <f t="shared" si="28"/>
        <v>50.45</v>
      </c>
      <c r="I312" s="3">
        <f t="shared" si="29"/>
        <v>93.345073349199026</v>
      </c>
      <c r="J312" s="3">
        <f t="shared" si="30"/>
        <v>52.691964941569282</v>
      </c>
      <c r="K312" s="3">
        <f t="shared" si="31"/>
        <v>16.128547579298832</v>
      </c>
      <c r="L312" s="12" t="str">
        <f t="shared" si="32"/>
        <v/>
      </c>
      <c r="M312" s="12" t="str">
        <f t="shared" si="33"/>
        <v/>
      </c>
    </row>
    <row r="313" spans="1:13" ht="31.5">
      <c r="A313" s="3">
        <v>304</v>
      </c>
      <c r="B313" s="11" t="s">
        <v>372</v>
      </c>
      <c r="C313" s="3">
        <v>1</v>
      </c>
      <c r="D313" s="3">
        <v>22</v>
      </c>
      <c r="E313" s="11" t="s">
        <v>376</v>
      </c>
      <c r="F313" s="3">
        <v>53</v>
      </c>
      <c r="G313" s="3">
        <f t="shared" si="34"/>
        <v>19</v>
      </c>
      <c r="H313" s="3">
        <f t="shared" si="28"/>
        <v>50.45</v>
      </c>
      <c r="I313" s="3">
        <f t="shared" si="29"/>
        <v>93.345073349199026</v>
      </c>
      <c r="J313" s="3">
        <f t="shared" si="30"/>
        <v>52.691964941569282</v>
      </c>
      <c r="K313" s="3">
        <f t="shared" si="31"/>
        <v>16.128547579298832</v>
      </c>
      <c r="L313" s="12" t="str">
        <f t="shared" si="32"/>
        <v/>
      </c>
      <c r="M313" s="12" t="str">
        <f t="shared" si="33"/>
        <v/>
      </c>
    </row>
    <row r="314" spans="1:13" ht="31.5">
      <c r="A314" s="3">
        <v>305</v>
      </c>
      <c r="B314" s="11" t="s">
        <v>372</v>
      </c>
      <c r="C314" s="3">
        <v>1</v>
      </c>
      <c r="D314" s="3">
        <v>21</v>
      </c>
      <c r="E314" s="11" t="s">
        <v>377</v>
      </c>
      <c r="F314" s="3">
        <v>48</v>
      </c>
      <c r="G314" s="3">
        <f t="shared" si="34"/>
        <v>5</v>
      </c>
      <c r="H314" s="3">
        <f t="shared" si="28"/>
        <v>50.45</v>
      </c>
      <c r="I314" s="3">
        <f t="shared" si="29"/>
        <v>93.345073349199026</v>
      </c>
      <c r="J314" s="3">
        <f t="shared" si="30"/>
        <v>52.691964941569282</v>
      </c>
      <c r="K314" s="3">
        <f t="shared" si="31"/>
        <v>16.128547579298832</v>
      </c>
      <c r="L314" s="12" t="str">
        <f t="shared" si="32"/>
        <v/>
      </c>
      <c r="M314" s="12" t="str">
        <f t="shared" si="33"/>
        <v/>
      </c>
    </row>
    <row r="315" spans="1:13" ht="31.5">
      <c r="A315" s="3">
        <v>306</v>
      </c>
      <c r="B315" s="11" t="s">
        <v>372</v>
      </c>
      <c r="C315" s="3">
        <v>1</v>
      </c>
      <c r="D315" s="3">
        <v>20</v>
      </c>
      <c r="E315" s="11" t="s">
        <v>378</v>
      </c>
      <c r="F315" s="3">
        <v>76</v>
      </c>
      <c r="G315" s="3">
        <f t="shared" si="34"/>
        <v>28</v>
      </c>
      <c r="H315" s="3">
        <f t="shared" si="28"/>
        <v>50.45</v>
      </c>
      <c r="I315" s="3">
        <f t="shared" si="29"/>
        <v>93.345073349199026</v>
      </c>
      <c r="J315" s="3">
        <f t="shared" si="30"/>
        <v>52.691964941569282</v>
      </c>
      <c r="K315" s="3">
        <f t="shared" si="31"/>
        <v>16.128547579298832</v>
      </c>
      <c r="L315" s="12" t="str">
        <f t="shared" si="32"/>
        <v/>
      </c>
      <c r="M315" s="12" t="str">
        <f t="shared" si="33"/>
        <v/>
      </c>
    </row>
    <row r="316" spans="1:13" ht="31.5">
      <c r="A316" s="3">
        <v>307</v>
      </c>
      <c r="B316" s="11" t="s">
        <v>372</v>
      </c>
      <c r="C316" s="3">
        <v>1</v>
      </c>
      <c r="D316" s="3">
        <v>19</v>
      </c>
      <c r="E316" s="11" t="s">
        <v>379</v>
      </c>
      <c r="F316" s="3">
        <v>88</v>
      </c>
      <c r="G316" s="3">
        <f t="shared" si="34"/>
        <v>12</v>
      </c>
      <c r="H316" s="3">
        <f t="shared" si="28"/>
        <v>50.45</v>
      </c>
      <c r="I316" s="3">
        <f t="shared" si="29"/>
        <v>93.345073349199026</v>
      </c>
      <c r="J316" s="3">
        <f t="shared" si="30"/>
        <v>52.691964941569282</v>
      </c>
      <c r="K316" s="3">
        <f t="shared" si="31"/>
        <v>16.128547579298832</v>
      </c>
      <c r="L316" s="12" t="str">
        <f t="shared" si="32"/>
        <v/>
      </c>
      <c r="M316" s="12" t="str">
        <f t="shared" si="33"/>
        <v/>
      </c>
    </row>
    <row r="317" spans="1:13" ht="31.5">
      <c r="A317" s="3">
        <v>308</v>
      </c>
      <c r="B317" s="11" t="s">
        <v>372</v>
      </c>
      <c r="C317" s="3">
        <v>1</v>
      </c>
      <c r="D317" s="3">
        <v>18</v>
      </c>
      <c r="E317" s="11" t="s">
        <v>380</v>
      </c>
      <c r="F317" s="3">
        <v>51</v>
      </c>
      <c r="G317" s="3">
        <f t="shared" si="34"/>
        <v>37</v>
      </c>
      <c r="H317" s="3">
        <f t="shared" si="28"/>
        <v>50.45</v>
      </c>
      <c r="I317" s="3">
        <f t="shared" si="29"/>
        <v>93.345073349199026</v>
      </c>
      <c r="J317" s="3">
        <f t="shared" si="30"/>
        <v>52.691964941569282</v>
      </c>
      <c r="K317" s="3">
        <f t="shared" si="31"/>
        <v>16.128547579298832</v>
      </c>
      <c r="L317" s="12" t="str">
        <f t="shared" si="32"/>
        <v/>
      </c>
      <c r="M317" s="12" t="str">
        <f t="shared" si="33"/>
        <v/>
      </c>
    </row>
    <row r="318" spans="1:13" ht="31.5">
      <c r="A318" s="3">
        <v>309</v>
      </c>
      <c r="B318" s="11" t="s">
        <v>372</v>
      </c>
      <c r="C318" s="3">
        <v>1</v>
      </c>
      <c r="D318" s="3">
        <v>17</v>
      </c>
      <c r="E318" s="11" t="s">
        <v>381</v>
      </c>
      <c r="F318" s="3">
        <v>73</v>
      </c>
      <c r="G318" s="3">
        <f t="shared" si="34"/>
        <v>22</v>
      </c>
      <c r="H318" s="3">
        <f t="shared" si="28"/>
        <v>50.45</v>
      </c>
      <c r="I318" s="3">
        <f t="shared" si="29"/>
        <v>93.345073349199026</v>
      </c>
      <c r="J318" s="3">
        <f t="shared" si="30"/>
        <v>52.691964941569282</v>
      </c>
      <c r="K318" s="3">
        <f t="shared" si="31"/>
        <v>16.128547579298832</v>
      </c>
      <c r="L318" s="12" t="str">
        <f t="shared" si="32"/>
        <v/>
      </c>
      <c r="M318" s="12" t="str">
        <f t="shared" si="33"/>
        <v/>
      </c>
    </row>
    <row r="319" spans="1:13" ht="31.5">
      <c r="A319" s="3">
        <v>310</v>
      </c>
      <c r="B319" s="11" t="s">
        <v>372</v>
      </c>
      <c r="C319" s="3">
        <v>1</v>
      </c>
      <c r="D319" s="3">
        <v>16</v>
      </c>
      <c r="E319" s="11" t="s">
        <v>382</v>
      </c>
      <c r="F319" s="3">
        <v>59</v>
      </c>
      <c r="G319" s="3">
        <f t="shared" si="34"/>
        <v>14</v>
      </c>
      <c r="H319" s="3">
        <f t="shared" si="28"/>
        <v>50.45</v>
      </c>
      <c r="I319" s="3">
        <f t="shared" si="29"/>
        <v>93.345073349199026</v>
      </c>
      <c r="J319" s="3">
        <f t="shared" si="30"/>
        <v>52.691964941569282</v>
      </c>
      <c r="K319" s="3">
        <f t="shared" si="31"/>
        <v>16.128547579298832</v>
      </c>
      <c r="L319" s="12" t="str">
        <f t="shared" si="32"/>
        <v/>
      </c>
      <c r="M319" s="12" t="str">
        <f t="shared" si="33"/>
        <v/>
      </c>
    </row>
    <row r="320" spans="1:13" ht="31.5">
      <c r="A320" s="3">
        <v>311</v>
      </c>
      <c r="B320" s="11" t="s">
        <v>372</v>
      </c>
      <c r="C320" s="3">
        <v>1</v>
      </c>
      <c r="D320" s="3">
        <v>15</v>
      </c>
      <c r="E320" s="11" t="s">
        <v>383</v>
      </c>
      <c r="F320" s="3">
        <v>78</v>
      </c>
      <c r="G320" s="3">
        <f t="shared" si="34"/>
        <v>19</v>
      </c>
      <c r="H320" s="3">
        <f t="shared" si="28"/>
        <v>50.45</v>
      </c>
      <c r="I320" s="3">
        <f t="shared" si="29"/>
        <v>93.345073349199026</v>
      </c>
      <c r="J320" s="3">
        <f t="shared" si="30"/>
        <v>52.691964941569282</v>
      </c>
      <c r="K320" s="3">
        <f t="shared" si="31"/>
        <v>16.128547579298832</v>
      </c>
      <c r="L320" s="12" t="str">
        <f t="shared" si="32"/>
        <v/>
      </c>
      <c r="M320" s="12" t="str">
        <f t="shared" si="33"/>
        <v/>
      </c>
    </row>
    <row r="321" spans="1:13" ht="31.5">
      <c r="A321" s="3">
        <v>312</v>
      </c>
      <c r="B321" s="11" t="s">
        <v>372</v>
      </c>
      <c r="C321" s="3">
        <v>1</v>
      </c>
      <c r="D321" s="3">
        <v>14</v>
      </c>
      <c r="E321" s="11" t="s">
        <v>384</v>
      </c>
      <c r="F321" s="3">
        <v>88</v>
      </c>
      <c r="G321" s="3">
        <f t="shared" si="34"/>
        <v>10</v>
      </c>
      <c r="H321" s="3">
        <f t="shared" si="28"/>
        <v>50.45</v>
      </c>
      <c r="I321" s="3">
        <f t="shared" si="29"/>
        <v>93.345073349199026</v>
      </c>
      <c r="J321" s="3">
        <f t="shared" si="30"/>
        <v>52.691964941569282</v>
      </c>
      <c r="K321" s="3">
        <f t="shared" si="31"/>
        <v>16.128547579298832</v>
      </c>
      <c r="L321" s="12" t="str">
        <f t="shared" si="32"/>
        <v/>
      </c>
      <c r="M321" s="12" t="str">
        <f t="shared" si="33"/>
        <v/>
      </c>
    </row>
    <row r="322" spans="1:13" ht="31.5">
      <c r="A322" s="3">
        <v>313</v>
      </c>
      <c r="B322" s="11" t="s">
        <v>372</v>
      </c>
      <c r="C322" s="3">
        <v>1</v>
      </c>
      <c r="D322" s="3">
        <v>13</v>
      </c>
      <c r="E322" s="11" t="s">
        <v>385</v>
      </c>
      <c r="F322" s="3">
        <v>98</v>
      </c>
      <c r="G322" s="3">
        <f t="shared" si="34"/>
        <v>10</v>
      </c>
      <c r="H322" s="3">
        <f t="shared" si="28"/>
        <v>50.45</v>
      </c>
      <c r="I322" s="3">
        <f t="shared" si="29"/>
        <v>93.345073349199026</v>
      </c>
      <c r="J322" s="3">
        <f t="shared" si="30"/>
        <v>52.691964941569282</v>
      </c>
      <c r="K322" s="3">
        <f t="shared" si="31"/>
        <v>16.128547579298832</v>
      </c>
      <c r="L322" s="12" t="str">
        <f t="shared" si="32"/>
        <v>OOC</v>
      </c>
      <c r="M322" s="12" t="str">
        <f t="shared" si="33"/>
        <v/>
      </c>
    </row>
    <row r="323" spans="1:13" ht="31.5">
      <c r="A323" s="3">
        <v>314</v>
      </c>
      <c r="B323" s="11" t="s">
        <v>372</v>
      </c>
      <c r="C323" s="3">
        <v>1</v>
      </c>
      <c r="D323" s="3">
        <v>12</v>
      </c>
      <c r="E323" s="11" t="s">
        <v>386</v>
      </c>
      <c r="F323" s="3">
        <v>43</v>
      </c>
      <c r="G323" s="3">
        <f t="shared" si="34"/>
        <v>55</v>
      </c>
      <c r="H323" s="3">
        <f t="shared" si="28"/>
        <v>50.45</v>
      </c>
      <c r="I323" s="3">
        <f t="shared" si="29"/>
        <v>93.345073349199026</v>
      </c>
      <c r="J323" s="3">
        <f t="shared" si="30"/>
        <v>52.691964941569282</v>
      </c>
      <c r="K323" s="3">
        <f t="shared" si="31"/>
        <v>16.128547579298832</v>
      </c>
      <c r="L323" s="12" t="str">
        <f t="shared" si="32"/>
        <v/>
      </c>
      <c r="M323" s="12" t="str">
        <f t="shared" si="33"/>
        <v/>
      </c>
    </row>
    <row r="324" spans="1:13" ht="31.5">
      <c r="A324" s="3">
        <v>315</v>
      </c>
      <c r="B324" s="11" t="s">
        <v>372</v>
      </c>
      <c r="C324" s="3">
        <v>1</v>
      </c>
      <c r="D324" s="3">
        <v>11</v>
      </c>
      <c r="E324" s="11" t="s">
        <v>387</v>
      </c>
      <c r="F324" s="3">
        <v>38</v>
      </c>
      <c r="G324" s="3">
        <f t="shared" si="34"/>
        <v>5</v>
      </c>
      <c r="H324" s="3">
        <f t="shared" si="28"/>
        <v>50.45</v>
      </c>
      <c r="I324" s="3">
        <f t="shared" si="29"/>
        <v>93.345073349199026</v>
      </c>
      <c r="J324" s="3">
        <f t="shared" si="30"/>
        <v>52.691964941569282</v>
      </c>
      <c r="K324" s="3">
        <f t="shared" si="31"/>
        <v>16.128547579298832</v>
      </c>
      <c r="L324" s="12" t="str">
        <f t="shared" si="32"/>
        <v/>
      </c>
      <c r="M324" s="12" t="str">
        <f t="shared" si="33"/>
        <v/>
      </c>
    </row>
    <row r="325" spans="1:13" ht="31.5">
      <c r="A325" s="3">
        <v>316</v>
      </c>
      <c r="B325" s="11" t="s">
        <v>372</v>
      </c>
      <c r="C325" s="3">
        <v>1</v>
      </c>
      <c r="D325" s="3">
        <v>10</v>
      </c>
      <c r="E325" s="11" t="s">
        <v>388</v>
      </c>
      <c r="F325" s="3">
        <v>19</v>
      </c>
      <c r="G325" s="3">
        <f t="shared" si="34"/>
        <v>19</v>
      </c>
      <c r="H325" s="3">
        <f t="shared" si="28"/>
        <v>50.45</v>
      </c>
      <c r="I325" s="3">
        <f t="shared" si="29"/>
        <v>93.345073349199026</v>
      </c>
      <c r="J325" s="3">
        <f t="shared" si="30"/>
        <v>52.691964941569282</v>
      </c>
      <c r="K325" s="3">
        <f t="shared" si="31"/>
        <v>16.128547579298832</v>
      </c>
      <c r="L325" s="12" t="str">
        <f t="shared" si="32"/>
        <v/>
      </c>
      <c r="M325" s="12" t="str">
        <f t="shared" si="33"/>
        <v/>
      </c>
    </row>
    <row r="326" spans="1:13" ht="31.5">
      <c r="A326" s="3">
        <v>317</v>
      </c>
      <c r="B326" s="11" t="s">
        <v>372</v>
      </c>
      <c r="C326" s="3">
        <v>1</v>
      </c>
      <c r="D326" s="3">
        <v>9</v>
      </c>
      <c r="E326" s="11" t="s">
        <v>389</v>
      </c>
      <c r="F326" s="3">
        <v>48</v>
      </c>
      <c r="G326" s="3">
        <f t="shared" si="34"/>
        <v>29</v>
      </c>
      <c r="H326" s="3">
        <f t="shared" si="28"/>
        <v>50.45</v>
      </c>
      <c r="I326" s="3">
        <f t="shared" si="29"/>
        <v>93.345073349199026</v>
      </c>
      <c r="J326" s="3">
        <f t="shared" si="30"/>
        <v>52.691964941569282</v>
      </c>
      <c r="K326" s="3">
        <f t="shared" si="31"/>
        <v>16.128547579298832</v>
      </c>
      <c r="L326" s="12" t="str">
        <f t="shared" si="32"/>
        <v/>
      </c>
      <c r="M326" s="12" t="str">
        <f t="shared" si="33"/>
        <v/>
      </c>
    </row>
    <row r="327" spans="1:13" ht="31.5">
      <c r="A327" s="3">
        <v>318</v>
      </c>
      <c r="B327" s="11" t="s">
        <v>372</v>
      </c>
      <c r="C327" s="3">
        <v>1</v>
      </c>
      <c r="D327" s="3">
        <v>8</v>
      </c>
      <c r="E327" s="11" t="s">
        <v>390</v>
      </c>
      <c r="F327" s="3">
        <v>32</v>
      </c>
      <c r="G327" s="3">
        <f t="shared" si="34"/>
        <v>16</v>
      </c>
      <c r="H327" s="3">
        <f t="shared" si="28"/>
        <v>50.45</v>
      </c>
      <c r="I327" s="3">
        <f t="shared" si="29"/>
        <v>93.345073349199026</v>
      </c>
      <c r="J327" s="3">
        <f t="shared" si="30"/>
        <v>52.691964941569282</v>
      </c>
      <c r="K327" s="3">
        <f t="shared" si="31"/>
        <v>16.128547579298832</v>
      </c>
      <c r="L327" s="12" t="str">
        <f t="shared" si="32"/>
        <v/>
      </c>
      <c r="M327" s="12" t="str">
        <f t="shared" si="33"/>
        <v/>
      </c>
    </row>
    <row r="328" spans="1:13" ht="31.5">
      <c r="A328" s="3">
        <v>319</v>
      </c>
      <c r="B328" s="11" t="s">
        <v>372</v>
      </c>
      <c r="C328" s="3">
        <v>1</v>
      </c>
      <c r="D328" s="3">
        <v>7</v>
      </c>
      <c r="E328" s="11" t="s">
        <v>391</v>
      </c>
      <c r="F328" s="3">
        <v>54</v>
      </c>
      <c r="G328" s="3">
        <f t="shared" si="34"/>
        <v>22</v>
      </c>
      <c r="H328" s="3">
        <f t="shared" si="28"/>
        <v>50.45</v>
      </c>
      <c r="I328" s="3">
        <f t="shared" si="29"/>
        <v>93.345073349199026</v>
      </c>
      <c r="J328" s="3">
        <f t="shared" si="30"/>
        <v>52.691964941569282</v>
      </c>
      <c r="K328" s="3">
        <f t="shared" si="31"/>
        <v>16.128547579298832</v>
      </c>
      <c r="L328" s="12" t="str">
        <f t="shared" si="32"/>
        <v/>
      </c>
      <c r="M328" s="12" t="str">
        <f t="shared" si="33"/>
        <v/>
      </c>
    </row>
    <row r="329" spans="1:13" ht="31.5">
      <c r="A329" s="3">
        <v>320</v>
      </c>
      <c r="B329" s="11" t="s">
        <v>372</v>
      </c>
      <c r="C329" s="3">
        <v>1</v>
      </c>
      <c r="D329" s="3">
        <v>6</v>
      </c>
      <c r="E329" s="11" t="s">
        <v>392</v>
      </c>
      <c r="F329" s="3">
        <v>34</v>
      </c>
      <c r="G329" s="3">
        <f t="shared" si="34"/>
        <v>20</v>
      </c>
      <c r="H329" s="3">
        <f t="shared" si="28"/>
        <v>50.45</v>
      </c>
      <c r="I329" s="3">
        <f t="shared" si="29"/>
        <v>93.345073349199026</v>
      </c>
      <c r="J329" s="3">
        <f t="shared" si="30"/>
        <v>52.691964941569282</v>
      </c>
      <c r="K329" s="3">
        <f t="shared" si="31"/>
        <v>16.128547579298832</v>
      </c>
      <c r="L329" s="12" t="str">
        <f t="shared" si="32"/>
        <v/>
      </c>
      <c r="M329" s="12" t="str">
        <f t="shared" si="33"/>
        <v/>
      </c>
    </row>
    <row r="330" spans="1:13" ht="31.5">
      <c r="A330" s="3">
        <v>321</v>
      </c>
      <c r="B330" s="11" t="s">
        <v>372</v>
      </c>
      <c r="C330" s="3">
        <v>1</v>
      </c>
      <c r="D330" s="3">
        <v>5</v>
      </c>
      <c r="E330" s="11" t="s">
        <v>393</v>
      </c>
      <c r="F330" s="3">
        <v>37</v>
      </c>
      <c r="G330" s="3">
        <f t="shared" si="34"/>
        <v>3</v>
      </c>
      <c r="H330" s="3">
        <f t="shared" ref="H330:H393" si="35">$Q$3</f>
        <v>50.45</v>
      </c>
      <c r="I330" s="3">
        <f t="shared" ref="I330:I393" si="36">$Q$6</f>
        <v>93.345073349199026</v>
      </c>
      <c r="J330" s="3">
        <f t="shared" ref="J330:J393" si="37">$Q$7</f>
        <v>52.691964941569282</v>
      </c>
      <c r="K330" s="3">
        <f t="shared" ref="K330:K393" si="38">$Q$4</f>
        <v>16.128547579298832</v>
      </c>
      <c r="L330" s="12" t="str">
        <f t="shared" ref="L330:L393" si="39">IF(F330&gt;$Q$6,"OOC","" )</f>
        <v/>
      </c>
      <c r="M330" s="12" t="str">
        <f t="shared" ref="M330:M393" si="40">IF(F330&gt;$B$3,"OOS","" )</f>
        <v/>
      </c>
    </row>
    <row r="331" spans="1:13" ht="31.5">
      <c r="A331" s="3">
        <v>322</v>
      </c>
      <c r="B331" s="11" t="s">
        <v>372</v>
      </c>
      <c r="C331" s="3">
        <v>1</v>
      </c>
      <c r="D331" s="3">
        <v>4</v>
      </c>
      <c r="E331" s="11" t="s">
        <v>394</v>
      </c>
      <c r="F331" s="3">
        <v>27</v>
      </c>
      <c r="G331" s="3">
        <f t="shared" ref="G331:G394" si="41">ABS(F331-F330)</f>
        <v>10</v>
      </c>
      <c r="H331" s="3">
        <f t="shared" si="35"/>
        <v>50.45</v>
      </c>
      <c r="I331" s="3">
        <f t="shared" si="36"/>
        <v>93.345073349199026</v>
      </c>
      <c r="J331" s="3">
        <f t="shared" si="37"/>
        <v>52.691964941569282</v>
      </c>
      <c r="K331" s="3">
        <f t="shared" si="38"/>
        <v>16.128547579298832</v>
      </c>
      <c r="L331" s="12" t="str">
        <f t="shared" si="39"/>
        <v/>
      </c>
      <c r="M331" s="12" t="str">
        <f t="shared" si="40"/>
        <v/>
      </c>
    </row>
    <row r="332" spans="1:13" ht="31.5">
      <c r="A332" s="3">
        <v>323</v>
      </c>
      <c r="B332" s="11" t="s">
        <v>372</v>
      </c>
      <c r="C332" s="3">
        <v>1</v>
      </c>
      <c r="D332" s="3">
        <v>3</v>
      </c>
      <c r="E332" s="11" t="s">
        <v>395</v>
      </c>
      <c r="F332" s="3">
        <v>31</v>
      </c>
      <c r="G332" s="3">
        <f t="shared" si="41"/>
        <v>4</v>
      </c>
      <c r="H332" s="3">
        <f t="shared" si="35"/>
        <v>50.45</v>
      </c>
      <c r="I332" s="3">
        <f t="shared" si="36"/>
        <v>93.345073349199026</v>
      </c>
      <c r="J332" s="3">
        <f t="shared" si="37"/>
        <v>52.691964941569282</v>
      </c>
      <c r="K332" s="3">
        <f t="shared" si="38"/>
        <v>16.128547579298832</v>
      </c>
      <c r="L332" s="12" t="str">
        <f t="shared" si="39"/>
        <v/>
      </c>
      <c r="M332" s="12" t="str">
        <f t="shared" si="40"/>
        <v/>
      </c>
    </row>
    <row r="333" spans="1:13" ht="31.5">
      <c r="A333" s="3">
        <v>324</v>
      </c>
      <c r="B333" s="11" t="s">
        <v>372</v>
      </c>
      <c r="C333" s="3">
        <v>1</v>
      </c>
      <c r="D333" s="3">
        <v>2</v>
      </c>
      <c r="E333" s="11" t="s">
        <v>396</v>
      </c>
      <c r="F333" s="3">
        <v>37</v>
      </c>
      <c r="G333" s="3">
        <f t="shared" si="41"/>
        <v>6</v>
      </c>
      <c r="H333" s="3">
        <f t="shared" si="35"/>
        <v>50.45</v>
      </c>
      <c r="I333" s="3">
        <f t="shared" si="36"/>
        <v>93.345073349199026</v>
      </c>
      <c r="J333" s="3">
        <f t="shared" si="37"/>
        <v>52.691964941569282</v>
      </c>
      <c r="K333" s="3">
        <f t="shared" si="38"/>
        <v>16.128547579298832</v>
      </c>
      <c r="L333" s="12" t="str">
        <f t="shared" si="39"/>
        <v/>
      </c>
      <c r="M333" s="12" t="str">
        <f t="shared" si="40"/>
        <v/>
      </c>
    </row>
    <row r="334" spans="1:13" ht="31.5">
      <c r="A334" s="3">
        <v>325</v>
      </c>
      <c r="B334" s="11" t="s">
        <v>372</v>
      </c>
      <c r="C334" s="3">
        <v>1</v>
      </c>
      <c r="D334" s="3">
        <v>1</v>
      </c>
      <c r="E334" s="11" t="s">
        <v>397</v>
      </c>
      <c r="F334" s="3">
        <v>30</v>
      </c>
      <c r="G334" s="3">
        <f t="shared" si="41"/>
        <v>7</v>
      </c>
      <c r="H334" s="3">
        <f t="shared" si="35"/>
        <v>50.45</v>
      </c>
      <c r="I334" s="3">
        <f t="shared" si="36"/>
        <v>93.345073349199026</v>
      </c>
      <c r="J334" s="3">
        <f t="shared" si="37"/>
        <v>52.691964941569282</v>
      </c>
      <c r="K334" s="3">
        <f t="shared" si="38"/>
        <v>16.128547579298832</v>
      </c>
      <c r="L334" s="12" t="str">
        <f t="shared" si="39"/>
        <v/>
      </c>
      <c r="M334" s="12" t="str">
        <f t="shared" si="40"/>
        <v/>
      </c>
    </row>
    <row r="335" spans="1:13" ht="31.5">
      <c r="A335" s="3">
        <v>326</v>
      </c>
      <c r="B335" s="11" t="s">
        <v>372</v>
      </c>
      <c r="C335" s="3">
        <v>1</v>
      </c>
      <c r="D335" s="3">
        <v>25</v>
      </c>
      <c r="E335" s="11" t="s">
        <v>398</v>
      </c>
      <c r="F335" s="3">
        <v>51</v>
      </c>
      <c r="G335" s="3">
        <f t="shared" si="41"/>
        <v>21</v>
      </c>
      <c r="H335" s="3">
        <f t="shared" si="35"/>
        <v>50.45</v>
      </c>
      <c r="I335" s="3">
        <f t="shared" si="36"/>
        <v>93.345073349199026</v>
      </c>
      <c r="J335" s="3">
        <f t="shared" si="37"/>
        <v>52.691964941569282</v>
      </c>
      <c r="K335" s="3">
        <f t="shared" si="38"/>
        <v>16.128547579298832</v>
      </c>
      <c r="L335" s="12" t="str">
        <f t="shared" si="39"/>
        <v/>
      </c>
      <c r="M335" s="12" t="str">
        <f t="shared" si="40"/>
        <v/>
      </c>
    </row>
    <row r="336" spans="1:13" ht="31.5">
      <c r="A336" s="3">
        <v>327</v>
      </c>
      <c r="B336" s="11" t="s">
        <v>372</v>
      </c>
      <c r="C336" s="3">
        <v>1</v>
      </c>
      <c r="D336" s="3">
        <v>24</v>
      </c>
      <c r="E336" s="11" t="s">
        <v>399</v>
      </c>
      <c r="F336" s="3">
        <v>26</v>
      </c>
      <c r="G336" s="3">
        <f t="shared" si="41"/>
        <v>25</v>
      </c>
      <c r="H336" s="3">
        <f t="shared" si="35"/>
        <v>50.45</v>
      </c>
      <c r="I336" s="3">
        <f t="shared" si="36"/>
        <v>93.345073349199026</v>
      </c>
      <c r="J336" s="3">
        <f t="shared" si="37"/>
        <v>52.691964941569282</v>
      </c>
      <c r="K336" s="3">
        <f t="shared" si="38"/>
        <v>16.128547579298832</v>
      </c>
      <c r="L336" s="12" t="str">
        <f t="shared" si="39"/>
        <v/>
      </c>
      <c r="M336" s="12" t="str">
        <f t="shared" si="40"/>
        <v/>
      </c>
    </row>
    <row r="337" spans="1:13" ht="31.5">
      <c r="A337" s="3">
        <v>328</v>
      </c>
      <c r="B337" s="11" t="s">
        <v>372</v>
      </c>
      <c r="C337" s="3">
        <v>1</v>
      </c>
      <c r="D337" s="3">
        <v>23</v>
      </c>
      <c r="E337" s="11" t="s">
        <v>400</v>
      </c>
      <c r="F337" s="3">
        <v>28</v>
      </c>
      <c r="G337" s="3">
        <f t="shared" si="41"/>
        <v>2</v>
      </c>
      <c r="H337" s="3">
        <f t="shared" si="35"/>
        <v>50.45</v>
      </c>
      <c r="I337" s="3">
        <f t="shared" si="36"/>
        <v>93.345073349199026</v>
      </c>
      <c r="J337" s="3">
        <f t="shared" si="37"/>
        <v>52.691964941569282</v>
      </c>
      <c r="K337" s="3">
        <f t="shared" si="38"/>
        <v>16.128547579298832</v>
      </c>
      <c r="L337" s="12" t="str">
        <f t="shared" si="39"/>
        <v/>
      </c>
      <c r="M337" s="12" t="str">
        <f t="shared" si="40"/>
        <v/>
      </c>
    </row>
    <row r="338" spans="1:13" ht="31.5">
      <c r="A338" s="3">
        <v>329</v>
      </c>
      <c r="B338" s="11" t="s">
        <v>372</v>
      </c>
      <c r="C338" s="3">
        <v>1</v>
      </c>
      <c r="D338" s="3">
        <v>22</v>
      </c>
      <c r="E338" s="11" t="s">
        <v>401</v>
      </c>
      <c r="F338" s="3">
        <v>35</v>
      </c>
      <c r="G338" s="3">
        <f t="shared" si="41"/>
        <v>7</v>
      </c>
      <c r="H338" s="3">
        <f t="shared" si="35"/>
        <v>50.45</v>
      </c>
      <c r="I338" s="3">
        <f t="shared" si="36"/>
        <v>93.345073349199026</v>
      </c>
      <c r="J338" s="3">
        <f t="shared" si="37"/>
        <v>52.691964941569282</v>
      </c>
      <c r="K338" s="3">
        <f t="shared" si="38"/>
        <v>16.128547579298832</v>
      </c>
      <c r="L338" s="12" t="str">
        <f t="shared" si="39"/>
        <v/>
      </c>
      <c r="M338" s="12" t="str">
        <f t="shared" si="40"/>
        <v/>
      </c>
    </row>
    <row r="339" spans="1:13" ht="31.5">
      <c r="A339" s="3">
        <v>330</v>
      </c>
      <c r="B339" s="11" t="s">
        <v>372</v>
      </c>
      <c r="C339" s="3">
        <v>1</v>
      </c>
      <c r="D339" s="3">
        <v>21</v>
      </c>
      <c r="E339" s="11" t="s">
        <v>402</v>
      </c>
      <c r="F339" s="3">
        <v>27</v>
      </c>
      <c r="G339" s="3">
        <f t="shared" si="41"/>
        <v>8</v>
      </c>
      <c r="H339" s="3">
        <f t="shared" si="35"/>
        <v>50.45</v>
      </c>
      <c r="I339" s="3">
        <f t="shared" si="36"/>
        <v>93.345073349199026</v>
      </c>
      <c r="J339" s="3">
        <f t="shared" si="37"/>
        <v>52.691964941569282</v>
      </c>
      <c r="K339" s="3">
        <f t="shared" si="38"/>
        <v>16.128547579298832</v>
      </c>
      <c r="L339" s="12" t="str">
        <f t="shared" si="39"/>
        <v/>
      </c>
      <c r="M339" s="12" t="str">
        <f t="shared" si="40"/>
        <v/>
      </c>
    </row>
    <row r="340" spans="1:13" ht="31.5">
      <c r="A340" s="3">
        <v>331</v>
      </c>
      <c r="B340" s="11" t="s">
        <v>372</v>
      </c>
      <c r="C340" s="3">
        <v>1</v>
      </c>
      <c r="D340" s="3">
        <v>20</v>
      </c>
      <c r="E340" s="11" t="s">
        <v>403</v>
      </c>
      <c r="F340" s="3">
        <v>28</v>
      </c>
      <c r="G340" s="3">
        <f t="shared" si="41"/>
        <v>1</v>
      </c>
      <c r="H340" s="3">
        <f t="shared" si="35"/>
        <v>50.45</v>
      </c>
      <c r="I340" s="3">
        <f t="shared" si="36"/>
        <v>93.345073349199026</v>
      </c>
      <c r="J340" s="3">
        <f t="shared" si="37"/>
        <v>52.691964941569282</v>
      </c>
      <c r="K340" s="3">
        <f t="shared" si="38"/>
        <v>16.128547579298832</v>
      </c>
      <c r="L340" s="12" t="str">
        <f t="shared" si="39"/>
        <v/>
      </c>
      <c r="M340" s="12" t="str">
        <f t="shared" si="40"/>
        <v/>
      </c>
    </row>
    <row r="341" spans="1:13" ht="31.5">
      <c r="A341" s="3">
        <v>332</v>
      </c>
      <c r="B341" s="11" t="s">
        <v>372</v>
      </c>
      <c r="C341" s="3">
        <v>1</v>
      </c>
      <c r="D341" s="3">
        <v>19</v>
      </c>
      <c r="E341" s="11" t="s">
        <v>404</v>
      </c>
      <c r="F341" s="3">
        <v>41</v>
      </c>
      <c r="G341" s="3">
        <f t="shared" si="41"/>
        <v>13</v>
      </c>
      <c r="H341" s="3">
        <f t="shared" si="35"/>
        <v>50.45</v>
      </c>
      <c r="I341" s="3">
        <f t="shared" si="36"/>
        <v>93.345073349199026</v>
      </c>
      <c r="J341" s="3">
        <f t="shared" si="37"/>
        <v>52.691964941569282</v>
      </c>
      <c r="K341" s="3">
        <f t="shared" si="38"/>
        <v>16.128547579298832</v>
      </c>
      <c r="L341" s="12" t="str">
        <f t="shared" si="39"/>
        <v/>
      </c>
      <c r="M341" s="12" t="str">
        <f t="shared" si="40"/>
        <v/>
      </c>
    </row>
    <row r="342" spans="1:13" ht="31.5">
      <c r="A342" s="3">
        <v>333</v>
      </c>
      <c r="B342" s="11" t="s">
        <v>372</v>
      </c>
      <c r="C342" s="3">
        <v>1</v>
      </c>
      <c r="D342" s="3">
        <v>18</v>
      </c>
      <c r="E342" s="11" t="s">
        <v>405</v>
      </c>
      <c r="F342" s="3">
        <v>50</v>
      </c>
      <c r="G342" s="3">
        <f t="shared" si="41"/>
        <v>9</v>
      </c>
      <c r="H342" s="3">
        <f t="shared" si="35"/>
        <v>50.45</v>
      </c>
      <c r="I342" s="3">
        <f t="shared" si="36"/>
        <v>93.345073349199026</v>
      </c>
      <c r="J342" s="3">
        <f t="shared" si="37"/>
        <v>52.691964941569282</v>
      </c>
      <c r="K342" s="3">
        <f t="shared" si="38"/>
        <v>16.128547579298832</v>
      </c>
      <c r="L342" s="12" t="str">
        <f t="shared" si="39"/>
        <v/>
      </c>
      <c r="M342" s="12" t="str">
        <f t="shared" si="40"/>
        <v/>
      </c>
    </row>
    <row r="343" spans="1:13" ht="31.5">
      <c r="A343" s="3">
        <v>334</v>
      </c>
      <c r="B343" s="11" t="s">
        <v>372</v>
      </c>
      <c r="C343" s="3">
        <v>1</v>
      </c>
      <c r="D343" s="3">
        <v>17</v>
      </c>
      <c r="E343" s="11" t="s">
        <v>406</v>
      </c>
      <c r="F343" s="3">
        <v>36</v>
      </c>
      <c r="G343" s="3">
        <f t="shared" si="41"/>
        <v>14</v>
      </c>
      <c r="H343" s="3">
        <f t="shared" si="35"/>
        <v>50.45</v>
      </c>
      <c r="I343" s="3">
        <f t="shared" si="36"/>
        <v>93.345073349199026</v>
      </c>
      <c r="J343" s="3">
        <f t="shared" si="37"/>
        <v>52.691964941569282</v>
      </c>
      <c r="K343" s="3">
        <f t="shared" si="38"/>
        <v>16.128547579298832</v>
      </c>
      <c r="L343" s="12" t="str">
        <f t="shared" si="39"/>
        <v/>
      </c>
      <c r="M343" s="12" t="str">
        <f t="shared" si="40"/>
        <v/>
      </c>
    </row>
    <row r="344" spans="1:13" ht="31.5">
      <c r="A344" s="3">
        <v>335</v>
      </c>
      <c r="B344" s="11" t="s">
        <v>372</v>
      </c>
      <c r="C344" s="3">
        <v>1</v>
      </c>
      <c r="D344" s="3">
        <v>16</v>
      </c>
      <c r="E344" s="11" t="s">
        <v>407</v>
      </c>
      <c r="F344" s="3">
        <v>44</v>
      </c>
      <c r="G344" s="3">
        <f t="shared" si="41"/>
        <v>8</v>
      </c>
      <c r="H344" s="3">
        <f t="shared" si="35"/>
        <v>50.45</v>
      </c>
      <c r="I344" s="3">
        <f t="shared" si="36"/>
        <v>93.345073349199026</v>
      </c>
      <c r="J344" s="3">
        <f t="shared" si="37"/>
        <v>52.691964941569282</v>
      </c>
      <c r="K344" s="3">
        <f t="shared" si="38"/>
        <v>16.128547579298832</v>
      </c>
      <c r="L344" s="12" t="str">
        <f t="shared" si="39"/>
        <v/>
      </c>
      <c r="M344" s="12" t="str">
        <f t="shared" si="40"/>
        <v/>
      </c>
    </row>
    <row r="345" spans="1:13" ht="31.5">
      <c r="A345" s="3">
        <v>336</v>
      </c>
      <c r="B345" s="11" t="s">
        <v>372</v>
      </c>
      <c r="C345" s="3">
        <v>1</v>
      </c>
      <c r="D345" s="3">
        <v>15</v>
      </c>
      <c r="E345" s="11" t="s">
        <v>408</v>
      </c>
      <c r="F345" s="3">
        <v>42</v>
      </c>
      <c r="G345" s="3">
        <f t="shared" si="41"/>
        <v>2</v>
      </c>
      <c r="H345" s="3">
        <f t="shared" si="35"/>
        <v>50.45</v>
      </c>
      <c r="I345" s="3">
        <f t="shared" si="36"/>
        <v>93.345073349199026</v>
      </c>
      <c r="J345" s="3">
        <f t="shared" si="37"/>
        <v>52.691964941569282</v>
      </c>
      <c r="K345" s="3">
        <f t="shared" si="38"/>
        <v>16.128547579298832</v>
      </c>
      <c r="L345" s="12" t="str">
        <f t="shared" si="39"/>
        <v/>
      </c>
      <c r="M345" s="12" t="str">
        <f t="shared" si="40"/>
        <v/>
      </c>
    </row>
    <row r="346" spans="1:13" ht="31.5">
      <c r="A346" s="3">
        <v>337</v>
      </c>
      <c r="B346" s="11" t="s">
        <v>372</v>
      </c>
      <c r="C346" s="3">
        <v>1</v>
      </c>
      <c r="D346" s="3">
        <v>14</v>
      </c>
      <c r="E346" s="11" t="s">
        <v>409</v>
      </c>
      <c r="F346" s="3">
        <v>63</v>
      </c>
      <c r="G346" s="3">
        <f t="shared" si="41"/>
        <v>21</v>
      </c>
      <c r="H346" s="3">
        <f t="shared" si="35"/>
        <v>50.45</v>
      </c>
      <c r="I346" s="3">
        <f t="shared" si="36"/>
        <v>93.345073349199026</v>
      </c>
      <c r="J346" s="3">
        <f t="shared" si="37"/>
        <v>52.691964941569282</v>
      </c>
      <c r="K346" s="3">
        <f t="shared" si="38"/>
        <v>16.128547579298832</v>
      </c>
      <c r="L346" s="12" t="str">
        <f t="shared" si="39"/>
        <v/>
      </c>
      <c r="M346" s="12" t="str">
        <f t="shared" si="40"/>
        <v/>
      </c>
    </row>
    <row r="347" spans="1:13" ht="31.5">
      <c r="A347" s="3">
        <v>338</v>
      </c>
      <c r="B347" s="11" t="s">
        <v>372</v>
      </c>
      <c r="C347" s="3">
        <v>1</v>
      </c>
      <c r="D347" s="3">
        <v>13</v>
      </c>
      <c r="E347" s="11" t="s">
        <v>410</v>
      </c>
      <c r="F347" s="3">
        <v>54</v>
      </c>
      <c r="G347" s="3">
        <f t="shared" si="41"/>
        <v>9</v>
      </c>
      <c r="H347" s="3">
        <f t="shared" si="35"/>
        <v>50.45</v>
      </c>
      <c r="I347" s="3">
        <f t="shared" si="36"/>
        <v>93.345073349199026</v>
      </c>
      <c r="J347" s="3">
        <f t="shared" si="37"/>
        <v>52.691964941569282</v>
      </c>
      <c r="K347" s="3">
        <f t="shared" si="38"/>
        <v>16.128547579298832</v>
      </c>
      <c r="L347" s="12" t="str">
        <f t="shared" si="39"/>
        <v/>
      </c>
      <c r="M347" s="12" t="str">
        <f t="shared" si="40"/>
        <v/>
      </c>
    </row>
    <row r="348" spans="1:13" ht="31.5">
      <c r="A348" s="3">
        <v>339</v>
      </c>
      <c r="B348" s="11" t="s">
        <v>372</v>
      </c>
      <c r="C348" s="3">
        <v>1</v>
      </c>
      <c r="D348" s="3">
        <v>12</v>
      </c>
      <c r="E348" s="11" t="s">
        <v>411</v>
      </c>
      <c r="F348" s="3">
        <v>74</v>
      </c>
      <c r="G348" s="3">
        <f t="shared" si="41"/>
        <v>20</v>
      </c>
      <c r="H348" s="3">
        <f t="shared" si="35"/>
        <v>50.45</v>
      </c>
      <c r="I348" s="3">
        <f t="shared" si="36"/>
        <v>93.345073349199026</v>
      </c>
      <c r="J348" s="3">
        <f t="shared" si="37"/>
        <v>52.691964941569282</v>
      </c>
      <c r="K348" s="3">
        <f t="shared" si="38"/>
        <v>16.128547579298832</v>
      </c>
      <c r="L348" s="12" t="str">
        <f t="shared" si="39"/>
        <v/>
      </c>
      <c r="M348" s="12" t="str">
        <f t="shared" si="40"/>
        <v/>
      </c>
    </row>
    <row r="349" spans="1:13" ht="31.5">
      <c r="A349" s="3">
        <v>340</v>
      </c>
      <c r="B349" s="11" t="s">
        <v>372</v>
      </c>
      <c r="C349" s="3">
        <v>1</v>
      </c>
      <c r="D349" s="3">
        <v>11</v>
      </c>
      <c r="E349" s="11" t="s">
        <v>412</v>
      </c>
      <c r="F349" s="3">
        <v>15</v>
      </c>
      <c r="G349" s="3">
        <f t="shared" si="41"/>
        <v>59</v>
      </c>
      <c r="H349" s="3">
        <f t="shared" si="35"/>
        <v>50.45</v>
      </c>
      <c r="I349" s="3">
        <f t="shared" si="36"/>
        <v>93.345073349199026</v>
      </c>
      <c r="J349" s="3">
        <f t="shared" si="37"/>
        <v>52.691964941569282</v>
      </c>
      <c r="K349" s="3">
        <f t="shared" si="38"/>
        <v>16.128547579298832</v>
      </c>
      <c r="L349" s="12" t="str">
        <f t="shared" si="39"/>
        <v/>
      </c>
      <c r="M349" s="12" t="str">
        <f t="shared" si="40"/>
        <v/>
      </c>
    </row>
    <row r="350" spans="1:13" ht="31.5">
      <c r="A350" s="3">
        <v>341</v>
      </c>
      <c r="B350" s="11" t="s">
        <v>372</v>
      </c>
      <c r="C350" s="3">
        <v>1</v>
      </c>
      <c r="D350" s="3">
        <v>10</v>
      </c>
      <c r="E350" s="11" t="s">
        <v>413</v>
      </c>
      <c r="F350" s="3">
        <v>44</v>
      </c>
      <c r="G350" s="3">
        <f t="shared" si="41"/>
        <v>29</v>
      </c>
      <c r="H350" s="3">
        <f t="shared" si="35"/>
        <v>50.45</v>
      </c>
      <c r="I350" s="3">
        <f t="shared" si="36"/>
        <v>93.345073349199026</v>
      </c>
      <c r="J350" s="3">
        <f t="shared" si="37"/>
        <v>52.691964941569282</v>
      </c>
      <c r="K350" s="3">
        <f t="shared" si="38"/>
        <v>16.128547579298832</v>
      </c>
      <c r="L350" s="12" t="str">
        <f t="shared" si="39"/>
        <v/>
      </c>
      <c r="M350" s="12" t="str">
        <f t="shared" si="40"/>
        <v/>
      </c>
    </row>
    <row r="351" spans="1:13" ht="31.5">
      <c r="A351" s="3">
        <v>342</v>
      </c>
      <c r="B351" s="11" t="s">
        <v>372</v>
      </c>
      <c r="C351" s="3">
        <v>1</v>
      </c>
      <c r="D351" s="3">
        <v>9</v>
      </c>
      <c r="E351" s="11" t="s">
        <v>414</v>
      </c>
      <c r="F351" s="3">
        <v>34</v>
      </c>
      <c r="G351" s="3">
        <f t="shared" si="41"/>
        <v>10</v>
      </c>
      <c r="H351" s="3">
        <f t="shared" si="35"/>
        <v>50.45</v>
      </c>
      <c r="I351" s="3">
        <f t="shared" si="36"/>
        <v>93.345073349199026</v>
      </c>
      <c r="J351" s="3">
        <f t="shared" si="37"/>
        <v>52.691964941569282</v>
      </c>
      <c r="K351" s="3">
        <f t="shared" si="38"/>
        <v>16.128547579298832</v>
      </c>
      <c r="L351" s="12" t="str">
        <f t="shared" si="39"/>
        <v/>
      </c>
      <c r="M351" s="12" t="str">
        <f t="shared" si="40"/>
        <v/>
      </c>
    </row>
    <row r="352" spans="1:13" ht="31.5">
      <c r="A352" s="3">
        <v>343</v>
      </c>
      <c r="B352" s="11" t="s">
        <v>372</v>
      </c>
      <c r="C352" s="3">
        <v>1</v>
      </c>
      <c r="D352" s="3">
        <v>8</v>
      </c>
      <c r="E352" s="11" t="s">
        <v>415</v>
      </c>
      <c r="F352" s="3">
        <v>26</v>
      </c>
      <c r="G352" s="3">
        <f t="shared" si="41"/>
        <v>8</v>
      </c>
      <c r="H352" s="3">
        <f t="shared" si="35"/>
        <v>50.45</v>
      </c>
      <c r="I352" s="3">
        <f t="shared" si="36"/>
        <v>93.345073349199026</v>
      </c>
      <c r="J352" s="3">
        <f t="shared" si="37"/>
        <v>52.691964941569282</v>
      </c>
      <c r="K352" s="3">
        <f t="shared" si="38"/>
        <v>16.128547579298832</v>
      </c>
      <c r="L352" s="12" t="str">
        <f t="shared" si="39"/>
        <v/>
      </c>
      <c r="M352" s="12" t="str">
        <f t="shared" si="40"/>
        <v/>
      </c>
    </row>
    <row r="353" spans="1:13" ht="31.5">
      <c r="A353" s="3">
        <v>344</v>
      </c>
      <c r="B353" s="11" t="s">
        <v>372</v>
      </c>
      <c r="C353" s="3">
        <v>1</v>
      </c>
      <c r="D353" s="3">
        <v>7</v>
      </c>
      <c r="E353" s="11" t="s">
        <v>416</v>
      </c>
      <c r="F353" s="3">
        <v>26</v>
      </c>
      <c r="G353" s="3">
        <f t="shared" si="41"/>
        <v>0</v>
      </c>
      <c r="H353" s="3">
        <f t="shared" si="35"/>
        <v>50.45</v>
      </c>
      <c r="I353" s="3">
        <f t="shared" si="36"/>
        <v>93.345073349199026</v>
      </c>
      <c r="J353" s="3">
        <f t="shared" si="37"/>
        <v>52.691964941569282</v>
      </c>
      <c r="K353" s="3">
        <f t="shared" si="38"/>
        <v>16.128547579298832</v>
      </c>
      <c r="L353" s="12" t="str">
        <f t="shared" si="39"/>
        <v/>
      </c>
      <c r="M353" s="12" t="str">
        <f t="shared" si="40"/>
        <v/>
      </c>
    </row>
    <row r="354" spans="1:13" ht="31.5">
      <c r="A354" s="3">
        <v>345</v>
      </c>
      <c r="B354" s="11" t="s">
        <v>372</v>
      </c>
      <c r="C354" s="3">
        <v>1</v>
      </c>
      <c r="D354" s="3">
        <v>6</v>
      </c>
      <c r="E354" s="11" t="s">
        <v>417</v>
      </c>
      <c r="F354" s="3">
        <v>27</v>
      </c>
      <c r="G354" s="3">
        <f t="shared" si="41"/>
        <v>1</v>
      </c>
      <c r="H354" s="3">
        <f t="shared" si="35"/>
        <v>50.45</v>
      </c>
      <c r="I354" s="3">
        <f t="shared" si="36"/>
        <v>93.345073349199026</v>
      </c>
      <c r="J354" s="3">
        <f t="shared" si="37"/>
        <v>52.691964941569282</v>
      </c>
      <c r="K354" s="3">
        <f t="shared" si="38"/>
        <v>16.128547579298832</v>
      </c>
      <c r="L354" s="12" t="str">
        <f t="shared" si="39"/>
        <v/>
      </c>
      <c r="M354" s="12" t="str">
        <f t="shared" si="40"/>
        <v/>
      </c>
    </row>
    <row r="355" spans="1:13" ht="31.5">
      <c r="A355" s="3">
        <v>346</v>
      </c>
      <c r="B355" s="11" t="s">
        <v>372</v>
      </c>
      <c r="C355" s="3">
        <v>1</v>
      </c>
      <c r="D355" s="3">
        <v>5</v>
      </c>
      <c r="E355" s="11" t="s">
        <v>418</v>
      </c>
      <c r="F355" s="3">
        <v>31</v>
      </c>
      <c r="G355" s="3">
        <f t="shared" si="41"/>
        <v>4</v>
      </c>
      <c r="H355" s="3">
        <f t="shared" si="35"/>
        <v>50.45</v>
      </c>
      <c r="I355" s="3">
        <f t="shared" si="36"/>
        <v>93.345073349199026</v>
      </c>
      <c r="J355" s="3">
        <f t="shared" si="37"/>
        <v>52.691964941569282</v>
      </c>
      <c r="K355" s="3">
        <f t="shared" si="38"/>
        <v>16.128547579298832</v>
      </c>
      <c r="L355" s="12" t="str">
        <f t="shared" si="39"/>
        <v/>
      </c>
      <c r="M355" s="12" t="str">
        <f t="shared" si="40"/>
        <v/>
      </c>
    </row>
    <row r="356" spans="1:13" ht="31.5">
      <c r="A356" s="3">
        <v>347</v>
      </c>
      <c r="B356" s="11" t="s">
        <v>372</v>
      </c>
      <c r="C356" s="3">
        <v>1</v>
      </c>
      <c r="D356" s="3">
        <v>4</v>
      </c>
      <c r="E356" s="11" t="s">
        <v>419</v>
      </c>
      <c r="F356" s="3">
        <v>37</v>
      </c>
      <c r="G356" s="3">
        <f t="shared" si="41"/>
        <v>6</v>
      </c>
      <c r="H356" s="3">
        <f t="shared" si="35"/>
        <v>50.45</v>
      </c>
      <c r="I356" s="3">
        <f t="shared" si="36"/>
        <v>93.345073349199026</v>
      </c>
      <c r="J356" s="3">
        <f t="shared" si="37"/>
        <v>52.691964941569282</v>
      </c>
      <c r="K356" s="3">
        <f t="shared" si="38"/>
        <v>16.128547579298832</v>
      </c>
      <c r="L356" s="12" t="str">
        <f t="shared" si="39"/>
        <v/>
      </c>
      <c r="M356" s="12" t="str">
        <f t="shared" si="40"/>
        <v/>
      </c>
    </row>
    <row r="357" spans="1:13" ht="31.5">
      <c r="A357" s="3">
        <v>348</v>
      </c>
      <c r="B357" s="11" t="s">
        <v>372</v>
      </c>
      <c r="C357" s="3">
        <v>1</v>
      </c>
      <c r="D357" s="3">
        <v>3</v>
      </c>
      <c r="E357" s="11" t="s">
        <v>420</v>
      </c>
      <c r="F357" s="3">
        <v>28</v>
      </c>
      <c r="G357" s="3">
        <f t="shared" si="41"/>
        <v>9</v>
      </c>
      <c r="H357" s="3">
        <f t="shared" si="35"/>
        <v>50.45</v>
      </c>
      <c r="I357" s="3">
        <f t="shared" si="36"/>
        <v>93.345073349199026</v>
      </c>
      <c r="J357" s="3">
        <f t="shared" si="37"/>
        <v>52.691964941569282</v>
      </c>
      <c r="K357" s="3">
        <f t="shared" si="38"/>
        <v>16.128547579298832</v>
      </c>
      <c r="L357" s="12" t="str">
        <f t="shared" si="39"/>
        <v/>
      </c>
      <c r="M357" s="12" t="str">
        <f t="shared" si="40"/>
        <v/>
      </c>
    </row>
    <row r="358" spans="1:13" ht="31.5">
      <c r="A358" s="3">
        <v>349</v>
      </c>
      <c r="B358" s="11" t="s">
        <v>372</v>
      </c>
      <c r="C358" s="3">
        <v>1</v>
      </c>
      <c r="D358" s="3">
        <v>2</v>
      </c>
      <c r="E358" s="11" t="s">
        <v>421</v>
      </c>
      <c r="F358" s="3">
        <v>36</v>
      </c>
      <c r="G358" s="3">
        <f t="shared" si="41"/>
        <v>8</v>
      </c>
      <c r="H358" s="3">
        <f t="shared" si="35"/>
        <v>50.45</v>
      </c>
      <c r="I358" s="3">
        <f t="shared" si="36"/>
        <v>93.345073349199026</v>
      </c>
      <c r="J358" s="3">
        <f t="shared" si="37"/>
        <v>52.691964941569282</v>
      </c>
      <c r="K358" s="3">
        <f t="shared" si="38"/>
        <v>16.128547579298832</v>
      </c>
      <c r="L358" s="12" t="str">
        <f t="shared" si="39"/>
        <v/>
      </c>
      <c r="M358" s="12" t="str">
        <f t="shared" si="40"/>
        <v/>
      </c>
    </row>
    <row r="359" spans="1:13" ht="31.5">
      <c r="A359" s="3">
        <v>350</v>
      </c>
      <c r="B359" s="11" t="s">
        <v>372</v>
      </c>
      <c r="C359" s="3">
        <v>1</v>
      </c>
      <c r="D359" s="3">
        <v>1</v>
      </c>
      <c r="E359" s="11" t="s">
        <v>422</v>
      </c>
      <c r="F359" s="3">
        <v>41</v>
      </c>
      <c r="G359" s="3">
        <f t="shared" si="41"/>
        <v>5</v>
      </c>
      <c r="H359" s="3">
        <f t="shared" si="35"/>
        <v>50.45</v>
      </c>
      <c r="I359" s="3">
        <f t="shared" si="36"/>
        <v>93.345073349199026</v>
      </c>
      <c r="J359" s="3">
        <f t="shared" si="37"/>
        <v>52.691964941569282</v>
      </c>
      <c r="K359" s="3">
        <f t="shared" si="38"/>
        <v>16.128547579298832</v>
      </c>
      <c r="L359" s="12" t="str">
        <f t="shared" si="39"/>
        <v/>
      </c>
      <c r="M359" s="12" t="str">
        <f t="shared" si="40"/>
        <v/>
      </c>
    </row>
    <row r="360" spans="1:13" ht="31.5">
      <c r="A360" s="3">
        <v>351</v>
      </c>
      <c r="B360" s="11" t="s">
        <v>372</v>
      </c>
      <c r="C360" s="3">
        <v>2</v>
      </c>
      <c r="D360" s="3">
        <v>25</v>
      </c>
      <c r="E360" s="11" t="s">
        <v>423</v>
      </c>
      <c r="F360" s="3">
        <v>81</v>
      </c>
      <c r="G360" s="3">
        <f t="shared" si="41"/>
        <v>40</v>
      </c>
      <c r="H360" s="3">
        <f t="shared" si="35"/>
        <v>50.45</v>
      </c>
      <c r="I360" s="3">
        <f t="shared" si="36"/>
        <v>93.345073349199026</v>
      </c>
      <c r="J360" s="3">
        <f t="shared" si="37"/>
        <v>52.691964941569282</v>
      </c>
      <c r="K360" s="3">
        <f t="shared" si="38"/>
        <v>16.128547579298832</v>
      </c>
      <c r="L360" s="12" t="str">
        <f t="shared" si="39"/>
        <v/>
      </c>
      <c r="M360" s="12" t="str">
        <f t="shared" si="40"/>
        <v/>
      </c>
    </row>
    <row r="361" spans="1:13" ht="31.5">
      <c r="A361" s="3">
        <v>352</v>
      </c>
      <c r="B361" s="11" t="s">
        <v>372</v>
      </c>
      <c r="C361" s="3">
        <v>2</v>
      </c>
      <c r="D361" s="3">
        <v>24</v>
      </c>
      <c r="E361" s="11" t="s">
        <v>424</v>
      </c>
      <c r="F361" s="3">
        <v>39</v>
      </c>
      <c r="G361" s="3">
        <f t="shared" si="41"/>
        <v>42</v>
      </c>
      <c r="H361" s="3">
        <f t="shared" si="35"/>
        <v>50.45</v>
      </c>
      <c r="I361" s="3">
        <f t="shared" si="36"/>
        <v>93.345073349199026</v>
      </c>
      <c r="J361" s="3">
        <f t="shared" si="37"/>
        <v>52.691964941569282</v>
      </c>
      <c r="K361" s="3">
        <f t="shared" si="38"/>
        <v>16.128547579298832</v>
      </c>
      <c r="L361" s="12" t="str">
        <f t="shared" si="39"/>
        <v/>
      </c>
      <c r="M361" s="12" t="str">
        <f t="shared" si="40"/>
        <v/>
      </c>
    </row>
    <row r="362" spans="1:13" ht="31.5">
      <c r="A362" s="3">
        <v>353</v>
      </c>
      <c r="B362" s="11" t="s">
        <v>372</v>
      </c>
      <c r="C362" s="3">
        <v>2</v>
      </c>
      <c r="D362" s="3">
        <v>23</v>
      </c>
      <c r="E362" s="11" t="s">
        <v>425</v>
      </c>
      <c r="F362" s="3">
        <v>74</v>
      </c>
      <c r="G362" s="3">
        <f t="shared" si="41"/>
        <v>35</v>
      </c>
      <c r="H362" s="3">
        <f t="shared" si="35"/>
        <v>50.45</v>
      </c>
      <c r="I362" s="3">
        <f t="shared" si="36"/>
        <v>93.345073349199026</v>
      </c>
      <c r="J362" s="3">
        <f t="shared" si="37"/>
        <v>52.691964941569282</v>
      </c>
      <c r="K362" s="3">
        <f t="shared" si="38"/>
        <v>16.128547579298832</v>
      </c>
      <c r="L362" s="12" t="str">
        <f t="shared" si="39"/>
        <v/>
      </c>
      <c r="M362" s="12" t="str">
        <f t="shared" si="40"/>
        <v/>
      </c>
    </row>
    <row r="363" spans="1:13" ht="31.5">
      <c r="A363" s="3">
        <v>354</v>
      </c>
      <c r="B363" s="11" t="s">
        <v>372</v>
      </c>
      <c r="C363" s="3">
        <v>2</v>
      </c>
      <c r="D363" s="3">
        <v>22</v>
      </c>
      <c r="E363" s="11" t="s">
        <v>426</v>
      </c>
      <c r="F363" s="3">
        <v>35</v>
      </c>
      <c r="G363" s="3">
        <f t="shared" si="41"/>
        <v>39</v>
      </c>
      <c r="H363" s="3">
        <f t="shared" si="35"/>
        <v>50.45</v>
      </c>
      <c r="I363" s="3">
        <f t="shared" si="36"/>
        <v>93.345073349199026</v>
      </c>
      <c r="J363" s="3">
        <f t="shared" si="37"/>
        <v>52.691964941569282</v>
      </c>
      <c r="K363" s="3">
        <f t="shared" si="38"/>
        <v>16.128547579298832</v>
      </c>
      <c r="L363" s="12" t="str">
        <f t="shared" si="39"/>
        <v/>
      </c>
      <c r="M363" s="12" t="str">
        <f t="shared" si="40"/>
        <v/>
      </c>
    </row>
    <row r="364" spans="1:13" ht="31.5">
      <c r="A364" s="3">
        <v>355</v>
      </c>
      <c r="B364" s="11" t="s">
        <v>372</v>
      </c>
      <c r="C364" s="3">
        <v>2</v>
      </c>
      <c r="D364" s="3">
        <v>21</v>
      </c>
      <c r="E364" s="11" t="s">
        <v>427</v>
      </c>
      <c r="F364" s="3">
        <v>55</v>
      </c>
      <c r="G364" s="3">
        <f t="shared" si="41"/>
        <v>20</v>
      </c>
      <c r="H364" s="3">
        <f t="shared" si="35"/>
        <v>50.45</v>
      </c>
      <c r="I364" s="3">
        <f t="shared" si="36"/>
        <v>93.345073349199026</v>
      </c>
      <c r="J364" s="3">
        <f t="shared" si="37"/>
        <v>52.691964941569282</v>
      </c>
      <c r="K364" s="3">
        <f t="shared" si="38"/>
        <v>16.128547579298832</v>
      </c>
      <c r="L364" s="12" t="str">
        <f t="shared" si="39"/>
        <v/>
      </c>
      <c r="M364" s="12" t="str">
        <f t="shared" si="40"/>
        <v/>
      </c>
    </row>
    <row r="365" spans="1:13" ht="31.5">
      <c r="A365" s="3">
        <v>356</v>
      </c>
      <c r="B365" s="11" t="s">
        <v>372</v>
      </c>
      <c r="C365" s="3">
        <v>2</v>
      </c>
      <c r="D365" s="3">
        <v>20</v>
      </c>
      <c r="E365" s="11" t="s">
        <v>428</v>
      </c>
      <c r="F365" s="3">
        <v>60</v>
      </c>
      <c r="G365" s="3">
        <f t="shared" si="41"/>
        <v>5</v>
      </c>
      <c r="H365" s="3">
        <f t="shared" si="35"/>
        <v>50.45</v>
      </c>
      <c r="I365" s="3">
        <f t="shared" si="36"/>
        <v>93.345073349199026</v>
      </c>
      <c r="J365" s="3">
        <f t="shared" si="37"/>
        <v>52.691964941569282</v>
      </c>
      <c r="K365" s="3">
        <f t="shared" si="38"/>
        <v>16.128547579298832</v>
      </c>
      <c r="L365" s="12" t="str">
        <f t="shared" si="39"/>
        <v/>
      </c>
      <c r="M365" s="12" t="str">
        <f t="shared" si="40"/>
        <v/>
      </c>
    </row>
    <row r="366" spans="1:13" ht="31.5">
      <c r="A366" s="3">
        <v>357</v>
      </c>
      <c r="B366" s="11" t="s">
        <v>372</v>
      </c>
      <c r="C366" s="3">
        <v>2</v>
      </c>
      <c r="D366" s="3">
        <v>19</v>
      </c>
      <c r="E366" s="11" t="s">
        <v>429</v>
      </c>
      <c r="F366" s="3">
        <v>48</v>
      </c>
      <c r="G366" s="3">
        <f t="shared" si="41"/>
        <v>12</v>
      </c>
      <c r="H366" s="3">
        <f t="shared" si="35"/>
        <v>50.45</v>
      </c>
      <c r="I366" s="3">
        <f t="shared" si="36"/>
        <v>93.345073349199026</v>
      </c>
      <c r="J366" s="3">
        <f t="shared" si="37"/>
        <v>52.691964941569282</v>
      </c>
      <c r="K366" s="3">
        <f t="shared" si="38"/>
        <v>16.128547579298832</v>
      </c>
      <c r="L366" s="12" t="str">
        <f t="shared" si="39"/>
        <v/>
      </c>
      <c r="M366" s="12" t="str">
        <f t="shared" si="40"/>
        <v/>
      </c>
    </row>
    <row r="367" spans="1:13" ht="31.5">
      <c r="A367" s="3">
        <v>358</v>
      </c>
      <c r="B367" s="11" t="s">
        <v>372</v>
      </c>
      <c r="C367" s="3">
        <v>2</v>
      </c>
      <c r="D367" s="3">
        <v>18</v>
      </c>
      <c r="E367" s="11" t="s">
        <v>430</v>
      </c>
      <c r="F367" s="3">
        <v>69</v>
      </c>
      <c r="G367" s="3">
        <f t="shared" si="41"/>
        <v>21</v>
      </c>
      <c r="H367" s="3">
        <f t="shared" si="35"/>
        <v>50.45</v>
      </c>
      <c r="I367" s="3">
        <f t="shared" si="36"/>
        <v>93.345073349199026</v>
      </c>
      <c r="J367" s="3">
        <f t="shared" si="37"/>
        <v>52.691964941569282</v>
      </c>
      <c r="K367" s="3">
        <f t="shared" si="38"/>
        <v>16.128547579298832</v>
      </c>
      <c r="L367" s="12" t="str">
        <f t="shared" si="39"/>
        <v/>
      </c>
      <c r="M367" s="12" t="str">
        <f t="shared" si="40"/>
        <v/>
      </c>
    </row>
    <row r="368" spans="1:13" ht="31.5">
      <c r="A368" s="3">
        <v>359</v>
      </c>
      <c r="B368" s="11" t="s">
        <v>372</v>
      </c>
      <c r="C368" s="3">
        <v>2</v>
      </c>
      <c r="D368" s="3">
        <v>17</v>
      </c>
      <c r="E368" s="11" t="s">
        <v>431</v>
      </c>
      <c r="F368" s="3">
        <v>13</v>
      </c>
      <c r="G368" s="3">
        <f t="shared" si="41"/>
        <v>56</v>
      </c>
      <c r="H368" s="3">
        <f t="shared" si="35"/>
        <v>50.45</v>
      </c>
      <c r="I368" s="3">
        <f t="shared" si="36"/>
        <v>93.345073349199026</v>
      </c>
      <c r="J368" s="3">
        <f t="shared" si="37"/>
        <v>52.691964941569282</v>
      </c>
      <c r="K368" s="3">
        <f t="shared" si="38"/>
        <v>16.128547579298832</v>
      </c>
      <c r="L368" s="12" t="str">
        <f t="shared" si="39"/>
        <v/>
      </c>
      <c r="M368" s="12" t="str">
        <f t="shared" si="40"/>
        <v/>
      </c>
    </row>
    <row r="369" spans="1:13" ht="31.5">
      <c r="A369" s="3">
        <v>360</v>
      </c>
      <c r="B369" s="11" t="s">
        <v>372</v>
      </c>
      <c r="C369" s="3">
        <v>2</v>
      </c>
      <c r="D369" s="3">
        <v>16</v>
      </c>
      <c r="E369" s="11" t="s">
        <v>432</v>
      </c>
      <c r="F369" s="3">
        <v>23</v>
      </c>
      <c r="G369" s="3">
        <f t="shared" si="41"/>
        <v>10</v>
      </c>
      <c r="H369" s="3">
        <f t="shared" si="35"/>
        <v>50.45</v>
      </c>
      <c r="I369" s="3">
        <f t="shared" si="36"/>
        <v>93.345073349199026</v>
      </c>
      <c r="J369" s="3">
        <f t="shared" si="37"/>
        <v>52.691964941569282</v>
      </c>
      <c r="K369" s="3">
        <f t="shared" si="38"/>
        <v>16.128547579298832</v>
      </c>
      <c r="L369" s="12" t="str">
        <f t="shared" si="39"/>
        <v/>
      </c>
      <c r="M369" s="12" t="str">
        <f t="shared" si="40"/>
        <v/>
      </c>
    </row>
    <row r="370" spans="1:13" ht="31.5">
      <c r="A370" s="3">
        <v>361</v>
      </c>
      <c r="B370" s="11" t="s">
        <v>372</v>
      </c>
      <c r="C370" s="3">
        <v>2</v>
      </c>
      <c r="D370" s="3">
        <v>15</v>
      </c>
      <c r="E370" s="11" t="s">
        <v>433</v>
      </c>
      <c r="F370" s="3">
        <v>27</v>
      </c>
      <c r="G370" s="3">
        <f t="shared" si="41"/>
        <v>4</v>
      </c>
      <c r="H370" s="3">
        <f t="shared" si="35"/>
        <v>50.45</v>
      </c>
      <c r="I370" s="3">
        <f t="shared" si="36"/>
        <v>93.345073349199026</v>
      </c>
      <c r="J370" s="3">
        <f t="shared" si="37"/>
        <v>52.691964941569282</v>
      </c>
      <c r="K370" s="3">
        <f t="shared" si="38"/>
        <v>16.128547579298832</v>
      </c>
      <c r="L370" s="12" t="str">
        <f t="shared" si="39"/>
        <v/>
      </c>
      <c r="M370" s="12" t="str">
        <f t="shared" si="40"/>
        <v/>
      </c>
    </row>
    <row r="371" spans="1:13" ht="31.5">
      <c r="A371" s="3">
        <v>362</v>
      </c>
      <c r="B371" s="11" t="s">
        <v>372</v>
      </c>
      <c r="C371" s="3">
        <v>2</v>
      </c>
      <c r="D371" s="3">
        <v>14</v>
      </c>
      <c r="E371" s="11" t="s">
        <v>434</v>
      </c>
      <c r="F371" s="3">
        <v>24</v>
      </c>
      <c r="G371" s="3">
        <f t="shared" si="41"/>
        <v>3</v>
      </c>
      <c r="H371" s="3">
        <f t="shared" si="35"/>
        <v>50.45</v>
      </c>
      <c r="I371" s="3">
        <f t="shared" si="36"/>
        <v>93.345073349199026</v>
      </c>
      <c r="J371" s="3">
        <f t="shared" si="37"/>
        <v>52.691964941569282</v>
      </c>
      <c r="K371" s="3">
        <f t="shared" si="38"/>
        <v>16.128547579298832</v>
      </c>
      <c r="L371" s="12" t="str">
        <f t="shared" si="39"/>
        <v/>
      </c>
      <c r="M371" s="12" t="str">
        <f t="shared" si="40"/>
        <v/>
      </c>
    </row>
    <row r="372" spans="1:13" ht="31.5">
      <c r="A372" s="3">
        <v>363</v>
      </c>
      <c r="B372" s="11" t="s">
        <v>372</v>
      </c>
      <c r="C372" s="3">
        <v>2</v>
      </c>
      <c r="D372" s="3">
        <v>13</v>
      </c>
      <c r="E372" s="11" t="s">
        <v>435</v>
      </c>
      <c r="F372" s="3">
        <v>29</v>
      </c>
      <c r="G372" s="3">
        <f t="shared" si="41"/>
        <v>5</v>
      </c>
      <c r="H372" s="3">
        <f t="shared" si="35"/>
        <v>50.45</v>
      </c>
      <c r="I372" s="3">
        <f t="shared" si="36"/>
        <v>93.345073349199026</v>
      </c>
      <c r="J372" s="3">
        <f t="shared" si="37"/>
        <v>52.691964941569282</v>
      </c>
      <c r="K372" s="3">
        <f t="shared" si="38"/>
        <v>16.128547579298832</v>
      </c>
      <c r="L372" s="12" t="str">
        <f t="shared" si="39"/>
        <v/>
      </c>
      <c r="M372" s="12" t="str">
        <f t="shared" si="40"/>
        <v/>
      </c>
    </row>
    <row r="373" spans="1:13" ht="31.5">
      <c r="A373" s="3">
        <v>364</v>
      </c>
      <c r="B373" s="11" t="s">
        <v>372</v>
      </c>
      <c r="C373" s="3">
        <v>2</v>
      </c>
      <c r="D373" s="3">
        <v>12</v>
      </c>
      <c r="E373" s="11" t="s">
        <v>436</v>
      </c>
      <c r="F373" s="3">
        <v>22</v>
      </c>
      <c r="G373" s="3">
        <f t="shared" si="41"/>
        <v>7</v>
      </c>
      <c r="H373" s="3">
        <f t="shared" si="35"/>
        <v>50.45</v>
      </c>
      <c r="I373" s="3">
        <f t="shared" si="36"/>
        <v>93.345073349199026</v>
      </c>
      <c r="J373" s="3">
        <f t="shared" si="37"/>
        <v>52.691964941569282</v>
      </c>
      <c r="K373" s="3">
        <f t="shared" si="38"/>
        <v>16.128547579298832</v>
      </c>
      <c r="L373" s="12" t="str">
        <f t="shared" si="39"/>
        <v/>
      </c>
      <c r="M373" s="12" t="str">
        <f t="shared" si="40"/>
        <v/>
      </c>
    </row>
    <row r="374" spans="1:13" ht="31.5">
      <c r="A374" s="3">
        <v>365</v>
      </c>
      <c r="B374" s="11" t="s">
        <v>372</v>
      </c>
      <c r="C374" s="3">
        <v>2</v>
      </c>
      <c r="D374" s="3">
        <v>11</v>
      </c>
      <c r="E374" s="11" t="s">
        <v>437</v>
      </c>
      <c r="F374" s="3">
        <v>24</v>
      </c>
      <c r="G374" s="3">
        <f t="shared" si="41"/>
        <v>2</v>
      </c>
      <c r="H374" s="3">
        <f t="shared" si="35"/>
        <v>50.45</v>
      </c>
      <c r="I374" s="3">
        <f t="shared" si="36"/>
        <v>93.345073349199026</v>
      </c>
      <c r="J374" s="3">
        <f t="shared" si="37"/>
        <v>52.691964941569282</v>
      </c>
      <c r="K374" s="3">
        <f t="shared" si="38"/>
        <v>16.128547579298832</v>
      </c>
      <c r="L374" s="12" t="str">
        <f t="shared" si="39"/>
        <v/>
      </c>
      <c r="M374" s="12" t="str">
        <f t="shared" si="40"/>
        <v/>
      </c>
    </row>
    <row r="375" spans="1:13" ht="31.5">
      <c r="A375" s="3">
        <v>366</v>
      </c>
      <c r="B375" s="11" t="s">
        <v>372</v>
      </c>
      <c r="C375" s="3">
        <v>2</v>
      </c>
      <c r="D375" s="3">
        <v>10</v>
      </c>
      <c r="E375" s="11" t="s">
        <v>438</v>
      </c>
      <c r="F375" s="3">
        <v>39</v>
      </c>
      <c r="G375" s="3">
        <f t="shared" si="41"/>
        <v>15</v>
      </c>
      <c r="H375" s="3">
        <f t="shared" si="35"/>
        <v>50.45</v>
      </c>
      <c r="I375" s="3">
        <f t="shared" si="36"/>
        <v>93.345073349199026</v>
      </c>
      <c r="J375" s="3">
        <f t="shared" si="37"/>
        <v>52.691964941569282</v>
      </c>
      <c r="K375" s="3">
        <f t="shared" si="38"/>
        <v>16.128547579298832</v>
      </c>
      <c r="L375" s="12" t="str">
        <f t="shared" si="39"/>
        <v/>
      </c>
      <c r="M375" s="12" t="str">
        <f t="shared" si="40"/>
        <v/>
      </c>
    </row>
    <row r="376" spans="1:13" ht="31.5">
      <c r="A376" s="3">
        <v>367</v>
      </c>
      <c r="B376" s="11" t="s">
        <v>372</v>
      </c>
      <c r="C376" s="3">
        <v>2</v>
      </c>
      <c r="D376" s="3">
        <v>9</v>
      </c>
      <c r="E376" s="11" t="s">
        <v>439</v>
      </c>
      <c r="F376" s="3">
        <v>40</v>
      </c>
      <c r="G376" s="3">
        <f t="shared" si="41"/>
        <v>1</v>
      </c>
      <c r="H376" s="3">
        <f t="shared" si="35"/>
        <v>50.45</v>
      </c>
      <c r="I376" s="3">
        <f t="shared" si="36"/>
        <v>93.345073349199026</v>
      </c>
      <c r="J376" s="3">
        <f t="shared" si="37"/>
        <v>52.691964941569282</v>
      </c>
      <c r="K376" s="3">
        <f t="shared" si="38"/>
        <v>16.128547579298832</v>
      </c>
      <c r="L376" s="12" t="str">
        <f t="shared" si="39"/>
        <v/>
      </c>
      <c r="M376" s="12" t="str">
        <f t="shared" si="40"/>
        <v/>
      </c>
    </row>
    <row r="377" spans="1:13" ht="31.5">
      <c r="A377" s="3">
        <v>368</v>
      </c>
      <c r="B377" s="11" t="s">
        <v>372</v>
      </c>
      <c r="C377" s="3">
        <v>2</v>
      </c>
      <c r="D377" s="3">
        <v>8</v>
      </c>
      <c r="E377" s="11" t="s">
        <v>440</v>
      </c>
      <c r="F377" s="3">
        <v>63</v>
      </c>
      <c r="G377" s="3">
        <f t="shared" si="41"/>
        <v>23</v>
      </c>
      <c r="H377" s="3">
        <f t="shared" si="35"/>
        <v>50.45</v>
      </c>
      <c r="I377" s="3">
        <f t="shared" si="36"/>
        <v>93.345073349199026</v>
      </c>
      <c r="J377" s="3">
        <f t="shared" si="37"/>
        <v>52.691964941569282</v>
      </c>
      <c r="K377" s="3">
        <f t="shared" si="38"/>
        <v>16.128547579298832</v>
      </c>
      <c r="L377" s="12" t="str">
        <f t="shared" si="39"/>
        <v/>
      </c>
      <c r="M377" s="12" t="str">
        <f t="shared" si="40"/>
        <v/>
      </c>
    </row>
    <row r="378" spans="1:13" ht="31.5">
      <c r="A378" s="3">
        <v>369</v>
      </c>
      <c r="B378" s="11" t="s">
        <v>372</v>
      </c>
      <c r="C378" s="3">
        <v>2</v>
      </c>
      <c r="D378" s="3">
        <v>7</v>
      </c>
      <c r="E378" s="11" t="s">
        <v>441</v>
      </c>
      <c r="F378" s="3">
        <v>33</v>
      </c>
      <c r="G378" s="3">
        <f t="shared" si="41"/>
        <v>30</v>
      </c>
      <c r="H378" s="3">
        <f t="shared" si="35"/>
        <v>50.45</v>
      </c>
      <c r="I378" s="3">
        <f t="shared" si="36"/>
        <v>93.345073349199026</v>
      </c>
      <c r="J378" s="3">
        <f t="shared" si="37"/>
        <v>52.691964941569282</v>
      </c>
      <c r="K378" s="3">
        <f t="shared" si="38"/>
        <v>16.128547579298832</v>
      </c>
      <c r="L378" s="12" t="str">
        <f t="shared" si="39"/>
        <v/>
      </c>
      <c r="M378" s="12" t="str">
        <f t="shared" si="40"/>
        <v/>
      </c>
    </row>
    <row r="379" spans="1:13" ht="31.5">
      <c r="A379" s="3">
        <v>370</v>
      </c>
      <c r="B379" s="11" t="s">
        <v>372</v>
      </c>
      <c r="C379" s="3">
        <v>2</v>
      </c>
      <c r="D379" s="3">
        <v>6</v>
      </c>
      <c r="E379" s="11" t="s">
        <v>442</v>
      </c>
      <c r="F379" s="3">
        <v>50</v>
      </c>
      <c r="G379" s="3">
        <f t="shared" si="41"/>
        <v>17</v>
      </c>
      <c r="H379" s="3">
        <f t="shared" si="35"/>
        <v>50.45</v>
      </c>
      <c r="I379" s="3">
        <f t="shared" si="36"/>
        <v>93.345073349199026</v>
      </c>
      <c r="J379" s="3">
        <f t="shared" si="37"/>
        <v>52.691964941569282</v>
      </c>
      <c r="K379" s="3">
        <f t="shared" si="38"/>
        <v>16.128547579298832</v>
      </c>
      <c r="L379" s="12" t="str">
        <f t="shared" si="39"/>
        <v/>
      </c>
      <c r="M379" s="12" t="str">
        <f t="shared" si="40"/>
        <v/>
      </c>
    </row>
    <row r="380" spans="1:13" ht="31.5">
      <c r="A380" s="3">
        <v>371</v>
      </c>
      <c r="B380" s="11" t="s">
        <v>372</v>
      </c>
      <c r="C380" s="3">
        <v>2</v>
      </c>
      <c r="D380" s="3">
        <v>5</v>
      </c>
      <c r="E380" s="11" t="s">
        <v>443</v>
      </c>
      <c r="F380" s="3">
        <v>55</v>
      </c>
      <c r="G380" s="3">
        <f t="shared" si="41"/>
        <v>5</v>
      </c>
      <c r="H380" s="3">
        <f t="shared" si="35"/>
        <v>50.45</v>
      </c>
      <c r="I380" s="3">
        <f t="shared" si="36"/>
        <v>93.345073349199026</v>
      </c>
      <c r="J380" s="3">
        <f t="shared" si="37"/>
        <v>52.691964941569282</v>
      </c>
      <c r="K380" s="3">
        <f t="shared" si="38"/>
        <v>16.128547579298832</v>
      </c>
      <c r="L380" s="12" t="str">
        <f t="shared" si="39"/>
        <v/>
      </c>
      <c r="M380" s="12" t="str">
        <f t="shared" si="40"/>
        <v/>
      </c>
    </row>
    <row r="381" spans="1:13" ht="31.5">
      <c r="A381" s="3">
        <v>372</v>
      </c>
      <c r="B381" s="11" t="s">
        <v>372</v>
      </c>
      <c r="C381" s="3">
        <v>2</v>
      </c>
      <c r="D381" s="3">
        <v>4</v>
      </c>
      <c r="E381" s="11" t="s">
        <v>444</v>
      </c>
      <c r="F381" s="3">
        <v>85</v>
      </c>
      <c r="G381" s="3">
        <f t="shared" si="41"/>
        <v>30</v>
      </c>
      <c r="H381" s="3">
        <f t="shared" si="35"/>
        <v>50.45</v>
      </c>
      <c r="I381" s="3">
        <f t="shared" si="36"/>
        <v>93.345073349199026</v>
      </c>
      <c r="J381" s="3">
        <f t="shared" si="37"/>
        <v>52.691964941569282</v>
      </c>
      <c r="K381" s="3">
        <f t="shared" si="38"/>
        <v>16.128547579298832</v>
      </c>
      <c r="L381" s="12" t="str">
        <f t="shared" si="39"/>
        <v/>
      </c>
      <c r="M381" s="12" t="str">
        <f t="shared" si="40"/>
        <v/>
      </c>
    </row>
    <row r="382" spans="1:13" ht="31.5">
      <c r="A382" s="3">
        <v>373</v>
      </c>
      <c r="B382" s="11" t="s">
        <v>372</v>
      </c>
      <c r="C382" s="3">
        <v>2</v>
      </c>
      <c r="D382" s="3">
        <v>3</v>
      </c>
      <c r="E382" s="11" t="s">
        <v>445</v>
      </c>
      <c r="F382" s="3">
        <v>67</v>
      </c>
      <c r="G382" s="3">
        <f t="shared" si="41"/>
        <v>18</v>
      </c>
      <c r="H382" s="3">
        <f t="shared" si="35"/>
        <v>50.45</v>
      </c>
      <c r="I382" s="3">
        <f t="shared" si="36"/>
        <v>93.345073349199026</v>
      </c>
      <c r="J382" s="3">
        <f t="shared" si="37"/>
        <v>52.691964941569282</v>
      </c>
      <c r="K382" s="3">
        <f t="shared" si="38"/>
        <v>16.128547579298832</v>
      </c>
      <c r="L382" s="12" t="str">
        <f t="shared" si="39"/>
        <v/>
      </c>
      <c r="M382" s="12" t="str">
        <f t="shared" si="40"/>
        <v/>
      </c>
    </row>
    <row r="383" spans="1:13" ht="31.5">
      <c r="A383" s="3">
        <v>374</v>
      </c>
      <c r="B383" s="11" t="s">
        <v>372</v>
      </c>
      <c r="C383" s="3">
        <v>2</v>
      </c>
      <c r="D383" s="3">
        <v>2</v>
      </c>
      <c r="E383" s="11" t="s">
        <v>446</v>
      </c>
      <c r="F383" s="3">
        <v>56</v>
      </c>
      <c r="G383" s="3">
        <f t="shared" si="41"/>
        <v>11</v>
      </c>
      <c r="H383" s="3">
        <f t="shared" si="35"/>
        <v>50.45</v>
      </c>
      <c r="I383" s="3">
        <f t="shared" si="36"/>
        <v>93.345073349199026</v>
      </c>
      <c r="J383" s="3">
        <f t="shared" si="37"/>
        <v>52.691964941569282</v>
      </c>
      <c r="K383" s="3">
        <f t="shared" si="38"/>
        <v>16.128547579298832</v>
      </c>
      <c r="L383" s="12" t="str">
        <f t="shared" si="39"/>
        <v/>
      </c>
      <c r="M383" s="12" t="str">
        <f t="shared" si="40"/>
        <v/>
      </c>
    </row>
    <row r="384" spans="1:13" ht="31.5">
      <c r="A384" s="3">
        <v>375</v>
      </c>
      <c r="B384" s="11" t="s">
        <v>372</v>
      </c>
      <c r="C384" s="3">
        <v>2</v>
      </c>
      <c r="D384" s="3">
        <v>1</v>
      </c>
      <c r="E384" s="11" t="s">
        <v>447</v>
      </c>
      <c r="F384" s="3">
        <v>61</v>
      </c>
      <c r="G384" s="3">
        <f t="shared" si="41"/>
        <v>5</v>
      </c>
      <c r="H384" s="3">
        <f t="shared" si="35"/>
        <v>50.45</v>
      </c>
      <c r="I384" s="3">
        <f t="shared" si="36"/>
        <v>93.345073349199026</v>
      </c>
      <c r="J384" s="3">
        <f t="shared" si="37"/>
        <v>52.691964941569282</v>
      </c>
      <c r="K384" s="3">
        <f t="shared" si="38"/>
        <v>16.128547579298832</v>
      </c>
      <c r="L384" s="12" t="str">
        <f t="shared" si="39"/>
        <v/>
      </c>
      <c r="M384" s="12" t="str">
        <f t="shared" si="40"/>
        <v/>
      </c>
    </row>
    <row r="385" spans="1:13" ht="31.5">
      <c r="A385" s="3">
        <v>376</v>
      </c>
      <c r="B385" s="11" t="s">
        <v>372</v>
      </c>
      <c r="C385" s="3">
        <v>2</v>
      </c>
      <c r="D385" s="3">
        <v>25</v>
      </c>
      <c r="E385" s="11" t="s">
        <v>448</v>
      </c>
      <c r="F385" s="3">
        <v>60</v>
      </c>
      <c r="G385" s="3">
        <f t="shared" si="41"/>
        <v>1</v>
      </c>
      <c r="H385" s="3">
        <f t="shared" si="35"/>
        <v>50.45</v>
      </c>
      <c r="I385" s="3">
        <f t="shared" si="36"/>
        <v>93.345073349199026</v>
      </c>
      <c r="J385" s="3">
        <f t="shared" si="37"/>
        <v>52.691964941569282</v>
      </c>
      <c r="K385" s="3">
        <f t="shared" si="38"/>
        <v>16.128547579298832</v>
      </c>
      <c r="L385" s="12" t="str">
        <f t="shared" si="39"/>
        <v/>
      </c>
      <c r="M385" s="12" t="str">
        <f t="shared" si="40"/>
        <v/>
      </c>
    </row>
    <row r="386" spans="1:13" ht="31.5">
      <c r="A386" s="3">
        <v>377</v>
      </c>
      <c r="B386" s="11" t="s">
        <v>372</v>
      </c>
      <c r="C386" s="3">
        <v>2</v>
      </c>
      <c r="D386" s="3">
        <v>24</v>
      </c>
      <c r="E386" s="11" t="s">
        <v>449</v>
      </c>
      <c r="F386" s="3">
        <v>62</v>
      </c>
      <c r="G386" s="3">
        <f t="shared" si="41"/>
        <v>2</v>
      </c>
      <c r="H386" s="3">
        <f t="shared" si="35"/>
        <v>50.45</v>
      </c>
      <c r="I386" s="3">
        <f t="shared" si="36"/>
        <v>93.345073349199026</v>
      </c>
      <c r="J386" s="3">
        <f t="shared" si="37"/>
        <v>52.691964941569282</v>
      </c>
      <c r="K386" s="3">
        <f t="shared" si="38"/>
        <v>16.128547579298832</v>
      </c>
      <c r="L386" s="12" t="str">
        <f t="shared" si="39"/>
        <v/>
      </c>
      <c r="M386" s="12" t="str">
        <f t="shared" si="40"/>
        <v/>
      </c>
    </row>
    <row r="387" spans="1:13" ht="31.5">
      <c r="A387" s="3">
        <v>378</v>
      </c>
      <c r="B387" s="11" t="s">
        <v>372</v>
      </c>
      <c r="C387" s="3">
        <v>2</v>
      </c>
      <c r="D387" s="3">
        <v>23</v>
      </c>
      <c r="E387" s="11" t="s">
        <v>450</v>
      </c>
      <c r="F387" s="3">
        <v>55</v>
      </c>
      <c r="G387" s="3">
        <f t="shared" si="41"/>
        <v>7</v>
      </c>
      <c r="H387" s="3">
        <f t="shared" si="35"/>
        <v>50.45</v>
      </c>
      <c r="I387" s="3">
        <f t="shared" si="36"/>
        <v>93.345073349199026</v>
      </c>
      <c r="J387" s="3">
        <f t="shared" si="37"/>
        <v>52.691964941569282</v>
      </c>
      <c r="K387" s="3">
        <f t="shared" si="38"/>
        <v>16.128547579298832</v>
      </c>
      <c r="L387" s="12" t="str">
        <f t="shared" si="39"/>
        <v/>
      </c>
      <c r="M387" s="12" t="str">
        <f t="shared" si="40"/>
        <v/>
      </c>
    </row>
    <row r="388" spans="1:13" ht="31.5">
      <c r="A388" s="3">
        <v>379</v>
      </c>
      <c r="B388" s="11" t="s">
        <v>372</v>
      </c>
      <c r="C388" s="3">
        <v>2</v>
      </c>
      <c r="D388" s="3">
        <v>22</v>
      </c>
      <c r="E388" s="11" t="s">
        <v>451</v>
      </c>
      <c r="F388" s="3">
        <v>57</v>
      </c>
      <c r="G388" s="3">
        <f t="shared" si="41"/>
        <v>2</v>
      </c>
      <c r="H388" s="3">
        <f t="shared" si="35"/>
        <v>50.45</v>
      </c>
      <c r="I388" s="3">
        <f t="shared" si="36"/>
        <v>93.345073349199026</v>
      </c>
      <c r="J388" s="3">
        <f t="shared" si="37"/>
        <v>52.691964941569282</v>
      </c>
      <c r="K388" s="3">
        <f t="shared" si="38"/>
        <v>16.128547579298832</v>
      </c>
      <c r="L388" s="12" t="str">
        <f t="shared" si="39"/>
        <v/>
      </c>
      <c r="M388" s="12" t="str">
        <f t="shared" si="40"/>
        <v/>
      </c>
    </row>
    <row r="389" spans="1:13" ht="31.5">
      <c r="A389" s="3">
        <v>380</v>
      </c>
      <c r="B389" s="11" t="s">
        <v>372</v>
      </c>
      <c r="C389" s="3">
        <v>2</v>
      </c>
      <c r="D389" s="3">
        <v>21</v>
      </c>
      <c r="E389" s="11" t="s">
        <v>452</v>
      </c>
      <c r="F389" s="3">
        <v>52</v>
      </c>
      <c r="G389" s="3">
        <f t="shared" si="41"/>
        <v>5</v>
      </c>
      <c r="H389" s="3">
        <f t="shared" si="35"/>
        <v>50.45</v>
      </c>
      <c r="I389" s="3">
        <f t="shared" si="36"/>
        <v>93.345073349199026</v>
      </c>
      <c r="J389" s="3">
        <f t="shared" si="37"/>
        <v>52.691964941569282</v>
      </c>
      <c r="K389" s="3">
        <f t="shared" si="38"/>
        <v>16.128547579298832</v>
      </c>
      <c r="L389" s="12" t="str">
        <f t="shared" si="39"/>
        <v/>
      </c>
      <c r="M389" s="12" t="str">
        <f t="shared" si="40"/>
        <v/>
      </c>
    </row>
    <row r="390" spans="1:13" ht="31.5">
      <c r="A390" s="3">
        <v>381</v>
      </c>
      <c r="B390" s="11" t="s">
        <v>372</v>
      </c>
      <c r="C390" s="3">
        <v>2</v>
      </c>
      <c r="D390" s="3">
        <v>20</v>
      </c>
      <c r="E390" s="11" t="s">
        <v>453</v>
      </c>
      <c r="F390" s="3">
        <v>60</v>
      </c>
      <c r="G390" s="3">
        <f t="shared" si="41"/>
        <v>8</v>
      </c>
      <c r="H390" s="3">
        <f t="shared" si="35"/>
        <v>50.45</v>
      </c>
      <c r="I390" s="3">
        <f t="shared" si="36"/>
        <v>93.345073349199026</v>
      </c>
      <c r="J390" s="3">
        <f t="shared" si="37"/>
        <v>52.691964941569282</v>
      </c>
      <c r="K390" s="3">
        <f t="shared" si="38"/>
        <v>16.128547579298832</v>
      </c>
      <c r="L390" s="12" t="str">
        <f t="shared" si="39"/>
        <v/>
      </c>
      <c r="M390" s="12" t="str">
        <f t="shared" si="40"/>
        <v/>
      </c>
    </row>
    <row r="391" spans="1:13" ht="31.5">
      <c r="A391" s="3">
        <v>382</v>
      </c>
      <c r="B391" s="11" t="s">
        <v>372</v>
      </c>
      <c r="C391" s="3">
        <v>2</v>
      </c>
      <c r="D391" s="3">
        <v>19</v>
      </c>
      <c r="E391" s="11" t="s">
        <v>454</v>
      </c>
      <c r="F391" s="3">
        <v>65</v>
      </c>
      <c r="G391" s="3">
        <f t="shared" si="41"/>
        <v>5</v>
      </c>
      <c r="H391" s="3">
        <f t="shared" si="35"/>
        <v>50.45</v>
      </c>
      <c r="I391" s="3">
        <f t="shared" si="36"/>
        <v>93.345073349199026</v>
      </c>
      <c r="J391" s="3">
        <f t="shared" si="37"/>
        <v>52.691964941569282</v>
      </c>
      <c r="K391" s="3">
        <f t="shared" si="38"/>
        <v>16.128547579298832</v>
      </c>
      <c r="L391" s="12" t="str">
        <f t="shared" si="39"/>
        <v/>
      </c>
      <c r="M391" s="12" t="str">
        <f t="shared" si="40"/>
        <v/>
      </c>
    </row>
    <row r="392" spans="1:13" ht="31.5">
      <c r="A392" s="3">
        <v>383</v>
      </c>
      <c r="B392" s="11" t="s">
        <v>372</v>
      </c>
      <c r="C392" s="3">
        <v>2</v>
      </c>
      <c r="D392" s="3">
        <v>18</v>
      </c>
      <c r="E392" s="11" t="s">
        <v>455</v>
      </c>
      <c r="F392" s="3">
        <v>65</v>
      </c>
      <c r="G392" s="3">
        <f t="shared" si="41"/>
        <v>0</v>
      </c>
      <c r="H392" s="3">
        <f t="shared" si="35"/>
        <v>50.45</v>
      </c>
      <c r="I392" s="3">
        <f t="shared" si="36"/>
        <v>93.345073349199026</v>
      </c>
      <c r="J392" s="3">
        <f t="shared" si="37"/>
        <v>52.691964941569282</v>
      </c>
      <c r="K392" s="3">
        <f t="shared" si="38"/>
        <v>16.128547579298832</v>
      </c>
      <c r="L392" s="12" t="str">
        <f t="shared" si="39"/>
        <v/>
      </c>
      <c r="M392" s="12" t="str">
        <f t="shared" si="40"/>
        <v/>
      </c>
    </row>
    <row r="393" spans="1:13" ht="31.5">
      <c r="A393" s="3">
        <v>384</v>
      </c>
      <c r="B393" s="11" t="s">
        <v>372</v>
      </c>
      <c r="C393" s="3">
        <v>2</v>
      </c>
      <c r="D393" s="3">
        <v>17</v>
      </c>
      <c r="E393" s="11" t="s">
        <v>456</v>
      </c>
      <c r="F393" s="3">
        <v>84</v>
      </c>
      <c r="G393" s="3">
        <f t="shared" si="41"/>
        <v>19</v>
      </c>
      <c r="H393" s="3">
        <f t="shared" si="35"/>
        <v>50.45</v>
      </c>
      <c r="I393" s="3">
        <f t="shared" si="36"/>
        <v>93.345073349199026</v>
      </c>
      <c r="J393" s="3">
        <f t="shared" si="37"/>
        <v>52.691964941569282</v>
      </c>
      <c r="K393" s="3">
        <f t="shared" si="38"/>
        <v>16.128547579298832</v>
      </c>
      <c r="L393" s="12" t="str">
        <f t="shared" si="39"/>
        <v/>
      </c>
      <c r="M393" s="12" t="str">
        <f t="shared" si="40"/>
        <v/>
      </c>
    </row>
    <row r="394" spans="1:13" ht="31.5">
      <c r="A394" s="3">
        <v>385</v>
      </c>
      <c r="B394" s="11" t="s">
        <v>372</v>
      </c>
      <c r="C394" s="3">
        <v>2</v>
      </c>
      <c r="D394" s="3">
        <v>16</v>
      </c>
      <c r="E394" s="11" t="s">
        <v>457</v>
      </c>
      <c r="F394" s="3">
        <v>100</v>
      </c>
      <c r="G394" s="3">
        <f t="shared" si="41"/>
        <v>16</v>
      </c>
      <c r="H394" s="3">
        <f t="shared" ref="H394:H457" si="42">$Q$3</f>
        <v>50.45</v>
      </c>
      <c r="I394" s="3">
        <f t="shared" ref="I394:I457" si="43">$Q$6</f>
        <v>93.345073349199026</v>
      </c>
      <c r="J394" s="3">
        <f t="shared" ref="J394:J457" si="44">$Q$7</f>
        <v>52.691964941569282</v>
      </c>
      <c r="K394" s="3">
        <f t="shared" ref="K394:K457" si="45">$Q$4</f>
        <v>16.128547579298832</v>
      </c>
      <c r="L394" s="12" t="str">
        <f t="shared" ref="L394:L457" si="46">IF(F394&gt;$Q$6,"OOC","" )</f>
        <v>OOC</v>
      </c>
      <c r="M394" s="12" t="str">
        <f t="shared" ref="M394:M457" si="47">IF(F394&gt;$B$3,"OOS","" )</f>
        <v/>
      </c>
    </row>
    <row r="395" spans="1:13" ht="31.5">
      <c r="A395" s="3">
        <v>386</v>
      </c>
      <c r="B395" s="11" t="s">
        <v>372</v>
      </c>
      <c r="C395" s="3">
        <v>2</v>
      </c>
      <c r="D395" s="3">
        <v>15</v>
      </c>
      <c r="E395" s="11" t="s">
        <v>458</v>
      </c>
      <c r="F395" s="3">
        <v>78</v>
      </c>
      <c r="G395" s="3">
        <f t="shared" ref="G395:G458" si="48">ABS(F395-F394)</f>
        <v>22</v>
      </c>
      <c r="H395" s="3">
        <f t="shared" si="42"/>
        <v>50.45</v>
      </c>
      <c r="I395" s="3">
        <f t="shared" si="43"/>
        <v>93.345073349199026</v>
      </c>
      <c r="J395" s="3">
        <f t="shared" si="44"/>
        <v>52.691964941569282</v>
      </c>
      <c r="K395" s="3">
        <f t="shared" si="45"/>
        <v>16.128547579298832</v>
      </c>
      <c r="L395" s="12" t="str">
        <f t="shared" si="46"/>
        <v/>
      </c>
      <c r="M395" s="12" t="str">
        <f t="shared" si="47"/>
        <v/>
      </c>
    </row>
    <row r="396" spans="1:13" ht="31.5">
      <c r="A396" s="3">
        <v>387</v>
      </c>
      <c r="B396" s="11" t="s">
        <v>372</v>
      </c>
      <c r="C396" s="3">
        <v>2</v>
      </c>
      <c r="D396" s="3">
        <v>14</v>
      </c>
      <c r="E396" s="11" t="s">
        <v>459</v>
      </c>
      <c r="F396" s="3">
        <v>90</v>
      </c>
      <c r="G396" s="3">
        <f t="shared" si="48"/>
        <v>12</v>
      </c>
      <c r="H396" s="3">
        <f t="shared" si="42"/>
        <v>50.45</v>
      </c>
      <c r="I396" s="3">
        <f t="shared" si="43"/>
        <v>93.345073349199026</v>
      </c>
      <c r="J396" s="3">
        <f t="shared" si="44"/>
        <v>52.691964941569282</v>
      </c>
      <c r="K396" s="3">
        <f t="shared" si="45"/>
        <v>16.128547579298832</v>
      </c>
      <c r="L396" s="12" t="str">
        <f t="shared" si="46"/>
        <v/>
      </c>
      <c r="M396" s="12" t="str">
        <f t="shared" si="47"/>
        <v/>
      </c>
    </row>
    <row r="397" spans="1:13" ht="31.5">
      <c r="A397" s="3">
        <v>388</v>
      </c>
      <c r="B397" s="11" t="s">
        <v>372</v>
      </c>
      <c r="C397" s="3">
        <v>2</v>
      </c>
      <c r="D397" s="3">
        <v>13</v>
      </c>
      <c r="E397" s="11" t="s">
        <v>460</v>
      </c>
      <c r="F397" s="3">
        <v>110</v>
      </c>
      <c r="G397" s="3">
        <f t="shared" si="48"/>
        <v>20</v>
      </c>
      <c r="H397" s="3">
        <f t="shared" si="42"/>
        <v>50.45</v>
      </c>
      <c r="I397" s="3">
        <f t="shared" si="43"/>
        <v>93.345073349199026</v>
      </c>
      <c r="J397" s="3">
        <f t="shared" si="44"/>
        <v>52.691964941569282</v>
      </c>
      <c r="K397" s="3">
        <f t="shared" si="45"/>
        <v>16.128547579298832</v>
      </c>
      <c r="L397" s="12" t="str">
        <f t="shared" si="46"/>
        <v>OOC</v>
      </c>
      <c r="M397" s="12" t="str">
        <f t="shared" si="47"/>
        <v/>
      </c>
    </row>
    <row r="398" spans="1:13" ht="31.5">
      <c r="A398" s="3">
        <v>389</v>
      </c>
      <c r="B398" s="11" t="s">
        <v>372</v>
      </c>
      <c r="C398" s="3">
        <v>2</v>
      </c>
      <c r="D398" s="3">
        <v>12</v>
      </c>
      <c r="E398" s="11" t="s">
        <v>461</v>
      </c>
      <c r="F398" s="3">
        <v>32</v>
      </c>
      <c r="G398" s="3">
        <f t="shared" si="48"/>
        <v>78</v>
      </c>
      <c r="H398" s="3">
        <f t="shared" si="42"/>
        <v>50.45</v>
      </c>
      <c r="I398" s="3">
        <f t="shared" si="43"/>
        <v>93.345073349199026</v>
      </c>
      <c r="J398" s="3">
        <f t="shared" si="44"/>
        <v>52.691964941569282</v>
      </c>
      <c r="K398" s="3">
        <f t="shared" si="45"/>
        <v>16.128547579298832</v>
      </c>
      <c r="L398" s="12" t="str">
        <f t="shared" si="46"/>
        <v/>
      </c>
      <c r="M398" s="12" t="str">
        <f t="shared" si="47"/>
        <v/>
      </c>
    </row>
    <row r="399" spans="1:13" ht="31.5">
      <c r="A399" s="3">
        <v>390</v>
      </c>
      <c r="B399" s="11" t="s">
        <v>372</v>
      </c>
      <c r="C399" s="3">
        <v>2</v>
      </c>
      <c r="D399" s="3">
        <v>11</v>
      </c>
      <c r="E399" s="11" t="s">
        <v>462</v>
      </c>
      <c r="F399" s="3">
        <v>36</v>
      </c>
      <c r="G399" s="3">
        <f t="shared" si="48"/>
        <v>4</v>
      </c>
      <c r="H399" s="3">
        <f t="shared" si="42"/>
        <v>50.45</v>
      </c>
      <c r="I399" s="3">
        <f t="shared" si="43"/>
        <v>93.345073349199026</v>
      </c>
      <c r="J399" s="3">
        <f t="shared" si="44"/>
        <v>52.691964941569282</v>
      </c>
      <c r="K399" s="3">
        <f t="shared" si="45"/>
        <v>16.128547579298832</v>
      </c>
      <c r="L399" s="12" t="str">
        <f t="shared" si="46"/>
        <v/>
      </c>
      <c r="M399" s="12" t="str">
        <f t="shared" si="47"/>
        <v/>
      </c>
    </row>
    <row r="400" spans="1:13" ht="31.5">
      <c r="A400" s="3">
        <v>391</v>
      </c>
      <c r="B400" s="11" t="s">
        <v>372</v>
      </c>
      <c r="C400" s="3">
        <v>2</v>
      </c>
      <c r="D400" s="3">
        <v>10</v>
      </c>
      <c r="E400" s="11" t="s">
        <v>463</v>
      </c>
      <c r="F400" s="3">
        <v>60</v>
      </c>
      <c r="G400" s="3">
        <f t="shared" si="48"/>
        <v>24</v>
      </c>
      <c r="H400" s="3">
        <f t="shared" si="42"/>
        <v>50.45</v>
      </c>
      <c r="I400" s="3">
        <f t="shared" si="43"/>
        <v>93.345073349199026</v>
      </c>
      <c r="J400" s="3">
        <f t="shared" si="44"/>
        <v>52.691964941569282</v>
      </c>
      <c r="K400" s="3">
        <f t="shared" si="45"/>
        <v>16.128547579298832</v>
      </c>
      <c r="L400" s="12" t="str">
        <f t="shared" si="46"/>
        <v/>
      </c>
      <c r="M400" s="12" t="str">
        <f t="shared" si="47"/>
        <v/>
      </c>
    </row>
    <row r="401" spans="1:13" ht="31.5">
      <c r="A401" s="3">
        <v>392</v>
      </c>
      <c r="B401" s="11" t="s">
        <v>372</v>
      </c>
      <c r="C401" s="3">
        <v>2</v>
      </c>
      <c r="D401" s="3">
        <v>9</v>
      </c>
      <c r="E401" s="11" t="s">
        <v>464</v>
      </c>
      <c r="F401" s="3">
        <v>41</v>
      </c>
      <c r="G401" s="3">
        <f t="shared" si="48"/>
        <v>19</v>
      </c>
      <c r="H401" s="3">
        <f t="shared" si="42"/>
        <v>50.45</v>
      </c>
      <c r="I401" s="3">
        <f t="shared" si="43"/>
        <v>93.345073349199026</v>
      </c>
      <c r="J401" s="3">
        <f t="shared" si="44"/>
        <v>52.691964941569282</v>
      </c>
      <c r="K401" s="3">
        <f t="shared" si="45"/>
        <v>16.128547579298832</v>
      </c>
      <c r="L401" s="12" t="str">
        <f t="shared" si="46"/>
        <v/>
      </c>
      <c r="M401" s="12" t="str">
        <f t="shared" si="47"/>
        <v/>
      </c>
    </row>
    <row r="402" spans="1:13" ht="31.5">
      <c r="A402" s="3">
        <v>393</v>
      </c>
      <c r="B402" s="11" t="s">
        <v>372</v>
      </c>
      <c r="C402" s="3">
        <v>2</v>
      </c>
      <c r="D402" s="3">
        <v>8</v>
      </c>
      <c r="E402" s="11" t="s">
        <v>465</v>
      </c>
      <c r="F402" s="3">
        <v>31</v>
      </c>
      <c r="G402" s="3">
        <f t="shared" si="48"/>
        <v>10</v>
      </c>
      <c r="H402" s="3">
        <f t="shared" si="42"/>
        <v>50.45</v>
      </c>
      <c r="I402" s="3">
        <f t="shared" si="43"/>
        <v>93.345073349199026</v>
      </c>
      <c r="J402" s="3">
        <f t="shared" si="44"/>
        <v>52.691964941569282</v>
      </c>
      <c r="K402" s="3">
        <f t="shared" si="45"/>
        <v>16.128547579298832</v>
      </c>
      <c r="L402" s="12" t="str">
        <f t="shared" si="46"/>
        <v/>
      </c>
      <c r="M402" s="12" t="str">
        <f t="shared" si="47"/>
        <v/>
      </c>
    </row>
    <row r="403" spans="1:13" ht="31.5">
      <c r="A403" s="3">
        <v>394</v>
      </c>
      <c r="B403" s="11" t="s">
        <v>372</v>
      </c>
      <c r="C403" s="3">
        <v>2</v>
      </c>
      <c r="D403" s="3">
        <v>7</v>
      </c>
      <c r="E403" s="11" t="s">
        <v>466</v>
      </c>
      <c r="F403" s="3">
        <v>46</v>
      </c>
      <c r="G403" s="3">
        <f t="shared" si="48"/>
        <v>15</v>
      </c>
      <c r="H403" s="3">
        <f t="shared" si="42"/>
        <v>50.45</v>
      </c>
      <c r="I403" s="3">
        <f t="shared" si="43"/>
        <v>93.345073349199026</v>
      </c>
      <c r="J403" s="3">
        <f t="shared" si="44"/>
        <v>52.691964941569282</v>
      </c>
      <c r="K403" s="3">
        <f t="shared" si="45"/>
        <v>16.128547579298832</v>
      </c>
      <c r="L403" s="12" t="str">
        <f t="shared" si="46"/>
        <v/>
      </c>
      <c r="M403" s="12" t="str">
        <f t="shared" si="47"/>
        <v/>
      </c>
    </row>
    <row r="404" spans="1:13" ht="31.5">
      <c r="A404" s="3">
        <v>395</v>
      </c>
      <c r="B404" s="11" t="s">
        <v>372</v>
      </c>
      <c r="C404" s="3">
        <v>2</v>
      </c>
      <c r="D404" s="3">
        <v>6</v>
      </c>
      <c r="E404" s="11" t="s">
        <v>467</v>
      </c>
      <c r="F404" s="3">
        <v>56</v>
      </c>
      <c r="G404" s="3">
        <f t="shared" si="48"/>
        <v>10</v>
      </c>
      <c r="H404" s="3">
        <f t="shared" si="42"/>
        <v>50.45</v>
      </c>
      <c r="I404" s="3">
        <f t="shared" si="43"/>
        <v>93.345073349199026</v>
      </c>
      <c r="J404" s="3">
        <f t="shared" si="44"/>
        <v>52.691964941569282</v>
      </c>
      <c r="K404" s="3">
        <f t="shared" si="45"/>
        <v>16.128547579298832</v>
      </c>
      <c r="L404" s="12" t="str">
        <f t="shared" si="46"/>
        <v/>
      </c>
      <c r="M404" s="12" t="str">
        <f t="shared" si="47"/>
        <v/>
      </c>
    </row>
    <row r="405" spans="1:13" ht="31.5">
      <c r="A405" s="3">
        <v>396</v>
      </c>
      <c r="B405" s="11" t="s">
        <v>372</v>
      </c>
      <c r="C405" s="3">
        <v>2</v>
      </c>
      <c r="D405" s="3">
        <v>5</v>
      </c>
      <c r="E405" s="11" t="s">
        <v>468</v>
      </c>
      <c r="F405" s="3">
        <v>63</v>
      </c>
      <c r="G405" s="3">
        <f t="shared" si="48"/>
        <v>7</v>
      </c>
      <c r="H405" s="3">
        <f t="shared" si="42"/>
        <v>50.45</v>
      </c>
      <c r="I405" s="3">
        <f t="shared" si="43"/>
        <v>93.345073349199026</v>
      </c>
      <c r="J405" s="3">
        <f t="shared" si="44"/>
        <v>52.691964941569282</v>
      </c>
      <c r="K405" s="3">
        <f t="shared" si="45"/>
        <v>16.128547579298832</v>
      </c>
      <c r="L405" s="12" t="str">
        <f t="shared" si="46"/>
        <v/>
      </c>
      <c r="M405" s="12" t="str">
        <f t="shared" si="47"/>
        <v/>
      </c>
    </row>
    <row r="406" spans="1:13" ht="31.5">
      <c r="A406" s="3">
        <v>397</v>
      </c>
      <c r="B406" s="11" t="s">
        <v>372</v>
      </c>
      <c r="C406" s="3">
        <v>2</v>
      </c>
      <c r="D406" s="3">
        <v>4</v>
      </c>
      <c r="E406" s="11" t="s">
        <v>469</v>
      </c>
      <c r="F406" s="3">
        <v>53</v>
      </c>
      <c r="G406" s="3">
        <f t="shared" si="48"/>
        <v>10</v>
      </c>
      <c r="H406" s="3">
        <f t="shared" si="42"/>
        <v>50.45</v>
      </c>
      <c r="I406" s="3">
        <f t="shared" si="43"/>
        <v>93.345073349199026</v>
      </c>
      <c r="J406" s="3">
        <f t="shared" si="44"/>
        <v>52.691964941569282</v>
      </c>
      <c r="K406" s="3">
        <f t="shared" si="45"/>
        <v>16.128547579298832</v>
      </c>
      <c r="L406" s="12" t="str">
        <f t="shared" si="46"/>
        <v/>
      </c>
      <c r="M406" s="12" t="str">
        <f t="shared" si="47"/>
        <v/>
      </c>
    </row>
    <row r="407" spans="1:13" ht="31.5">
      <c r="A407" s="3">
        <v>398</v>
      </c>
      <c r="B407" s="11" t="s">
        <v>372</v>
      </c>
      <c r="C407" s="3">
        <v>2</v>
      </c>
      <c r="D407" s="3">
        <v>3</v>
      </c>
      <c r="E407" s="11" t="s">
        <v>470</v>
      </c>
      <c r="F407" s="3">
        <v>46</v>
      </c>
      <c r="G407" s="3">
        <f t="shared" si="48"/>
        <v>7</v>
      </c>
      <c r="H407" s="3">
        <f t="shared" si="42"/>
        <v>50.45</v>
      </c>
      <c r="I407" s="3">
        <f t="shared" si="43"/>
        <v>93.345073349199026</v>
      </c>
      <c r="J407" s="3">
        <f t="shared" si="44"/>
        <v>52.691964941569282</v>
      </c>
      <c r="K407" s="3">
        <f t="shared" si="45"/>
        <v>16.128547579298832</v>
      </c>
      <c r="L407" s="12" t="str">
        <f t="shared" si="46"/>
        <v/>
      </c>
      <c r="M407" s="12" t="str">
        <f t="shared" si="47"/>
        <v/>
      </c>
    </row>
    <row r="408" spans="1:13" ht="31.5">
      <c r="A408" s="3">
        <v>399</v>
      </c>
      <c r="B408" s="11" t="s">
        <v>372</v>
      </c>
      <c r="C408" s="3">
        <v>2</v>
      </c>
      <c r="D408" s="3">
        <v>2</v>
      </c>
      <c r="E408" s="11" t="s">
        <v>471</v>
      </c>
      <c r="F408" s="3">
        <v>59</v>
      </c>
      <c r="G408" s="3">
        <f t="shared" si="48"/>
        <v>13</v>
      </c>
      <c r="H408" s="3">
        <f t="shared" si="42"/>
        <v>50.45</v>
      </c>
      <c r="I408" s="3">
        <f t="shared" si="43"/>
        <v>93.345073349199026</v>
      </c>
      <c r="J408" s="3">
        <f t="shared" si="44"/>
        <v>52.691964941569282</v>
      </c>
      <c r="K408" s="3">
        <f t="shared" si="45"/>
        <v>16.128547579298832</v>
      </c>
      <c r="L408" s="12" t="str">
        <f t="shared" si="46"/>
        <v/>
      </c>
      <c r="M408" s="12" t="str">
        <f t="shared" si="47"/>
        <v/>
      </c>
    </row>
    <row r="409" spans="1:13" ht="31.5">
      <c r="A409" s="3">
        <v>400</v>
      </c>
      <c r="B409" s="11" t="s">
        <v>372</v>
      </c>
      <c r="C409" s="3">
        <v>2</v>
      </c>
      <c r="D409" s="3">
        <v>1</v>
      </c>
      <c r="E409" s="11" t="s">
        <v>472</v>
      </c>
      <c r="F409" s="3">
        <v>52</v>
      </c>
      <c r="G409" s="3">
        <f t="shared" si="48"/>
        <v>7</v>
      </c>
      <c r="H409" s="3">
        <f t="shared" si="42"/>
        <v>50.45</v>
      </c>
      <c r="I409" s="3">
        <f t="shared" si="43"/>
        <v>93.345073349199026</v>
      </c>
      <c r="J409" s="3">
        <f t="shared" si="44"/>
        <v>52.691964941569282</v>
      </c>
      <c r="K409" s="3">
        <f t="shared" si="45"/>
        <v>16.128547579298832</v>
      </c>
      <c r="L409" s="12" t="str">
        <f t="shared" si="46"/>
        <v/>
      </c>
      <c r="M409" s="12" t="str">
        <f t="shared" si="47"/>
        <v/>
      </c>
    </row>
    <row r="410" spans="1:13" ht="31.5">
      <c r="A410" s="3">
        <v>401</v>
      </c>
      <c r="B410" s="11" t="s">
        <v>372</v>
      </c>
      <c r="C410" s="3">
        <v>3</v>
      </c>
      <c r="D410" s="3">
        <v>25</v>
      </c>
      <c r="E410" s="11" t="s">
        <v>473</v>
      </c>
      <c r="F410" s="3">
        <v>63</v>
      </c>
      <c r="G410" s="3">
        <f t="shared" si="48"/>
        <v>11</v>
      </c>
      <c r="H410" s="3">
        <f t="shared" si="42"/>
        <v>50.45</v>
      </c>
      <c r="I410" s="3">
        <f t="shared" si="43"/>
        <v>93.345073349199026</v>
      </c>
      <c r="J410" s="3">
        <f t="shared" si="44"/>
        <v>52.691964941569282</v>
      </c>
      <c r="K410" s="3">
        <f t="shared" si="45"/>
        <v>16.128547579298832</v>
      </c>
      <c r="L410" s="12" t="str">
        <f t="shared" si="46"/>
        <v/>
      </c>
      <c r="M410" s="12" t="str">
        <f t="shared" si="47"/>
        <v/>
      </c>
    </row>
    <row r="411" spans="1:13" ht="31.5">
      <c r="A411" s="3">
        <v>402</v>
      </c>
      <c r="B411" s="11" t="s">
        <v>372</v>
      </c>
      <c r="C411" s="3">
        <v>3</v>
      </c>
      <c r="D411" s="3">
        <v>24</v>
      </c>
      <c r="E411" s="11" t="s">
        <v>474</v>
      </c>
      <c r="F411" s="3">
        <v>73</v>
      </c>
      <c r="G411" s="3">
        <f t="shared" si="48"/>
        <v>10</v>
      </c>
      <c r="H411" s="3">
        <f t="shared" si="42"/>
        <v>50.45</v>
      </c>
      <c r="I411" s="3">
        <f t="shared" si="43"/>
        <v>93.345073349199026</v>
      </c>
      <c r="J411" s="3">
        <f t="shared" si="44"/>
        <v>52.691964941569282</v>
      </c>
      <c r="K411" s="3">
        <f t="shared" si="45"/>
        <v>16.128547579298832</v>
      </c>
      <c r="L411" s="12" t="str">
        <f t="shared" si="46"/>
        <v/>
      </c>
      <c r="M411" s="12" t="str">
        <f t="shared" si="47"/>
        <v/>
      </c>
    </row>
    <row r="412" spans="1:13" ht="31.5">
      <c r="A412" s="3">
        <v>403</v>
      </c>
      <c r="B412" s="11" t="s">
        <v>372</v>
      </c>
      <c r="C412" s="3">
        <v>3</v>
      </c>
      <c r="D412" s="3">
        <v>23</v>
      </c>
      <c r="E412" s="11" t="s">
        <v>475</v>
      </c>
      <c r="F412" s="3">
        <v>67</v>
      </c>
      <c r="G412" s="3">
        <f t="shared" si="48"/>
        <v>6</v>
      </c>
      <c r="H412" s="3">
        <f t="shared" si="42"/>
        <v>50.45</v>
      </c>
      <c r="I412" s="3">
        <f t="shared" si="43"/>
        <v>93.345073349199026</v>
      </c>
      <c r="J412" s="3">
        <f t="shared" si="44"/>
        <v>52.691964941569282</v>
      </c>
      <c r="K412" s="3">
        <f t="shared" si="45"/>
        <v>16.128547579298832</v>
      </c>
      <c r="L412" s="12" t="str">
        <f t="shared" si="46"/>
        <v/>
      </c>
      <c r="M412" s="12" t="str">
        <f t="shared" si="47"/>
        <v/>
      </c>
    </row>
    <row r="413" spans="1:13" ht="31.5">
      <c r="A413" s="3">
        <v>404</v>
      </c>
      <c r="B413" s="11" t="s">
        <v>372</v>
      </c>
      <c r="C413" s="3">
        <v>3</v>
      </c>
      <c r="D413" s="3">
        <v>22</v>
      </c>
      <c r="E413" s="11" t="s">
        <v>476</v>
      </c>
      <c r="F413" s="3">
        <v>47</v>
      </c>
      <c r="G413" s="3">
        <f t="shared" si="48"/>
        <v>20</v>
      </c>
      <c r="H413" s="3">
        <f t="shared" si="42"/>
        <v>50.45</v>
      </c>
      <c r="I413" s="3">
        <f t="shared" si="43"/>
        <v>93.345073349199026</v>
      </c>
      <c r="J413" s="3">
        <f t="shared" si="44"/>
        <v>52.691964941569282</v>
      </c>
      <c r="K413" s="3">
        <f t="shared" si="45"/>
        <v>16.128547579298832</v>
      </c>
      <c r="L413" s="12" t="str">
        <f t="shared" si="46"/>
        <v/>
      </c>
      <c r="M413" s="12" t="str">
        <f t="shared" si="47"/>
        <v/>
      </c>
    </row>
    <row r="414" spans="1:13" ht="31.5">
      <c r="A414" s="3">
        <v>405</v>
      </c>
      <c r="B414" s="11" t="s">
        <v>372</v>
      </c>
      <c r="C414" s="3">
        <v>3</v>
      </c>
      <c r="D414" s="3">
        <v>21</v>
      </c>
      <c r="E414" s="11" t="s">
        <v>477</v>
      </c>
      <c r="F414" s="3">
        <v>75</v>
      </c>
      <c r="G414" s="3">
        <f t="shared" si="48"/>
        <v>28</v>
      </c>
      <c r="H414" s="3">
        <f t="shared" si="42"/>
        <v>50.45</v>
      </c>
      <c r="I414" s="3">
        <f t="shared" si="43"/>
        <v>93.345073349199026</v>
      </c>
      <c r="J414" s="3">
        <f t="shared" si="44"/>
        <v>52.691964941569282</v>
      </c>
      <c r="K414" s="3">
        <f t="shared" si="45"/>
        <v>16.128547579298832</v>
      </c>
      <c r="L414" s="12" t="str">
        <f t="shared" si="46"/>
        <v/>
      </c>
      <c r="M414" s="12" t="str">
        <f t="shared" si="47"/>
        <v/>
      </c>
    </row>
    <row r="415" spans="1:13" ht="31.5">
      <c r="A415" s="3">
        <v>406</v>
      </c>
      <c r="B415" s="11" t="s">
        <v>372</v>
      </c>
      <c r="C415" s="3">
        <v>3</v>
      </c>
      <c r="D415" s="3">
        <v>20</v>
      </c>
      <c r="E415" s="11" t="s">
        <v>478</v>
      </c>
      <c r="F415" s="3">
        <v>86</v>
      </c>
      <c r="G415" s="3">
        <f t="shared" si="48"/>
        <v>11</v>
      </c>
      <c r="H415" s="3">
        <f t="shared" si="42"/>
        <v>50.45</v>
      </c>
      <c r="I415" s="3">
        <f t="shared" si="43"/>
        <v>93.345073349199026</v>
      </c>
      <c r="J415" s="3">
        <f t="shared" si="44"/>
        <v>52.691964941569282</v>
      </c>
      <c r="K415" s="3">
        <f t="shared" si="45"/>
        <v>16.128547579298832</v>
      </c>
      <c r="L415" s="12" t="str">
        <f t="shared" si="46"/>
        <v/>
      </c>
      <c r="M415" s="12" t="str">
        <f t="shared" si="47"/>
        <v/>
      </c>
    </row>
    <row r="416" spans="1:13" ht="31.5">
      <c r="A416" s="3">
        <v>407</v>
      </c>
      <c r="B416" s="11" t="s">
        <v>372</v>
      </c>
      <c r="C416" s="3">
        <v>3</v>
      </c>
      <c r="D416" s="3">
        <v>19</v>
      </c>
      <c r="E416" s="11" t="s">
        <v>479</v>
      </c>
      <c r="F416" s="3">
        <v>14</v>
      </c>
      <c r="G416" s="3">
        <f t="shared" si="48"/>
        <v>72</v>
      </c>
      <c r="H416" s="3">
        <f t="shared" si="42"/>
        <v>50.45</v>
      </c>
      <c r="I416" s="3">
        <f t="shared" si="43"/>
        <v>93.345073349199026</v>
      </c>
      <c r="J416" s="3">
        <f t="shared" si="44"/>
        <v>52.691964941569282</v>
      </c>
      <c r="K416" s="3">
        <f t="shared" si="45"/>
        <v>16.128547579298832</v>
      </c>
      <c r="L416" s="12" t="str">
        <f t="shared" si="46"/>
        <v/>
      </c>
      <c r="M416" s="12" t="str">
        <f t="shared" si="47"/>
        <v/>
      </c>
    </row>
    <row r="417" spans="1:13" ht="31.5">
      <c r="A417" s="3">
        <v>408</v>
      </c>
      <c r="B417" s="11" t="s">
        <v>372</v>
      </c>
      <c r="C417" s="3">
        <v>3</v>
      </c>
      <c r="D417" s="3">
        <v>18</v>
      </c>
      <c r="E417" s="11" t="s">
        <v>480</v>
      </c>
      <c r="F417" s="3">
        <v>19</v>
      </c>
      <c r="G417" s="3">
        <f t="shared" si="48"/>
        <v>5</v>
      </c>
      <c r="H417" s="3">
        <f t="shared" si="42"/>
        <v>50.45</v>
      </c>
      <c r="I417" s="3">
        <f t="shared" si="43"/>
        <v>93.345073349199026</v>
      </c>
      <c r="J417" s="3">
        <f t="shared" si="44"/>
        <v>52.691964941569282</v>
      </c>
      <c r="K417" s="3">
        <f t="shared" si="45"/>
        <v>16.128547579298832</v>
      </c>
      <c r="L417" s="12" t="str">
        <f t="shared" si="46"/>
        <v/>
      </c>
      <c r="M417" s="12" t="str">
        <f t="shared" si="47"/>
        <v/>
      </c>
    </row>
    <row r="418" spans="1:13" ht="31.5">
      <c r="A418" s="3">
        <v>409</v>
      </c>
      <c r="B418" s="11" t="s">
        <v>372</v>
      </c>
      <c r="C418" s="3">
        <v>3</v>
      </c>
      <c r="D418" s="3">
        <v>17</v>
      </c>
      <c r="E418" s="11" t="s">
        <v>481</v>
      </c>
      <c r="F418" s="3">
        <v>28</v>
      </c>
      <c r="G418" s="3">
        <f t="shared" si="48"/>
        <v>9</v>
      </c>
      <c r="H418" s="3">
        <f t="shared" si="42"/>
        <v>50.45</v>
      </c>
      <c r="I418" s="3">
        <f t="shared" si="43"/>
        <v>93.345073349199026</v>
      </c>
      <c r="J418" s="3">
        <f t="shared" si="44"/>
        <v>52.691964941569282</v>
      </c>
      <c r="K418" s="3">
        <f t="shared" si="45"/>
        <v>16.128547579298832</v>
      </c>
      <c r="L418" s="12" t="str">
        <f t="shared" si="46"/>
        <v/>
      </c>
      <c r="M418" s="12" t="str">
        <f t="shared" si="47"/>
        <v/>
      </c>
    </row>
    <row r="419" spans="1:13" ht="31.5">
      <c r="A419" s="3">
        <v>410</v>
      </c>
      <c r="B419" s="11" t="s">
        <v>372</v>
      </c>
      <c r="C419" s="3">
        <v>3</v>
      </c>
      <c r="D419" s="3">
        <v>16</v>
      </c>
      <c r="E419" s="11" t="s">
        <v>482</v>
      </c>
      <c r="F419" s="3">
        <v>23</v>
      </c>
      <c r="G419" s="3">
        <f t="shared" si="48"/>
        <v>5</v>
      </c>
      <c r="H419" s="3">
        <f t="shared" si="42"/>
        <v>50.45</v>
      </c>
      <c r="I419" s="3">
        <f t="shared" si="43"/>
        <v>93.345073349199026</v>
      </c>
      <c r="J419" s="3">
        <f t="shared" si="44"/>
        <v>52.691964941569282</v>
      </c>
      <c r="K419" s="3">
        <f t="shared" si="45"/>
        <v>16.128547579298832</v>
      </c>
      <c r="L419" s="12" t="str">
        <f t="shared" si="46"/>
        <v/>
      </c>
      <c r="M419" s="12" t="str">
        <f t="shared" si="47"/>
        <v/>
      </c>
    </row>
    <row r="420" spans="1:13" ht="31.5">
      <c r="A420" s="3">
        <v>411</v>
      </c>
      <c r="B420" s="11" t="s">
        <v>372</v>
      </c>
      <c r="C420" s="3">
        <v>3</v>
      </c>
      <c r="D420" s="3">
        <v>15</v>
      </c>
      <c r="E420" s="11" t="s">
        <v>483</v>
      </c>
      <c r="F420" s="3">
        <v>31</v>
      </c>
      <c r="G420" s="3">
        <f t="shared" si="48"/>
        <v>8</v>
      </c>
      <c r="H420" s="3">
        <f t="shared" si="42"/>
        <v>50.45</v>
      </c>
      <c r="I420" s="3">
        <f t="shared" si="43"/>
        <v>93.345073349199026</v>
      </c>
      <c r="J420" s="3">
        <f t="shared" si="44"/>
        <v>52.691964941569282</v>
      </c>
      <c r="K420" s="3">
        <f t="shared" si="45"/>
        <v>16.128547579298832</v>
      </c>
      <c r="L420" s="12" t="str">
        <f t="shared" si="46"/>
        <v/>
      </c>
      <c r="M420" s="12" t="str">
        <f t="shared" si="47"/>
        <v/>
      </c>
    </row>
    <row r="421" spans="1:13" ht="31.5">
      <c r="A421" s="3">
        <v>412</v>
      </c>
      <c r="B421" s="11" t="s">
        <v>372</v>
      </c>
      <c r="C421" s="3">
        <v>3</v>
      </c>
      <c r="D421" s="3">
        <v>14</v>
      </c>
      <c r="E421" s="11" t="s">
        <v>484</v>
      </c>
      <c r="F421" s="3">
        <v>38</v>
      </c>
      <c r="G421" s="3">
        <f t="shared" si="48"/>
        <v>7</v>
      </c>
      <c r="H421" s="3">
        <f t="shared" si="42"/>
        <v>50.45</v>
      </c>
      <c r="I421" s="3">
        <f t="shared" si="43"/>
        <v>93.345073349199026</v>
      </c>
      <c r="J421" s="3">
        <f t="shared" si="44"/>
        <v>52.691964941569282</v>
      </c>
      <c r="K421" s="3">
        <f t="shared" si="45"/>
        <v>16.128547579298832</v>
      </c>
      <c r="L421" s="12" t="str">
        <f t="shared" si="46"/>
        <v/>
      </c>
      <c r="M421" s="12" t="str">
        <f t="shared" si="47"/>
        <v/>
      </c>
    </row>
    <row r="422" spans="1:13" ht="31.5">
      <c r="A422" s="3">
        <v>413</v>
      </c>
      <c r="B422" s="11" t="s">
        <v>372</v>
      </c>
      <c r="C422" s="3">
        <v>3</v>
      </c>
      <c r="D422" s="3">
        <v>13</v>
      </c>
      <c r="E422" s="11" t="s">
        <v>485</v>
      </c>
      <c r="F422" s="3">
        <v>34</v>
      </c>
      <c r="G422" s="3">
        <f t="shared" si="48"/>
        <v>4</v>
      </c>
      <c r="H422" s="3">
        <f t="shared" si="42"/>
        <v>50.45</v>
      </c>
      <c r="I422" s="3">
        <f t="shared" si="43"/>
        <v>93.345073349199026</v>
      </c>
      <c r="J422" s="3">
        <f t="shared" si="44"/>
        <v>52.691964941569282</v>
      </c>
      <c r="K422" s="3">
        <f t="shared" si="45"/>
        <v>16.128547579298832</v>
      </c>
      <c r="L422" s="12" t="str">
        <f t="shared" si="46"/>
        <v/>
      </c>
      <c r="M422" s="12" t="str">
        <f t="shared" si="47"/>
        <v/>
      </c>
    </row>
    <row r="423" spans="1:13" ht="31.5">
      <c r="A423" s="3">
        <v>414</v>
      </c>
      <c r="B423" s="11" t="s">
        <v>372</v>
      </c>
      <c r="C423" s="3">
        <v>3</v>
      </c>
      <c r="D423" s="3">
        <v>12</v>
      </c>
      <c r="E423" s="11" t="s">
        <v>486</v>
      </c>
      <c r="F423" s="3">
        <v>54</v>
      </c>
      <c r="G423" s="3">
        <f t="shared" si="48"/>
        <v>20</v>
      </c>
      <c r="H423" s="3">
        <f t="shared" si="42"/>
        <v>50.45</v>
      </c>
      <c r="I423" s="3">
        <f t="shared" si="43"/>
        <v>93.345073349199026</v>
      </c>
      <c r="J423" s="3">
        <f t="shared" si="44"/>
        <v>52.691964941569282</v>
      </c>
      <c r="K423" s="3">
        <f t="shared" si="45"/>
        <v>16.128547579298832</v>
      </c>
      <c r="L423" s="12" t="str">
        <f t="shared" si="46"/>
        <v/>
      </c>
      <c r="M423" s="12" t="str">
        <f t="shared" si="47"/>
        <v/>
      </c>
    </row>
    <row r="424" spans="1:13" ht="31.5">
      <c r="A424" s="3">
        <v>415</v>
      </c>
      <c r="B424" s="11" t="s">
        <v>372</v>
      </c>
      <c r="C424" s="3">
        <v>3</v>
      </c>
      <c r="D424" s="3">
        <v>11</v>
      </c>
      <c r="E424" s="11" t="s">
        <v>487</v>
      </c>
      <c r="F424" s="3">
        <v>68</v>
      </c>
      <c r="G424" s="3">
        <f t="shared" si="48"/>
        <v>14</v>
      </c>
      <c r="H424" s="3">
        <f t="shared" si="42"/>
        <v>50.45</v>
      </c>
      <c r="I424" s="3">
        <f t="shared" si="43"/>
        <v>93.345073349199026</v>
      </c>
      <c r="J424" s="3">
        <f t="shared" si="44"/>
        <v>52.691964941569282</v>
      </c>
      <c r="K424" s="3">
        <f t="shared" si="45"/>
        <v>16.128547579298832</v>
      </c>
      <c r="L424" s="12" t="str">
        <f t="shared" si="46"/>
        <v/>
      </c>
      <c r="M424" s="12" t="str">
        <f t="shared" si="47"/>
        <v/>
      </c>
    </row>
    <row r="425" spans="1:13" ht="31.5">
      <c r="A425" s="3">
        <v>416</v>
      </c>
      <c r="B425" s="11" t="s">
        <v>372</v>
      </c>
      <c r="C425" s="3">
        <v>3</v>
      </c>
      <c r="D425" s="3">
        <v>10</v>
      </c>
      <c r="E425" s="11" t="s">
        <v>488</v>
      </c>
      <c r="F425" s="3">
        <v>47</v>
      </c>
      <c r="G425" s="3">
        <f t="shared" si="48"/>
        <v>21</v>
      </c>
      <c r="H425" s="3">
        <f t="shared" si="42"/>
        <v>50.45</v>
      </c>
      <c r="I425" s="3">
        <f t="shared" si="43"/>
        <v>93.345073349199026</v>
      </c>
      <c r="J425" s="3">
        <f t="shared" si="44"/>
        <v>52.691964941569282</v>
      </c>
      <c r="K425" s="3">
        <f t="shared" si="45"/>
        <v>16.128547579298832</v>
      </c>
      <c r="L425" s="12" t="str">
        <f t="shared" si="46"/>
        <v/>
      </c>
      <c r="M425" s="12" t="str">
        <f t="shared" si="47"/>
        <v/>
      </c>
    </row>
    <row r="426" spans="1:13" ht="31.5">
      <c r="A426" s="3">
        <v>417</v>
      </c>
      <c r="B426" s="11" t="s">
        <v>372</v>
      </c>
      <c r="C426" s="3">
        <v>3</v>
      </c>
      <c r="D426" s="3">
        <v>9</v>
      </c>
      <c r="E426" s="11" t="s">
        <v>489</v>
      </c>
      <c r="F426" s="3">
        <v>39</v>
      </c>
      <c r="G426" s="3">
        <f t="shared" si="48"/>
        <v>8</v>
      </c>
      <c r="H426" s="3">
        <f t="shared" si="42"/>
        <v>50.45</v>
      </c>
      <c r="I426" s="3">
        <f t="shared" si="43"/>
        <v>93.345073349199026</v>
      </c>
      <c r="J426" s="3">
        <f t="shared" si="44"/>
        <v>52.691964941569282</v>
      </c>
      <c r="K426" s="3">
        <f t="shared" si="45"/>
        <v>16.128547579298832</v>
      </c>
      <c r="L426" s="12" t="str">
        <f t="shared" si="46"/>
        <v/>
      </c>
      <c r="M426" s="12" t="str">
        <f t="shared" si="47"/>
        <v/>
      </c>
    </row>
    <row r="427" spans="1:13" ht="31.5">
      <c r="A427" s="3">
        <v>418</v>
      </c>
      <c r="B427" s="11" t="s">
        <v>372</v>
      </c>
      <c r="C427" s="3">
        <v>3</v>
      </c>
      <c r="D427" s="3">
        <v>8</v>
      </c>
      <c r="E427" s="11" t="s">
        <v>490</v>
      </c>
      <c r="F427" s="3">
        <v>48</v>
      </c>
      <c r="G427" s="3">
        <f t="shared" si="48"/>
        <v>9</v>
      </c>
      <c r="H427" s="3">
        <f t="shared" si="42"/>
        <v>50.45</v>
      </c>
      <c r="I427" s="3">
        <f t="shared" si="43"/>
        <v>93.345073349199026</v>
      </c>
      <c r="J427" s="3">
        <f t="shared" si="44"/>
        <v>52.691964941569282</v>
      </c>
      <c r="K427" s="3">
        <f t="shared" si="45"/>
        <v>16.128547579298832</v>
      </c>
      <c r="L427" s="12" t="str">
        <f t="shared" si="46"/>
        <v/>
      </c>
      <c r="M427" s="12" t="str">
        <f t="shared" si="47"/>
        <v/>
      </c>
    </row>
    <row r="428" spans="1:13" ht="31.5">
      <c r="A428" s="3">
        <v>419</v>
      </c>
      <c r="B428" s="11" t="s">
        <v>372</v>
      </c>
      <c r="C428" s="3">
        <v>3</v>
      </c>
      <c r="D428" s="3">
        <v>7</v>
      </c>
      <c r="E428" s="11" t="s">
        <v>491</v>
      </c>
      <c r="F428" s="3">
        <v>75</v>
      </c>
      <c r="G428" s="3">
        <f t="shared" si="48"/>
        <v>27</v>
      </c>
      <c r="H428" s="3">
        <f t="shared" si="42"/>
        <v>50.45</v>
      </c>
      <c r="I428" s="3">
        <f t="shared" si="43"/>
        <v>93.345073349199026</v>
      </c>
      <c r="J428" s="3">
        <f t="shared" si="44"/>
        <v>52.691964941569282</v>
      </c>
      <c r="K428" s="3">
        <f t="shared" si="45"/>
        <v>16.128547579298832</v>
      </c>
      <c r="L428" s="12" t="str">
        <f t="shared" si="46"/>
        <v/>
      </c>
      <c r="M428" s="12" t="str">
        <f t="shared" si="47"/>
        <v/>
      </c>
    </row>
    <row r="429" spans="1:13" ht="31.5">
      <c r="A429" s="3">
        <v>420</v>
      </c>
      <c r="B429" s="11" t="s">
        <v>372</v>
      </c>
      <c r="C429" s="3">
        <v>3</v>
      </c>
      <c r="D429" s="3">
        <v>6</v>
      </c>
      <c r="E429" s="11" t="s">
        <v>492</v>
      </c>
      <c r="F429" s="3">
        <v>72</v>
      </c>
      <c r="G429" s="3">
        <f t="shared" si="48"/>
        <v>3</v>
      </c>
      <c r="H429" s="3">
        <f t="shared" si="42"/>
        <v>50.45</v>
      </c>
      <c r="I429" s="3">
        <f t="shared" si="43"/>
        <v>93.345073349199026</v>
      </c>
      <c r="J429" s="3">
        <f t="shared" si="44"/>
        <v>52.691964941569282</v>
      </c>
      <c r="K429" s="3">
        <f t="shared" si="45"/>
        <v>16.128547579298832</v>
      </c>
      <c r="L429" s="12" t="str">
        <f t="shared" si="46"/>
        <v/>
      </c>
      <c r="M429" s="12" t="str">
        <f t="shared" si="47"/>
        <v/>
      </c>
    </row>
    <row r="430" spans="1:13" ht="31.5">
      <c r="A430" s="3">
        <v>421</v>
      </c>
      <c r="B430" s="11" t="s">
        <v>372</v>
      </c>
      <c r="C430" s="3">
        <v>3</v>
      </c>
      <c r="D430" s="3">
        <v>5</v>
      </c>
      <c r="E430" s="11" t="s">
        <v>493</v>
      </c>
      <c r="F430" s="3">
        <v>68</v>
      </c>
      <c r="G430" s="3">
        <f t="shared" si="48"/>
        <v>4</v>
      </c>
      <c r="H430" s="3">
        <f t="shared" si="42"/>
        <v>50.45</v>
      </c>
      <c r="I430" s="3">
        <f t="shared" si="43"/>
        <v>93.345073349199026</v>
      </c>
      <c r="J430" s="3">
        <f t="shared" si="44"/>
        <v>52.691964941569282</v>
      </c>
      <c r="K430" s="3">
        <f t="shared" si="45"/>
        <v>16.128547579298832</v>
      </c>
      <c r="L430" s="12" t="str">
        <f t="shared" si="46"/>
        <v/>
      </c>
      <c r="M430" s="12" t="str">
        <f t="shared" si="47"/>
        <v/>
      </c>
    </row>
    <row r="431" spans="1:13" ht="31.5">
      <c r="A431" s="3">
        <v>422</v>
      </c>
      <c r="B431" s="11" t="s">
        <v>372</v>
      </c>
      <c r="C431" s="3">
        <v>3</v>
      </c>
      <c r="D431" s="3">
        <v>4</v>
      </c>
      <c r="E431" s="11" t="s">
        <v>494</v>
      </c>
      <c r="F431" s="3">
        <v>61</v>
      </c>
      <c r="G431" s="3">
        <f t="shared" si="48"/>
        <v>7</v>
      </c>
      <c r="H431" s="3">
        <f t="shared" si="42"/>
        <v>50.45</v>
      </c>
      <c r="I431" s="3">
        <f t="shared" si="43"/>
        <v>93.345073349199026</v>
      </c>
      <c r="J431" s="3">
        <f t="shared" si="44"/>
        <v>52.691964941569282</v>
      </c>
      <c r="K431" s="3">
        <f t="shared" si="45"/>
        <v>16.128547579298832</v>
      </c>
      <c r="L431" s="12" t="str">
        <f t="shared" si="46"/>
        <v/>
      </c>
      <c r="M431" s="12" t="str">
        <f t="shared" si="47"/>
        <v/>
      </c>
    </row>
    <row r="432" spans="1:13" ht="31.5">
      <c r="A432" s="3">
        <v>423</v>
      </c>
      <c r="B432" s="11" t="s">
        <v>372</v>
      </c>
      <c r="C432" s="3">
        <v>3</v>
      </c>
      <c r="D432" s="3">
        <v>3</v>
      </c>
      <c r="E432" s="11" t="s">
        <v>495</v>
      </c>
      <c r="F432" s="3">
        <v>69</v>
      </c>
      <c r="G432" s="3">
        <f t="shared" si="48"/>
        <v>8</v>
      </c>
      <c r="H432" s="3">
        <f t="shared" si="42"/>
        <v>50.45</v>
      </c>
      <c r="I432" s="3">
        <f t="shared" si="43"/>
        <v>93.345073349199026</v>
      </c>
      <c r="J432" s="3">
        <f t="shared" si="44"/>
        <v>52.691964941569282</v>
      </c>
      <c r="K432" s="3">
        <f t="shared" si="45"/>
        <v>16.128547579298832</v>
      </c>
      <c r="L432" s="12" t="str">
        <f t="shared" si="46"/>
        <v/>
      </c>
      <c r="M432" s="12" t="str">
        <f t="shared" si="47"/>
        <v/>
      </c>
    </row>
    <row r="433" spans="1:13" ht="31.5">
      <c r="A433" s="3">
        <v>424</v>
      </c>
      <c r="B433" s="11" t="s">
        <v>372</v>
      </c>
      <c r="C433" s="3">
        <v>3</v>
      </c>
      <c r="D433" s="3">
        <v>2</v>
      </c>
      <c r="E433" s="11" t="s">
        <v>496</v>
      </c>
      <c r="F433" s="3">
        <v>67</v>
      </c>
      <c r="G433" s="3">
        <f t="shared" si="48"/>
        <v>2</v>
      </c>
      <c r="H433" s="3">
        <f t="shared" si="42"/>
        <v>50.45</v>
      </c>
      <c r="I433" s="3">
        <f t="shared" si="43"/>
        <v>93.345073349199026</v>
      </c>
      <c r="J433" s="3">
        <f t="shared" si="44"/>
        <v>52.691964941569282</v>
      </c>
      <c r="K433" s="3">
        <f t="shared" si="45"/>
        <v>16.128547579298832</v>
      </c>
      <c r="L433" s="12" t="str">
        <f t="shared" si="46"/>
        <v/>
      </c>
      <c r="M433" s="12" t="str">
        <f t="shared" si="47"/>
        <v/>
      </c>
    </row>
    <row r="434" spans="1:13" ht="31.5">
      <c r="A434" s="3">
        <v>425</v>
      </c>
      <c r="B434" s="11" t="s">
        <v>372</v>
      </c>
      <c r="C434" s="3">
        <v>3</v>
      </c>
      <c r="D434" s="3">
        <v>1</v>
      </c>
      <c r="E434" s="11" t="s">
        <v>497</v>
      </c>
      <c r="F434" s="3">
        <v>61</v>
      </c>
      <c r="G434" s="3">
        <f t="shared" si="48"/>
        <v>6</v>
      </c>
      <c r="H434" s="3">
        <f t="shared" si="42"/>
        <v>50.45</v>
      </c>
      <c r="I434" s="3">
        <f t="shared" si="43"/>
        <v>93.345073349199026</v>
      </c>
      <c r="J434" s="3">
        <f t="shared" si="44"/>
        <v>52.691964941569282</v>
      </c>
      <c r="K434" s="3">
        <f t="shared" si="45"/>
        <v>16.128547579298832</v>
      </c>
      <c r="L434" s="12" t="str">
        <f t="shared" si="46"/>
        <v/>
      </c>
      <c r="M434" s="12" t="str">
        <f t="shared" si="47"/>
        <v/>
      </c>
    </row>
    <row r="435" spans="1:13" ht="31.5">
      <c r="A435" s="3">
        <v>426</v>
      </c>
      <c r="B435" s="11" t="s">
        <v>372</v>
      </c>
      <c r="C435" s="3">
        <v>3</v>
      </c>
      <c r="D435" s="3">
        <v>25</v>
      </c>
      <c r="E435" s="11" t="s">
        <v>498</v>
      </c>
      <c r="F435" s="3">
        <v>53</v>
      </c>
      <c r="G435" s="3">
        <f t="shared" si="48"/>
        <v>8</v>
      </c>
      <c r="H435" s="3">
        <f t="shared" si="42"/>
        <v>50.45</v>
      </c>
      <c r="I435" s="3">
        <f t="shared" si="43"/>
        <v>93.345073349199026</v>
      </c>
      <c r="J435" s="3">
        <f t="shared" si="44"/>
        <v>52.691964941569282</v>
      </c>
      <c r="K435" s="3">
        <f t="shared" si="45"/>
        <v>16.128547579298832</v>
      </c>
      <c r="L435" s="12" t="str">
        <f t="shared" si="46"/>
        <v/>
      </c>
      <c r="M435" s="12" t="str">
        <f t="shared" si="47"/>
        <v/>
      </c>
    </row>
    <row r="436" spans="1:13" ht="31.5">
      <c r="A436" s="3">
        <v>427</v>
      </c>
      <c r="B436" s="11" t="s">
        <v>372</v>
      </c>
      <c r="C436" s="3">
        <v>3</v>
      </c>
      <c r="D436" s="3">
        <v>24</v>
      </c>
      <c r="E436" s="11" t="s">
        <v>499</v>
      </c>
      <c r="F436" s="3">
        <v>50</v>
      </c>
      <c r="G436" s="3">
        <f t="shared" si="48"/>
        <v>3</v>
      </c>
      <c r="H436" s="3">
        <f t="shared" si="42"/>
        <v>50.45</v>
      </c>
      <c r="I436" s="3">
        <f t="shared" si="43"/>
        <v>93.345073349199026</v>
      </c>
      <c r="J436" s="3">
        <f t="shared" si="44"/>
        <v>52.691964941569282</v>
      </c>
      <c r="K436" s="3">
        <f t="shared" si="45"/>
        <v>16.128547579298832</v>
      </c>
      <c r="L436" s="12" t="str">
        <f t="shared" si="46"/>
        <v/>
      </c>
      <c r="M436" s="12" t="str">
        <f t="shared" si="47"/>
        <v/>
      </c>
    </row>
    <row r="437" spans="1:13" ht="31.5">
      <c r="A437" s="3">
        <v>428</v>
      </c>
      <c r="B437" s="11" t="s">
        <v>372</v>
      </c>
      <c r="C437" s="3">
        <v>3</v>
      </c>
      <c r="D437" s="3">
        <v>23</v>
      </c>
      <c r="E437" s="11" t="s">
        <v>500</v>
      </c>
      <c r="F437" s="3">
        <v>96</v>
      </c>
      <c r="G437" s="3">
        <f t="shared" si="48"/>
        <v>46</v>
      </c>
      <c r="H437" s="3">
        <f t="shared" si="42"/>
        <v>50.45</v>
      </c>
      <c r="I437" s="3">
        <f t="shared" si="43"/>
        <v>93.345073349199026</v>
      </c>
      <c r="J437" s="3">
        <f t="shared" si="44"/>
        <v>52.691964941569282</v>
      </c>
      <c r="K437" s="3">
        <f t="shared" si="45"/>
        <v>16.128547579298832</v>
      </c>
      <c r="L437" s="12" t="str">
        <f t="shared" si="46"/>
        <v>OOC</v>
      </c>
      <c r="M437" s="12" t="str">
        <f t="shared" si="47"/>
        <v/>
      </c>
    </row>
    <row r="438" spans="1:13" ht="31.5">
      <c r="A438" s="3">
        <v>429</v>
      </c>
      <c r="B438" s="11" t="s">
        <v>372</v>
      </c>
      <c r="C438" s="3">
        <v>3</v>
      </c>
      <c r="D438" s="3">
        <v>22</v>
      </c>
      <c r="E438" s="11" t="s">
        <v>501</v>
      </c>
      <c r="F438" s="3">
        <v>79</v>
      </c>
      <c r="G438" s="3">
        <f t="shared" si="48"/>
        <v>17</v>
      </c>
      <c r="H438" s="3">
        <f t="shared" si="42"/>
        <v>50.45</v>
      </c>
      <c r="I438" s="3">
        <f t="shared" si="43"/>
        <v>93.345073349199026</v>
      </c>
      <c r="J438" s="3">
        <f t="shared" si="44"/>
        <v>52.691964941569282</v>
      </c>
      <c r="K438" s="3">
        <f t="shared" si="45"/>
        <v>16.128547579298832</v>
      </c>
      <c r="L438" s="12" t="str">
        <f t="shared" si="46"/>
        <v/>
      </c>
      <c r="M438" s="12" t="str">
        <f t="shared" si="47"/>
        <v/>
      </c>
    </row>
    <row r="439" spans="1:13" ht="31.5">
      <c r="A439" s="3">
        <v>430</v>
      </c>
      <c r="B439" s="11" t="s">
        <v>372</v>
      </c>
      <c r="C439" s="3">
        <v>3</v>
      </c>
      <c r="D439" s="3">
        <v>21</v>
      </c>
      <c r="E439" s="11" t="s">
        <v>502</v>
      </c>
      <c r="F439" s="3">
        <v>81</v>
      </c>
      <c r="G439" s="3">
        <f t="shared" si="48"/>
        <v>2</v>
      </c>
      <c r="H439" s="3">
        <f t="shared" si="42"/>
        <v>50.45</v>
      </c>
      <c r="I439" s="3">
        <f t="shared" si="43"/>
        <v>93.345073349199026</v>
      </c>
      <c r="J439" s="3">
        <f t="shared" si="44"/>
        <v>52.691964941569282</v>
      </c>
      <c r="K439" s="3">
        <f t="shared" si="45"/>
        <v>16.128547579298832</v>
      </c>
      <c r="L439" s="12" t="str">
        <f t="shared" si="46"/>
        <v/>
      </c>
      <c r="M439" s="12" t="str">
        <f t="shared" si="47"/>
        <v/>
      </c>
    </row>
    <row r="440" spans="1:13" ht="31.5">
      <c r="A440" s="3">
        <v>431</v>
      </c>
      <c r="B440" s="11" t="s">
        <v>372</v>
      </c>
      <c r="C440" s="3">
        <v>3</v>
      </c>
      <c r="D440" s="3">
        <v>20</v>
      </c>
      <c r="E440" s="11" t="s">
        <v>503</v>
      </c>
      <c r="F440" s="3">
        <v>73</v>
      </c>
      <c r="G440" s="3">
        <f t="shared" si="48"/>
        <v>8</v>
      </c>
      <c r="H440" s="3">
        <f t="shared" si="42"/>
        <v>50.45</v>
      </c>
      <c r="I440" s="3">
        <f t="shared" si="43"/>
        <v>93.345073349199026</v>
      </c>
      <c r="J440" s="3">
        <f t="shared" si="44"/>
        <v>52.691964941569282</v>
      </c>
      <c r="K440" s="3">
        <f t="shared" si="45"/>
        <v>16.128547579298832</v>
      </c>
      <c r="L440" s="12" t="str">
        <f t="shared" si="46"/>
        <v/>
      </c>
      <c r="M440" s="12" t="str">
        <f t="shared" si="47"/>
        <v/>
      </c>
    </row>
    <row r="441" spans="1:13" ht="31.5">
      <c r="A441" s="3">
        <v>432</v>
      </c>
      <c r="B441" s="11" t="s">
        <v>372</v>
      </c>
      <c r="C441" s="3">
        <v>3</v>
      </c>
      <c r="D441" s="3">
        <v>19</v>
      </c>
      <c r="E441" s="11" t="s">
        <v>504</v>
      </c>
      <c r="F441" s="3">
        <v>72</v>
      </c>
      <c r="G441" s="3">
        <f t="shared" si="48"/>
        <v>1</v>
      </c>
      <c r="H441" s="3">
        <f t="shared" si="42"/>
        <v>50.45</v>
      </c>
      <c r="I441" s="3">
        <f t="shared" si="43"/>
        <v>93.345073349199026</v>
      </c>
      <c r="J441" s="3">
        <f t="shared" si="44"/>
        <v>52.691964941569282</v>
      </c>
      <c r="K441" s="3">
        <f t="shared" si="45"/>
        <v>16.128547579298832</v>
      </c>
      <c r="L441" s="12" t="str">
        <f t="shared" si="46"/>
        <v/>
      </c>
      <c r="M441" s="12" t="str">
        <f t="shared" si="47"/>
        <v/>
      </c>
    </row>
    <row r="442" spans="1:13" ht="31.5">
      <c r="A442" s="3">
        <v>433</v>
      </c>
      <c r="B442" s="11" t="s">
        <v>372</v>
      </c>
      <c r="C442" s="3">
        <v>3</v>
      </c>
      <c r="D442" s="3">
        <v>18</v>
      </c>
      <c r="E442" s="11" t="s">
        <v>505</v>
      </c>
      <c r="F442" s="3">
        <v>72</v>
      </c>
      <c r="G442" s="3">
        <f t="shared" si="48"/>
        <v>0</v>
      </c>
      <c r="H442" s="3">
        <f t="shared" si="42"/>
        <v>50.45</v>
      </c>
      <c r="I442" s="3">
        <f t="shared" si="43"/>
        <v>93.345073349199026</v>
      </c>
      <c r="J442" s="3">
        <f t="shared" si="44"/>
        <v>52.691964941569282</v>
      </c>
      <c r="K442" s="3">
        <f t="shared" si="45"/>
        <v>16.128547579298832</v>
      </c>
      <c r="L442" s="12" t="str">
        <f t="shared" si="46"/>
        <v/>
      </c>
      <c r="M442" s="12" t="str">
        <f t="shared" si="47"/>
        <v/>
      </c>
    </row>
    <row r="443" spans="1:13" ht="31.5">
      <c r="A443" s="3">
        <v>434</v>
      </c>
      <c r="B443" s="11" t="s">
        <v>372</v>
      </c>
      <c r="C443" s="3">
        <v>3</v>
      </c>
      <c r="D443" s="3">
        <v>17</v>
      </c>
      <c r="E443" s="11" t="s">
        <v>506</v>
      </c>
      <c r="F443" s="3">
        <v>108</v>
      </c>
      <c r="G443" s="3">
        <f t="shared" si="48"/>
        <v>36</v>
      </c>
      <c r="H443" s="3">
        <f t="shared" si="42"/>
        <v>50.45</v>
      </c>
      <c r="I443" s="3">
        <f t="shared" si="43"/>
        <v>93.345073349199026</v>
      </c>
      <c r="J443" s="3">
        <f t="shared" si="44"/>
        <v>52.691964941569282</v>
      </c>
      <c r="K443" s="3">
        <f t="shared" si="45"/>
        <v>16.128547579298832</v>
      </c>
      <c r="L443" s="12" t="str">
        <f t="shared" si="46"/>
        <v>OOC</v>
      </c>
      <c r="M443" s="12" t="str">
        <f t="shared" si="47"/>
        <v/>
      </c>
    </row>
    <row r="444" spans="1:13" ht="31.5">
      <c r="A444" s="3">
        <v>435</v>
      </c>
      <c r="B444" s="11" t="s">
        <v>372</v>
      </c>
      <c r="C444" s="3">
        <v>3</v>
      </c>
      <c r="D444" s="3">
        <v>16</v>
      </c>
      <c r="E444" s="11" t="s">
        <v>507</v>
      </c>
      <c r="F444" s="3">
        <v>120</v>
      </c>
      <c r="G444" s="3">
        <f t="shared" si="48"/>
        <v>12</v>
      </c>
      <c r="H444" s="3">
        <f t="shared" si="42"/>
        <v>50.45</v>
      </c>
      <c r="I444" s="3">
        <f t="shared" si="43"/>
        <v>93.345073349199026</v>
      </c>
      <c r="J444" s="3">
        <f t="shared" si="44"/>
        <v>52.691964941569282</v>
      </c>
      <c r="K444" s="3">
        <f t="shared" si="45"/>
        <v>16.128547579298832</v>
      </c>
      <c r="L444" s="12" t="str">
        <f t="shared" si="46"/>
        <v>OOC</v>
      </c>
      <c r="M444" s="12" t="str">
        <f t="shared" si="47"/>
        <v/>
      </c>
    </row>
    <row r="445" spans="1:13" ht="31.5">
      <c r="A445" s="3">
        <v>436</v>
      </c>
      <c r="B445" s="11" t="s">
        <v>372</v>
      </c>
      <c r="C445" s="3">
        <v>3</v>
      </c>
      <c r="D445" s="3">
        <v>15</v>
      </c>
      <c r="E445" s="11" t="s">
        <v>508</v>
      </c>
      <c r="F445" s="3">
        <v>27</v>
      </c>
      <c r="G445" s="3">
        <f t="shared" si="48"/>
        <v>93</v>
      </c>
      <c r="H445" s="3">
        <f t="shared" si="42"/>
        <v>50.45</v>
      </c>
      <c r="I445" s="3">
        <f t="shared" si="43"/>
        <v>93.345073349199026</v>
      </c>
      <c r="J445" s="3">
        <f t="shared" si="44"/>
        <v>52.691964941569282</v>
      </c>
      <c r="K445" s="3">
        <f t="shared" si="45"/>
        <v>16.128547579298832</v>
      </c>
      <c r="L445" s="12" t="str">
        <f t="shared" si="46"/>
        <v/>
      </c>
      <c r="M445" s="12" t="str">
        <f t="shared" si="47"/>
        <v/>
      </c>
    </row>
    <row r="446" spans="1:13" ht="31.5">
      <c r="A446" s="3">
        <v>437</v>
      </c>
      <c r="B446" s="11" t="s">
        <v>372</v>
      </c>
      <c r="C446" s="3">
        <v>3</v>
      </c>
      <c r="D446" s="3">
        <v>14</v>
      </c>
      <c r="E446" s="11" t="s">
        <v>509</v>
      </c>
      <c r="F446" s="3">
        <v>24</v>
      </c>
      <c r="G446" s="3">
        <f t="shared" si="48"/>
        <v>3</v>
      </c>
      <c r="H446" s="3">
        <f t="shared" si="42"/>
        <v>50.45</v>
      </c>
      <c r="I446" s="3">
        <f t="shared" si="43"/>
        <v>93.345073349199026</v>
      </c>
      <c r="J446" s="3">
        <f t="shared" si="44"/>
        <v>52.691964941569282</v>
      </c>
      <c r="K446" s="3">
        <f t="shared" si="45"/>
        <v>16.128547579298832</v>
      </c>
      <c r="L446" s="12" t="str">
        <f t="shared" si="46"/>
        <v/>
      </c>
      <c r="M446" s="12" t="str">
        <f t="shared" si="47"/>
        <v/>
      </c>
    </row>
    <row r="447" spans="1:13" ht="31.5">
      <c r="A447" s="3">
        <v>438</v>
      </c>
      <c r="B447" s="11" t="s">
        <v>372</v>
      </c>
      <c r="C447" s="3">
        <v>3</v>
      </c>
      <c r="D447" s="3">
        <v>13</v>
      </c>
      <c r="E447" s="11" t="s">
        <v>510</v>
      </c>
      <c r="F447" s="3">
        <v>41</v>
      </c>
      <c r="G447" s="3">
        <f t="shared" si="48"/>
        <v>17</v>
      </c>
      <c r="H447" s="3">
        <f t="shared" si="42"/>
        <v>50.45</v>
      </c>
      <c r="I447" s="3">
        <f t="shared" si="43"/>
        <v>93.345073349199026</v>
      </c>
      <c r="J447" s="3">
        <f t="shared" si="44"/>
        <v>52.691964941569282</v>
      </c>
      <c r="K447" s="3">
        <f t="shared" si="45"/>
        <v>16.128547579298832</v>
      </c>
      <c r="L447" s="12" t="str">
        <f t="shared" si="46"/>
        <v/>
      </c>
      <c r="M447" s="12" t="str">
        <f t="shared" si="47"/>
        <v/>
      </c>
    </row>
    <row r="448" spans="1:13" ht="31.5">
      <c r="A448" s="3">
        <v>439</v>
      </c>
      <c r="B448" s="11" t="s">
        <v>372</v>
      </c>
      <c r="C448" s="3">
        <v>3</v>
      </c>
      <c r="D448" s="3">
        <v>12</v>
      </c>
      <c r="E448" s="11" t="s">
        <v>511</v>
      </c>
      <c r="F448" s="3">
        <v>28</v>
      </c>
      <c r="G448" s="3">
        <f t="shared" si="48"/>
        <v>13</v>
      </c>
      <c r="H448" s="3">
        <f t="shared" si="42"/>
        <v>50.45</v>
      </c>
      <c r="I448" s="3">
        <f t="shared" si="43"/>
        <v>93.345073349199026</v>
      </c>
      <c r="J448" s="3">
        <f t="shared" si="44"/>
        <v>52.691964941569282</v>
      </c>
      <c r="K448" s="3">
        <f t="shared" si="45"/>
        <v>16.128547579298832</v>
      </c>
      <c r="L448" s="12" t="str">
        <f t="shared" si="46"/>
        <v/>
      </c>
      <c r="M448" s="12" t="str">
        <f t="shared" si="47"/>
        <v/>
      </c>
    </row>
    <row r="449" spans="1:13" ht="31.5">
      <c r="A449" s="3">
        <v>440</v>
      </c>
      <c r="B449" s="11" t="s">
        <v>372</v>
      </c>
      <c r="C449" s="3">
        <v>3</v>
      </c>
      <c r="D449" s="3">
        <v>11</v>
      </c>
      <c r="E449" s="11" t="s">
        <v>512</v>
      </c>
      <c r="F449" s="3">
        <v>45</v>
      </c>
      <c r="G449" s="3">
        <f t="shared" si="48"/>
        <v>17</v>
      </c>
      <c r="H449" s="3">
        <f t="shared" si="42"/>
        <v>50.45</v>
      </c>
      <c r="I449" s="3">
        <f t="shared" si="43"/>
        <v>93.345073349199026</v>
      </c>
      <c r="J449" s="3">
        <f t="shared" si="44"/>
        <v>52.691964941569282</v>
      </c>
      <c r="K449" s="3">
        <f t="shared" si="45"/>
        <v>16.128547579298832</v>
      </c>
      <c r="L449" s="12" t="str">
        <f t="shared" si="46"/>
        <v/>
      </c>
      <c r="M449" s="12" t="str">
        <f t="shared" si="47"/>
        <v/>
      </c>
    </row>
    <row r="450" spans="1:13" ht="31.5">
      <c r="A450" s="3">
        <v>441</v>
      </c>
      <c r="B450" s="11" t="s">
        <v>372</v>
      </c>
      <c r="C450" s="3">
        <v>3</v>
      </c>
      <c r="D450" s="3">
        <v>10</v>
      </c>
      <c r="E450" s="11" t="s">
        <v>513</v>
      </c>
      <c r="F450" s="3">
        <v>52</v>
      </c>
      <c r="G450" s="3">
        <f t="shared" si="48"/>
        <v>7</v>
      </c>
      <c r="H450" s="3">
        <f t="shared" si="42"/>
        <v>50.45</v>
      </c>
      <c r="I450" s="3">
        <f t="shared" si="43"/>
        <v>93.345073349199026</v>
      </c>
      <c r="J450" s="3">
        <f t="shared" si="44"/>
        <v>52.691964941569282</v>
      </c>
      <c r="K450" s="3">
        <f t="shared" si="45"/>
        <v>16.128547579298832</v>
      </c>
      <c r="L450" s="12" t="str">
        <f t="shared" si="46"/>
        <v/>
      </c>
      <c r="M450" s="12" t="str">
        <f t="shared" si="47"/>
        <v/>
      </c>
    </row>
    <row r="451" spans="1:13" ht="31.5">
      <c r="A451" s="3">
        <v>442</v>
      </c>
      <c r="B451" s="11" t="s">
        <v>372</v>
      </c>
      <c r="C451" s="3">
        <v>3</v>
      </c>
      <c r="D451" s="3">
        <v>9</v>
      </c>
      <c r="E451" s="11" t="s">
        <v>514</v>
      </c>
      <c r="F451" s="3">
        <v>52</v>
      </c>
      <c r="G451" s="3">
        <f t="shared" si="48"/>
        <v>0</v>
      </c>
      <c r="H451" s="3">
        <f t="shared" si="42"/>
        <v>50.45</v>
      </c>
      <c r="I451" s="3">
        <f t="shared" si="43"/>
        <v>93.345073349199026</v>
      </c>
      <c r="J451" s="3">
        <f t="shared" si="44"/>
        <v>52.691964941569282</v>
      </c>
      <c r="K451" s="3">
        <f t="shared" si="45"/>
        <v>16.128547579298832</v>
      </c>
      <c r="L451" s="12" t="str">
        <f t="shared" si="46"/>
        <v/>
      </c>
      <c r="M451" s="12" t="str">
        <f t="shared" si="47"/>
        <v/>
      </c>
    </row>
    <row r="452" spans="1:13" ht="31.5">
      <c r="A452" s="3">
        <v>443</v>
      </c>
      <c r="B452" s="11" t="s">
        <v>372</v>
      </c>
      <c r="C452" s="3">
        <v>3</v>
      </c>
      <c r="D452" s="3">
        <v>8</v>
      </c>
      <c r="E452" s="11" t="s">
        <v>515</v>
      </c>
      <c r="F452" s="3">
        <v>65</v>
      </c>
      <c r="G452" s="3">
        <f t="shared" si="48"/>
        <v>13</v>
      </c>
      <c r="H452" s="3">
        <f t="shared" si="42"/>
        <v>50.45</v>
      </c>
      <c r="I452" s="3">
        <f t="shared" si="43"/>
        <v>93.345073349199026</v>
      </c>
      <c r="J452" s="3">
        <f t="shared" si="44"/>
        <v>52.691964941569282</v>
      </c>
      <c r="K452" s="3">
        <f t="shared" si="45"/>
        <v>16.128547579298832</v>
      </c>
      <c r="L452" s="12" t="str">
        <f t="shared" si="46"/>
        <v/>
      </c>
      <c r="M452" s="12" t="str">
        <f t="shared" si="47"/>
        <v/>
      </c>
    </row>
    <row r="453" spans="1:13" ht="31.5">
      <c r="A453" s="3">
        <v>444</v>
      </c>
      <c r="B453" s="11" t="s">
        <v>372</v>
      </c>
      <c r="C453" s="3">
        <v>3</v>
      </c>
      <c r="D453" s="3">
        <v>7</v>
      </c>
      <c r="E453" s="11" t="s">
        <v>516</v>
      </c>
      <c r="F453" s="3">
        <v>39</v>
      </c>
      <c r="G453" s="3">
        <f t="shared" si="48"/>
        <v>26</v>
      </c>
      <c r="H453" s="3">
        <f t="shared" si="42"/>
        <v>50.45</v>
      </c>
      <c r="I453" s="3">
        <f t="shared" si="43"/>
        <v>93.345073349199026</v>
      </c>
      <c r="J453" s="3">
        <f t="shared" si="44"/>
        <v>52.691964941569282</v>
      </c>
      <c r="K453" s="3">
        <f t="shared" si="45"/>
        <v>16.128547579298832</v>
      </c>
      <c r="L453" s="12" t="str">
        <f t="shared" si="46"/>
        <v/>
      </c>
      <c r="M453" s="12" t="str">
        <f t="shared" si="47"/>
        <v/>
      </c>
    </row>
    <row r="454" spans="1:13" ht="31.5">
      <c r="A454" s="3">
        <v>445</v>
      </c>
      <c r="B454" s="11" t="s">
        <v>372</v>
      </c>
      <c r="C454" s="3">
        <v>3</v>
      </c>
      <c r="D454" s="3">
        <v>6</v>
      </c>
      <c r="E454" s="11" t="s">
        <v>517</v>
      </c>
      <c r="F454" s="3">
        <v>52</v>
      </c>
      <c r="G454" s="3">
        <f t="shared" si="48"/>
        <v>13</v>
      </c>
      <c r="H454" s="3">
        <f t="shared" si="42"/>
        <v>50.45</v>
      </c>
      <c r="I454" s="3">
        <f t="shared" si="43"/>
        <v>93.345073349199026</v>
      </c>
      <c r="J454" s="3">
        <f t="shared" si="44"/>
        <v>52.691964941569282</v>
      </c>
      <c r="K454" s="3">
        <f t="shared" si="45"/>
        <v>16.128547579298832</v>
      </c>
      <c r="L454" s="12" t="str">
        <f t="shared" si="46"/>
        <v/>
      </c>
      <c r="M454" s="12" t="str">
        <f t="shared" si="47"/>
        <v/>
      </c>
    </row>
    <row r="455" spans="1:13" ht="31.5">
      <c r="A455" s="3">
        <v>446</v>
      </c>
      <c r="B455" s="11" t="s">
        <v>372</v>
      </c>
      <c r="C455" s="3">
        <v>3</v>
      </c>
      <c r="D455" s="3">
        <v>5</v>
      </c>
      <c r="E455" s="11" t="s">
        <v>518</v>
      </c>
      <c r="F455" s="3">
        <v>33</v>
      </c>
      <c r="G455" s="3">
        <f t="shared" si="48"/>
        <v>19</v>
      </c>
      <c r="H455" s="3">
        <f t="shared" si="42"/>
        <v>50.45</v>
      </c>
      <c r="I455" s="3">
        <f t="shared" si="43"/>
        <v>93.345073349199026</v>
      </c>
      <c r="J455" s="3">
        <f t="shared" si="44"/>
        <v>52.691964941569282</v>
      </c>
      <c r="K455" s="3">
        <f t="shared" si="45"/>
        <v>16.128547579298832</v>
      </c>
      <c r="L455" s="12" t="str">
        <f t="shared" si="46"/>
        <v/>
      </c>
      <c r="M455" s="12" t="str">
        <f t="shared" si="47"/>
        <v/>
      </c>
    </row>
    <row r="456" spans="1:13" ht="31.5">
      <c r="A456" s="3">
        <v>447</v>
      </c>
      <c r="B456" s="11" t="s">
        <v>372</v>
      </c>
      <c r="C456" s="3">
        <v>3</v>
      </c>
      <c r="D456" s="3">
        <v>4</v>
      </c>
      <c r="E456" s="11" t="s">
        <v>519</v>
      </c>
      <c r="F456" s="3">
        <v>41</v>
      </c>
      <c r="G456" s="3">
        <f t="shared" si="48"/>
        <v>8</v>
      </c>
      <c r="H456" s="3">
        <f t="shared" si="42"/>
        <v>50.45</v>
      </c>
      <c r="I456" s="3">
        <f t="shared" si="43"/>
        <v>93.345073349199026</v>
      </c>
      <c r="J456" s="3">
        <f t="shared" si="44"/>
        <v>52.691964941569282</v>
      </c>
      <c r="K456" s="3">
        <f t="shared" si="45"/>
        <v>16.128547579298832</v>
      </c>
      <c r="L456" s="12" t="str">
        <f t="shared" si="46"/>
        <v/>
      </c>
      <c r="M456" s="12" t="str">
        <f t="shared" si="47"/>
        <v/>
      </c>
    </row>
    <row r="457" spans="1:13" ht="31.5">
      <c r="A457" s="3">
        <v>448</v>
      </c>
      <c r="B457" s="11" t="s">
        <v>372</v>
      </c>
      <c r="C457" s="3">
        <v>3</v>
      </c>
      <c r="D457" s="3">
        <v>3</v>
      </c>
      <c r="E457" s="11" t="s">
        <v>520</v>
      </c>
      <c r="F457" s="3">
        <v>49</v>
      </c>
      <c r="G457" s="3">
        <f t="shared" si="48"/>
        <v>8</v>
      </c>
      <c r="H457" s="3">
        <f t="shared" si="42"/>
        <v>50.45</v>
      </c>
      <c r="I457" s="3">
        <f t="shared" si="43"/>
        <v>93.345073349199026</v>
      </c>
      <c r="J457" s="3">
        <f t="shared" si="44"/>
        <v>52.691964941569282</v>
      </c>
      <c r="K457" s="3">
        <f t="shared" si="45"/>
        <v>16.128547579298832</v>
      </c>
      <c r="L457" s="12" t="str">
        <f t="shared" si="46"/>
        <v/>
      </c>
      <c r="M457" s="12" t="str">
        <f t="shared" si="47"/>
        <v/>
      </c>
    </row>
    <row r="458" spans="1:13" ht="31.5">
      <c r="A458" s="3">
        <v>449</v>
      </c>
      <c r="B458" s="11" t="s">
        <v>372</v>
      </c>
      <c r="C458" s="3">
        <v>3</v>
      </c>
      <c r="D458" s="3">
        <v>2</v>
      </c>
      <c r="E458" s="11" t="s">
        <v>521</v>
      </c>
      <c r="F458" s="3">
        <v>75</v>
      </c>
      <c r="G458" s="3">
        <f t="shared" si="48"/>
        <v>26</v>
      </c>
      <c r="H458" s="3">
        <f t="shared" ref="H458:H521" si="49">$Q$3</f>
        <v>50.45</v>
      </c>
      <c r="I458" s="3">
        <f t="shared" ref="I458:I521" si="50">$Q$6</f>
        <v>93.345073349199026</v>
      </c>
      <c r="J458" s="3">
        <f t="shared" ref="J458:J521" si="51">$Q$7</f>
        <v>52.691964941569282</v>
      </c>
      <c r="K458" s="3">
        <f t="shared" ref="K458:K521" si="52">$Q$4</f>
        <v>16.128547579298832</v>
      </c>
      <c r="L458" s="12" t="str">
        <f t="shared" ref="L458:L521" si="53">IF(F458&gt;$Q$6,"OOC","" )</f>
        <v/>
      </c>
      <c r="M458" s="12" t="str">
        <f t="shared" ref="M458:M521" si="54">IF(F458&gt;$B$3,"OOS","" )</f>
        <v/>
      </c>
    </row>
    <row r="459" spans="1:13" ht="31.5">
      <c r="A459" s="3">
        <v>450</v>
      </c>
      <c r="B459" s="11" t="s">
        <v>372</v>
      </c>
      <c r="C459" s="3">
        <v>3</v>
      </c>
      <c r="D459" s="3">
        <v>1</v>
      </c>
      <c r="E459" s="11" t="s">
        <v>522</v>
      </c>
      <c r="F459" s="3">
        <v>55</v>
      </c>
      <c r="G459" s="3">
        <f t="shared" ref="G459:G522" si="55">ABS(F459-F458)</f>
        <v>20</v>
      </c>
      <c r="H459" s="3">
        <f t="shared" si="49"/>
        <v>50.45</v>
      </c>
      <c r="I459" s="3">
        <f t="shared" si="50"/>
        <v>93.345073349199026</v>
      </c>
      <c r="J459" s="3">
        <f t="shared" si="51"/>
        <v>52.691964941569282</v>
      </c>
      <c r="K459" s="3">
        <f t="shared" si="52"/>
        <v>16.128547579298832</v>
      </c>
      <c r="L459" s="12" t="str">
        <f t="shared" si="53"/>
        <v/>
      </c>
      <c r="M459" s="12" t="str">
        <f t="shared" si="54"/>
        <v/>
      </c>
    </row>
    <row r="460" spans="1:13" ht="31.5">
      <c r="A460" s="3">
        <v>451</v>
      </c>
      <c r="B460" s="11" t="s">
        <v>372</v>
      </c>
      <c r="C460" s="3">
        <v>4</v>
      </c>
      <c r="D460" s="3">
        <v>25</v>
      </c>
      <c r="E460" s="11" t="s">
        <v>523</v>
      </c>
      <c r="F460" s="3">
        <v>12</v>
      </c>
      <c r="G460" s="3">
        <f t="shared" si="55"/>
        <v>43</v>
      </c>
      <c r="H460" s="3">
        <f t="shared" si="49"/>
        <v>50.45</v>
      </c>
      <c r="I460" s="3">
        <f t="shared" si="50"/>
        <v>93.345073349199026</v>
      </c>
      <c r="J460" s="3">
        <f t="shared" si="51"/>
        <v>52.691964941569282</v>
      </c>
      <c r="K460" s="3">
        <f t="shared" si="52"/>
        <v>16.128547579298832</v>
      </c>
      <c r="L460" s="12" t="str">
        <f t="shared" si="53"/>
        <v/>
      </c>
      <c r="M460" s="12" t="str">
        <f t="shared" si="54"/>
        <v/>
      </c>
    </row>
    <row r="461" spans="1:13" ht="31.5">
      <c r="A461" s="3">
        <v>452</v>
      </c>
      <c r="B461" s="11" t="s">
        <v>372</v>
      </c>
      <c r="C461" s="3">
        <v>4</v>
      </c>
      <c r="D461" s="3">
        <v>24</v>
      </c>
      <c r="E461" s="11" t="s">
        <v>524</v>
      </c>
      <c r="F461" s="3">
        <v>90</v>
      </c>
      <c r="G461" s="3">
        <f t="shared" si="55"/>
        <v>78</v>
      </c>
      <c r="H461" s="3">
        <f t="shared" si="49"/>
        <v>50.45</v>
      </c>
      <c r="I461" s="3">
        <f t="shared" si="50"/>
        <v>93.345073349199026</v>
      </c>
      <c r="J461" s="3">
        <f t="shared" si="51"/>
        <v>52.691964941569282</v>
      </c>
      <c r="K461" s="3">
        <f t="shared" si="52"/>
        <v>16.128547579298832</v>
      </c>
      <c r="L461" s="12" t="str">
        <f t="shared" si="53"/>
        <v/>
      </c>
      <c r="M461" s="12" t="str">
        <f t="shared" si="54"/>
        <v/>
      </c>
    </row>
    <row r="462" spans="1:13" ht="31.5">
      <c r="A462" s="3">
        <v>453</v>
      </c>
      <c r="B462" s="11" t="s">
        <v>372</v>
      </c>
      <c r="C462" s="3">
        <v>4</v>
      </c>
      <c r="D462" s="3">
        <v>23</v>
      </c>
      <c r="E462" s="11" t="s">
        <v>525</v>
      </c>
      <c r="F462" s="3">
        <v>17</v>
      </c>
      <c r="G462" s="3">
        <f t="shared" si="55"/>
        <v>73</v>
      </c>
      <c r="H462" s="3">
        <f t="shared" si="49"/>
        <v>50.45</v>
      </c>
      <c r="I462" s="3">
        <f t="shared" si="50"/>
        <v>93.345073349199026</v>
      </c>
      <c r="J462" s="3">
        <f t="shared" si="51"/>
        <v>52.691964941569282</v>
      </c>
      <c r="K462" s="3">
        <f t="shared" si="52"/>
        <v>16.128547579298832</v>
      </c>
      <c r="L462" s="12" t="str">
        <f t="shared" si="53"/>
        <v/>
      </c>
      <c r="M462" s="12" t="str">
        <f t="shared" si="54"/>
        <v/>
      </c>
    </row>
    <row r="463" spans="1:13" ht="31.5">
      <c r="A463" s="3">
        <v>454</v>
      </c>
      <c r="B463" s="11" t="s">
        <v>372</v>
      </c>
      <c r="C463" s="3">
        <v>4</v>
      </c>
      <c r="D463" s="3">
        <v>22</v>
      </c>
      <c r="E463" s="11" t="s">
        <v>526</v>
      </c>
      <c r="F463" s="3">
        <v>19</v>
      </c>
      <c r="G463" s="3">
        <f t="shared" si="55"/>
        <v>2</v>
      </c>
      <c r="H463" s="3">
        <f t="shared" si="49"/>
        <v>50.45</v>
      </c>
      <c r="I463" s="3">
        <f t="shared" si="50"/>
        <v>93.345073349199026</v>
      </c>
      <c r="J463" s="3">
        <f t="shared" si="51"/>
        <v>52.691964941569282</v>
      </c>
      <c r="K463" s="3">
        <f t="shared" si="52"/>
        <v>16.128547579298832</v>
      </c>
      <c r="L463" s="12" t="str">
        <f t="shared" si="53"/>
        <v/>
      </c>
      <c r="M463" s="12" t="str">
        <f t="shared" si="54"/>
        <v/>
      </c>
    </row>
    <row r="464" spans="1:13" ht="31.5">
      <c r="A464" s="3">
        <v>455</v>
      </c>
      <c r="B464" s="11" t="s">
        <v>372</v>
      </c>
      <c r="C464" s="3">
        <v>4</v>
      </c>
      <c r="D464" s="3">
        <v>21</v>
      </c>
      <c r="E464" s="11" t="s">
        <v>527</v>
      </c>
      <c r="F464" s="3">
        <v>51</v>
      </c>
      <c r="G464" s="3">
        <f t="shared" si="55"/>
        <v>32</v>
      </c>
      <c r="H464" s="3">
        <f t="shared" si="49"/>
        <v>50.45</v>
      </c>
      <c r="I464" s="3">
        <f t="shared" si="50"/>
        <v>93.345073349199026</v>
      </c>
      <c r="J464" s="3">
        <f t="shared" si="51"/>
        <v>52.691964941569282</v>
      </c>
      <c r="K464" s="3">
        <f t="shared" si="52"/>
        <v>16.128547579298832</v>
      </c>
      <c r="L464" s="12" t="str">
        <f t="shared" si="53"/>
        <v/>
      </c>
      <c r="M464" s="12" t="str">
        <f t="shared" si="54"/>
        <v/>
      </c>
    </row>
    <row r="465" spans="1:13" ht="31.5">
      <c r="A465" s="3">
        <v>456</v>
      </c>
      <c r="B465" s="11" t="s">
        <v>372</v>
      </c>
      <c r="C465" s="3">
        <v>4</v>
      </c>
      <c r="D465" s="3">
        <v>20</v>
      </c>
      <c r="E465" s="11" t="s">
        <v>528</v>
      </c>
      <c r="F465" s="3">
        <v>16</v>
      </c>
      <c r="G465" s="3">
        <f t="shared" si="55"/>
        <v>35</v>
      </c>
      <c r="H465" s="3">
        <f t="shared" si="49"/>
        <v>50.45</v>
      </c>
      <c r="I465" s="3">
        <f t="shared" si="50"/>
        <v>93.345073349199026</v>
      </c>
      <c r="J465" s="3">
        <f t="shared" si="51"/>
        <v>52.691964941569282</v>
      </c>
      <c r="K465" s="3">
        <f t="shared" si="52"/>
        <v>16.128547579298832</v>
      </c>
      <c r="L465" s="12" t="str">
        <f t="shared" si="53"/>
        <v/>
      </c>
      <c r="M465" s="12" t="str">
        <f t="shared" si="54"/>
        <v/>
      </c>
    </row>
    <row r="466" spans="1:13" ht="31.5">
      <c r="A466" s="3">
        <v>457</v>
      </c>
      <c r="B466" s="11" t="s">
        <v>372</v>
      </c>
      <c r="C466" s="3">
        <v>4</v>
      </c>
      <c r="D466" s="3">
        <v>19</v>
      </c>
      <c r="E466" s="11" t="s">
        <v>529</v>
      </c>
      <c r="F466" s="3">
        <v>28</v>
      </c>
      <c r="G466" s="3">
        <f t="shared" si="55"/>
        <v>12</v>
      </c>
      <c r="H466" s="3">
        <f t="shared" si="49"/>
        <v>50.45</v>
      </c>
      <c r="I466" s="3">
        <f t="shared" si="50"/>
        <v>93.345073349199026</v>
      </c>
      <c r="J466" s="3">
        <f t="shared" si="51"/>
        <v>52.691964941569282</v>
      </c>
      <c r="K466" s="3">
        <f t="shared" si="52"/>
        <v>16.128547579298832</v>
      </c>
      <c r="L466" s="12" t="str">
        <f t="shared" si="53"/>
        <v/>
      </c>
      <c r="M466" s="12" t="str">
        <f t="shared" si="54"/>
        <v/>
      </c>
    </row>
    <row r="467" spans="1:13" ht="31.5">
      <c r="A467" s="3">
        <v>458</v>
      </c>
      <c r="B467" s="11" t="s">
        <v>372</v>
      </c>
      <c r="C467" s="3">
        <v>4</v>
      </c>
      <c r="D467" s="3">
        <v>18</v>
      </c>
      <c r="E467" s="11" t="s">
        <v>530</v>
      </c>
      <c r="F467" s="3">
        <v>32</v>
      </c>
      <c r="G467" s="3">
        <f t="shared" si="55"/>
        <v>4</v>
      </c>
      <c r="H467" s="3">
        <f t="shared" si="49"/>
        <v>50.45</v>
      </c>
      <c r="I467" s="3">
        <f t="shared" si="50"/>
        <v>93.345073349199026</v>
      </c>
      <c r="J467" s="3">
        <f t="shared" si="51"/>
        <v>52.691964941569282</v>
      </c>
      <c r="K467" s="3">
        <f t="shared" si="52"/>
        <v>16.128547579298832</v>
      </c>
      <c r="L467" s="12" t="str">
        <f t="shared" si="53"/>
        <v/>
      </c>
      <c r="M467" s="12" t="str">
        <f t="shared" si="54"/>
        <v/>
      </c>
    </row>
    <row r="468" spans="1:13" ht="31.5">
      <c r="A468" s="3">
        <v>459</v>
      </c>
      <c r="B468" s="11" t="s">
        <v>372</v>
      </c>
      <c r="C468" s="3">
        <v>4</v>
      </c>
      <c r="D468" s="3">
        <v>17</v>
      </c>
      <c r="E468" s="11" t="s">
        <v>531</v>
      </c>
      <c r="F468" s="3">
        <v>16</v>
      </c>
      <c r="G468" s="3">
        <f t="shared" si="55"/>
        <v>16</v>
      </c>
      <c r="H468" s="3">
        <f t="shared" si="49"/>
        <v>50.45</v>
      </c>
      <c r="I468" s="3">
        <f t="shared" si="50"/>
        <v>93.345073349199026</v>
      </c>
      <c r="J468" s="3">
        <f t="shared" si="51"/>
        <v>52.691964941569282</v>
      </c>
      <c r="K468" s="3">
        <f t="shared" si="52"/>
        <v>16.128547579298832</v>
      </c>
      <c r="L468" s="12" t="str">
        <f t="shared" si="53"/>
        <v/>
      </c>
      <c r="M468" s="12" t="str">
        <f t="shared" si="54"/>
        <v/>
      </c>
    </row>
    <row r="469" spans="1:13" ht="31.5">
      <c r="A469" s="3">
        <v>460</v>
      </c>
      <c r="B469" s="11" t="s">
        <v>372</v>
      </c>
      <c r="C469" s="3">
        <v>4</v>
      </c>
      <c r="D469" s="3">
        <v>16</v>
      </c>
      <c r="E469" s="11" t="s">
        <v>532</v>
      </c>
      <c r="F469" s="3">
        <v>25</v>
      </c>
      <c r="G469" s="3">
        <f t="shared" si="55"/>
        <v>9</v>
      </c>
      <c r="H469" s="3">
        <f t="shared" si="49"/>
        <v>50.45</v>
      </c>
      <c r="I469" s="3">
        <f t="shared" si="50"/>
        <v>93.345073349199026</v>
      </c>
      <c r="J469" s="3">
        <f t="shared" si="51"/>
        <v>52.691964941569282</v>
      </c>
      <c r="K469" s="3">
        <f t="shared" si="52"/>
        <v>16.128547579298832</v>
      </c>
      <c r="L469" s="12" t="str">
        <f t="shared" si="53"/>
        <v/>
      </c>
      <c r="M469" s="12" t="str">
        <f t="shared" si="54"/>
        <v/>
      </c>
    </row>
    <row r="470" spans="1:13" ht="31.5">
      <c r="A470" s="3">
        <v>461</v>
      </c>
      <c r="B470" s="11" t="s">
        <v>372</v>
      </c>
      <c r="C470" s="3">
        <v>4</v>
      </c>
      <c r="D470" s="3">
        <v>15</v>
      </c>
      <c r="E470" s="11" t="s">
        <v>533</v>
      </c>
      <c r="F470" s="3">
        <v>23</v>
      </c>
      <c r="G470" s="3">
        <f t="shared" si="55"/>
        <v>2</v>
      </c>
      <c r="H470" s="3">
        <f t="shared" si="49"/>
        <v>50.45</v>
      </c>
      <c r="I470" s="3">
        <f t="shared" si="50"/>
        <v>93.345073349199026</v>
      </c>
      <c r="J470" s="3">
        <f t="shared" si="51"/>
        <v>52.691964941569282</v>
      </c>
      <c r="K470" s="3">
        <f t="shared" si="52"/>
        <v>16.128547579298832</v>
      </c>
      <c r="L470" s="12" t="str">
        <f t="shared" si="53"/>
        <v/>
      </c>
      <c r="M470" s="12" t="str">
        <f t="shared" si="54"/>
        <v/>
      </c>
    </row>
    <row r="471" spans="1:13" ht="31.5">
      <c r="A471" s="3">
        <v>462</v>
      </c>
      <c r="B471" s="11" t="s">
        <v>372</v>
      </c>
      <c r="C471" s="3">
        <v>4</v>
      </c>
      <c r="D471" s="3">
        <v>14</v>
      </c>
      <c r="E471" s="11" t="s">
        <v>534</v>
      </c>
      <c r="F471" s="3">
        <v>37</v>
      </c>
      <c r="G471" s="3">
        <f t="shared" si="55"/>
        <v>14</v>
      </c>
      <c r="H471" s="3">
        <f t="shared" si="49"/>
        <v>50.45</v>
      </c>
      <c r="I471" s="3">
        <f t="shared" si="50"/>
        <v>93.345073349199026</v>
      </c>
      <c r="J471" s="3">
        <f t="shared" si="51"/>
        <v>52.691964941569282</v>
      </c>
      <c r="K471" s="3">
        <f t="shared" si="52"/>
        <v>16.128547579298832</v>
      </c>
      <c r="L471" s="12" t="str">
        <f t="shared" si="53"/>
        <v/>
      </c>
      <c r="M471" s="12" t="str">
        <f t="shared" si="54"/>
        <v/>
      </c>
    </row>
    <row r="472" spans="1:13" ht="31.5">
      <c r="A472" s="3">
        <v>463</v>
      </c>
      <c r="B472" s="11" t="s">
        <v>372</v>
      </c>
      <c r="C472" s="3">
        <v>4</v>
      </c>
      <c r="D472" s="3">
        <v>13</v>
      </c>
      <c r="E472" s="11" t="s">
        <v>535</v>
      </c>
      <c r="F472" s="3">
        <v>43</v>
      </c>
      <c r="G472" s="3">
        <f t="shared" si="55"/>
        <v>6</v>
      </c>
      <c r="H472" s="3">
        <f t="shared" si="49"/>
        <v>50.45</v>
      </c>
      <c r="I472" s="3">
        <f t="shared" si="50"/>
        <v>93.345073349199026</v>
      </c>
      <c r="J472" s="3">
        <f t="shared" si="51"/>
        <v>52.691964941569282</v>
      </c>
      <c r="K472" s="3">
        <f t="shared" si="52"/>
        <v>16.128547579298832</v>
      </c>
      <c r="L472" s="12" t="str">
        <f t="shared" si="53"/>
        <v/>
      </c>
      <c r="M472" s="12" t="str">
        <f t="shared" si="54"/>
        <v/>
      </c>
    </row>
    <row r="473" spans="1:13" ht="31.5">
      <c r="A473" s="3">
        <v>464</v>
      </c>
      <c r="B473" s="11" t="s">
        <v>372</v>
      </c>
      <c r="C473" s="3">
        <v>4</v>
      </c>
      <c r="D473" s="3">
        <v>12</v>
      </c>
      <c r="E473" s="11" t="s">
        <v>536</v>
      </c>
      <c r="F473" s="3">
        <v>32</v>
      </c>
      <c r="G473" s="3">
        <f t="shared" si="55"/>
        <v>11</v>
      </c>
      <c r="H473" s="3">
        <f t="shared" si="49"/>
        <v>50.45</v>
      </c>
      <c r="I473" s="3">
        <f t="shared" si="50"/>
        <v>93.345073349199026</v>
      </c>
      <c r="J473" s="3">
        <f t="shared" si="51"/>
        <v>52.691964941569282</v>
      </c>
      <c r="K473" s="3">
        <f t="shared" si="52"/>
        <v>16.128547579298832</v>
      </c>
      <c r="L473" s="12" t="str">
        <f t="shared" si="53"/>
        <v/>
      </c>
      <c r="M473" s="12" t="str">
        <f t="shared" si="54"/>
        <v/>
      </c>
    </row>
    <row r="474" spans="1:13" ht="31.5">
      <c r="A474" s="3">
        <v>465</v>
      </c>
      <c r="B474" s="11" t="s">
        <v>372</v>
      </c>
      <c r="C474" s="3">
        <v>4</v>
      </c>
      <c r="D474" s="3">
        <v>11</v>
      </c>
      <c r="E474" s="11" t="s">
        <v>537</v>
      </c>
      <c r="F474" s="3">
        <v>37</v>
      </c>
      <c r="G474" s="3">
        <f t="shared" si="55"/>
        <v>5</v>
      </c>
      <c r="H474" s="3">
        <f t="shared" si="49"/>
        <v>50.45</v>
      </c>
      <c r="I474" s="3">
        <f t="shared" si="50"/>
        <v>93.345073349199026</v>
      </c>
      <c r="J474" s="3">
        <f t="shared" si="51"/>
        <v>52.691964941569282</v>
      </c>
      <c r="K474" s="3">
        <f t="shared" si="52"/>
        <v>16.128547579298832</v>
      </c>
      <c r="L474" s="12" t="str">
        <f t="shared" si="53"/>
        <v/>
      </c>
      <c r="M474" s="12" t="str">
        <f t="shared" si="54"/>
        <v/>
      </c>
    </row>
    <row r="475" spans="1:13" ht="31.5">
      <c r="A475" s="3">
        <v>466</v>
      </c>
      <c r="B475" s="11" t="s">
        <v>372</v>
      </c>
      <c r="C475" s="3">
        <v>4</v>
      </c>
      <c r="D475" s="3">
        <v>10</v>
      </c>
      <c r="E475" s="11" t="s">
        <v>538</v>
      </c>
      <c r="F475" s="3">
        <v>34</v>
      </c>
      <c r="G475" s="3">
        <f t="shared" si="55"/>
        <v>3</v>
      </c>
      <c r="H475" s="3">
        <f t="shared" si="49"/>
        <v>50.45</v>
      </c>
      <c r="I475" s="3">
        <f t="shared" si="50"/>
        <v>93.345073349199026</v>
      </c>
      <c r="J475" s="3">
        <f t="shared" si="51"/>
        <v>52.691964941569282</v>
      </c>
      <c r="K475" s="3">
        <f t="shared" si="52"/>
        <v>16.128547579298832</v>
      </c>
      <c r="L475" s="12" t="str">
        <f t="shared" si="53"/>
        <v/>
      </c>
      <c r="M475" s="12" t="str">
        <f t="shared" si="54"/>
        <v/>
      </c>
    </row>
    <row r="476" spans="1:13" ht="31.5">
      <c r="A476" s="3">
        <v>467</v>
      </c>
      <c r="B476" s="11" t="s">
        <v>372</v>
      </c>
      <c r="C476" s="3">
        <v>4</v>
      </c>
      <c r="D476" s="3">
        <v>9</v>
      </c>
      <c r="E476" s="11" t="s">
        <v>539</v>
      </c>
      <c r="F476" s="3">
        <v>43</v>
      </c>
      <c r="G476" s="3">
        <f t="shared" si="55"/>
        <v>9</v>
      </c>
      <c r="H476" s="3">
        <f t="shared" si="49"/>
        <v>50.45</v>
      </c>
      <c r="I476" s="3">
        <f t="shared" si="50"/>
        <v>93.345073349199026</v>
      </c>
      <c r="J476" s="3">
        <f t="shared" si="51"/>
        <v>52.691964941569282</v>
      </c>
      <c r="K476" s="3">
        <f t="shared" si="52"/>
        <v>16.128547579298832</v>
      </c>
      <c r="L476" s="12" t="str">
        <f t="shared" si="53"/>
        <v/>
      </c>
      <c r="M476" s="12" t="str">
        <f t="shared" si="54"/>
        <v/>
      </c>
    </row>
    <row r="477" spans="1:13" ht="31.5">
      <c r="A477" s="3">
        <v>468</v>
      </c>
      <c r="B477" s="11" t="s">
        <v>372</v>
      </c>
      <c r="C477" s="3">
        <v>4</v>
      </c>
      <c r="D477" s="3">
        <v>8</v>
      </c>
      <c r="E477" s="11" t="s">
        <v>540</v>
      </c>
      <c r="F477" s="3">
        <v>43</v>
      </c>
      <c r="G477" s="3">
        <f t="shared" si="55"/>
        <v>0</v>
      </c>
      <c r="H477" s="3">
        <f t="shared" si="49"/>
        <v>50.45</v>
      </c>
      <c r="I477" s="3">
        <f t="shared" si="50"/>
        <v>93.345073349199026</v>
      </c>
      <c r="J477" s="3">
        <f t="shared" si="51"/>
        <v>52.691964941569282</v>
      </c>
      <c r="K477" s="3">
        <f t="shared" si="52"/>
        <v>16.128547579298832</v>
      </c>
      <c r="L477" s="12" t="str">
        <f t="shared" si="53"/>
        <v/>
      </c>
      <c r="M477" s="12" t="str">
        <f t="shared" si="54"/>
        <v/>
      </c>
    </row>
    <row r="478" spans="1:13" ht="31.5">
      <c r="A478" s="3">
        <v>469</v>
      </c>
      <c r="B478" s="11" t="s">
        <v>372</v>
      </c>
      <c r="C478" s="3">
        <v>4</v>
      </c>
      <c r="D478" s="3">
        <v>7</v>
      </c>
      <c r="E478" s="11" t="s">
        <v>541</v>
      </c>
      <c r="F478" s="3">
        <v>63</v>
      </c>
      <c r="G478" s="3">
        <f t="shared" si="55"/>
        <v>20</v>
      </c>
      <c r="H478" s="3">
        <f t="shared" si="49"/>
        <v>50.45</v>
      </c>
      <c r="I478" s="3">
        <f t="shared" si="50"/>
        <v>93.345073349199026</v>
      </c>
      <c r="J478" s="3">
        <f t="shared" si="51"/>
        <v>52.691964941569282</v>
      </c>
      <c r="K478" s="3">
        <f t="shared" si="52"/>
        <v>16.128547579298832</v>
      </c>
      <c r="L478" s="12" t="str">
        <f t="shared" si="53"/>
        <v/>
      </c>
      <c r="M478" s="12" t="str">
        <f t="shared" si="54"/>
        <v/>
      </c>
    </row>
    <row r="479" spans="1:13" ht="31.5">
      <c r="A479" s="3">
        <v>470</v>
      </c>
      <c r="B479" s="11" t="s">
        <v>372</v>
      </c>
      <c r="C479" s="3">
        <v>4</v>
      </c>
      <c r="D479" s="3">
        <v>6</v>
      </c>
      <c r="E479" s="11" t="s">
        <v>542</v>
      </c>
      <c r="F479" s="3">
        <v>31</v>
      </c>
      <c r="G479" s="3">
        <f t="shared" si="55"/>
        <v>32</v>
      </c>
      <c r="H479" s="3">
        <f t="shared" si="49"/>
        <v>50.45</v>
      </c>
      <c r="I479" s="3">
        <f t="shared" si="50"/>
        <v>93.345073349199026</v>
      </c>
      <c r="J479" s="3">
        <f t="shared" si="51"/>
        <v>52.691964941569282</v>
      </c>
      <c r="K479" s="3">
        <f t="shared" si="52"/>
        <v>16.128547579298832</v>
      </c>
      <c r="L479" s="12" t="str">
        <f t="shared" si="53"/>
        <v/>
      </c>
      <c r="M479" s="12" t="str">
        <f t="shared" si="54"/>
        <v/>
      </c>
    </row>
    <row r="480" spans="1:13" ht="31.5">
      <c r="A480" s="3">
        <v>471</v>
      </c>
      <c r="B480" s="11" t="s">
        <v>372</v>
      </c>
      <c r="C480" s="3">
        <v>4</v>
      </c>
      <c r="D480" s="3">
        <v>5</v>
      </c>
      <c r="E480" s="11" t="s">
        <v>543</v>
      </c>
      <c r="F480" s="3">
        <v>38</v>
      </c>
      <c r="G480" s="3">
        <f t="shared" si="55"/>
        <v>7</v>
      </c>
      <c r="H480" s="3">
        <f t="shared" si="49"/>
        <v>50.45</v>
      </c>
      <c r="I480" s="3">
        <f t="shared" si="50"/>
        <v>93.345073349199026</v>
      </c>
      <c r="J480" s="3">
        <f t="shared" si="51"/>
        <v>52.691964941569282</v>
      </c>
      <c r="K480" s="3">
        <f t="shared" si="52"/>
        <v>16.128547579298832</v>
      </c>
      <c r="L480" s="12" t="str">
        <f t="shared" si="53"/>
        <v/>
      </c>
      <c r="M480" s="12" t="str">
        <f t="shared" si="54"/>
        <v/>
      </c>
    </row>
    <row r="481" spans="1:13" ht="31.5">
      <c r="A481" s="3">
        <v>472</v>
      </c>
      <c r="B481" s="11" t="s">
        <v>372</v>
      </c>
      <c r="C481" s="3">
        <v>4</v>
      </c>
      <c r="D481" s="3">
        <v>4</v>
      </c>
      <c r="E481" s="11" t="s">
        <v>544</v>
      </c>
      <c r="F481" s="3">
        <v>53</v>
      </c>
      <c r="G481" s="3">
        <f t="shared" si="55"/>
        <v>15</v>
      </c>
      <c r="H481" s="3">
        <f t="shared" si="49"/>
        <v>50.45</v>
      </c>
      <c r="I481" s="3">
        <f t="shared" si="50"/>
        <v>93.345073349199026</v>
      </c>
      <c r="J481" s="3">
        <f t="shared" si="51"/>
        <v>52.691964941569282</v>
      </c>
      <c r="K481" s="3">
        <f t="shared" si="52"/>
        <v>16.128547579298832</v>
      </c>
      <c r="L481" s="12" t="str">
        <f t="shared" si="53"/>
        <v/>
      </c>
      <c r="M481" s="12" t="str">
        <f t="shared" si="54"/>
        <v/>
      </c>
    </row>
    <row r="482" spans="1:13" ht="31.5">
      <c r="A482" s="3">
        <v>473</v>
      </c>
      <c r="B482" s="11" t="s">
        <v>372</v>
      </c>
      <c r="C482" s="3">
        <v>4</v>
      </c>
      <c r="D482" s="3">
        <v>3</v>
      </c>
      <c r="E482" s="11" t="s">
        <v>545</v>
      </c>
      <c r="F482" s="3">
        <v>50</v>
      </c>
      <c r="G482" s="3">
        <f t="shared" si="55"/>
        <v>3</v>
      </c>
      <c r="H482" s="3">
        <f t="shared" si="49"/>
        <v>50.45</v>
      </c>
      <c r="I482" s="3">
        <f t="shared" si="50"/>
        <v>93.345073349199026</v>
      </c>
      <c r="J482" s="3">
        <f t="shared" si="51"/>
        <v>52.691964941569282</v>
      </c>
      <c r="K482" s="3">
        <f t="shared" si="52"/>
        <v>16.128547579298832</v>
      </c>
      <c r="L482" s="12" t="str">
        <f t="shared" si="53"/>
        <v/>
      </c>
      <c r="M482" s="12" t="str">
        <f t="shared" si="54"/>
        <v/>
      </c>
    </row>
    <row r="483" spans="1:13" ht="31.5">
      <c r="A483" s="3">
        <v>474</v>
      </c>
      <c r="B483" s="11" t="s">
        <v>372</v>
      </c>
      <c r="C483" s="3">
        <v>4</v>
      </c>
      <c r="D483" s="3">
        <v>2</v>
      </c>
      <c r="E483" s="11" t="s">
        <v>546</v>
      </c>
      <c r="F483" s="3">
        <v>32</v>
      </c>
      <c r="G483" s="3">
        <f t="shared" si="55"/>
        <v>18</v>
      </c>
      <c r="H483" s="3">
        <f t="shared" si="49"/>
        <v>50.45</v>
      </c>
      <c r="I483" s="3">
        <f t="shared" si="50"/>
        <v>93.345073349199026</v>
      </c>
      <c r="J483" s="3">
        <f t="shared" si="51"/>
        <v>52.691964941569282</v>
      </c>
      <c r="K483" s="3">
        <f t="shared" si="52"/>
        <v>16.128547579298832</v>
      </c>
      <c r="L483" s="12" t="str">
        <f t="shared" si="53"/>
        <v/>
      </c>
      <c r="M483" s="12" t="str">
        <f t="shared" si="54"/>
        <v/>
      </c>
    </row>
    <row r="484" spans="1:13" ht="31.5">
      <c r="A484" s="3">
        <v>475</v>
      </c>
      <c r="B484" s="11" t="s">
        <v>372</v>
      </c>
      <c r="C484" s="3">
        <v>4</v>
      </c>
      <c r="D484" s="3">
        <v>1</v>
      </c>
      <c r="E484" s="11" t="s">
        <v>547</v>
      </c>
      <c r="F484" s="3">
        <v>34</v>
      </c>
      <c r="G484" s="3">
        <f t="shared" si="55"/>
        <v>2</v>
      </c>
      <c r="H484" s="3">
        <f t="shared" si="49"/>
        <v>50.45</v>
      </c>
      <c r="I484" s="3">
        <f t="shared" si="50"/>
        <v>93.345073349199026</v>
      </c>
      <c r="J484" s="3">
        <f t="shared" si="51"/>
        <v>52.691964941569282</v>
      </c>
      <c r="K484" s="3">
        <f t="shared" si="52"/>
        <v>16.128547579298832</v>
      </c>
      <c r="L484" s="12" t="str">
        <f t="shared" si="53"/>
        <v/>
      </c>
      <c r="M484" s="12" t="str">
        <f t="shared" si="54"/>
        <v/>
      </c>
    </row>
    <row r="485" spans="1:13" ht="31.5">
      <c r="A485" s="3">
        <v>476</v>
      </c>
      <c r="B485" s="11" t="s">
        <v>372</v>
      </c>
      <c r="C485" s="3">
        <v>4</v>
      </c>
      <c r="D485" s="3">
        <v>25</v>
      </c>
      <c r="E485" s="11" t="s">
        <v>548</v>
      </c>
      <c r="F485" s="3">
        <v>83</v>
      </c>
      <c r="G485" s="3">
        <f t="shared" si="55"/>
        <v>49</v>
      </c>
      <c r="H485" s="3">
        <f t="shared" si="49"/>
        <v>50.45</v>
      </c>
      <c r="I485" s="3">
        <f t="shared" si="50"/>
        <v>93.345073349199026</v>
      </c>
      <c r="J485" s="3">
        <f t="shared" si="51"/>
        <v>52.691964941569282</v>
      </c>
      <c r="K485" s="3">
        <f t="shared" si="52"/>
        <v>16.128547579298832</v>
      </c>
      <c r="L485" s="12" t="str">
        <f t="shared" si="53"/>
        <v/>
      </c>
      <c r="M485" s="12" t="str">
        <f t="shared" si="54"/>
        <v/>
      </c>
    </row>
    <row r="486" spans="1:13" ht="31.5">
      <c r="A486" s="3">
        <v>477</v>
      </c>
      <c r="B486" s="11" t="s">
        <v>372</v>
      </c>
      <c r="C486" s="3">
        <v>4</v>
      </c>
      <c r="D486" s="3">
        <v>24</v>
      </c>
      <c r="E486" s="11" t="s">
        <v>549</v>
      </c>
      <c r="F486" s="3">
        <v>76</v>
      </c>
      <c r="G486" s="3">
        <f t="shared" si="55"/>
        <v>7</v>
      </c>
      <c r="H486" s="3">
        <f t="shared" si="49"/>
        <v>50.45</v>
      </c>
      <c r="I486" s="3">
        <f t="shared" si="50"/>
        <v>93.345073349199026</v>
      </c>
      <c r="J486" s="3">
        <f t="shared" si="51"/>
        <v>52.691964941569282</v>
      </c>
      <c r="K486" s="3">
        <f t="shared" si="52"/>
        <v>16.128547579298832</v>
      </c>
      <c r="L486" s="12" t="str">
        <f t="shared" si="53"/>
        <v/>
      </c>
      <c r="M486" s="12" t="str">
        <f t="shared" si="54"/>
        <v/>
      </c>
    </row>
    <row r="487" spans="1:13" ht="31.5">
      <c r="A487" s="3">
        <v>478</v>
      </c>
      <c r="B487" s="11" t="s">
        <v>372</v>
      </c>
      <c r="C487" s="3">
        <v>4</v>
      </c>
      <c r="D487" s="3">
        <v>23</v>
      </c>
      <c r="E487" s="11" t="s">
        <v>550</v>
      </c>
      <c r="F487" s="3">
        <v>78</v>
      </c>
      <c r="G487" s="3">
        <f t="shared" si="55"/>
        <v>2</v>
      </c>
      <c r="H487" s="3">
        <f t="shared" si="49"/>
        <v>50.45</v>
      </c>
      <c r="I487" s="3">
        <f t="shared" si="50"/>
        <v>93.345073349199026</v>
      </c>
      <c r="J487" s="3">
        <f t="shared" si="51"/>
        <v>52.691964941569282</v>
      </c>
      <c r="K487" s="3">
        <f t="shared" si="52"/>
        <v>16.128547579298832</v>
      </c>
      <c r="L487" s="12" t="str">
        <f t="shared" si="53"/>
        <v/>
      </c>
      <c r="M487" s="12" t="str">
        <f t="shared" si="54"/>
        <v/>
      </c>
    </row>
    <row r="488" spans="1:13" ht="31.5">
      <c r="A488" s="3">
        <v>479</v>
      </c>
      <c r="B488" s="11" t="s">
        <v>372</v>
      </c>
      <c r="C488" s="3">
        <v>4</v>
      </c>
      <c r="D488" s="3">
        <v>22</v>
      </c>
      <c r="E488" s="11" t="s">
        <v>551</v>
      </c>
      <c r="F488" s="3">
        <v>94</v>
      </c>
      <c r="G488" s="3">
        <f t="shared" si="55"/>
        <v>16</v>
      </c>
      <c r="H488" s="3">
        <f t="shared" si="49"/>
        <v>50.45</v>
      </c>
      <c r="I488" s="3">
        <f t="shared" si="50"/>
        <v>93.345073349199026</v>
      </c>
      <c r="J488" s="3">
        <f t="shared" si="51"/>
        <v>52.691964941569282</v>
      </c>
      <c r="K488" s="3">
        <f t="shared" si="52"/>
        <v>16.128547579298832</v>
      </c>
      <c r="L488" s="12" t="str">
        <f t="shared" si="53"/>
        <v>OOC</v>
      </c>
      <c r="M488" s="12" t="str">
        <f t="shared" si="54"/>
        <v/>
      </c>
    </row>
    <row r="489" spans="1:13" ht="31.5">
      <c r="A489" s="3">
        <v>480</v>
      </c>
      <c r="B489" s="11" t="s">
        <v>372</v>
      </c>
      <c r="C489" s="3">
        <v>4</v>
      </c>
      <c r="D489" s="3">
        <v>21</v>
      </c>
      <c r="E489" s="11" t="s">
        <v>552</v>
      </c>
      <c r="F489" s="3">
        <v>109</v>
      </c>
      <c r="G489" s="3">
        <f t="shared" si="55"/>
        <v>15</v>
      </c>
      <c r="H489" s="3">
        <f t="shared" si="49"/>
        <v>50.45</v>
      </c>
      <c r="I489" s="3">
        <f t="shared" si="50"/>
        <v>93.345073349199026</v>
      </c>
      <c r="J489" s="3">
        <f t="shared" si="51"/>
        <v>52.691964941569282</v>
      </c>
      <c r="K489" s="3">
        <f t="shared" si="52"/>
        <v>16.128547579298832</v>
      </c>
      <c r="L489" s="12" t="str">
        <f t="shared" si="53"/>
        <v>OOC</v>
      </c>
      <c r="M489" s="12" t="str">
        <f t="shared" si="54"/>
        <v/>
      </c>
    </row>
    <row r="490" spans="1:13" ht="31.5">
      <c r="A490" s="3">
        <v>481</v>
      </c>
      <c r="B490" s="11" t="s">
        <v>372</v>
      </c>
      <c r="C490" s="3">
        <v>4</v>
      </c>
      <c r="D490" s="3">
        <v>20</v>
      </c>
      <c r="E490" s="11" t="s">
        <v>553</v>
      </c>
      <c r="F490" s="3">
        <v>28</v>
      </c>
      <c r="G490" s="3">
        <f t="shared" si="55"/>
        <v>81</v>
      </c>
      <c r="H490" s="3">
        <f t="shared" si="49"/>
        <v>50.45</v>
      </c>
      <c r="I490" s="3">
        <f t="shared" si="50"/>
        <v>93.345073349199026</v>
      </c>
      <c r="J490" s="3">
        <f t="shared" si="51"/>
        <v>52.691964941569282</v>
      </c>
      <c r="K490" s="3">
        <f t="shared" si="52"/>
        <v>16.128547579298832</v>
      </c>
      <c r="L490" s="12" t="str">
        <f t="shared" si="53"/>
        <v/>
      </c>
      <c r="M490" s="12" t="str">
        <f t="shared" si="54"/>
        <v/>
      </c>
    </row>
    <row r="491" spans="1:13" ht="31.5">
      <c r="A491" s="3">
        <v>482</v>
      </c>
      <c r="B491" s="11" t="s">
        <v>372</v>
      </c>
      <c r="C491" s="3">
        <v>4</v>
      </c>
      <c r="D491" s="3">
        <v>19</v>
      </c>
      <c r="E491" s="11" t="s">
        <v>554</v>
      </c>
      <c r="F491" s="3">
        <v>29</v>
      </c>
      <c r="G491" s="3">
        <f t="shared" si="55"/>
        <v>1</v>
      </c>
      <c r="H491" s="3">
        <f t="shared" si="49"/>
        <v>50.45</v>
      </c>
      <c r="I491" s="3">
        <f t="shared" si="50"/>
        <v>93.345073349199026</v>
      </c>
      <c r="J491" s="3">
        <f t="shared" si="51"/>
        <v>52.691964941569282</v>
      </c>
      <c r="K491" s="3">
        <f t="shared" si="52"/>
        <v>16.128547579298832</v>
      </c>
      <c r="L491" s="12" t="str">
        <f t="shared" si="53"/>
        <v/>
      </c>
      <c r="M491" s="12" t="str">
        <f t="shared" si="54"/>
        <v/>
      </c>
    </row>
    <row r="492" spans="1:13" ht="31.5">
      <c r="A492" s="3">
        <v>483</v>
      </c>
      <c r="B492" s="11" t="s">
        <v>372</v>
      </c>
      <c r="C492" s="3">
        <v>4</v>
      </c>
      <c r="D492" s="3">
        <v>18</v>
      </c>
      <c r="E492" s="11" t="s">
        <v>555</v>
      </c>
      <c r="F492" s="3">
        <v>45</v>
      </c>
      <c r="G492" s="3">
        <f t="shared" si="55"/>
        <v>16</v>
      </c>
      <c r="H492" s="3">
        <f t="shared" si="49"/>
        <v>50.45</v>
      </c>
      <c r="I492" s="3">
        <f t="shared" si="50"/>
        <v>93.345073349199026</v>
      </c>
      <c r="J492" s="3">
        <f t="shared" si="51"/>
        <v>52.691964941569282</v>
      </c>
      <c r="K492" s="3">
        <f t="shared" si="52"/>
        <v>16.128547579298832</v>
      </c>
      <c r="L492" s="12" t="str">
        <f t="shared" si="53"/>
        <v/>
      </c>
      <c r="M492" s="12" t="str">
        <f t="shared" si="54"/>
        <v/>
      </c>
    </row>
    <row r="493" spans="1:13" ht="31.5">
      <c r="A493" s="3">
        <v>484</v>
      </c>
      <c r="B493" s="11" t="s">
        <v>372</v>
      </c>
      <c r="C493" s="3">
        <v>4</v>
      </c>
      <c r="D493" s="3">
        <v>17</v>
      </c>
      <c r="E493" s="11" t="s">
        <v>556</v>
      </c>
      <c r="F493" s="3">
        <v>42</v>
      </c>
      <c r="G493" s="3">
        <f t="shared" si="55"/>
        <v>3</v>
      </c>
      <c r="H493" s="3">
        <f t="shared" si="49"/>
        <v>50.45</v>
      </c>
      <c r="I493" s="3">
        <f t="shared" si="50"/>
        <v>93.345073349199026</v>
      </c>
      <c r="J493" s="3">
        <f t="shared" si="51"/>
        <v>52.691964941569282</v>
      </c>
      <c r="K493" s="3">
        <f t="shared" si="52"/>
        <v>16.128547579298832</v>
      </c>
      <c r="L493" s="12" t="str">
        <f t="shared" si="53"/>
        <v/>
      </c>
      <c r="M493" s="12" t="str">
        <f t="shared" si="54"/>
        <v/>
      </c>
    </row>
    <row r="494" spans="1:13" ht="31.5">
      <c r="A494" s="3">
        <v>485</v>
      </c>
      <c r="B494" s="11" t="s">
        <v>372</v>
      </c>
      <c r="C494" s="3">
        <v>4</v>
      </c>
      <c r="D494" s="3">
        <v>16</v>
      </c>
      <c r="E494" s="11" t="s">
        <v>557</v>
      </c>
      <c r="F494" s="3">
        <v>19</v>
      </c>
      <c r="G494" s="3">
        <f t="shared" si="55"/>
        <v>23</v>
      </c>
      <c r="H494" s="3">
        <f t="shared" si="49"/>
        <v>50.45</v>
      </c>
      <c r="I494" s="3">
        <f t="shared" si="50"/>
        <v>93.345073349199026</v>
      </c>
      <c r="J494" s="3">
        <f t="shared" si="51"/>
        <v>52.691964941569282</v>
      </c>
      <c r="K494" s="3">
        <f t="shared" si="52"/>
        <v>16.128547579298832</v>
      </c>
      <c r="L494" s="12" t="str">
        <f t="shared" si="53"/>
        <v/>
      </c>
      <c r="M494" s="12" t="str">
        <f t="shared" si="54"/>
        <v/>
      </c>
    </row>
    <row r="495" spans="1:13" ht="31.5">
      <c r="A495" s="3">
        <v>486</v>
      </c>
      <c r="B495" s="11" t="s">
        <v>372</v>
      </c>
      <c r="C495" s="3">
        <v>4</v>
      </c>
      <c r="D495" s="3">
        <v>15</v>
      </c>
      <c r="E495" s="11" t="s">
        <v>558</v>
      </c>
      <c r="F495" s="3">
        <v>36</v>
      </c>
      <c r="G495" s="3">
        <f t="shared" si="55"/>
        <v>17</v>
      </c>
      <c r="H495" s="3">
        <f t="shared" si="49"/>
        <v>50.45</v>
      </c>
      <c r="I495" s="3">
        <f t="shared" si="50"/>
        <v>93.345073349199026</v>
      </c>
      <c r="J495" s="3">
        <f t="shared" si="51"/>
        <v>52.691964941569282</v>
      </c>
      <c r="K495" s="3">
        <f t="shared" si="52"/>
        <v>16.128547579298832</v>
      </c>
      <c r="L495" s="12" t="str">
        <f t="shared" si="53"/>
        <v/>
      </c>
      <c r="M495" s="12" t="str">
        <f t="shared" si="54"/>
        <v/>
      </c>
    </row>
    <row r="496" spans="1:13" ht="31.5">
      <c r="A496" s="3">
        <v>487</v>
      </c>
      <c r="B496" s="11" t="s">
        <v>372</v>
      </c>
      <c r="C496" s="3">
        <v>4</v>
      </c>
      <c r="D496" s="3">
        <v>14</v>
      </c>
      <c r="E496" s="11" t="s">
        <v>559</v>
      </c>
      <c r="F496" s="3">
        <v>21</v>
      </c>
      <c r="G496" s="3">
        <f t="shared" si="55"/>
        <v>15</v>
      </c>
      <c r="H496" s="3">
        <f t="shared" si="49"/>
        <v>50.45</v>
      </c>
      <c r="I496" s="3">
        <f t="shared" si="50"/>
        <v>93.345073349199026</v>
      </c>
      <c r="J496" s="3">
        <f t="shared" si="51"/>
        <v>52.691964941569282</v>
      </c>
      <c r="K496" s="3">
        <f t="shared" si="52"/>
        <v>16.128547579298832</v>
      </c>
      <c r="L496" s="12" t="str">
        <f t="shared" si="53"/>
        <v/>
      </c>
      <c r="M496" s="12" t="str">
        <f t="shared" si="54"/>
        <v/>
      </c>
    </row>
    <row r="497" spans="1:13" ht="31.5">
      <c r="A497" s="3">
        <v>488</v>
      </c>
      <c r="B497" s="11" t="s">
        <v>372</v>
      </c>
      <c r="C497" s="3">
        <v>4</v>
      </c>
      <c r="D497" s="3">
        <v>13</v>
      </c>
      <c r="E497" s="11" t="s">
        <v>560</v>
      </c>
      <c r="F497" s="3">
        <v>34</v>
      </c>
      <c r="G497" s="3">
        <f t="shared" si="55"/>
        <v>13</v>
      </c>
      <c r="H497" s="3">
        <f t="shared" si="49"/>
        <v>50.45</v>
      </c>
      <c r="I497" s="3">
        <f t="shared" si="50"/>
        <v>93.345073349199026</v>
      </c>
      <c r="J497" s="3">
        <f t="shared" si="51"/>
        <v>52.691964941569282</v>
      </c>
      <c r="K497" s="3">
        <f t="shared" si="52"/>
        <v>16.128547579298832</v>
      </c>
      <c r="L497" s="12" t="str">
        <f t="shared" si="53"/>
        <v/>
      </c>
      <c r="M497" s="12" t="str">
        <f t="shared" si="54"/>
        <v/>
      </c>
    </row>
    <row r="498" spans="1:13" ht="31.5">
      <c r="A498" s="3">
        <v>489</v>
      </c>
      <c r="B498" s="11" t="s">
        <v>372</v>
      </c>
      <c r="C498" s="3">
        <v>4</v>
      </c>
      <c r="D498" s="3">
        <v>12</v>
      </c>
      <c r="E498" s="11" t="s">
        <v>561</v>
      </c>
      <c r="F498" s="3">
        <v>43</v>
      </c>
      <c r="G498" s="3">
        <f t="shared" si="55"/>
        <v>9</v>
      </c>
      <c r="H498" s="3">
        <f t="shared" si="49"/>
        <v>50.45</v>
      </c>
      <c r="I498" s="3">
        <f t="shared" si="50"/>
        <v>93.345073349199026</v>
      </c>
      <c r="J498" s="3">
        <f t="shared" si="51"/>
        <v>52.691964941569282</v>
      </c>
      <c r="K498" s="3">
        <f t="shared" si="52"/>
        <v>16.128547579298832</v>
      </c>
      <c r="L498" s="12" t="str">
        <f t="shared" si="53"/>
        <v/>
      </c>
      <c r="M498" s="12" t="str">
        <f t="shared" si="54"/>
        <v/>
      </c>
    </row>
    <row r="499" spans="1:13" ht="31.5">
      <c r="A499" s="3">
        <v>490</v>
      </c>
      <c r="B499" s="11" t="s">
        <v>372</v>
      </c>
      <c r="C499" s="3">
        <v>4</v>
      </c>
      <c r="D499" s="3">
        <v>11</v>
      </c>
      <c r="E499" s="11" t="s">
        <v>562</v>
      </c>
      <c r="F499" s="3">
        <v>41</v>
      </c>
      <c r="G499" s="3">
        <f t="shared" si="55"/>
        <v>2</v>
      </c>
      <c r="H499" s="3">
        <f t="shared" si="49"/>
        <v>50.45</v>
      </c>
      <c r="I499" s="3">
        <f t="shared" si="50"/>
        <v>93.345073349199026</v>
      </c>
      <c r="J499" s="3">
        <f t="shared" si="51"/>
        <v>52.691964941569282</v>
      </c>
      <c r="K499" s="3">
        <f t="shared" si="52"/>
        <v>16.128547579298832</v>
      </c>
      <c r="L499" s="12" t="str">
        <f t="shared" si="53"/>
        <v/>
      </c>
      <c r="M499" s="12" t="str">
        <f t="shared" si="54"/>
        <v/>
      </c>
    </row>
    <row r="500" spans="1:13" ht="31.5">
      <c r="A500" s="3">
        <v>491</v>
      </c>
      <c r="B500" s="11" t="s">
        <v>372</v>
      </c>
      <c r="C500" s="3">
        <v>4</v>
      </c>
      <c r="D500" s="3">
        <v>10</v>
      </c>
      <c r="E500" s="11" t="s">
        <v>563</v>
      </c>
      <c r="F500" s="3">
        <v>31</v>
      </c>
      <c r="G500" s="3">
        <f t="shared" si="55"/>
        <v>10</v>
      </c>
      <c r="H500" s="3">
        <f t="shared" si="49"/>
        <v>50.45</v>
      </c>
      <c r="I500" s="3">
        <f t="shared" si="50"/>
        <v>93.345073349199026</v>
      </c>
      <c r="J500" s="3">
        <f t="shared" si="51"/>
        <v>52.691964941569282</v>
      </c>
      <c r="K500" s="3">
        <f t="shared" si="52"/>
        <v>16.128547579298832</v>
      </c>
      <c r="L500" s="12" t="str">
        <f t="shared" si="53"/>
        <v/>
      </c>
      <c r="M500" s="12" t="str">
        <f t="shared" si="54"/>
        <v/>
      </c>
    </row>
    <row r="501" spans="1:13" ht="31.5">
      <c r="A501" s="3">
        <v>492</v>
      </c>
      <c r="B501" s="11" t="s">
        <v>372</v>
      </c>
      <c r="C501" s="3">
        <v>4</v>
      </c>
      <c r="D501" s="3">
        <v>9</v>
      </c>
      <c r="E501" s="11" t="s">
        <v>564</v>
      </c>
      <c r="F501" s="3">
        <v>37</v>
      </c>
      <c r="G501" s="3">
        <f t="shared" si="55"/>
        <v>6</v>
      </c>
      <c r="H501" s="3">
        <f t="shared" si="49"/>
        <v>50.45</v>
      </c>
      <c r="I501" s="3">
        <f t="shared" si="50"/>
        <v>93.345073349199026</v>
      </c>
      <c r="J501" s="3">
        <f t="shared" si="51"/>
        <v>52.691964941569282</v>
      </c>
      <c r="K501" s="3">
        <f t="shared" si="52"/>
        <v>16.128547579298832</v>
      </c>
      <c r="L501" s="12" t="str">
        <f t="shared" si="53"/>
        <v/>
      </c>
      <c r="M501" s="12" t="str">
        <f t="shared" si="54"/>
        <v/>
      </c>
    </row>
    <row r="502" spans="1:13" ht="31.5">
      <c r="A502" s="3">
        <v>493</v>
      </c>
      <c r="B502" s="11" t="s">
        <v>372</v>
      </c>
      <c r="C502" s="3">
        <v>4</v>
      </c>
      <c r="D502" s="3">
        <v>8</v>
      </c>
      <c r="E502" s="11" t="s">
        <v>565</v>
      </c>
      <c r="F502" s="3">
        <v>42</v>
      </c>
      <c r="G502" s="3">
        <f t="shared" si="55"/>
        <v>5</v>
      </c>
      <c r="H502" s="3">
        <f t="shared" si="49"/>
        <v>50.45</v>
      </c>
      <c r="I502" s="3">
        <f t="shared" si="50"/>
        <v>93.345073349199026</v>
      </c>
      <c r="J502" s="3">
        <f t="shared" si="51"/>
        <v>52.691964941569282</v>
      </c>
      <c r="K502" s="3">
        <f t="shared" si="52"/>
        <v>16.128547579298832</v>
      </c>
      <c r="L502" s="12" t="str">
        <f t="shared" si="53"/>
        <v/>
      </c>
      <c r="M502" s="12" t="str">
        <f t="shared" si="54"/>
        <v/>
      </c>
    </row>
    <row r="503" spans="1:13" ht="31.5">
      <c r="A503" s="3">
        <v>494</v>
      </c>
      <c r="B503" s="11" t="s">
        <v>372</v>
      </c>
      <c r="C503" s="3">
        <v>4</v>
      </c>
      <c r="D503" s="3">
        <v>7</v>
      </c>
      <c r="E503" s="11" t="s">
        <v>566</v>
      </c>
      <c r="F503" s="3">
        <v>43</v>
      </c>
      <c r="G503" s="3">
        <f t="shared" si="55"/>
        <v>1</v>
      </c>
      <c r="H503" s="3">
        <f t="shared" si="49"/>
        <v>50.45</v>
      </c>
      <c r="I503" s="3">
        <f t="shared" si="50"/>
        <v>93.345073349199026</v>
      </c>
      <c r="J503" s="3">
        <f t="shared" si="51"/>
        <v>52.691964941569282</v>
      </c>
      <c r="K503" s="3">
        <f t="shared" si="52"/>
        <v>16.128547579298832</v>
      </c>
      <c r="L503" s="12" t="str">
        <f t="shared" si="53"/>
        <v/>
      </c>
      <c r="M503" s="12" t="str">
        <f t="shared" si="54"/>
        <v/>
      </c>
    </row>
    <row r="504" spans="1:13" ht="31.5">
      <c r="A504" s="3">
        <v>495</v>
      </c>
      <c r="B504" s="11" t="s">
        <v>372</v>
      </c>
      <c r="C504" s="3">
        <v>4</v>
      </c>
      <c r="D504" s="3">
        <v>6</v>
      </c>
      <c r="E504" s="11" t="s">
        <v>567</v>
      </c>
      <c r="F504" s="3">
        <v>46</v>
      </c>
      <c r="G504" s="3">
        <f t="shared" si="55"/>
        <v>3</v>
      </c>
      <c r="H504" s="3">
        <f t="shared" si="49"/>
        <v>50.45</v>
      </c>
      <c r="I504" s="3">
        <f t="shared" si="50"/>
        <v>93.345073349199026</v>
      </c>
      <c r="J504" s="3">
        <f t="shared" si="51"/>
        <v>52.691964941569282</v>
      </c>
      <c r="K504" s="3">
        <f t="shared" si="52"/>
        <v>16.128547579298832</v>
      </c>
      <c r="L504" s="12" t="str">
        <f t="shared" si="53"/>
        <v/>
      </c>
      <c r="M504" s="12" t="str">
        <f t="shared" si="54"/>
        <v/>
      </c>
    </row>
    <row r="505" spans="1:13" ht="31.5">
      <c r="A505" s="3">
        <v>496</v>
      </c>
      <c r="B505" s="11" t="s">
        <v>372</v>
      </c>
      <c r="C505" s="3">
        <v>4</v>
      </c>
      <c r="D505" s="3">
        <v>5</v>
      </c>
      <c r="E505" s="11" t="s">
        <v>568</v>
      </c>
      <c r="F505" s="3">
        <v>52</v>
      </c>
      <c r="G505" s="3">
        <f t="shared" si="55"/>
        <v>6</v>
      </c>
      <c r="H505" s="3">
        <f t="shared" si="49"/>
        <v>50.45</v>
      </c>
      <c r="I505" s="3">
        <f t="shared" si="50"/>
        <v>93.345073349199026</v>
      </c>
      <c r="J505" s="3">
        <f t="shared" si="51"/>
        <v>52.691964941569282</v>
      </c>
      <c r="K505" s="3">
        <f t="shared" si="52"/>
        <v>16.128547579298832</v>
      </c>
      <c r="L505" s="12" t="str">
        <f t="shared" si="53"/>
        <v/>
      </c>
      <c r="M505" s="12" t="str">
        <f t="shared" si="54"/>
        <v/>
      </c>
    </row>
    <row r="506" spans="1:13" ht="31.5">
      <c r="A506" s="3">
        <v>497</v>
      </c>
      <c r="B506" s="11" t="s">
        <v>372</v>
      </c>
      <c r="C506" s="3">
        <v>4</v>
      </c>
      <c r="D506" s="3">
        <v>4</v>
      </c>
      <c r="E506" s="11" t="s">
        <v>569</v>
      </c>
      <c r="F506" s="3">
        <v>55</v>
      </c>
      <c r="G506" s="3">
        <f t="shared" si="55"/>
        <v>3</v>
      </c>
      <c r="H506" s="3">
        <f t="shared" si="49"/>
        <v>50.45</v>
      </c>
      <c r="I506" s="3">
        <f t="shared" si="50"/>
        <v>93.345073349199026</v>
      </c>
      <c r="J506" s="3">
        <f t="shared" si="51"/>
        <v>52.691964941569282</v>
      </c>
      <c r="K506" s="3">
        <f t="shared" si="52"/>
        <v>16.128547579298832</v>
      </c>
      <c r="L506" s="12" t="str">
        <f t="shared" si="53"/>
        <v/>
      </c>
      <c r="M506" s="12" t="str">
        <f t="shared" si="54"/>
        <v/>
      </c>
    </row>
    <row r="507" spans="1:13" ht="31.5">
      <c r="A507" s="3">
        <v>498</v>
      </c>
      <c r="B507" s="11" t="s">
        <v>372</v>
      </c>
      <c r="C507" s="3">
        <v>4</v>
      </c>
      <c r="D507" s="3">
        <v>3</v>
      </c>
      <c r="E507" s="11" t="s">
        <v>570</v>
      </c>
      <c r="F507" s="3">
        <v>58</v>
      </c>
      <c r="G507" s="3">
        <f t="shared" si="55"/>
        <v>3</v>
      </c>
      <c r="H507" s="3">
        <f t="shared" si="49"/>
        <v>50.45</v>
      </c>
      <c r="I507" s="3">
        <f t="shared" si="50"/>
        <v>93.345073349199026</v>
      </c>
      <c r="J507" s="3">
        <f t="shared" si="51"/>
        <v>52.691964941569282</v>
      </c>
      <c r="K507" s="3">
        <f t="shared" si="52"/>
        <v>16.128547579298832</v>
      </c>
      <c r="L507" s="12" t="str">
        <f t="shared" si="53"/>
        <v/>
      </c>
      <c r="M507" s="12" t="str">
        <f t="shared" si="54"/>
        <v/>
      </c>
    </row>
    <row r="508" spans="1:13" ht="31.5">
      <c r="A508" s="3">
        <v>499</v>
      </c>
      <c r="B508" s="11" t="s">
        <v>372</v>
      </c>
      <c r="C508" s="3">
        <v>4</v>
      </c>
      <c r="D508" s="3">
        <v>2</v>
      </c>
      <c r="E508" s="11" t="s">
        <v>571</v>
      </c>
      <c r="F508" s="3">
        <v>65</v>
      </c>
      <c r="G508" s="3">
        <f t="shared" si="55"/>
        <v>7</v>
      </c>
      <c r="H508" s="3">
        <f t="shared" si="49"/>
        <v>50.45</v>
      </c>
      <c r="I508" s="3">
        <f t="shared" si="50"/>
        <v>93.345073349199026</v>
      </c>
      <c r="J508" s="3">
        <f t="shared" si="51"/>
        <v>52.691964941569282</v>
      </c>
      <c r="K508" s="3">
        <f t="shared" si="52"/>
        <v>16.128547579298832</v>
      </c>
      <c r="L508" s="12" t="str">
        <f t="shared" si="53"/>
        <v/>
      </c>
      <c r="M508" s="12" t="str">
        <f t="shared" si="54"/>
        <v/>
      </c>
    </row>
    <row r="509" spans="1:13" ht="31.5">
      <c r="A509" s="3">
        <v>500</v>
      </c>
      <c r="B509" s="11" t="s">
        <v>372</v>
      </c>
      <c r="C509" s="3">
        <v>4</v>
      </c>
      <c r="D509" s="3">
        <v>1</v>
      </c>
      <c r="E509" s="11" t="s">
        <v>572</v>
      </c>
      <c r="F509" s="3">
        <v>66</v>
      </c>
      <c r="G509" s="3">
        <f t="shared" si="55"/>
        <v>1</v>
      </c>
      <c r="H509" s="3">
        <f t="shared" si="49"/>
        <v>50.45</v>
      </c>
      <c r="I509" s="3">
        <f t="shared" si="50"/>
        <v>93.345073349199026</v>
      </c>
      <c r="J509" s="3">
        <f t="shared" si="51"/>
        <v>52.691964941569282</v>
      </c>
      <c r="K509" s="3">
        <f t="shared" si="52"/>
        <v>16.128547579298832</v>
      </c>
      <c r="L509" s="12" t="str">
        <f t="shared" si="53"/>
        <v/>
      </c>
      <c r="M509" s="12" t="str">
        <f t="shared" si="54"/>
        <v/>
      </c>
    </row>
    <row r="510" spans="1:13" ht="31.5">
      <c r="A510" s="3">
        <v>501</v>
      </c>
      <c r="B510" s="11" t="s">
        <v>372</v>
      </c>
      <c r="C510" s="3">
        <v>5</v>
      </c>
      <c r="D510" s="3">
        <v>25</v>
      </c>
      <c r="E510" s="11" t="s">
        <v>573</v>
      </c>
      <c r="F510" s="3">
        <v>63</v>
      </c>
      <c r="G510" s="3">
        <f t="shared" si="55"/>
        <v>3</v>
      </c>
      <c r="H510" s="3">
        <f t="shared" si="49"/>
        <v>50.45</v>
      </c>
      <c r="I510" s="3">
        <f t="shared" si="50"/>
        <v>93.345073349199026</v>
      </c>
      <c r="J510" s="3">
        <f t="shared" si="51"/>
        <v>52.691964941569282</v>
      </c>
      <c r="K510" s="3">
        <f t="shared" si="52"/>
        <v>16.128547579298832</v>
      </c>
      <c r="L510" s="12" t="str">
        <f t="shared" si="53"/>
        <v/>
      </c>
      <c r="M510" s="12" t="str">
        <f t="shared" si="54"/>
        <v/>
      </c>
    </row>
    <row r="511" spans="1:13" ht="31.5">
      <c r="A511" s="3">
        <v>502</v>
      </c>
      <c r="B511" s="11" t="s">
        <v>372</v>
      </c>
      <c r="C511" s="3">
        <v>5</v>
      </c>
      <c r="D511" s="3">
        <v>24</v>
      </c>
      <c r="E511" s="11" t="s">
        <v>574</v>
      </c>
      <c r="F511" s="3">
        <v>25</v>
      </c>
      <c r="G511" s="3">
        <f t="shared" si="55"/>
        <v>38</v>
      </c>
      <c r="H511" s="3">
        <f t="shared" si="49"/>
        <v>50.45</v>
      </c>
      <c r="I511" s="3">
        <f t="shared" si="50"/>
        <v>93.345073349199026</v>
      </c>
      <c r="J511" s="3">
        <f t="shared" si="51"/>
        <v>52.691964941569282</v>
      </c>
      <c r="K511" s="3">
        <f t="shared" si="52"/>
        <v>16.128547579298832</v>
      </c>
      <c r="L511" s="12" t="str">
        <f t="shared" si="53"/>
        <v/>
      </c>
      <c r="M511" s="12" t="str">
        <f t="shared" si="54"/>
        <v/>
      </c>
    </row>
    <row r="512" spans="1:13" ht="31.5">
      <c r="A512" s="3">
        <v>503</v>
      </c>
      <c r="B512" s="11" t="s">
        <v>372</v>
      </c>
      <c r="C512" s="3">
        <v>5</v>
      </c>
      <c r="D512" s="3">
        <v>23</v>
      </c>
      <c r="E512" s="11" t="s">
        <v>575</v>
      </c>
      <c r="F512" s="3">
        <v>20</v>
      </c>
      <c r="G512" s="3">
        <f t="shared" si="55"/>
        <v>5</v>
      </c>
      <c r="H512" s="3">
        <f t="shared" si="49"/>
        <v>50.45</v>
      </c>
      <c r="I512" s="3">
        <f t="shared" si="50"/>
        <v>93.345073349199026</v>
      </c>
      <c r="J512" s="3">
        <f t="shared" si="51"/>
        <v>52.691964941569282</v>
      </c>
      <c r="K512" s="3">
        <f t="shared" si="52"/>
        <v>16.128547579298832</v>
      </c>
      <c r="L512" s="12" t="str">
        <f t="shared" si="53"/>
        <v/>
      </c>
      <c r="M512" s="12" t="str">
        <f t="shared" si="54"/>
        <v/>
      </c>
    </row>
    <row r="513" spans="1:13" ht="31.5">
      <c r="A513" s="3">
        <v>504</v>
      </c>
      <c r="B513" s="11" t="s">
        <v>372</v>
      </c>
      <c r="C513" s="3">
        <v>5</v>
      </c>
      <c r="D513" s="3">
        <v>22</v>
      </c>
      <c r="E513" s="11" t="s">
        <v>576</v>
      </c>
      <c r="F513" s="3">
        <v>32</v>
      </c>
      <c r="G513" s="3">
        <f t="shared" si="55"/>
        <v>12</v>
      </c>
      <c r="H513" s="3">
        <f t="shared" si="49"/>
        <v>50.45</v>
      </c>
      <c r="I513" s="3">
        <f t="shared" si="50"/>
        <v>93.345073349199026</v>
      </c>
      <c r="J513" s="3">
        <f t="shared" si="51"/>
        <v>52.691964941569282</v>
      </c>
      <c r="K513" s="3">
        <f t="shared" si="52"/>
        <v>16.128547579298832</v>
      </c>
      <c r="L513" s="12" t="str">
        <f t="shared" si="53"/>
        <v/>
      </c>
      <c r="M513" s="12" t="str">
        <f t="shared" si="54"/>
        <v/>
      </c>
    </row>
    <row r="514" spans="1:13" ht="31.5">
      <c r="A514" s="3">
        <v>505</v>
      </c>
      <c r="B514" s="11" t="s">
        <v>372</v>
      </c>
      <c r="C514" s="3">
        <v>5</v>
      </c>
      <c r="D514" s="3">
        <v>21</v>
      </c>
      <c r="E514" s="11" t="s">
        <v>577</v>
      </c>
      <c r="F514" s="3">
        <v>33</v>
      </c>
      <c r="G514" s="3">
        <f t="shared" si="55"/>
        <v>1</v>
      </c>
      <c r="H514" s="3">
        <f t="shared" si="49"/>
        <v>50.45</v>
      </c>
      <c r="I514" s="3">
        <f t="shared" si="50"/>
        <v>93.345073349199026</v>
      </c>
      <c r="J514" s="3">
        <f t="shared" si="51"/>
        <v>52.691964941569282</v>
      </c>
      <c r="K514" s="3">
        <f t="shared" si="52"/>
        <v>16.128547579298832</v>
      </c>
      <c r="L514" s="12" t="str">
        <f t="shared" si="53"/>
        <v/>
      </c>
      <c r="M514" s="12" t="str">
        <f t="shared" si="54"/>
        <v/>
      </c>
    </row>
    <row r="515" spans="1:13" ht="31.5">
      <c r="A515" s="3">
        <v>506</v>
      </c>
      <c r="B515" s="11" t="s">
        <v>372</v>
      </c>
      <c r="C515" s="3">
        <v>5</v>
      </c>
      <c r="D515" s="3">
        <v>20</v>
      </c>
      <c r="E515" s="11" t="s">
        <v>578</v>
      </c>
      <c r="F515" s="3">
        <v>29</v>
      </c>
      <c r="G515" s="3">
        <f t="shared" si="55"/>
        <v>4</v>
      </c>
      <c r="H515" s="3">
        <f t="shared" si="49"/>
        <v>50.45</v>
      </c>
      <c r="I515" s="3">
        <f t="shared" si="50"/>
        <v>93.345073349199026</v>
      </c>
      <c r="J515" s="3">
        <f t="shared" si="51"/>
        <v>52.691964941569282</v>
      </c>
      <c r="K515" s="3">
        <f t="shared" si="52"/>
        <v>16.128547579298832</v>
      </c>
      <c r="L515" s="12" t="str">
        <f t="shared" si="53"/>
        <v/>
      </c>
      <c r="M515" s="12" t="str">
        <f t="shared" si="54"/>
        <v/>
      </c>
    </row>
    <row r="516" spans="1:13" ht="31.5">
      <c r="A516" s="3">
        <v>507</v>
      </c>
      <c r="B516" s="11" t="s">
        <v>372</v>
      </c>
      <c r="C516" s="3">
        <v>5</v>
      </c>
      <c r="D516" s="3">
        <v>19</v>
      </c>
      <c r="E516" s="11" t="s">
        <v>579</v>
      </c>
      <c r="F516" s="3">
        <v>21</v>
      </c>
      <c r="G516" s="3">
        <f t="shared" si="55"/>
        <v>8</v>
      </c>
      <c r="H516" s="3">
        <f t="shared" si="49"/>
        <v>50.45</v>
      </c>
      <c r="I516" s="3">
        <f t="shared" si="50"/>
        <v>93.345073349199026</v>
      </c>
      <c r="J516" s="3">
        <f t="shared" si="51"/>
        <v>52.691964941569282</v>
      </c>
      <c r="K516" s="3">
        <f t="shared" si="52"/>
        <v>16.128547579298832</v>
      </c>
      <c r="L516" s="12" t="str">
        <f t="shared" si="53"/>
        <v/>
      </c>
      <c r="M516" s="12" t="str">
        <f t="shared" si="54"/>
        <v/>
      </c>
    </row>
    <row r="517" spans="1:13" ht="31.5">
      <c r="A517" s="3">
        <v>508</v>
      </c>
      <c r="B517" s="11" t="s">
        <v>372</v>
      </c>
      <c r="C517" s="3">
        <v>5</v>
      </c>
      <c r="D517" s="3">
        <v>18</v>
      </c>
      <c r="E517" s="11" t="s">
        <v>580</v>
      </c>
      <c r="F517" s="3">
        <v>52</v>
      </c>
      <c r="G517" s="3">
        <f t="shared" si="55"/>
        <v>31</v>
      </c>
      <c r="H517" s="3">
        <f t="shared" si="49"/>
        <v>50.45</v>
      </c>
      <c r="I517" s="3">
        <f t="shared" si="50"/>
        <v>93.345073349199026</v>
      </c>
      <c r="J517" s="3">
        <f t="shared" si="51"/>
        <v>52.691964941569282</v>
      </c>
      <c r="K517" s="3">
        <f t="shared" si="52"/>
        <v>16.128547579298832</v>
      </c>
      <c r="L517" s="12" t="str">
        <f t="shared" si="53"/>
        <v/>
      </c>
      <c r="M517" s="12" t="str">
        <f t="shared" si="54"/>
        <v/>
      </c>
    </row>
    <row r="518" spans="1:13" ht="31.5">
      <c r="A518" s="3">
        <v>509</v>
      </c>
      <c r="B518" s="11" t="s">
        <v>372</v>
      </c>
      <c r="C518" s="3">
        <v>5</v>
      </c>
      <c r="D518" s="3">
        <v>17</v>
      </c>
      <c r="E518" s="11" t="s">
        <v>581</v>
      </c>
      <c r="F518" s="3">
        <v>26</v>
      </c>
      <c r="G518" s="3">
        <f t="shared" si="55"/>
        <v>26</v>
      </c>
      <c r="H518" s="3">
        <f t="shared" si="49"/>
        <v>50.45</v>
      </c>
      <c r="I518" s="3">
        <f t="shared" si="50"/>
        <v>93.345073349199026</v>
      </c>
      <c r="J518" s="3">
        <f t="shared" si="51"/>
        <v>52.691964941569282</v>
      </c>
      <c r="K518" s="3">
        <f t="shared" si="52"/>
        <v>16.128547579298832</v>
      </c>
      <c r="L518" s="12" t="str">
        <f t="shared" si="53"/>
        <v/>
      </c>
      <c r="M518" s="12" t="str">
        <f t="shared" si="54"/>
        <v/>
      </c>
    </row>
    <row r="519" spans="1:13" ht="31.5">
      <c r="A519" s="3">
        <v>510</v>
      </c>
      <c r="B519" s="11" t="s">
        <v>372</v>
      </c>
      <c r="C519" s="3">
        <v>5</v>
      </c>
      <c r="D519" s="3">
        <v>16</v>
      </c>
      <c r="E519" s="11" t="s">
        <v>582</v>
      </c>
      <c r="F519" s="3">
        <v>20</v>
      </c>
      <c r="G519" s="3">
        <f t="shared" si="55"/>
        <v>6</v>
      </c>
      <c r="H519" s="3">
        <f t="shared" si="49"/>
        <v>50.45</v>
      </c>
      <c r="I519" s="3">
        <f t="shared" si="50"/>
        <v>93.345073349199026</v>
      </c>
      <c r="J519" s="3">
        <f t="shared" si="51"/>
        <v>52.691964941569282</v>
      </c>
      <c r="K519" s="3">
        <f t="shared" si="52"/>
        <v>16.128547579298832</v>
      </c>
      <c r="L519" s="12" t="str">
        <f t="shared" si="53"/>
        <v/>
      </c>
      <c r="M519" s="12" t="str">
        <f t="shared" si="54"/>
        <v/>
      </c>
    </row>
    <row r="520" spans="1:13" ht="31.5">
      <c r="A520" s="3">
        <v>511</v>
      </c>
      <c r="B520" s="11" t="s">
        <v>372</v>
      </c>
      <c r="C520" s="3">
        <v>5</v>
      </c>
      <c r="D520" s="3">
        <v>15</v>
      </c>
      <c r="E520" s="11" t="s">
        <v>583</v>
      </c>
      <c r="F520" s="3">
        <v>34</v>
      </c>
      <c r="G520" s="3">
        <f t="shared" si="55"/>
        <v>14</v>
      </c>
      <c r="H520" s="3">
        <f t="shared" si="49"/>
        <v>50.45</v>
      </c>
      <c r="I520" s="3">
        <f t="shared" si="50"/>
        <v>93.345073349199026</v>
      </c>
      <c r="J520" s="3">
        <f t="shared" si="51"/>
        <v>52.691964941569282</v>
      </c>
      <c r="K520" s="3">
        <f t="shared" si="52"/>
        <v>16.128547579298832</v>
      </c>
      <c r="L520" s="12" t="str">
        <f t="shared" si="53"/>
        <v/>
      </c>
      <c r="M520" s="12" t="str">
        <f t="shared" si="54"/>
        <v/>
      </c>
    </row>
    <row r="521" spans="1:13" ht="31.5">
      <c r="A521" s="3">
        <v>512</v>
      </c>
      <c r="B521" s="11" t="s">
        <v>372</v>
      </c>
      <c r="C521" s="3">
        <v>5</v>
      </c>
      <c r="D521" s="3">
        <v>14</v>
      </c>
      <c r="E521" s="11" t="s">
        <v>584</v>
      </c>
      <c r="F521" s="3">
        <v>30</v>
      </c>
      <c r="G521" s="3">
        <f t="shared" si="55"/>
        <v>4</v>
      </c>
      <c r="H521" s="3">
        <f t="shared" si="49"/>
        <v>50.45</v>
      </c>
      <c r="I521" s="3">
        <f t="shared" si="50"/>
        <v>93.345073349199026</v>
      </c>
      <c r="J521" s="3">
        <f t="shared" si="51"/>
        <v>52.691964941569282</v>
      </c>
      <c r="K521" s="3">
        <f t="shared" si="52"/>
        <v>16.128547579298832</v>
      </c>
      <c r="L521" s="12" t="str">
        <f t="shared" si="53"/>
        <v/>
      </c>
      <c r="M521" s="12" t="str">
        <f t="shared" si="54"/>
        <v/>
      </c>
    </row>
    <row r="522" spans="1:13" ht="31.5">
      <c r="A522" s="3">
        <v>513</v>
      </c>
      <c r="B522" s="11" t="s">
        <v>372</v>
      </c>
      <c r="C522" s="3">
        <v>5</v>
      </c>
      <c r="D522" s="3">
        <v>13</v>
      </c>
      <c r="E522" s="11" t="s">
        <v>585</v>
      </c>
      <c r="F522" s="3">
        <v>30</v>
      </c>
      <c r="G522" s="3">
        <f t="shared" si="55"/>
        <v>0</v>
      </c>
      <c r="H522" s="3">
        <f t="shared" ref="H522:H585" si="56">$Q$3</f>
        <v>50.45</v>
      </c>
      <c r="I522" s="3">
        <f t="shared" ref="I522:I585" si="57">$Q$6</f>
        <v>93.345073349199026</v>
      </c>
      <c r="J522" s="3">
        <f t="shared" ref="J522:J585" si="58">$Q$7</f>
        <v>52.691964941569282</v>
      </c>
      <c r="K522" s="3">
        <f t="shared" ref="K522:K585" si="59">$Q$4</f>
        <v>16.128547579298832</v>
      </c>
      <c r="L522" s="12" t="str">
        <f t="shared" ref="L522:L585" si="60">IF(F522&gt;$Q$6,"OOC","" )</f>
        <v/>
      </c>
      <c r="M522" s="12" t="str">
        <f t="shared" ref="M522:M585" si="61">IF(F522&gt;$B$3,"OOS","" )</f>
        <v/>
      </c>
    </row>
    <row r="523" spans="1:13" ht="31.5">
      <c r="A523" s="3">
        <v>514</v>
      </c>
      <c r="B523" s="11" t="s">
        <v>372</v>
      </c>
      <c r="C523" s="3">
        <v>5</v>
      </c>
      <c r="D523" s="3">
        <v>12</v>
      </c>
      <c r="E523" s="11" t="s">
        <v>586</v>
      </c>
      <c r="F523" s="3">
        <v>15</v>
      </c>
      <c r="G523" s="3">
        <f t="shared" ref="G523:G586" si="62">ABS(F523-F522)</f>
        <v>15</v>
      </c>
      <c r="H523" s="3">
        <f t="shared" si="56"/>
        <v>50.45</v>
      </c>
      <c r="I523" s="3">
        <f t="shared" si="57"/>
        <v>93.345073349199026</v>
      </c>
      <c r="J523" s="3">
        <f t="shared" si="58"/>
        <v>52.691964941569282</v>
      </c>
      <c r="K523" s="3">
        <f t="shared" si="59"/>
        <v>16.128547579298832</v>
      </c>
      <c r="L523" s="12" t="str">
        <f t="shared" si="60"/>
        <v/>
      </c>
      <c r="M523" s="12" t="str">
        <f t="shared" si="61"/>
        <v/>
      </c>
    </row>
    <row r="524" spans="1:13" ht="31.5">
      <c r="A524" s="3">
        <v>515</v>
      </c>
      <c r="B524" s="11" t="s">
        <v>372</v>
      </c>
      <c r="C524" s="3">
        <v>5</v>
      </c>
      <c r="D524" s="3">
        <v>11</v>
      </c>
      <c r="E524" s="11" t="s">
        <v>587</v>
      </c>
      <c r="F524" s="3">
        <v>25</v>
      </c>
      <c r="G524" s="3">
        <f t="shared" si="62"/>
        <v>10</v>
      </c>
      <c r="H524" s="3">
        <f t="shared" si="56"/>
        <v>50.45</v>
      </c>
      <c r="I524" s="3">
        <f t="shared" si="57"/>
        <v>93.345073349199026</v>
      </c>
      <c r="J524" s="3">
        <f t="shared" si="58"/>
        <v>52.691964941569282</v>
      </c>
      <c r="K524" s="3">
        <f t="shared" si="59"/>
        <v>16.128547579298832</v>
      </c>
      <c r="L524" s="12" t="str">
        <f t="shared" si="60"/>
        <v/>
      </c>
      <c r="M524" s="12" t="str">
        <f t="shared" si="61"/>
        <v/>
      </c>
    </row>
    <row r="525" spans="1:13" ht="31.5">
      <c r="A525" s="3">
        <v>516</v>
      </c>
      <c r="B525" s="11" t="s">
        <v>372</v>
      </c>
      <c r="C525" s="3">
        <v>5</v>
      </c>
      <c r="D525" s="3">
        <v>10</v>
      </c>
      <c r="E525" s="11" t="s">
        <v>588</v>
      </c>
      <c r="F525" s="3">
        <v>33</v>
      </c>
      <c r="G525" s="3">
        <f t="shared" si="62"/>
        <v>8</v>
      </c>
      <c r="H525" s="3">
        <f t="shared" si="56"/>
        <v>50.45</v>
      </c>
      <c r="I525" s="3">
        <f t="shared" si="57"/>
        <v>93.345073349199026</v>
      </c>
      <c r="J525" s="3">
        <f t="shared" si="58"/>
        <v>52.691964941569282</v>
      </c>
      <c r="K525" s="3">
        <f t="shared" si="59"/>
        <v>16.128547579298832</v>
      </c>
      <c r="L525" s="12" t="str">
        <f t="shared" si="60"/>
        <v/>
      </c>
      <c r="M525" s="12" t="str">
        <f t="shared" si="61"/>
        <v/>
      </c>
    </row>
    <row r="526" spans="1:13" ht="31.5">
      <c r="A526" s="3">
        <v>517</v>
      </c>
      <c r="B526" s="11" t="s">
        <v>372</v>
      </c>
      <c r="C526" s="3">
        <v>5</v>
      </c>
      <c r="D526" s="3">
        <v>9</v>
      </c>
      <c r="E526" s="11" t="s">
        <v>589</v>
      </c>
      <c r="F526" s="3">
        <v>26</v>
      </c>
      <c r="G526" s="3">
        <f t="shared" si="62"/>
        <v>7</v>
      </c>
      <c r="H526" s="3">
        <f t="shared" si="56"/>
        <v>50.45</v>
      </c>
      <c r="I526" s="3">
        <f t="shared" si="57"/>
        <v>93.345073349199026</v>
      </c>
      <c r="J526" s="3">
        <f t="shared" si="58"/>
        <v>52.691964941569282</v>
      </c>
      <c r="K526" s="3">
        <f t="shared" si="59"/>
        <v>16.128547579298832</v>
      </c>
      <c r="L526" s="12" t="str">
        <f t="shared" si="60"/>
        <v/>
      </c>
      <c r="M526" s="12" t="str">
        <f t="shared" si="61"/>
        <v/>
      </c>
    </row>
    <row r="527" spans="1:13" ht="31.5">
      <c r="A527" s="3">
        <v>518</v>
      </c>
      <c r="B527" s="11" t="s">
        <v>372</v>
      </c>
      <c r="C527" s="3">
        <v>5</v>
      </c>
      <c r="D527" s="3">
        <v>8</v>
      </c>
      <c r="E527" s="11" t="s">
        <v>590</v>
      </c>
      <c r="F527" s="3">
        <v>30</v>
      </c>
      <c r="G527" s="3">
        <f t="shared" si="62"/>
        <v>4</v>
      </c>
      <c r="H527" s="3">
        <f t="shared" si="56"/>
        <v>50.45</v>
      </c>
      <c r="I527" s="3">
        <f t="shared" si="57"/>
        <v>93.345073349199026</v>
      </c>
      <c r="J527" s="3">
        <f t="shared" si="58"/>
        <v>52.691964941569282</v>
      </c>
      <c r="K527" s="3">
        <f t="shared" si="59"/>
        <v>16.128547579298832</v>
      </c>
      <c r="L527" s="12" t="str">
        <f t="shared" si="60"/>
        <v/>
      </c>
      <c r="M527" s="12" t="str">
        <f t="shared" si="61"/>
        <v/>
      </c>
    </row>
    <row r="528" spans="1:13" ht="31.5">
      <c r="A528" s="3">
        <v>519</v>
      </c>
      <c r="B528" s="11" t="s">
        <v>372</v>
      </c>
      <c r="C528" s="3">
        <v>5</v>
      </c>
      <c r="D528" s="3">
        <v>7</v>
      </c>
      <c r="E528" s="11" t="s">
        <v>591</v>
      </c>
      <c r="F528" s="3">
        <v>41</v>
      </c>
      <c r="G528" s="3">
        <f t="shared" si="62"/>
        <v>11</v>
      </c>
      <c r="H528" s="3">
        <f t="shared" si="56"/>
        <v>50.45</v>
      </c>
      <c r="I528" s="3">
        <f t="shared" si="57"/>
        <v>93.345073349199026</v>
      </c>
      <c r="J528" s="3">
        <f t="shared" si="58"/>
        <v>52.691964941569282</v>
      </c>
      <c r="K528" s="3">
        <f t="shared" si="59"/>
        <v>16.128547579298832</v>
      </c>
      <c r="L528" s="12" t="str">
        <f t="shared" si="60"/>
        <v/>
      </c>
      <c r="M528" s="12" t="str">
        <f t="shared" si="61"/>
        <v/>
      </c>
    </row>
    <row r="529" spans="1:13" ht="31.5">
      <c r="A529" s="3">
        <v>520</v>
      </c>
      <c r="B529" s="11" t="s">
        <v>372</v>
      </c>
      <c r="C529" s="3">
        <v>5</v>
      </c>
      <c r="D529" s="3">
        <v>6</v>
      </c>
      <c r="E529" s="11" t="s">
        <v>592</v>
      </c>
      <c r="F529" s="3">
        <v>19</v>
      </c>
      <c r="G529" s="3">
        <f t="shared" si="62"/>
        <v>22</v>
      </c>
      <c r="H529" s="3">
        <f t="shared" si="56"/>
        <v>50.45</v>
      </c>
      <c r="I529" s="3">
        <f t="shared" si="57"/>
        <v>93.345073349199026</v>
      </c>
      <c r="J529" s="3">
        <f t="shared" si="58"/>
        <v>52.691964941569282</v>
      </c>
      <c r="K529" s="3">
        <f t="shared" si="59"/>
        <v>16.128547579298832</v>
      </c>
      <c r="L529" s="12" t="str">
        <f t="shared" si="60"/>
        <v/>
      </c>
      <c r="M529" s="12" t="str">
        <f t="shared" si="61"/>
        <v/>
      </c>
    </row>
    <row r="530" spans="1:13" ht="31.5">
      <c r="A530" s="3">
        <v>521</v>
      </c>
      <c r="B530" s="11" t="s">
        <v>372</v>
      </c>
      <c r="C530" s="3">
        <v>5</v>
      </c>
      <c r="D530" s="3">
        <v>5</v>
      </c>
      <c r="E530" s="11" t="s">
        <v>593</v>
      </c>
      <c r="F530" s="3">
        <v>31</v>
      </c>
      <c r="G530" s="3">
        <f t="shared" si="62"/>
        <v>12</v>
      </c>
      <c r="H530" s="3">
        <f t="shared" si="56"/>
        <v>50.45</v>
      </c>
      <c r="I530" s="3">
        <f t="shared" si="57"/>
        <v>93.345073349199026</v>
      </c>
      <c r="J530" s="3">
        <f t="shared" si="58"/>
        <v>52.691964941569282</v>
      </c>
      <c r="K530" s="3">
        <f t="shared" si="59"/>
        <v>16.128547579298832</v>
      </c>
      <c r="L530" s="12" t="str">
        <f t="shared" si="60"/>
        <v/>
      </c>
      <c r="M530" s="12" t="str">
        <f t="shared" si="61"/>
        <v/>
      </c>
    </row>
    <row r="531" spans="1:13" ht="31.5">
      <c r="A531" s="3">
        <v>522</v>
      </c>
      <c r="B531" s="11" t="s">
        <v>372</v>
      </c>
      <c r="C531" s="3">
        <v>5</v>
      </c>
      <c r="D531" s="3">
        <v>4</v>
      </c>
      <c r="E531" s="11" t="s">
        <v>594</v>
      </c>
      <c r="F531" s="3">
        <v>31</v>
      </c>
      <c r="G531" s="3">
        <f t="shared" si="62"/>
        <v>0</v>
      </c>
      <c r="H531" s="3">
        <f t="shared" si="56"/>
        <v>50.45</v>
      </c>
      <c r="I531" s="3">
        <f t="shared" si="57"/>
        <v>93.345073349199026</v>
      </c>
      <c r="J531" s="3">
        <f t="shared" si="58"/>
        <v>52.691964941569282</v>
      </c>
      <c r="K531" s="3">
        <f t="shared" si="59"/>
        <v>16.128547579298832</v>
      </c>
      <c r="L531" s="12" t="str">
        <f t="shared" si="60"/>
        <v/>
      </c>
      <c r="M531" s="12" t="str">
        <f t="shared" si="61"/>
        <v/>
      </c>
    </row>
    <row r="532" spans="1:13" ht="31.5">
      <c r="A532" s="3">
        <v>523</v>
      </c>
      <c r="B532" s="11" t="s">
        <v>372</v>
      </c>
      <c r="C532" s="3">
        <v>5</v>
      </c>
      <c r="D532" s="3">
        <v>3</v>
      </c>
      <c r="E532" s="11" t="s">
        <v>595</v>
      </c>
      <c r="F532" s="3">
        <v>41</v>
      </c>
      <c r="G532" s="3">
        <f t="shared" si="62"/>
        <v>10</v>
      </c>
      <c r="H532" s="3">
        <f t="shared" si="56"/>
        <v>50.45</v>
      </c>
      <c r="I532" s="3">
        <f t="shared" si="57"/>
        <v>93.345073349199026</v>
      </c>
      <c r="J532" s="3">
        <f t="shared" si="58"/>
        <v>52.691964941569282</v>
      </c>
      <c r="K532" s="3">
        <f t="shared" si="59"/>
        <v>16.128547579298832</v>
      </c>
      <c r="L532" s="12" t="str">
        <f t="shared" si="60"/>
        <v/>
      </c>
      <c r="M532" s="12" t="str">
        <f t="shared" si="61"/>
        <v/>
      </c>
    </row>
    <row r="533" spans="1:13" ht="31.5">
      <c r="A533" s="3">
        <v>524</v>
      </c>
      <c r="B533" s="11" t="s">
        <v>372</v>
      </c>
      <c r="C533" s="3">
        <v>5</v>
      </c>
      <c r="D533" s="3">
        <v>2</v>
      </c>
      <c r="E533" s="11" t="s">
        <v>596</v>
      </c>
      <c r="F533" s="3">
        <v>47</v>
      </c>
      <c r="G533" s="3">
        <f t="shared" si="62"/>
        <v>6</v>
      </c>
      <c r="H533" s="3">
        <f t="shared" si="56"/>
        <v>50.45</v>
      </c>
      <c r="I533" s="3">
        <f t="shared" si="57"/>
        <v>93.345073349199026</v>
      </c>
      <c r="J533" s="3">
        <f t="shared" si="58"/>
        <v>52.691964941569282</v>
      </c>
      <c r="K533" s="3">
        <f t="shared" si="59"/>
        <v>16.128547579298832</v>
      </c>
      <c r="L533" s="12" t="str">
        <f t="shared" si="60"/>
        <v/>
      </c>
      <c r="M533" s="12" t="str">
        <f t="shared" si="61"/>
        <v/>
      </c>
    </row>
    <row r="534" spans="1:13" ht="31.5">
      <c r="A534" s="3">
        <v>525</v>
      </c>
      <c r="B534" s="11" t="s">
        <v>372</v>
      </c>
      <c r="C534" s="3">
        <v>5</v>
      </c>
      <c r="D534" s="3">
        <v>1</v>
      </c>
      <c r="E534" s="11" t="s">
        <v>597</v>
      </c>
      <c r="F534" s="3">
        <v>47</v>
      </c>
      <c r="G534" s="3">
        <f t="shared" si="62"/>
        <v>0</v>
      </c>
      <c r="H534" s="3">
        <f t="shared" si="56"/>
        <v>50.45</v>
      </c>
      <c r="I534" s="3">
        <f t="shared" si="57"/>
        <v>93.345073349199026</v>
      </c>
      <c r="J534" s="3">
        <f t="shared" si="58"/>
        <v>52.691964941569282</v>
      </c>
      <c r="K534" s="3">
        <f t="shared" si="59"/>
        <v>16.128547579298832</v>
      </c>
      <c r="L534" s="12" t="str">
        <f t="shared" si="60"/>
        <v/>
      </c>
      <c r="M534" s="12" t="str">
        <f t="shared" si="61"/>
        <v/>
      </c>
    </row>
    <row r="535" spans="1:13" ht="31.5">
      <c r="A535" s="3">
        <v>526</v>
      </c>
      <c r="B535" s="11" t="s">
        <v>372</v>
      </c>
      <c r="C535" s="3">
        <v>5</v>
      </c>
      <c r="D535" s="3">
        <v>25</v>
      </c>
      <c r="E535" s="11" t="s">
        <v>598</v>
      </c>
      <c r="F535" s="3">
        <v>94</v>
      </c>
      <c r="G535" s="3">
        <f t="shared" si="62"/>
        <v>47</v>
      </c>
      <c r="H535" s="3">
        <f t="shared" si="56"/>
        <v>50.45</v>
      </c>
      <c r="I535" s="3">
        <f t="shared" si="57"/>
        <v>93.345073349199026</v>
      </c>
      <c r="J535" s="3">
        <f t="shared" si="58"/>
        <v>52.691964941569282</v>
      </c>
      <c r="K535" s="3">
        <f t="shared" si="59"/>
        <v>16.128547579298832</v>
      </c>
      <c r="L535" s="12" t="str">
        <f t="shared" si="60"/>
        <v>OOC</v>
      </c>
      <c r="M535" s="12" t="str">
        <f t="shared" si="61"/>
        <v/>
      </c>
    </row>
    <row r="536" spans="1:13" ht="31.5">
      <c r="A536" s="3">
        <v>527</v>
      </c>
      <c r="B536" s="11" t="s">
        <v>372</v>
      </c>
      <c r="C536" s="3">
        <v>5</v>
      </c>
      <c r="D536" s="3">
        <v>24</v>
      </c>
      <c r="E536" s="11" t="s">
        <v>599</v>
      </c>
      <c r="F536" s="3">
        <v>83</v>
      </c>
      <c r="G536" s="3">
        <f t="shared" si="62"/>
        <v>11</v>
      </c>
      <c r="H536" s="3">
        <f t="shared" si="56"/>
        <v>50.45</v>
      </c>
      <c r="I536" s="3">
        <f t="shared" si="57"/>
        <v>93.345073349199026</v>
      </c>
      <c r="J536" s="3">
        <f t="shared" si="58"/>
        <v>52.691964941569282</v>
      </c>
      <c r="K536" s="3">
        <f t="shared" si="59"/>
        <v>16.128547579298832</v>
      </c>
      <c r="L536" s="12" t="str">
        <f t="shared" si="60"/>
        <v/>
      </c>
      <c r="M536" s="12" t="str">
        <f t="shared" si="61"/>
        <v/>
      </c>
    </row>
    <row r="537" spans="1:13" ht="31.5">
      <c r="A537" s="3">
        <v>528</v>
      </c>
      <c r="B537" s="11" t="s">
        <v>372</v>
      </c>
      <c r="C537" s="3">
        <v>5</v>
      </c>
      <c r="D537" s="3">
        <v>23</v>
      </c>
      <c r="E537" s="11" t="s">
        <v>600</v>
      </c>
      <c r="F537" s="3">
        <v>97</v>
      </c>
      <c r="G537" s="3">
        <f t="shared" si="62"/>
        <v>14</v>
      </c>
      <c r="H537" s="3">
        <f t="shared" si="56"/>
        <v>50.45</v>
      </c>
      <c r="I537" s="3">
        <f t="shared" si="57"/>
        <v>93.345073349199026</v>
      </c>
      <c r="J537" s="3">
        <f t="shared" si="58"/>
        <v>52.691964941569282</v>
      </c>
      <c r="K537" s="3">
        <f t="shared" si="59"/>
        <v>16.128547579298832</v>
      </c>
      <c r="L537" s="12" t="str">
        <f t="shared" si="60"/>
        <v>OOC</v>
      </c>
      <c r="M537" s="12" t="str">
        <f t="shared" si="61"/>
        <v/>
      </c>
    </row>
    <row r="538" spans="1:13" ht="31.5">
      <c r="A538" s="3">
        <v>529</v>
      </c>
      <c r="B538" s="11" t="s">
        <v>372</v>
      </c>
      <c r="C538" s="3">
        <v>5</v>
      </c>
      <c r="D538" s="3">
        <v>22</v>
      </c>
      <c r="E538" s="11" t="s">
        <v>601</v>
      </c>
      <c r="F538" s="3">
        <v>57</v>
      </c>
      <c r="G538" s="3">
        <f t="shared" si="62"/>
        <v>40</v>
      </c>
      <c r="H538" s="3">
        <f t="shared" si="56"/>
        <v>50.45</v>
      </c>
      <c r="I538" s="3">
        <f t="shared" si="57"/>
        <v>93.345073349199026</v>
      </c>
      <c r="J538" s="3">
        <f t="shared" si="58"/>
        <v>52.691964941569282</v>
      </c>
      <c r="K538" s="3">
        <f t="shared" si="59"/>
        <v>16.128547579298832</v>
      </c>
      <c r="L538" s="12" t="str">
        <f t="shared" si="60"/>
        <v/>
      </c>
      <c r="M538" s="12" t="str">
        <f t="shared" si="61"/>
        <v/>
      </c>
    </row>
    <row r="539" spans="1:13" ht="31.5">
      <c r="A539" s="3">
        <v>530</v>
      </c>
      <c r="B539" s="11" t="s">
        <v>372</v>
      </c>
      <c r="C539" s="3">
        <v>5</v>
      </c>
      <c r="D539" s="3">
        <v>21</v>
      </c>
      <c r="E539" s="11" t="s">
        <v>602</v>
      </c>
      <c r="F539" s="3">
        <v>54</v>
      </c>
      <c r="G539" s="3">
        <f t="shared" si="62"/>
        <v>3</v>
      </c>
      <c r="H539" s="3">
        <f t="shared" si="56"/>
        <v>50.45</v>
      </c>
      <c r="I539" s="3">
        <f t="shared" si="57"/>
        <v>93.345073349199026</v>
      </c>
      <c r="J539" s="3">
        <f t="shared" si="58"/>
        <v>52.691964941569282</v>
      </c>
      <c r="K539" s="3">
        <f t="shared" si="59"/>
        <v>16.128547579298832</v>
      </c>
      <c r="L539" s="12" t="str">
        <f t="shared" si="60"/>
        <v/>
      </c>
      <c r="M539" s="12" t="str">
        <f t="shared" si="61"/>
        <v/>
      </c>
    </row>
    <row r="540" spans="1:13" ht="31.5">
      <c r="A540" s="3">
        <v>531</v>
      </c>
      <c r="B540" s="11" t="s">
        <v>372</v>
      </c>
      <c r="C540" s="3">
        <v>5</v>
      </c>
      <c r="D540" s="3">
        <v>20</v>
      </c>
      <c r="E540" s="11" t="s">
        <v>603</v>
      </c>
      <c r="F540" s="3">
        <v>41</v>
      </c>
      <c r="G540" s="3">
        <f t="shared" si="62"/>
        <v>13</v>
      </c>
      <c r="H540" s="3">
        <f t="shared" si="56"/>
        <v>50.45</v>
      </c>
      <c r="I540" s="3">
        <f t="shared" si="57"/>
        <v>93.345073349199026</v>
      </c>
      <c r="J540" s="3">
        <f t="shared" si="58"/>
        <v>52.691964941569282</v>
      </c>
      <c r="K540" s="3">
        <f t="shared" si="59"/>
        <v>16.128547579298832</v>
      </c>
      <c r="L540" s="12" t="str">
        <f t="shared" si="60"/>
        <v/>
      </c>
      <c r="M540" s="12" t="str">
        <f t="shared" si="61"/>
        <v/>
      </c>
    </row>
    <row r="541" spans="1:13" ht="31.5">
      <c r="A541" s="3">
        <v>532</v>
      </c>
      <c r="B541" s="11" t="s">
        <v>372</v>
      </c>
      <c r="C541" s="3">
        <v>5</v>
      </c>
      <c r="D541" s="3">
        <v>19</v>
      </c>
      <c r="E541" s="11" t="s">
        <v>604</v>
      </c>
      <c r="F541" s="3">
        <v>54</v>
      </c>
      <c r="G541" s="3">
        <f t="shared" si="62"/>
        <v>13</v>
      </c>
      <c r="H541" s="3">
        <f t="shared" si="56"/>
        <v>50.45</v>
      </c>
      <c r="I541" s="3">
        <f t="shared" si="57"/>
        <v>93.345073349199026</v>
      </c>
      <c r="J541" s="3">
        <f t="shared" si="58"/>
        <v>52.691964941569282</v>
      </c>
      <c r="K541" s="3">
        <f t="shared" si="59"/>
        <v>16.128547579298832</v>
      </c>
      <c r="L541" s="12" t="str">
        <f t="shared" si="60"/>
        <v/>
      </c>
      <c r="M541" s="12" t="str">
        <f t="shared" si="61"/>
        <v/>
      </c>
    </row>
    <row r="542" spans="1:13" ht="31.5">
      <c r="A542" s="3">
        <v>533</v>
      </c>
      <c r="B542" s="11" t="s">
        <v>372</v>
      </c>
      <c r="C542" s="3">
        <v>5</v>
      </c>
      <c r="D542" s="3">
        <v>18</v>
      </c>
      <c r="E542" s="11" t="s">
        <v>605</v>
      </c>
      <c r="F542" s="3">
        <v>46</v>
      </c>
      <c r="G542" s="3">
        <f t="shared" si="62"/>
        <v>8</v>
      </c>
      <c r="H542" s="3">
        <f t="shared" si="56"/>
        <v>50.45</v>
      </c>
      <c r="I542" s="3">
        <f t="shared" si="57"/>
        <v>93.345073349199026</v>
      </c>
      <c r="J542" s="3">
        <f t="shared" si="58"/>
        <v>52.691964941569282</v>
      </c>
      <c r="K542" s="3">
        <f t="shared" si="59"/>
        <v>16.128547579298832</v>
      </c>
      <c r="L542" s="12" t="str">
        <f t="shared" si="60"/>
        <v/>
      </c>
      <c r="M542" s="12" t="str">
        <f t="shared" si="61"/>
        <v/>
      </c>
    </row>
    <row r="543" spans="1:13" ht="31.5">
      <c r="A543" s="3">
        <v>534</v>
      </c>
      <c r="B543" s="11" t="s">
        <v>372</v>
      </c>
      <c r="C543" s="3">
        <v>5</v>
      </c>
      <c r="D543" s="3">
        <v>17</v>
      </c>
      <c r="E543" s="11" t="s">
        <v>606</v>
      </c>
      <c r="F543" s="3">
        <v>56</v>
      </c>
      <c r="G543" s="3">
        <f t="shared" si="62"/>
        <v>10</v>
      </c>
      <c r="H543" s="3">
        <f t="shared" si="56"/>
        <v>50.45</v>
      </c>
      <c r="I543" s="3">
        <f t="shared" si="57"/>
        <v>93.345073349199026</v>
      </c>
      <c r="J543" s="3">
        <f t="shared" si="58"/>
        <v>52.691964941569282</v>
      </c>
      <c r="K543" s="3">
        <f t="shared" si="59"/>
        <v>16.128547579298832</v>
      </c>
      <c r="L543" s="12" t="str">
        <f t="shared" si="60"/>
        <v/>
      </c>
      <c r="M543" s="12" t="str">
        <f t="shared" si="61"/>
        <v/>
      </c>
    </row>
    <row r="544" spans="1:13" ht="31.5">
      <c r="A544" s="3">
        <v>535</v>
      </c>
      <c r="B544" s="11" t="s">
        <v>372</v>
      </c>
      <c r="C544" s="3">
        <v>5</v>
      </c>
      <c r="D544" s="3">
        <v>16</v>
      </c>
      <c r="E544" s="11" t="s">
        <v>607</v>
      </c>
      <c r="F544" s="3">
        <v>64</v>
      </c>
      <c r="G544" s="3">
        <f t="shared" si="62"/>
        <v>8</v>
      </c>
      <c r="H544" s="3">
        <f t="shared" si="56"/>
        <v>50.45</v>
      </c>
      <c r="I544" s="3">
        <f t="shared" si="57"/>
        <v>93.345073349199026</v>
      </c>
      <c r="J544" s="3">
        <f t="shared" si="58"/>
        <v>52.691964941569282</v>
      </c>
      <c r="K544" s="3">
        <f t="shared" si="59"/>
        <v>16.128547579298832</v>
      </c>
      <c r="L544" s="12" t="str">
        <f t="shared" si="60"/>
        <v/>
      </c>
      <c r="M544" s="12" t="str">
        <f t="shared" si="61"/>
        <v/>
      </c>
    </row>
    <row r="545" spans="1:13" ht="31.5">
      <c r="A545" s="3">
        <v>536</v>
      </c>
      <c r="B545" s="11" t="s">
        <v>372</v>
      </c>
      <c r="C545" s="3">
        <v>5</v>
      </c>
      <c r="D545" s="3">
        <v>15</v>
      </c>
      <c r="E545" s="11" t="s">
        <v>608</v>
      </c>
      <c r="F545" s="3">
        <v>77</v>
      </c>
      <c r="G545" s="3">
        <f t="shared" si="62"/>
        <v>13</v>
      </c>
      <c r="H545" s="3">
        <f t="shared" si="56"/>
        <v>50.45</v>
      </c>
      <c r="I545" s="3">
        <f t="shared" si="57"/>
        <v>93.345073349199026</v>
      </c>
      <c r="J545" s="3">
        <f t="shared" si="58"/>
        <v>52.691964941569282</v>
      </c>
      <c r="K545" s="3">
        <f t="shared" si="59"/>
        <v>16.128547579298832</v>
      </c>
      <c r="L545" s="12" t="str">
        <f t="shared" si="60"/>
        <v/>
      </c>
      <c r="M545" s="12" t="str">
        <f t="shared" si="61"/>
        <v/>
      </c>
    </row>
    <row r="546" spans="1:13" ht="31.5">
      <c r="A546" s="3">
        <v>537</v>
      </c>
      <c r="B546" s="11" t="s">
        <v>372</v>
      </c>
      <c r="C546" s="3">
        <v>5</v>
      </c>
      <c r="D546" s="3">
        <v>14</v>
      </c>
      <c r="E546" s="11" t="s">
        <v>609</v>
      </c>
      <c r="F546" s="3">
        <v>51</v>
      </c>
      <c r="G546" s="3">
        <f t="shared" si="62"/>
        <v>26</v>
      </c>
      <c r="H546" s="3">
        <f t="shared" si="56"/>
        <v>50.45</v>
      </c>
      <c r="I546" s="3">
        <f t="shared" si="57"/>
        <v>93.345073349199026</v>
      </c>
      <c r="J546" s="3">
        <f t="shared" si="58"/>
        <v>52.691964941569282</v>
      </c>
      <c r="K546" s="3">
        <f t="shared" si="59"/>
        <v>16.128547579298832</v>
      </c>
      <c r="L546" s="12" t="str">
        <f t="shared" si="60"/>
        <v/>
      </c>
      <c r="M546" s="12" t="str">
        <f t="shared" si="61"/>
        <v/>
      </c>
    </row>
    <row r="547" spans="1:13" ht="31.5">
      <c r="A547" s="3">
        <v>538</v>
      </c>
      <c r="B547" s="11" t="s">
        <v>372</v>
      </c>
      <c r="C547" s="3">
        <v>5</v>
      </c>
      <c r="D547" s="3">
        <v>13</v>
      </c>
      <c r="E547" s="11" t="s">
        <v>610</v>
      </c>
      <c r="F547" s="3">
        <v>63</v>
      </c>
      <c r="G547" s="3">
        <f t="shared" si="62"/>
        <v>12</v>
      </c>
      <c r="H547" s="3">
        <f t="shared" si="56"/>
        <v>50.45</v>
      </c>
      <c r="I547" s="3">
        <f t="shared" si="57"/>
        <v>93.345073349199026</v>
      </c>
      <c r="J547" s="3">
        <f t="shared" si="58"/>
        <v>52.691964941569282</v>
      </c>
      <c r="K547" s="3">
        <f t="shared" si="59"/>
        <v>16.128547579298832</v>
      </c>
      <c r="L547" s="12" t="str">
        <f t="shared" si="60"/>
        <v/>
      </c>
      <c r="M547" s="12" t="str">
        <f t="shared" si="61"/>
        <v/>
      </c>
    </row>
    <row r="548" spans="1:13" ht="31.5">
      <c r="A548" s="3">
        <v>539</v>
      </c>
      <c r="B548" s="11" t="s">
        <v>372</v>
      </c>
      <c r="C548" s="3">
        <v>5</v>
      </c>
      <c r="D548" s="3">
        <v>12</v>
      </c>
      <c r="E548" s="11" t="s">
        <v>611</v>
      </c>
      <c r="F548" s="3">
        <v>91</v>
      </c>
      <c r="G548" s="3">
        <f t="shared" si="62"/>
        <v>28</v>
      </c>
      <c r="H548" s="3">
        <f t="shared" si="56"/>
        <v>50.45</v>
      </c>
      <c r="I548" s="3">
        <f t="shared" si="57"/>
        <v>93.345073349199026</v>
      </c>
      <c r="J548" s="3">
        <f t="shared" si="58"/>
        <v>52.691964941569282</v>
      </c>
      <c r="K548" s="3">
        <f t="shared" si="59"/>
        <v>16.128547579298832</v>
      </c>
      <c r="L548" s="12" t="str">
        <f t="shared" si="60"/>
        <v/>
      </c>
      <c r="M548" s="12" t="str">
        <f t="shared" si="61"/>
        <v/>
      </c>
    </row>
    <row r="549" spans="1:13" ht="31.5">
      <c r="A549" s="3">
        <v>540</v>
      </c>
      <c r="B549" s="11" t="s">
        <v>372</v>
      </c>
      <c r="C549" s="3">
        <v>5</v>
      </c>
      <c r="D549" s="3">
        <v>11</v>
      </c>
      <c r="E549" s="11" t="s">
        <v>612</v>
      </c>
      <c r="F549" s="3">
        <v>105</v>
      </c>
      <c r="G549" s="3">
        <f t="shared" si="62"/>
        <v>14</v>
      </c>
      <c r="H549" s="3">
        <f t="shared" si="56"/>
        <v>50.45</v>
      </c>
      <c r="I549" s="3">
        <f t="shared" si="57"/>
        <v>93.345073349199026</v>
      </c>
      <c r="J549" s="3">
        <f t="shared" si="58"/>
        <v>52.691964941569282</v>
      </c>
      <c r="K549" s="3">
        <f t="shared" si="59"/>
        <v>16.128547579298832</v>
      </c>
      <c r="L549" s="12" t="str">
        <f t="shared" si="60"/>
        <v>OOC</v>
      </c>
      <c r="M549" s="12" t="str">
        <f t="shared" si="61"/>
        <v/>
      </c>
    </row>
    <row r="550" spans="1:13" ht="31.5">
      <c r="A550" s="3">
        <v>541</v>
      </c>
      <c r="B550" s="11" t="s">
        <v>372</v>
      </c>
      <c r="C550" s="3">
        <v>5</v>
      </c>
      <c r="D550" s="3">
        <v>10</v>
      </c>
      <c r="E550" s="11" t="s">
        <v>613</v>
      </c>
      <c r="F550" s="3">
        <v>89</v>
      </c>
      <c r="G550" s="3">
        <f t="shared" si="62"/>
        <v>16</v>
      </c>
      <c r="H550" s="3">
        <f t="shared" si="56"/>
        <v>50.45</v>
      </c>
      <c r="I550" s="3">
        <f t="shared" si="57"/>
        <v>93.345073349199026</v>
      </c>
      <c r="J550" s="3">
        <f t="shared" si="58"/>
        <v>52.691964941569282</v>
      </c>
      <c r="K550" s="3">
        <f t="shared" si="59"/>
        <v>16.128547579298832</v>
      </c>
      <c r="L550" s="12" t="str">
        <f t="shared" si="60"/>
        <v/>
      </c>
      <c r="M550" s="12" t="str">
        <f t="shared" si="61"/>
        <v/>
      </c>
    </row>
    <row r="551" spans="1:13" ht="31.5">
      <c r="A551" s="3">
        <v>542</v>
      </c>
      <c r="B551" s="11" t="s">
        <v>372</v>
      </c>
      <c r="C551" s="3">
        <v>5</v>
      </c>
      <c r="D551" s="3">
        <v>9</v>
      </c>
      <c r="E551" s="11" t="s">
        <v>614</v>
      </c>
      <c r="F551" s="3">
        <v>115</v>
      </c>
      <c r="G551" s="3">
        <f t="shared" si="62"/>
        <v>26</v>
      </c>
      <c r="H551" s="3">
        <f t="shared" si="56"/>
        <v>50.45</v>
      </c>
      <c r="I551" s="3">
        <f t="shared" si="57"/>
        <v>93.345073349199026</v>
      </c>
      <c r="J551" s="3">
        <f t="shared" si="58"/>
        <v>52.691964941569282</v>
      </c>
      <c r="K551" s="3">
        <f t="shared" si="59"/>
        <v>16.128547579298832</v>
      </c>
      <c r="L551" s="12" t="str">
        <f t="shared" si="60"/>
        <v>OOC</v>
      </c>
      <c r="M551" s="12" t="str">
        <f t="shared" si="61"/>
        <v/>
      </c>
    </row>
    <row r="552" spans="1:13" ht="31.5">
      <c r="A552" s="3">
        <v>543</v>
      </c>
      <c r="B552" s="11" t="s">
        <v>372</v>
      </c>
      <c r="C552" s="3">
        <v>5</v>
      </c>
      <c r="D552" s="3">
        <v>8</v>
      </c>
      <c r="E552" s="11" t="s">
        <v>615</v>
      </c>
      <c r="F552" s="3">
        <v>134</v>
      </c>
      <c r="G552" s="3">
        <f t="shared" si="62"/>
        <v>19</v>
      </c>
      <c r="H552" s="3">
        <f t="shared" si="56"/>
        <v>50.45</v>
      </c>
      <c r="I552" s="3">
        <f t="shared" si="57"/>
        <v>93.345073349199026</v>
      </c>
      <c r="J552" s="3">
        <f t="shared" si="58"/>
        <v>52.691964941569282</v>
      </c>
      <c r="K552" s="3">
        <f t="shared" si="59"/>
        <v>16.128547579298832</v>
      </c>
      <c r="L552" s="12" t="str">
        <f t="shared" si="60"/>
        <v>OOC</v>
      </c>
      <c r="M552" s="12" t="str">
        <f t="shared" si="61"/>
        <v/>
      </c>
    </row>
    <row r="553" spans="1:13" ht="31.5">
      <c r="A553" s="3">
        <v>544</v>
      </c>
      <c r="B553" s="11" t="s">
        <v>372</v>
      </c>
      <c r="C553" s="3">
        <v>5</v>
      </c>
      <c r="D553" s="3">
        <v>7</v>
      </c>
      <c r="E553" s="11" t="s">
        <v>616</v>
      </c>
      <c r="F553" s="3">
        <v>99</v>
      </c>
      <c r="G553" s="3">
        <f t="shared" si="62"/>
        <v>35</v>
      </c>
      <c r="H553" s="3">
        <f t="shared" si="56"/>
        <v>50.45</v>
      </c>
      <c r="I553" s="3">
        <f t="shared" si="57"/>
        <v>93.345073349199026</v>
      </c>
      <c r="J553" s="3">
        <f t="shared" si="58"/>
        <v>52.691964941569282</v>
      </c>
      <c r="K553" s="3">
        <f t="shared" si="59"/>
        <v>16.128547579298832</v>
      </c>
      <c r="L553" s="12" t="str">
        <f t="shared" si="60"/>
        <v>OOC</v>
      </c>
      <c r="M553" s="12" t="str">
        <f t="shared" si="61"/>
        <v/>
      </c>
    </row>
    <row r="554" spans="1:13" ht="31.5">
      <c r="A554" s="3">
        <v>545</v>
      </c>
      <c r="B554" s="11" t="s">
        <v>372</v>
      </c>
      <c r="C554" s="3">
        <v>5</v>
      </c>
      <c r="D554" s="3">
        <v>6</v>
      </c>
      <c r="E554" s="11" t="s">
        <v>617</v>
      </c>
      <c r="F554" s="3">
        <v>85</v>
      </c>
      <c r="G554" s="3">
        <f t="shared" si="62"/>
        <v>14</v>
      </c>
      <c r="H554" s="3">
        <f t="shared" si="56"/>
        <v>50.45</v>
      </c>
      <c r="I554" s="3">
        <f t="shared" si="57"/>
        <v>93.345073349199026</v>
      </c>
      <c r="J554" s="3">
        <f t="shared" si="58"/>
        <v>52.691964941569282</v>
      </c>
      <c r="K554" s="3">
        <f t="shared" si="59"/>
        <v>16.128547579298832</v>
      </c>
      <c r="L554" s="12" t="str">
        <f t="shared" si="60"/>
        <v/>
      </c>
      <c r="M554" s="12" t="str">
        <f t="shared" si="61"/>
        <v/>
      </c>
    </row>
    <row r="555" spans="1:13" ht="31.5">
      <c r="A555" s="3">
        <v>546</v>
      </c>
      <c r="B555" s="11" t="s">
        <v>372</v>
      </c>
      <c r="C555" s="3">
        <v>5</v>
      </c>
      <c r="D555" s="3">
        <v>5</v>
      </c>
      <c r="E555" s="11" t="s">
        <v>618</v>
      </c>
      <c r="F555" s="3">
        <v>100</v>
      </c>
      <c r="G555" s="3">
        <f t="shared" si="62"/>
        <v>15</v>
      </c>
      <c r="H555" s="3">
        <f t="shared" si="56"/>
        <v>50.45</v>
      </c>
      <c r="I555" s="3">
        <f t="shared" si="57"/>
        <v>93.345073349199026</v>
      </c>
      <c r="J555" s="3">
        <f t="shared" si="58"/>
        <v>52.691964941569282</v>
      </c>
      <c r="K555" s="3">
        <f t="shared" si="59"/>
        <v>16.128547579298832</v>
      </c>
      <c r="L555" s="12" t="str">
        <f t="shared" si="60"/>
        <v>OOC</v>
      </c>
      <c r="M555" s="12" t="str">
        <f t="shared" si="61"/>
        <v/>
      </c>
    </row>
    <row r="556" spans="1:13" ht="31.5">
      <c r="A556" s="3">
        <v>547</v>
      </c>
      <c r="B556" s="11" t="s">
        <v>372</v>
      </c>
      <c r="C556" s="3">
        <v>5</v>
      </c>
      <c r="D556" s="3">
        <v>4</v>
      </c>
      <c r="E556" s="11" t="s">
        <v>619</v>
      </c>
      <c r="F556" s="3">
        <v>71</v>
      </c>
      <c r="G556" s="3">
        <f t="shared" si="62"/>
        <v>29</v>
      </c>
      <c r="H556" s="3">
        <f t="shared" si="56"/>
        <v>50.45</v>
      </c>
      <c r="I556" s="3">
        <f t="shared" si="57"/>
        <v>93.345073349199026</v>
      </c>
      <c r="J556" s="3">
        <f t="shared" si="58"/>
        <v>52.691964941569282</v>
      </c>
      <c r="K556" s="3">
        <f t="shared" si="59"/>
        <v>16.128547579298832</v>
      </c>
      <c r="L556" s="12" t="str">
        <f t="shared" si="60"/>
        <v/>
      </c>
      <c r="M556" s="12" t="str">
        <f t="shared" si="61"/>
        <v/>
      </c>
    </row>
    <row r="557" spans="1:13" ht="31.5">
      <c r="A557" s="3">
        <v>548</v>
      </c>
      <c r="B557" s="11" t="s">
        <v>372</v>
      </c>
      <c r="C557" s="3">
        <v>5</v>
      </c>
      <c r="D557" s="3">
        <v>3</v>
      </c>
      <c r="E557" s="11" t="s">
        <v>620</v>
      </c>
      <c r="F557" s="3">
        <v>120</v>
      </c>
      <c r="G557" s="3">
        <f t="shared" si="62"/>
        <v>49</v>
      </c>
      <c r="H557" s="3">
        <f t="shared" si="56"/>
        <v>50.45</v>
      </c>
      <c r="I557" s="3">
        <f t="shared" si="57"/>
        <v>93.345073349199026</v>
      </c>
      <c r="J557" s="3">
        <f t="shared" si="58"/>
        <v>52.691964941569282</v>
      </c>
      <c r="K557" s="3">
        <f t="shared" si="59"/>
        <v>16.128547579298832</v>
      </c>
      <c r="L557" s="12" t="str">
        <f t="shared" si="60"/>
        <v>OOC</v>
      </c>
      <c r="M557" s="12" t="str">
        <f t="shared" si="61"/>
        <v/>
      </c>
    </row>
    <row r="558" spans="1:13" ht="31.5">
      <c r="A558" s="3">
        <v>549</v>
      </c>
      <c r="B558" s="11" t="s">
        <v>372</v>
      </c>
      <c r="C558" s="3">
        <v>5</v>
      </c>
      <c r="D558" s="3">
        <v>2</v>
      </c>
      <c r="E558" s="11" t="s">
        <v>621</v>
      </c>
      <c r="F558" s="3">
        <v>94</v>
      </c>
      <c r="G558" s="3">
        <f t="shared" si="62"/>
        <v>26</v>
      </c>
      <c r="H558" s="3">
        <f t="shared" si="56"/>
        <v>50.45</v>
      </c>
      <c r="I558" s="3">
        <f t="shared" si="57"/>
        <v>93.345073349199026</v>
      </c>
      <c r="J558" s="3">
        <f t="shared" si="58"/>
        <v>52.691964941569282</v>
      </c>
      <c r="K558" s="3">
        <f t="shared" si="59"/>
        <v>16.128547579298832</v>
      </c>
      <c r="L558" s="12" t="str">
        <f t="shared" si="60"/>
        <v>OOC</v>
      </c>
      <c r="M558" s="12" t="str">
        <f t="shared" si="61"/>
        <v/>
      </c>
    </row>
    <row r="559" spans="1:13" ht="31.5">
      <c r="A559" s="3">
        <v>550</v>
      </c>
      <c r="B559" s="11" t="s">
        <v>372</v>
      </c>
      <c r="C559" s="3">
        <v>5</v>
      </c>
      <c r="D559" s="3">
        <v>1</v>
      </c>
      <c r="E559" s="11" t="s">
        <v>622</v>
      </c>
      <c r="F559" s="3">
        <v>104</v>
      </c>
      <c r="G559" s="3">
        <f t="shared" si="62"/>
        <v>10</v>
      </c>
      <c r="H559" s="3">
        <f t="shared" si="56"/>
        <v>50.45</v>
      </c>
      <c r="I559" s="3">
        <f t="shared" si="57"/>
        <v>93.345073349199026</v>
      </c>
      <c r="J559" s="3">
        <f t="shared" si="58"/>
        <v>52.691964941569282</v>
      </c>
      <c r="K559" s="3">
        <f t="shared" si="59"/>
        <v>16.128547579298832</v>
      </c>
      <c r="L559" s="12" t="str">
        <f t="shared" si="60"/>
        <v>OOC</v>
      </c>
      <c r="M559" s="12" t="str">
        <f t="shared" si="61"/>
        <v/>
      </c>
    </row>
    <row r="560" spans="1:13" ht="31.5">
      <c r="A560" s="3">
        <v>551</v>
      </c>
      <c r="B560" s="11" t="s">
        <v>372</v>
      </c>
      <c r="C560" s="3">
        <v>6</v>
      </c>
      <c r="D560" s="3">
        <v>25</v>
      </c>
      <c r="E560" s="11" t="s">
        <v>623</v>
      </c>
      <c r="F560" s="3">
        <v>28</v>
      </c>
      <c r="G560" s="3">
        <f t="shared" si="62"/>
        <v>76</v>
      </c>
      <c r="H560" s="3">
        <f t="shared" si="56"/>
        <v>50.45</v>
      </c>
      <c r="I560" s="3">
        <f t="shared" si="57"/>
        <v>93.345073349199026</v>
      </c>
      <c r="J560" s="3">
        <f t="shared" si="58"/>
        <v>52.691964941569282</v>
      </c>
      <c r="K560" s="3">
        <f t="shared" si="59"/>
        <v>16.128547579298832</v>
      </c>
      <c r="L560" s="12" t="str">
        <f t="shared" si="60"/>
        <v/>
      </c>
      <c r="M560" s="12" t="str">
        <f t="shared" si="61"/>
        <v/>
      </c>
    </row>
    <row r="561" spans="1:13" ht="31.5">
      <c r="A561" s="3">
        <v>552</v>
      </c>
      <c r="B561" s="11" t="s">
        <v>372</v>
      </c>
      <c r="C561" s="3">
        <v>6</v>
      </c>
      <c r="D561" s="3">
        <v>24</v>
      </c>
      <c r="E561" s="11" t="s">
        <v>624</v>
      </c>
      <c r="F561" s="3">
        <v>42</v>
      </c>
      <c r="G561" s="3">
        <f t="shared" si="62"/>
        <v>14</v>
      </c>
      <c r="H561" s="3">
        <f t="shared" si="56"/>
        <v>50.45</v>
      </c>
      <c r="I561" s="3">
        <f t="shared" si="57"/>
        <v>93.345073349199026</v>
      </c>
      <c r="J561" s="3">
        <f t="shared" si="58"/>
        <v>52.691964941569282</v>
      </c>
      <c r="K561" s="3">
        <f t="shared" si="59"/>
        <v>16.128547579298832</v>
      </c>
      <c r="L561" s="12" t="str">
        <f t="shared" si="60"/>
        <v/>
      </c>
      <c r="M561" s="12" t="str">
        <f t="shared" si="61"/>
        <v/>
      </c>
    </row>
    <row r="562" spans="1:13" ht="31.5">
      <c r="A562" s="3">
        <v>553</v>
      </c>
      <c r="B562" s="11" t="s">
        <v>372</v>
      </c>
      <c r="C562" s="3">
        <v>6</v>
      </c>
      <c r="D562" s="3">
        <v>23</v>
      </c>
      <c r="E562" s="11" t="s">
        <v>625</v>
      </c>
      <c r="F562" s="3">
        <v>61</v>
      </c>
      <c r="G562" s="3">
        <f t="shared" si="62"/>
        <v>19</v>
      </c>
      <c r="H562" s="3">
        <f t="shared" si="56"/>
        <v>50.45</v>
      </c>
      <c r="I562" s="3">
        <f t="shared" si="57"/>
        <v>93.345073349199026</v>
      </c>
      <c r="J562" s="3">
        <f t="shared" si="58"/>
        <v>52.691964941569282</v>
      </c>
      <c r="K562" s="3">
        <f t="shared" si="59"/>
        <v>16.128547579298832</v>
      </c>
      <c r="L562" s="12" t="str">
        <f t="shared" si="60"/>
        <v/>
      </c>
      <c r="M562" s="12" t="str">
        <f t="shared" si="61"/>
        <v/>
      </c>
    </row>
    <row r="563" spans="1:13" ht="31.5">
      <c r="A563" s="3">
        <v>554</v>
      </c>
      <c r="B563" s="11" t="s">
        <v>372</v>
      </c>
      <c r="C563" s="3">
        <v>6</v>
      </c>
      <c r="D563" s="3">
        <v>22</v>
      </c>
      <c r="E563" s="11" t="s">
        <v>626</v>
      </c>
      <c r="F563" s="3">
        <v>56</v>
      </c>
      <c r="G563" s="3">
        <f t="shared" si="62"/>
        <v>5</v>
      </c>
      <c r="H563" s="3">
        <f t="shared" si="56"/>
        <v>50.45</v>
      </c>
      <c r="I563" s="3">
        <f t="shared" si="57"/>
        <v>93.345073349199026</v>
      </c>
      <c r="J563" s="3">
        <f t="shared" si="58"/>
        <v>52.691964941569282</v>
      </c>
      <c r="K563" s="3">
        <f t="shared" si="59"/>
        <v>16.128547579298832</v>
      </c>
      <c r="L563" s="12" t="str">
        <f t="shared" si="60"/>
        <v/>
      </c>
      <c r="M563" s="12" t="str">
        <f t="shared" si="61"/>
        <v/>
      </c>
    </row>
    <row r="564" spans="1:13" ht="31.5">
      <c r="A564" s="3">
        <v>555</v>
      </c>
      <c r="B564" s="11" t="s">
        <v>372</v>
      </c>
      <c r="C564" s="3">
        <v>6</v>
      </c>
      <c r="D564" s="3">
        <v>21</v>
      </c>
      <c r="E564" s="11" t="s">
        <v>627</v>
      </c>
      <c r="F564" s="3">
        <v>55</v>
      </c>
      <c r="G564" s="3">
        <f t="shared" si="62"/>
        <v>1</v>
      </c>
      <c r="H564" s="3">
        <f t="shared" si="56"/>
        <v>50.45</v>
      </c>
      <c r="I564" s="3">
        <f t="shared" si="57"/>
        <v>93.345073349199026</v>
      </c>
      <c r="J564" s="3">
        <f t="shared" si="58"/>
        <v>52.691964941569282</v>
      </c>
      <c r="K564" s="3">
        <f t="shared" si="59"/>
        <v>16.128547579298832</v>
      </c>
      <c r="L564" s="12" t="str">
        <f t="shared" si="60"/>
        <v/>
      </c>
      <c r="M564" s="12" t="str">
        <f t="shared" si="61"/>
        <v/>
      </c>
    </row>
    <row r="565" spans="1:13" ht="31.5">
      <c r="A565" s="3">
        <v>556</v>
      </c>
      <c r="B565" s="11" t="s">
        <v>372</v>
      </c>
      <c r="C565" s="3">
        <v>6</v>
      </c>
      <c r="D565" s="3">
        <v>20</v>
      </c>
      <c r="E565" s="11" t="s">
        <v>628</v>
      </c>
      <c r="F565" s="3">
        <v>57</v>
      </c>
      <c r="G565" s="3">
        <f t="shared" si="62"/>
        <v>2</v>
      </c>
      <c r="H565" s="3">
        <f t="shared" si="56"/>
        <v>50.45</v>
      </c>
      <c r="I565" s="3">
        <f t="shared" si="57"/>
        <v>93.345073349199026</v>
      </c>
      <c r="J565" s="3">
        <f t="shared" si="58"/>
        <v>52.691964941569282</v>
      </c>
      <c r="K565" s="3">
        <f t="shared" si="59"/>
        <v>16.128547579298832</v>
      </c>
      <c r="L565" s="12" t="str">
        <f t="shared" si="60"/>
        <v/>
      </c>
      <c r="M565" s="12" t="str">
        <f t="shared" si="61"/>
        <v/>
      </c>
    </row>
    <row r="566" spans="1:13" ht="31.5">
      <c r="A566" s="3">
        <v>557</v>
      </c>
      <c r="B566" s="11" t="s">
        <v>372</v>
      </c>
      <c r="C566" s="3">
        <v>6</v>
      </c>
      <c r="D566" s="3">
        <v>19</v>
      </c>
      <c r="E566" s="11" t="s">
        <v>629</v>
      </c>
      <c r="F566" s="3">
        <v>97</v>
      </c>
      <c r="G566" s="3">
        <f t="shared" si="62"/>
        <v>40</v>
      </c>
      <c r="H566" s="3">
        <f t="shared" si="56"/>
        <v>50.45</v>
      </c>
      <c r="I566" s="3">
        <f t="shared" si="57"/>
        <v>93.345073349199026</v>
      </c>
      <c r="J566" s="3">
        <f t="shared" si="58"/>
        <v>52.691964941569282</v>
      </c>
      <c r="K566" s="3">
        <f t="shared" si="59"/>
        <v>16.128547579298832</v>
      </c>
      <c r="L566" s="12" t="str">
        <f t="shared" si="60"/>
        <v>OOC</v>
      </c>
      <c r="M566" s="12" t="str">
        <f t="shared" si="61"/>
        <v/>
      </c>
    </row>
    <row r="567" spans="1:13" ht="31.5">
      <c r="A567" s="3">
        <v>558</v>
      </c>
      <c r="B567" s="11" t="s">
        <v>372</v>
      </c>
      <c r="C567" s="3">
        <v>6</v>
      </c>
      <c r="D567" s="3">
        <v>18</v>
      </c>
      <c r="E567" s="11" t="s">
        <v>630</v>
      </c>
      <c r="F567" s="3">
        <v>71</v>
      </c>
      <c r="G567" s="3">
        <f t="shared" si="62"/>
        <v>26</v>
      </c>
      <c r="H567" s="3">
        <f t="shared" si="56"/>
        <v>50.45</v>
      </c>
      <c r="I567" s="3">
        <f t="shared" si="57"/>
        <v>93.345073349199026</v>
      </c>
      <c r="J567" s="3">
        <f t="shared" si="58"/>
        <v>52.691964941569282</v>
      </c>
      <c r="K567" s="3">
        <f t="shared" si="59"/>
        <v>16.128547579298832</v>
      </c>
      <c r="L567" s="12" t="str">
        <f t="shared" si="60"/>
        <v/>
      </c>
      <c r="M567" s="12" t="str">
        <f t="shared" si="61"/>
        <v/>
      </c>
    </row>
    <row r="568" spans="1:13" ht="31.5">
      <c r="A568" s="3">
        <v>559</v>
      </c>
      <c r="B568" s="11" t="s">
        <v>372</v>
      </c>
      <c r="C568" s="3">
        <v>6</v>
      </c>
      <c r="D568" s="3">
        <v>17</v>
      </c>
      <c r="E568" s="11" t="s">
        <v>631</v>
      </c>
      <c r="F568" s="3">
        <v>44</v>
      </c>
      <c r="G568" s="3">
        <f t="shared" si="62"/>
        <v>27</v>
      </c>
      <c r="H568" s="3">
        <f t="shared" si="56"/>
        <v>50.45</v>
      </c>
      <c r="I568" s="3">
        <f t="shared" si="57"/>
        <v>93.345073349199026</v>
      </c>
      <c r="J568" s="3">
        <f t="shared" si="58"/>
        <v>52.691964941569282</v>
      </c>
      <c r="K568" s="3">
        <f t="shared" si="59"/>
        <v>16.128547579298832</v>
      </c>
      <c r="L568" s="12" t="str">
        <f t="shared" si="60"/>
        <v/>
      </c>
      <c r="M568" s="12" t="str">
        <f t="shared" si="61"/>
        <v/>
      </c>
    </row>
    <row r="569" spans="1:13" ht="31.5">
      <c r="A569" s="3">
        <v>560</v>
      </c>
      <c r="B569" s="11" t="s">
        <v>372</v>
      </c>
      <c r="C569" s="3">
        <v>6</v>
      </c>
      <c r="D569" s="3">
        <v>16</v>
      </c>
      <c r="E569" s="11" t="s">
        <v>632</v>
      </c>
      <c r="F569" s="3">
        <v>42</v>
      </c>
      <c r="G569" s="3">
        <f t="shared" si="62"/>
        <v>2</v>
      </c>
      <c r="H569" s="3">
        <f t="shared" si="56"/>
        <v>50.45</v>
      </c>
      <c r="I569" s="3">
        <f t="shared" si="57"/>
        <v>93.345073349199026</v>
      </c>
      <c r="J569" s="3">
        <f t="shared" si="58"/>
        <v>52.691964941569282</v>
      </c>
      <c r="K569" s="3">
        <f t="shared" si="59"/>
        <v>16.128547579298832</v>
      </c>
      <c r="L569" s="12" t="str">
        <f t="shared" si="60"/>
        <v/>
      </c>
      <c r="M569" s="12" t="str">
        <f t="shared" si="61"/>
        <v/>
      </c>
    </row>
    <row r="570" spans="1:13" ht="31.5">
      <c r="A570" s="3">
        <v>561</v>
      </c>
      <c r="B570" s="11" t="s">
        <v>372</v>
      </c>
      <c r="C570" s="3">
        <v>6</v>
      </c>
      <c r="D570" s="3">
        <v>15</v>
      </c>
      <c r="E570" s="11" t="s">
        <v>633</v>
      </c>
      <c r="F570" s="3">
        <v>50</v>
      </c>
      <c r="G570" s="3">
        <f t="shared" si="62"/>
        <v>8</v>
      </c>
      <c r="H570" s="3">
        <f t="shared" si="56"/>
        <v>50.45</v>
      </c>
      <c r="I570" s="3">
        <f t="shared" si="57"/>
        <v>93.345073349199026</v>
      </c>
      <c r="J570" s="3">
        <f t="shared" si="58"/>
        <v>52.691964941569282</v>
      </c>
      <c r="K570" s="3">
        <f t="shared" si="59"/>
        <v>16.128547579298832</v>
      </c>
      <c r="L570" s="12" t="str">
        <f t="shared" si="60"/>
        <v/>
      </c>
      <c r="M570" s="12" t="str">
        <f t="shared" si="61"/>
        <v/>
      </c>
    </row>
    <row r="571" spans="1:13" ht="31.5">
      <c r="A571" s="3">
        <v>562</v>
      </c>
      <c r="B571" s="11" t="s">
        <v>372</v>
      </c>
      <c r="C571" s="3">
        <v>6</v>
      </c>
      <c r="D571" s="3">
        <v>14</v>
      </c>
      <c r="E571" s="11" t="s">
        <v>634</v>
      </c>
      <c r="F571" s="3">
        <v>52</v>
      </c>
      <c r="G571" s="3">
        <f t="shared" si="62"/>
        <v>2</v>
      </c>
      <c r="H571" s="3">
        <f t="shared" si="56"/>
        <v>50.45</v>
      </c>
      <c r="I571" s="3">
        <f t="shared" si="57"/>
        <v>93.345073349199026</v>
      </c>
      <c r="J571" s="3">
        <f t="shared" si="58"/>
        <v>52.691964941569282</v>
      </c>
      <c r="K571" s="3">
        <f t="shared" si="59"/>
        <v>16.128547579298832</v>
      </c>
      <c r="L571" s="12" t="str">
        <f t="shared" si="60"/>
        <v/>
      </c>
      <c r="M571" s="12" t="str">
        <f t="shared" si="61"/>
        <v/>
      </c>
    </row>
    <row r="572" spans="1:13" ht="31.5">
      <c r="A572" s="3">
        <v>563</v>
      </c>
      <c r="B572" s="11" t="s">
        <v>372</v>
      </c>
      <c r="C572" s="3">
        <v>6</v>
      </c>
      <c r="D572" s="3">
        <v>13</v>
      </c>
      <c r="E572" s="11" t="s">
        <v>635</v>
      </c>
      <c r="F572" s="3">
        <v>57</v>
      </c>
      <c r="G572" s="3">
        <f t="shared" si="62"/>
        <v>5</v>
      </c>
      <c r="H572" s="3">
        <f t="shared" si="56"/>
        <v>50.45</v>
      </c>
      <c r="I572" s="3">
        <f t="shared" si="57"/>
        <v>93.345073349199026</v>
      </c>
      <c r="J572" s="3">
        <f t="shared" si="58"/>
        <v>52.691964941569282</v>
      </c>
      <c r="K572" s="3">
        <f t="shared" si="59"/>
        <v>16.128547579298832</v>
      </c>
      <c r="L572" s="12" t="str">
        <f t="shared" si="60"/>
        <v/>
      </c>
      <c r="M572" s="12" t="str">
        <f t="shared" si="61"/>
        <v/>
      </c>
    </row>
    <row r="573" spans="1:13" ht="31.5">
      <c r="A573" s="3">
        <v>564</v>
      </c>
      <c r="B573" s="11" t="s">
        <v>372</v>
      </c>
      <c r="C573" s="3">
        <v>6</v>
      </c>
      <c r="D573" s="3">
        <v>12</v>
      </c>
      <c r="E573" s="11" t="s">
        <v>636</v>
      </c>
      <c r="F573" s="3">
        <v>43</v>
      </c>
      <c r="G573" s="3">
        <f t="shared" si="62"/>
        <v>14</v>
      </c>
      <c r="H573" s="3">
        <f t="shared" si="56"/>
        <v>50.45</v>
      </c>
      <c r="I573" s="3">
        <f t="shared" si="57"/>
        <v>93.345073349199026</v>
      </c>
      <c r="J573" s="3">
        <f t="shared" si="58"/>
        <v>52.691964941569282</v>
      </c>
      <c r="K573" s="3">
        <f t="shared" si="59"/>
        <v>16.128547579298832</v>
      </c>
      <c r="L573" s="12" t="str">
        <f t="shared" si="60"/>
        <v/>
      </c>
      <c r="M573" s="12" t="str">
        <f t="shared" si="61"/>
        <v/>
      </c>
    </row>
    <row r="574" spans="1:13" ht="31.5">
      <c r="A574" s="3">
        <v>565</v>
      </c>
      <c r="B574" s="11" t="s">
        <v>372</v>
      </c>
      <c r="C574" s="3">
        <v>6</v>
      </c>
      <c r="D574" s="3">
        <v>11</v>
      </c>
      <c r="E574" s="11" t="s">
        <v>637</v>
      </c>
      <c r="F574" s="3">
        <v>69</v>
      </c>
      <c r="G574" s="3">
        <f t="shared" si="62"/>
        <v>26</v>
      </c>
      <c r="H574" s="3">
        <f t="shared" si="56"/>
        <v>50.45</v>
      </c>
      <c r="I574" s="3">
        <f t="shared" si="57"/>
        <v>93.345073349199026</v>
      </c>
      <c r="J574" s="3">
        <f t="shared" si="58"/>
        <v>52.691964941569282</v>
      </c>
      <c r="K574" s="3">
        <f t="shared" si="59"/>
        <v>16.128547579298832</v>
      </c>
      <c r="L574" s="12" t="str">
        <f t="shared" si="60"/>
        <v/>
      </c>
      <c r="M574" s="12" t="str">
        <f t="shared" si="61"/>
        <v/>
      </c>
    </row>
    <row r="575" spans="1:13" ht="31.5">
      <c r="A575" s="3">
        <v>566</v>
      </c>
      <c r="B575" s="11" t="s">
        <v>372</v>
      </c>
      <c r="C575" s="3">
        <v>6</v>
      </c>
      <c r="D575" s="3">
        <v>10</v>
      </c>
      <c r="E575" s="11" t="s">
        <v>638</v>
      </c>
      <c r="F575" s="3">
        <v>50</v>
      </c>
      <c r="G575" s="3">
        <f t="shared" si="62"/>
        <v>19</v>
      </c>
      <c r="H575" s="3">
        <f t="shared" si="56"/>
        <v>50.45</v>
      </c>
      <c r="I575" s="3">
        <f t="shared" si="57"/>
        <v>93.345073349199026</v>
      </c>
      <c r="J575" s="3">
        <f t="shared" si="58"/>
        <v>52.691964941569282</v>
      </c>
      <c r="K575" s="3">
        <f t="shared" si="59"/>
        <v>16.128547579298832</v>
      </c>
      <c r="L575" s="12" t="str">
        <f t="shared" si="60"/>
        <v/>
      </c>
      <c r="M575" s="12" t="str">
        <f t="shared" si="61"/>
        <v/>
      </c>
    </row>
    <row r="576" spans="1:13" ht="31.5">
      <c r="A576" s="3">
        <v>567</v>
      </c>
      <c r="B576" s="11" t="s">
        <v>372</v>
      </c>
      <c r="C576" s="3">
        <v>6</v>
      </c>
      <c r="D576" s="3">
        <v>9</v>
      </c>
      <c r="E576" s="11" t="s">
        <v>639</v>
      </c>
      <c r="F576" s="3">
        <v>73</v>
      </c>
      <c r="G576" s="3">
        <f t="shared" si="62"/>
        <v>23</v>
      </c>
      <c r="H576" s="3">
        <f t="shared" si="56"/>
        <v>50.45</v>
      </c>
      <c r="I576" s="3">
        <f t="shared" si="57"/>
        <v>93.345073349199026</v>
      </c>
      <c r="J576" s="3">
        <f t="shared" si="58"/>
        <v>52.691964941569282</v>
      </c>
      <c r="K576" s="3">
        <f t="shared" si="59"/>
        <v>16.128547579298832</v>
      </c>
      <c r="L576" s="12" t="str">
        <f t="shared" si="60"/>
        <v/>
      </c>
      <c r="M576" s="12" t="str">
        <f t="shared" si="61"/>
        <v/>
      </c>
    </row>
    <row r="577" spans="1:13" ht="31.5">
      <c r="A577" s="3">
        <v>568</v>
      </c>
      <c r="B577" s="11" t="s">
        <v>372</v>
      </c>
      <c r="C577" s="3">
        <v>6</v>
      </c>
      <c r="D577" s="3">
        <v>8</v>
      </c>
      <c r="E577" s="11" t="s">
        <v>640</v>
      </c>
      <c r="F577" s="3">
        <v>59</v>
      </c>
      <c r="G577" s="3">
        <f t="shared" si="62"/>
        <v>14</v>
      </c>
      <c r="H577" s="3">
        <f t="shared" si="56"/>
        <v>50.45</v>
      </c>
      <c r="I577" s="3">
        <f t="shared" si="57"/>
        <v>93.345073349199026</v>
      </c>
      <c r="J577" s="3">
        <f t="shared" si="58"/>
        <v>52.691964941569282</v>
      </c>
      <c r="K577" s="3">
        <f t="shared" si="59"/>
        <v>16.128547579298832</v>
      </c>
      <c r="L577" s="12" t="str">
        <f t="shared" si="60"/>
        <v/>
      </c>
      <c r="M577" s="12" t="str">
        <f t="shared" si="61"/>
        <v/>
      </c>
    </row>
    <row r="578" spans="1:13" ht="31.5">
      <c r="A578" s="3">
        <v>569</v>
      </c>
      <c r="B578" s="11" t="s">
        <v>372</v>
      </c>
      <c r="C578" s="3">
        <v>6</v>
      </c>
      <c r="D578" s="3">
        <v>7</v>
      </c>
      <c r="E578" s="11" t="s">
        <v>641</v>
      </c>
      <c r="F578" s="3">
        <v>50</v>
      </c>
      <c r="G578" s="3">
        <f t="shared" si="62"/>
        <v>9</v>
      </c>
      <c r="H578" s="3">
        <f t="shared" si="56"/>
        <v>50.45</v>
      </c>
      <c r="I578" s="3">
        <f t="shared" si="57"/>
        <v>93.345073349199026</v>
      </c>
      <c r="J578" s="3">
        <f t="shared" si="58"/>
        <v>52.691964941569282</v>
      </c>
      <c r="K578" s="3">
        <f t="shared" si="59"/>
        <v>16.128547579298832</v>
      </c>
      <c r="L578" s="12" t="str">
        <f t="shared" si="60"/>
        <v/>
      </c>
      <c r="M578" s="12" t="str">
        <f t="shared" si="61"/>
        <v/>
      </c>
    </row>
    <row r="579" spans="1:13" ht="31.5">
      <c r="A579" s="3">
        <v>570</v>
      </c>
      <c r="B579" s="11" t="s">
        <v>372</v>
      </c>
      <c r="C579" s="3">
        <v>6</v>
      </c>
      <c r="D579" s="3">
        <v>6</v>
      </c>
      <c r="E579" s="11" t="s">
        <v>642</v>
      </c>
      <c r="F579" s="3">
        <v>65</v>
      </c>
      <c r="G579" s="3">
        <f t="shared" si="62"/>
        <v>15</v>
      </c>
      <c r="H579" s="3">
        <f t="shared" si="56"/>
        <v>50.45</v>
      </c>
      <c r="I579" s="3">
        <f t="shared" si="57"/>
        <v>93.345073349199026</v>
      </c>
      <c r="J579" s="3">
        <f t="shared" si="58"/>
        <v>52.691964941569282</v>
      </c>
      <c r="K579" s="3">
        <f t="shared" si="59"/>
        <v>16.128547579298832</v>
      </c>
      <c r="L579" s="12" t="str">
        <f t="shared" si="60"/>
        <v/>
      </c>
      <c r="M579" s="12" t="str">
        <f t="shared" si="61"/>
        <v/>
      </c>
    </row>
    <row r="580" spans="1:13" ht="31.5">
      <c r="A580" s="3">
        <v>571</v>
      </c>
      <c r="B580" s="11" t="s">
        <v>372</v>
      </c>
      <c r="C580" s="3">
        <v>6</v>
      </c>
      <c r="D580" s="3">
        <v>5</v>
      </c>
      <c r="E580" s="11" t="s">
        <v>643</v>
      </c>
      <c r="F580" s="3">
        <v>89</v>
      </c>
      <c r="G580" s="3">
        <f t="shared" si="62"/>
        <v>24</v>
      </c>
      <c r="H580" s="3">
        <f t="shared" si="56"/>
        <v>50.45</v>
      </c>
      <c r="I580" s="3">
        <f t="shared" si="57"/>
        <v>93.345073349199026</v>
      </c>
      <c r="J580" s="3">
        <f t="shared" si="58"/>
        <v>52.691964941569282</v>
      </c>
      <c r="K580" s="3">
        <f t="shared" si="59"/>
        <v>16.128547579298832</v>
      </c>
      <c r="L580" s="12" t="str">
        <f t="shared" si="60"/>
        <v/>
      </c>
      <c r="M580" s="12" t="str">
        <f t="shared" si="61"/>
        <v/>
      </c>
    </row>
    <row r="581" spans="1:13" ht="31.5">
      <c r="A581" s="3">
        <v>572</v>
      </c>
      <c r="B581" s="11" t="s">
        <v>372</v>
      </c>
      <c r="C581" s="3">
        <v>6</v>
      </c>
      <c r="D581" s="3">
        <v>4</v>
      </c>
      <c r="E581" s="11" t="s">
        <v>644</v>
      </c>
      <c r="F581" s="3">
        <v>31</v>
      </c>
      <c r="G581" s="3">
        <f t="shared" si="62"/>
        <v>58</v>
      </c>
      <c r="H581" s="3">
        <f t="shared" si="56"/>
        <v>50.45</v>
      </c>
      <c r="I581" s="3">
        <f t="shared" si="57"/>
        <v>93.345073349199026</v>
      </c>
      <c r="J581" s="3">
        <f t="shared" si="58"/>
        <v>52.691964941569282</v>
      </c>
      <c r="K581" s="3">
        <f t="shared" si="59"/>
        <v>16.128547579298832</v>
      </c>
      <c r="L581" s="12" t="str">
        <f t="shared" si="60"/>
        <v/>
      </c>
      <c r="M581" s="12" t="str">
        <f t="shared" si="61"/>
        <v/>
      </c>
    </row>
    <row r="582" spans="1:13" ht="31.5">
      <c r="A582" s="3">
        <v>573</v>
      </c>
      <c r="B582" s="11" t="s">
        <v>372</v>
      </c>
      <c r="C582" s="3">
        <v>6</v>
      </c>
      <c r="D582" s="3">
        <v>3</v>
      </c>
      <c r="E582" s="11" t="s">
        <v>645</v>
      </c>
      <c r="F582" s="3">
        <v>36</v>
      </c>
      <c r="G582" s="3">
        <f t="shared" si="62"/>
        <v>5</v>
      </c>
      <c r="H582" s="3">
        <f t="shared" si="56"/>
        <v>50.45</v>
      </c>
      <c r="I582" s="3">
        <f t="shared" si="57"/>
        <v>93.345073349199026</v>
      </c>
      <c r="J582" s="3">
        <f t="shared" si="58"/>
        <v>52.691964941569282</v>
      </c>
      <c r="K582" s="3">
        <f t="shared" si="59"/>
        <v>16.128547579298832</v>
      </c>
      <c r="L582" s="12" t="str">
        <f t="shared" si="60"/>
        <v/>
      </c>
      <c r="M582" s="12" t="str">
        <f t="shared" si="61"/>
        <v/>
      </c>
    </row>
    <row r="583" spans="1:13" ht="31.5">
      <c r="A583" s="3">
        <v>574</v>
      </c>
      <c r="B583" s="11" t="s">
        <v>372</v>
      </c>
      <c r="C583" s="3">
        <v>6</v>
      </c>
      <c r="D583" s="3">
        <v>2</v>
      </c>
      <c r="E583" s="11" t="s">
        <v>646</v>
      </c>
      <c r="F583" s="3">
        <v>27</v>
      </c>
      <c r="G583" s="3">
        <f t="shared" si="62"/>
        <v>9</v>
      </c>
      <c r="H583" s="3">
        <f t="shared" si="56"/>
        <v>50.45</v>
      </c>
      <c r="I583" s="3">
        <f t="shared" si="57"/>
        <v>93.345073349199026</v>
      </c>
      <c r="J583" s="3">
        <f t="shared" si="58"/>
        <v>52.691964941569282</v>
      </c>
      <c r="K583" s="3">
        <f t="shared" si="59"/>
        <v>16.128547579298832</v>
      </c>
      <c r="L583" s="12" t="str">
        <f t="shared" si="60"/>
        <v/>
      </c>
      <c r="M583" s="12" t="str">
        <f t="shared" si="61"/>
        <v/>
      </c>
    </row>
    <row r="584" spans="1:13" ht="31.5">
      <c r="A584" s="3">
        <v>575</v>
      </c>
      <c r="B584" s="11" t="s">
        <v>372</v>
      </c>
      <c r="C584" s="3">
        <v>6</v>
      </c>
      <c r="D584" s="3">
        <v>1</v>
      </c>
      <c r="E584" s="11" t="s">
        <v>647</v>
      </c>
      <c r="F584" s="3">
        <v>34</v>
      </c>
      <c r="G584" s="3">
        <f t="shared" si="62"/>
        <v>7</v>
      </c>
      <c r="H584" s="3">
        <f t="shared" si="56"/>
        <v>50.45</v>
      </c>
      <c r="I584" s="3">
        <f t="shared" si="57"/>
        <v>93.345073349199026</v>
      </c>
      <c r="J584" s="3">
        <f t="shared" si="58"/>
        <v>52.691964941569282</v>
      </c>
      <c r="K584" s="3">
        <f t="shared" si="59"/>
        <v>16.128547579298832</v>
      </c>
      <c r="L584" s="12" t="str">
        <f t="shared" si="60"/>
        <v/>
      </c>
      <c r="M584" s="12" t="str">
        <f t="shared" si="61"/>
        <v/>
      </c>
    </row>
    <row r="585" spans="1:13" ht="31.5">
      <c r="A585" s="3">
        <v>576</v>
      </c>
      <c r="B585" s="11" t="s">
        <v>372</v>
      </c>
      <c r="C585" s="3">
        <v>6</v>
      </c>
      <c r="D585" s="3">
        <v>25</v>
      </c>
      <c r="E585" s="11" t="s">
        <v>648</v>
      </c>
      <c r="F585" s="3">
        <v>94</v>
      </c>
      <c r="G585" s="3">
        <f t="shared" si="62"/>
        <v>60</v>
      </c>
      <c r="H585" s="3">
        <f t="shared" si="56"/>
        <v>50.45</v>
      </c>
      <c r="I585" s="3">
        <f t="shared" si="57"/>
        <v>93.345073349199026</v>
      </c>
      <c r="J585" s="3">
        <f t="shared" si="58"/>
        <v>52.691964941569282</v>
      </c>
      <c r="K585" s="3">
        <f t="shared" si="59"/>
        <v>16.128547579298832</v>
      </c>
      <c r="L585" s="12" t="str">
        <f t="shared" si="60"/>
        <v>OOC</v>
      </c>
      <c r="M585" s="12" t="str">
        <f t="shared" si="61"/>
        <v/>
      </c>
    </row>
    <row r="586" spans="1:13" ht="31.5">
      <c r="A586" s="3">
        <v>577</v>
      </c>
      <c r="B586" s="11" t="s">
        <v>372</v>
      </c>
      <c r="C586" s="3">
        <v>6</v>
      </c>
      <c r="D586" s="3">
        <v>24</v>
      </c>
      <c r="E586" s="11" t="s">
        <v>649</v>
      </c>
      <c r="F586" s="3">
        <v>63</v>
      </c>
      <c r="G586" s="3">
        <f t="shared" si="62"/>
        <v>31</v>
      </c>
      <c r="H586" s="3">
        <f t="shared" ref="H586:H609" si="63">$Q$3</f>
        <v>50.45</v>
      </c>
      <c r="I586" s="3">
        <f t="shared" ref="I586:I609" si="64">$Q$6</f>
        <v>93.345073349199026</v>
      </c>
      <c r="J586" s="3">
        <f t="shared" ref="J586:J609" si="65">$Q$7</f>
        <v>52.691964941569282</v>
      </c>
      <c r="K586" s="3">
        <f t="shared" ref="K586:K609" si="66">$Q$4</f>
        <v>16.128547579298832</v>
      </c>
      <c r="L586" s="12" t="str">
        <f t="shared" ref="L586:L609" si="67">IF(F586&gt;$Q$6,"OOC","" )</f>
        <v/>
      </c>
      <c r="M586" s="12" t="str">
        <f t="shared" ref="M586:M609" si="68">IF(F586&gt;$B$3,"OOS","" )</f>
        <v/>
      </c>
    </row>
    <row r="587" spans="1:13" ht="31.5">
      <c r="A587" s="3">
        <v>578</v>
      </c>
      <c r="B587" s="11" t="s">
        <v>372</v>
      </c>
      <c r="C587" s="3">
        <v>6</v>
      </c>
      <c r="D587" s="3">
        <v>23</v>
      </c>
      <c r="E587" s="11" t="s">
        <v>650</v>
      </c>
      <c r="F587" s="3">
        <v>60</v>
      </c>
      <c r="G587" s="3">
        <f t="shared" ref="G587:G609" si="69">ABS(F587-F586)</f>
        <v>3</v>
      </c>
      <c r="H587" s="3">
        <f t="shared" si="63"/>
        <v>50.45</v>
      </c>
      <c r="I587" s="3">
        <f t="shared" si="64"/>
        <v>93.345073349199026</v>
      </c>
      <c r="J587" s="3">
        <f t="shared" si="65"/>
        <v>52.691964941569282</v>
      </c>
      <c r="K587" s="3">
        <f t="shared" si="66"/>
        <v>16.128547579298832</v>
      </c>
      <c r="L587" s="12" t="str">
        <f t="shared" si="67"/>
        <v/>
      </c>
      <c r="M587" s="12" t="str">
        <f t="shared" si="68"/>
        <v/>
      </c>
    </row>
    <row r="588" spans="1:13" ht="31.5">
      <c r="A588" s="3">
        <v>579</v>
      </c>
      <c r="B588" s="11" t="s">
        <v>372</v>
      </c>
      <c r="C588" s="3">
        <v>6</v>
      </c>
      <c r="D588" s="3">
        <v>22</v>
      </c>
      <c r="E588" s="11" t="s">
        <v>651</v>
      </c>
      <c r="F588" s="3">
        <v>105</v>
      </c>
      <c r="G588" s="3">
        <f t="shared" si="69"/>
        <v>45</v>
      </c>
      <c r="H588" s="3">
        <f t="shared" si="63"/>
        <v>50.45</v>
      </c>
      <c r="I588" s="3">
        <f t="shared" si="64"/>
        <v>93.345073349199026</v>
      </c>
      <c r="J588" s="3">
        <f t="shared" si="65"/>
        <v>52.691964941569282</v>
      </c>
      <c r="K588" s="3">
        <f t="shared" si="66"/>
        <v>16.128547579298832</v>
      </c>
      <c r="L588" s="12" t="str">
        <f t="shared" si="67"/>
        <v>OOC</v>
      </c>
      <c r="M588" s="12" t="str">
        <f t="shared" si="68"/>
        <v/>
      </c>
    </row>
    <row r="589" spans="1:13" ht="31.5">
      <c r="A589" s="3">
        <v>580</v>
      </c>
      <c r="B589" s="11" t="s">
        <v>372</v>
      </c>
      <c r="C589" s="3">
        <v>6</v>
      </c>
      <c r="D589" s="3">
        <v>21</v>
      </c>
      <c r="E589" s="11" t="s">
        <v>652</v>
      </c>
      <c r="F589" s="3">
        <v>80</v>
      </c>
      <c r="G589" s="3">
        <f t="shared" si="69"/>
        <v>25</v>
      </c>
      <c r="H589" s="3">
        <f t="shared" si="63"/>
        <v>50.45</v>
      </c>
      <c r="I589" s="3">
        <f t="shared" si="64"/>
        <v>93.345073349199026</v>
      </c>
      <c r="J589" s="3">
        <f t="shared" si="65"/>
        <v>52.691964941569282</v>
      </c>
      <c r="K589" s="3">
        <f t="shared" si="66"/>
        <v>16.128547579298832</v>
      </c>
      <c r="L589" s="12" t="str">
        <f t="shared" si="67"/>
        <v/>
      </c>
      <c r="M589" s="12" t="str">
        <f t="shared" si="68"/>
        <v/>
      </c>
    </row>
    <row r="590" spans="1:13" ht="31.5">
      <c r="A590" s="3">
        <v>581</v>
      </c>
      <c r="B590" s="11" t="s">
        <v>372</v>
      </c>
      <c r="C590" s="3">
        <v>6</v>
      </c>
      <c r="D590" s="3">
        <v>20</v>
      </c>
      <c r="E590" s="11" t="s">
        <v>653</v>
      </c>
      <c r="F590" s="3">
        <v>77</v>
      </c>
      <c r="G590" s="3">
        <f t="shared" si="69"/>
        <v>3</v>
      </c>
      <c r="H590" s="3">
        <f t="shared" si="63"/>
        <v>50.45</v>
      </c>
      <c r="I590" s="3">
        <f t="shared" si="64"/>
        <v>93.345073349199026</v>
      </c>
      <c r="J590" s="3">
        <f t="shared" si="65"/>
        <v>52.691964941569282</v>
      </c>
      <c r="K590" s="3">
        <f t="shared" si="66"/>
        <v>16.128547579298832</v>
      </c>
      <c r="L590" s="12" t="str">
        <f t="shared" si="67"/>
        <v/>
      </c>
      <c r="M590" s="12" t="str">
        <f t="shared" si="68"/>
        <v/>
      </c>
    </row>
    <row r="591" spans="1:13" ht="31.5">
      <c r="A591" s="3">
        <v>582</v>
      </c>
      <c r="B591" s="11" t="s">
        <v>372</v>
      </c>
      <c r="C591" s="3">
        <v>6</v>
      </c>
      <c r="D591" s="3">
        <v>19</v>
      </c>
      <c r="E591" s="11" t="s">
        <v>654</v>
      </c>
      <c r="F591" s="3">
        <v>88</v>
      </c>
      <c r="G591" s="3">
        <f t="shared" si="69"/>
        <v>11</v>
      </c>
      <c r="H591" s="3">
        <f t="shared" si="63"/>
        <v>50.45</v>
      </c>
      <c r="I591" s="3">
        <f t="shared" si="64"/>
        <v>93.345073349199026</v>
      </c>
      <c r="J591" s="3">
        <f t="shared" si="65"/>
        <v>52.691964941569282</v>
      </c>
      <c r="K591" s="3">
        <f t="shared" si="66"/>
        <v>16.128547579298832</v>
      </c>
      <c r="L591" s="12" t="str">
        <f t="shared" si="67"/>
        <v/>
      </c>
      <c r="M591" s="12" t="str">
        <f t="shared" si="68"/>
        <v/>
      </c>
    </row>
    <row r="592" spans="1:13" ht="31.5">
      <c r="A592" s="3">
        <v>583</v>
      </c>
      <c r="B592" s="11" t="s">
        <v>372</v>
      </c>
      <c r="C592" s="3">
        <v>6</v>
      </c>
      <c r="D592" s="3">
        <v>18</v>
      </c>
      <c r="E592" s="11" t="s">
        <v>655</v>
      </c>
      <c r="F592" s="3">
        <v>81</v>
      </c>
      <c r="G592" s="3">
        <f t="shared" si="69"/>
        <v>7</v>
      </c>
      <c r="H592" s="3">
        <f t="shared" si="63"/>
        <v>50.45</v>
      </c>
      <c r="I592" s="3">
        <f t="shared" si="64"/>
        <v>93.345073349199026</v>
      </c>
      <c r="J592" s="3">
        <f t="shared" si="65"/>
        <v>52.691964941569282</v>
      </c>
      <c r="K592" s="3">
        <f t="shared" si="66"/>
        <v>16.128547579298832</v>
      </c>
      <c r="L592" s="12" t="str">
        <f t="shared" si="67"/>
        <v/>
      </c>
      <c r="M592" s="12" t="str">
        <f t="shared" si="68"/>
        <v/>
      </c>
    </row>
    <row r="593" spans="1:13" ht="31.5">
      <c r="A593" s="3">
        <v>584</v>
      </c>
      <c r="B593" s="11" t="s">
        <v>372</v>
      </c>
      <c r="C593" s="3">
        <v>6</v>
      </c>
      <c r="D593" s="3">
        <v>17</v>
      </c>
      <c r="E593" s="11" t="s">
        <v>656</v>
      </c>
      <c r="F593" s="3">
        <v>79</v>
      </c>
      <c r="G593" s="3">
        <f t="shared" si="69"/>
        <v>2</v>
      </c>
      <c r="H593" s="3">
        <f t="shared" si="63"/>
        <v>50.45</v>
      </c>
      <c r="I593" s="3">
        <f t="shared" si="64"/>
        <v>93.345073349199026</v>
      </c>
      <c r="J593" s="3">
        <f t="shared" si="65"/>
        <v>52.691964941569282</v>
      </c>
      <c r="K593" s="3">
        <f t="shared" si="66"/>
        <v>16.128547579298832</v>
      </c>
      <c r="L593" s="12" t="str">
        <f t="shared" si="67"/>
        <v/>
      </c>
      <c r="M593" s="12" t="str">
        <f t="shared" si="68"/>
        <v/>
      </c>
    </row>
    <row r="594" spans="1:13" ht="31.5">
      <c r="A594" s="3">
        <v>585</v>
      </c>
      <c r="B594" s="11" t="s">
        <v>372</v>
      </c>
      <c r="C594" s="3">
        <v>6</v>
      </c>
      <c r="D594" s="3">
        <v>16</v>
      </c>
      <c r="E594" s="11" t="s">
        <v>657</v>
      </c>
      <c r="F594" s="3">
        <v>79</v>
      </c>
      <c r="G594" s="3">
        <f t="shared" si="69"/>
        <v>0</v>
      </c>
      <c r="H594" s="3">
        <f t="shared" si="63"/>
        <v>50.45</v>
      </c>
      <c r="I594" s="3">
        <f t="shared" si="64"/>
        <v>93.345073349199026</v>
      </c>
      <c r="J594" s="3">
        <f t="shared" si="65"/>
        <v>52.691964941569282</v>
      </c>
      <c r="K594" s="3">
        <f t="shared" si="66"/>
        <v>16.128547579298832</v>
      </c>
      <c r="L594" s="12" t="str">
        <f t="shared" si="67"/>
        <v/>
      </c>
      <c r="M594" s="12" t="str">
        <f t="shared" si="68"/>
        <v/>
      </c>
    </row>
    <row r="595" spans="1:13" ht="31.5">
      <c r="A595" s="3">
        <v>586</v>
      </c>
      <c r="B595" s="11" t="s">
        <v>372</v>
      </c>
      <c r="C595" s="3">
        <v>6</v>
      </c>
      <c r="D595" s="3">
        <v>15</v>
      </c>
      <c r="E595" s="11" t="s">
        <v>658</v>
      </c>
      <c r="F595" s="3">
        <v>87</v>
      </c>
      <c r="G595" s="3">
        <f t="shared" si="69"/>
        <v>8</v>
      </c>
      <c r="H595" s="3">
        <f t="shared" si="63"/>
        <v>50.45</v>
      </c>
      <c r="I595" s="3">
        <f t="shared" si="64"/>
        <v>93.345073349199026</v>
      </c>
      <c r="J595" s="3">
        <f t="shared" si="65"/>
        <v>52.691964941569282</v>
      </c>
      <c r="K595" s="3">
        <f t="shared" si="66"/>
        <v>16.128547579298832</v>
      </c>
      <c r="L595" s="12" t="str">
        <f t="shared" si="67"/>
        <v/>
      </c>
      <c r="M595" s="12" t="str">
        <f t="shared" si="68"/>
        <v/>
      </c>
    </row>
    <row r="596" spans="1:13" ht="31.5">
      <c r="A596" s="3">
        <v>587</v>
      </c>
      <c r="B596" s="11" t="s">
        <v>372</v>
      </c>
      <c r="C596" s="3">
        <v>6</v>
      </c>
      <c r="D596" s="3">
        <v>14</v>
      </c>
      <c r="E596" s="11" t="s">
        <v>659</v>
      </c>
      <c r="F596" s="3">
        <v>92</v>
      </c>
      <c r="G596" s="3">
        <f t="shared" si="69"/>
        <v>5</v>
      </c>
      <c r="H596" s="3">
        <f t="shared" si="63"/>
        <v>50.45</v>
      </c>
      <c r="I596" s="3">
        <f t="shared" si="64"/>
        <v>93.345073349199026</v>
      </c>
      <c r="J596" s="3">
        <f t="shared" si="65"/>
        <v>52.691964941569282</v>
      </c>
      <c r="K596" s="3">
        <f t="shared" si="66"/>
        <v>16.128547579298832</v>
      </c>
      <c r="L596" s="12" t="str">
        <f t="shared" si="67"/>
        <v/>
      </c>
      <c r="M596" s="12" t="str">
        <f t="shared" si="68"/>
        <v/>
      </c>
    </row>
    <row r="597" spans="1:13" ht="31.5">
      <c r="A597" s="3">
        <v>588</v>
      </c>
      <c r="B597" s="11" t="s">
        <v>372</v>
      </c>
      <c r="C597" s="3">
        <v>6</v>
      </c>
      <c r="D597" s="3">
        <v>13</v>
      </c>
      <c r="E597" s="11" t="s">
        <v>660</v>
      </c>
      <c r="F597" s="3">
        <v>74</v>
      </c>
      <c r="G597" s="3">
        <f t="shared" si="69"/>
        <v>18</v>
      </c>
      <c r="H597" s="3">
        <f t="shared" si="63"/>
        <v>50.45</v>
      </c>
      <c r="I597" s="3">
        <f t="shared" si="64"/>
        <v>93.345073349199026</v>
      </c>
      <c r="J597" s="3">
        <f t="shared" si="65"/>
        <v>52.691964941569282</v>
      </c>
      <c r="K597" s="3">
        <f t="shared" si="66"/>
        <v>16.128547579298832</v>
      </c>
      <c r="L597" s="12" t="str">
        <f t="shared" si="67"/>
        <v/>
      </c>
      <c r="M597" s="12" t="str">
        <f t="shared" si="68"/>
        <v/>
      </c>
    </row>
    <row r="598" spans="1:13" ht="31.5">
      <c r="A598" s="3">
        <v>589</v>
      </c>
      <c r="B598" s="11" t="s">
        <v>372</v>
      </c>
      <c r="C598" s="3">
        <v>6</v>
      </c>
      <c r="D598" s="3">
        <v>12</v>
      </c>
      <c r="E598" s="11" t="s">
        <v>661</v>
      </c>
      <c r="F598" s="3">
        <v>98</v>
      </c>
      <c r="G598" s="3">
        <f t="shared" si="69"/>
        <v>24</v>
      </c>
      <c r="H598" s="3">
        <f t="shared" si="63"/>
        <v>50.45</v>
      </c>
      <c r="I598" s="3">
        <f t="shared" si="64"/>
        <v>93.345073349199026</v>
      </c>
      <c r="J598" s="3">
        <f t="shared" si="65"/>
        <v>52.691964941569282</v>
      </c>
      <c r="K598" s="3">
        <f t="shared" si="66"/>
        <v>16.128547579298832</v>
      </c>
      <c r="L598" s="12" t="str">
        <f t="shared" si="67"/>
        <v>OOC</v>
      </c>
      <c r="M598" s="12" t="str">
        <f t="shared" si="68"/>
        <v/>
      </c>
    </row>
    <row r="599" spans="1:13" ht="31.5">
      <c r="A599" s="3">
        <v>590</v>
      </c>
      <c r="B599" s="11" t="s">
        <v>372</v>
      </c>
      <c r="C599" s="3">
        <v>6</v>
      </c>
      <c r="D599" s="3">
        <v>11</v>
      </c>
      <c r="E599" s="11" t="s">
        <v>662</v>
      </c>
      <c r="F599" s="3">
        <v>97</v>
      </c>
      <c r="G599" s="3">
        <f t="shared" si="69"/>
        <v>1</v>
      </c>
      <c r="H599" s="3">
        <f t="shared" si="63"/>
        <v>50.45</v>
      </c>
      <c r="I599" s="3">
        <f t="shared" si="64"/>
        <v>93.345073349199026</v>
      </c>
      <c r="J599" s="3">
        <f t="shared" si="65"/>
        <v>52.691964941569282</v>
      </c>
      <c r="K599" s="3">
        <f t="shared" si="66"/>
        <v>16.128547579298832</v>
      </c>
      <c r="L599" s="12" t="str">
        <f t="shared" si="67"/>
        <v>OOC</v>
      </c>
      <c r="M599" s="12" t="str">
        <f t="shared" si="68"/>
        <v/>
      </c>
    </row>
    <row r="600" spans="1:13" ht="31.5">
      <c r="A600" s="3">
        <v>591</v>
      </c>
      <c r="B600" s="11" t="s">
        <v>372</v>
      </c>
      <c r="C600" s="3">
        <v>6</v>
      </c>
      <c r="D600" s="3">
        <v>10</v>
      </c>
      <c r="E600" s="11" t="s">
        <v>663</v>
      </c>
      <c r="F600" s="3">
        <v>76</v>
      </c>
      <c r="G600" s="3">
        <f t="shared" si="69"/>
        <v>21</v>
      </c>
      <c r="H600" s="3">
        <f t="shared" si="63"/>
        <v>50.45</v>
      </c>
      <c r="I600" s="3">
        <f t="shared" si="64"/>
        <v>93.345073349199026</v>
      </c>
      <c r="J600" s="3">
        <f t="shared" si="65"/>
        <v>52.691964941569282</v>
      </c>
      <c r="K600" s="3">
        <f t="shared" si="66"/>
        <v>16.128547579298832</v>
      </c>
      <c r="L600" s="12" t="str">
        <f t="shared" si="67"/>
        <v/>
      </c>
      <c r="M600" s="12" t="str">
        <f t="shared" si="68"/>
        <v/>
      </c>
    </row>
    <row r="601" spans="1:13" ht="31.5">
      <c r="A601" s="3">
        <v>592</v>
      </c>
      <c r="B601" s="11" t="s">
        <v>372</v>
      </c>
      <c r="C601" s="3">
        <v>6</v>
      </c>
      <c r="D601" s="3">
        <v>9</v>
      </c>
      <c r="E601" s="11" t="s">
        <v>664</v>
      </c>
      <c r="F601" s="3">
        <v>104</v>
      </c>
      <c r="G601" s="3">
        <f t="shared" si="69"/>
        <v>28</v>
      </c>
      <c r="H601" s="3">
        <f t="shared" si="63"/>
        <v>50.45</v>
      </c>
      <c r="I601" s="3">
        <f t="shared" si="64"/>
        <v>93.345073349199026</v>
      </c>
      <c r="J601" s="3">
        <f t="shared" si="65"/>
        <v>52.691964941569282</v>
      </c>
      <c r="K601" s="3">
        <f t="shared" si="66"/>
        <v>16.128547579298832</v>
      </c>
      <c r="L601" s="12" t="str">
        <f t="shared" si="67"/>
        <v>OOC</v>
      </c>
      <c r="M601" s="12" t="str">
        <f t="shared" si="68"/>
        <v/>
      </c>
    </row>
    <row r="602" spans="1:13" ht="31.5">
      <c r="A602" s="3">
        <v>593</v>
      </c>
      <c r="B602" s="11" t="s">
        <v>372</v>
      </c>
      <c r="C602" s="3">
        <v>6</v>
      </c>
      <c r="D602" s="3">
        <v>8</v>
      </c>
      <c r="E602" s="11" t="s">
        <v>665</v>
      </c>
      <c r="F602" s="3">
        <v>163</v>
      </c>
      <c r="G602" s="3">
        <f t="shared" si="69"/>
        <v>59</v>
      </c>
      <c r="H602" s="3">
        <f t="shared" si="63"/>
        <v>50.45</v>
      </c>
      <c r="I602" s="3">
        <f t="shared" si="64"/>
        <v>93.345073349199026</v>
      </c>
      <c r="J602" s="3">
        <f t="shared" si="65"/>
        <v>52.691964941569282</v>
      </c>
      <c r="K602" s="3">
        <f t="shared" si="66"/>
        <v>16.128547579298832</v>
      </c>
      <c r="L602" s="12" t="str">
        <f t="shared" si="67"/>
        <v>OOC</v>
      </c>
      <c r="M602" s="12" t="str">
        <f t="shared" si="68"/>
        <v/>
      </c>
    </row>
    <row r="603" spans="1:13" ht="31.5">
      <c r="A603" s="3">
        <v>594</v>
      </c>
      <c r="B603" s="11" t="s">
        <v>372</v>
      </c>
      <c r="C603" s="3">
        <v>6</v>
      </c>
      <c r="D603" s="3">
        <v>7</v>
      </c>
      <c r="E603" s="11" t="s">
        <v>666</v>
      </c>
      <c r="F603" s="3">
        <v>141</v>
      </c>
      <c r="G603" s="3">
        <f t="shared" si="69"/>
        <v>22</v>
      </c>
      <c r="H603" s="3">
        <f t="shared" si="63"/>
        <v>50.45</v>
      </c>
      <c r="I603" s="3">
        <f t="shared" si="64"/>
        <v>93.345073349199026</v>
      </c>
      <c r="J603" s="3">
        <f t="shared" si="65"/>
        <v>52.691964941569282</v>
      </c>
      <c r="K603" s="3">
        <f t="shared" si="66"/>
        <v>16.128547579298832</v>
      </c>
      <c r="L603" s="12" t="str">
        <f t="shared" si="67"/>
        <v>OOC</v>
      </c>
      <c r="M603" s="12" t="str">
        <f t="shared" si="68"/>
        <v/>
      </c>
    </row>
    <row r="604" spans="1:13" ht="31.5">
      <c r="A604" s="3">
        <v>595</v>
      </c>
      <c r="B604" s="11" t="s">
        <v>372</v>
      </c>
      <c r="C604" s="3">
        <v>6</v>
      </c>
      <c r="D604" s="3">
        <v>6</v>
      </c>
      <c r="E604" s="11" t="s">
        <v>667</v>
      </c>
      <c r="F604" s="3">
        <v>138</v>
      </c>
      <c r="G604" s="3">
        <f t="shared" si="69"/>
        <v>3</v>
      </c>
      <c r="H604" s="3">
        <f t="shared" si="63"/>
        <v>50.45</v>
      </c>
      <c r="I604" s="3">
        <f t="shared" si="64"/>
        <v>93.345073349199026</v>
      </c>
      <c r="J604" s="3">
        <f t="shared" si="65"/>
        <v>52.691964941569282</v>
      </c>
      <c r="K604" s="3">
        <f t="shared" si="66"/>
        <v>16.128547579298832</v>
      </c>
      <c r="L604" s="12" t="str">
        <f t="shared" si="67"/>
        <v>OOC</v>
      </c>
      <c r="M604" s="12" t="str">
        <f t="shared" si="68"/>
        <v/>
      </c>
    </row>
    <row r="605" spans="1:13" ht="31.5">
      <c r="A605" s="3">
        <v>596</v>
      </c>
      <c r="B605" s="11" t="s">
        <v>372</v>
      </c>
      <c r="C605" s="3">
        <v>6</v>
      </c>
      <c r="D605" s="3">
        <v>5</v>
      </c>
      <c r="E605" s="11" t="s">
        <v>668</v>
      </c>
      <c r="F605" s="3">
        <v>147</v>
      </c>
      <c r="G605" s="3">
        <f t="shared" si="69"/>
        <v>9</v>
      </c>
      <c r="H605" s="3">
        <f t="shared" si="63"/>
        <v>50.45</v>
      </c>
      <c r="I605" s="3">
        <f t="shared" si="64"/>
        <v>93.345073349199026</v>
      </c>
      <c r="J605" s="3">
        <f t="shared" si="65"/>
        <v>52.691964941569282</v>
      </c>
      <c r="K605" s="3">
        <f t="shared" si="66"/>
        <v>16.128547579298832</v>
      </c>
      <c r="L605" s="12" t="str">
        <f t="shared" si="67"/>
        <v>OOC</v>
      </c>
      <c r="M605" s="12" t="str">
        <f t="shared" si="68"/>
        <v/>
      </c>
    </row>
    <row r="606" spans="1:13" ht="31.5">
      <c r="A606" s="3">
        <v>597</v>
      </c>
      <c r="B606" s="11" t="s">
        <v>372</v>
      </c>
      <c r="C606" s="3">
        <v>6</v>
      </c>
      <c r="D606" s="3">
        <v>4</v>
      </c>
      <c r="E606" s="11" t="s">
        <v>669</v>
      </c>
      <c r="F606" s="3">
        <v>177</v>
      </c>
      <c r="G606" s="3">
        <f t="shared" si="69"/>
        <v>30</v>
      </c>
      <c r="H606" s="3">
        <f t="shared" si="63"/>
        <v>50.45</v>
      </c>
      <c r="I606" s="3">
        <f t="shared" si="64"/>
        <v>93.345073349199026</v>
      </c>
      <c r="J606" s="3">
        <f t="shared" si="65"/>
        <v>52.691964941569282</v>
      </c>
      <c r="K606" s="3">
        <f t="shared" si="66"/>
        <v>16.128547579298832</v>
      </c>
      <c r="L606" s="12" t="str">
        <f t="shared" si="67"/>
        <v>OOC</v>
      </c>
      <c r="M606" s="12" t="str">
        <f t="shared" si="68"/>
        <v/>
      </c>
    </row>
    <row r="607" spans="1:13" ht="31.5">
      <c r="A607" s="3">
        <v>598</v>
      </c>
      <c r="B607" s="11" t="s">
        <v>372</v>
      </c>
      <c r="C607" s="3">
        <v>6</v>
      </c>
      <c r="D607" s="3">
        <v>3</v>
      </c>
      <c r="E607" s="11" t="s">
        <v>670</v>
      </c>
      <c r="F607" s="3">
        <v>209</v>
      </c>
      <c r="G607" s="3">
        <f t="shared" si="69"/>
        <v>32</v>
      </c>
      <c r="H607" s="3">
        <f t="shared" si="63"/>
        <v>50.45</v>
      </c>
      <c r="I607" s="3">
        <f t="shared" si="64"/>
        <v>93.345073349199026</v>
      </c>
      <c r="J607" s="3">
        <f t="shared" si="65"/>
        <v>52.691964941569282</v>
      </c>
      <c r="K607" s="3">
        <f t="shared" si="66"/>
        <v>16.128547579298832</v>
      </c>
      <c r="L607" s="12" t="str">
        <f t="shared" si="67"/>
        <v>OOC</v>
      </c>
      <c r="M607" s="12" t="str">
        <f t="shared" si="68"/>
        <v/>
      </c>
    </row>
    <row r="608" spans="1:13" ht="31.5">
      <c r="A608" s="3">
        <v>599</v>
      </c>
      <c r="B608" s="11" t="s">
        <v>372</v>
      </c>
      <c r="C608" s="3">
        <v>6</v>
      </c>
      <c r="D608" s="3">
        <v>2</v>
      </c>
      <c r="E608" s="11" t="s">
        <v>671</v>
      </c>
      <c r="F608" s="3">
        <v>118</v>
      </c>
      <c r="G608" s="3">
        <f t="shared" si="69"/>
        <v>91</v>
      </c>
      <c r="H608" s="3">
        <f t="shared" si="63"/>
        <v>50.45</v>
      </c>
      <c r="I608" s="3">
        <f t="shared" si="64"/>
        <v>93.345073349199026</v>
      </c>
      <c r="J608" s="3">
        <f t="shared" si="65"/>
        <v>52.691964941569282</v>
      </c>
      <c r="K608" s="3">
        <f t="shared" si="66"/>
        <v>16.128547579298832</v>
      </c>
      <c r="L608" s="12" t="str">
        <f t="shared" si="67"/>
        <v>OOC</v>
      </c>
      <c r="M608" s="12" t="str">
        <f t="shared" si="68"/>
        <v/>
      </c>
    </row>
    <row r="609" spans="1:13" ht="31.5">
      <c r="A609" s="3">
        <v>600</v>
      </c>
      <c r="B609" s="11" t="s">
        <v>372</v>
      </c>
      <c r="C609" s="3">
        <v>6</v>
      </c>
      <c r="D609" s="3">
        <v>1</v>
      </c>
      <c r="E609" s="11" t="s">
        <v>672</v>
      </c>
      <c r="F609" s="3">
        <v>161</v>
      </c>
      <c r="G609" s="3">
        <f t="shared" si="69"/>
        <v>43</v>
      </c>
      <c r="H609" s="3">
        <f t="shared" si="63"/>
        <v>50.45</v>
      </c>
      <c r="I609" s="3">
        <f t="shared" si="64"/>
        <v>93.345073349199026</v>
      </c>
      <c r="J609" s="3">
        <f t="shared" si="65"/>
        <v>52.691964941569282</v>
      </c>
      <c r="K609" s="3">
        <f t="shared" si="66"/>
        <v>16.128547579298832</v>
      </c>
      <c r="L609" s="12" t="str">
        <f t="shared" si="67"/>
        <v>OOC</v>
      </c>
      <c r="M609" s="12" t="str">
        <f t="shared" si="68"/>
        <v/>
      </c>
    </row>
  </sheetData>
  <mergeCells count="8">
    <mergeCell ref="B5:D5"/>
    <mergeCell ref="S2:S4"/>
    <mergeCell ref="P1:S1"/>
    <mergeCell ref="A1:G1"/>
    <mergeCell ref="A2:D2"/>
    <mergeCell ref="B3:D3"/>
    <mergeCell ref="B4:D4"/>
    <mergeCell ref="R2:R4"/>
  </mergeCells>
  <phoneticPr fontId="4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9"/>
  <sheetViews>
    <sheetView showGridLines="0" workbookViewId="0">
      <pane ySplit="9" topLeftCell="A10" activePane="bottomLeft" state="frozen"/>
      <selection pane="bottomLeft" activeCell="B4" sqref="B4:D4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>
      <c r="A1" s="67" t="s">
        <v>687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P1" s="59" t="s">
        <v>688</v>
      </c>
      <c r="Q1" s="69"/>
    </row>
    <row r="2" spans="1:17" ht="15.75" customHeight="1">
      <c r="A2" s="62" t="s">
        <v>46</v>
      </c>
      <c r="B2" s="63"/>
      <c r="C2" s="63"/>
      <c r="D2" s="63"/>
      <c r="P2" s="16" t="s">
        <v>48</v>
      </c>
      <c r="Q2" s="17">
        <f>COUNT(E10:E309)</f>
        <v>300</v>
      </c>
    </row>
    <row r="3" spans="1:17">
      <c r="A3" s="16" t="s">
        <v>23</v>
      </c>
      <c r="B3" s="70">
        <v>200</v>
      </c>
      <c r="C3" s="63"/>
      <c r="D3" s="63"/>
      <c r="P3" s="16" t="s">
        <v>24</v>
      </c>
      <c r="Q3" s="17">
        <f>AVERAGE(E10:E309)</f>
        <v>44.976666666666667</v>
      </c>
    </row>
    <row r="4" spans="1:17" ht="31.5">
      <c r="A4" s="16" t="s">
        <v>49</v>
      </c>
      <c r="B4" s="66">
        <v>1.1279999999999999</v>
      </c>
      <c r="C4" s="63"/>
      <c r="D4" s="63"/>
      <c r="P4" s="16" t="s">
        <v>53</v>
      </c>
      <c r="Q4" s="17">
        <f>IFERROR(AVERAGE(F11:F309),0)</f>
        <v>16.270903010033443</v>
      </c>
    </row>
    <row r="5" spans="1:17" ht="63">
      <c r="A5" s="16" t="s">
        <v>52</v>
      </c>
      <c r="B5" s="66">
        <v>3.2669999999999999</v>
      </c>
      <c r="C5" s="63"/>
      <c r="D5" s="63"/>
      <c r="P5" s="16" t="s">
        <v>679</v>
      </c>
      <c r="Q5" s="17">
        <f>Q4/$B$4</f>
        <v>14.424559406058018</v>
      </c>
    </row>
    <row r="6" spans="1:17">
      <c r="P6" s="16" t="s">
        <v>680</v>
      </c>
      <c r="Q6" s="17">
        <f>Q3+3*Q5</f>
        <v>88.250344884840729</v>
      </c>
    </row>
    <row r="7" spans="1:17">
      <c r="P7" s="16" t="s">
        <v>681</v>
      </c>
      <c r="Q7" s="17">
        <f>$B$5*Q4</f>
        <v>53.157040133779255</v>
      </c>
    </row>
    <row r="8" spans="1:17">
      <c r="P8" s="16" t="s">
        <v>682</v>
      </c>
      <c r="Q8" s="17">
        <f>($B$3-Q3)/(3*Q5)</f>
        <v>3.5823932634463858</v>
      </c>
    </row>
    <row r="9" spans="1:17" ht="31.5">
      <c r="A9" s="18" t="s">
        <v>57</v>
      </c>
      <c r="B9" s="18" t="s">
        <v>59</v>
      </c>
      <c r="C9" s="18" t="s">
        <v>60</v>
      </c>
      <c r="D9" s="18" t="s">
        <v>61</v>
      </c>
      <c r="E9" s="18" t="s">
        <v>62</v>
      </c>
      <c r="F9" s="18" t="s">
        <v>63</v>
      </c>
      <c r="G9" s="18" t="s">
        <v>64</v>
      </c>
      <c r="H9" s="18" t="s">
        <v>65</v>
      </c>
      <c r="I9" s="18" t="s">
        <v>66</v>
      </c>
      <c r="J9" s="18" t="s">
        <v>67</v>
      </c>
      <c r="K9" s="18" t="s">
        <v>68</v>
      </c>
      <c r="L9" s="18" t="s">
        <v>69</v>
      </c>
      <c r="P9" s="16" t="s">
        <v>683</v>
      </c>
      <c r="Q9" s="17">
        <f>($B$3-Q3)/(3*_xlfn.STDEV.S(E10:E309))</f>
        <v>2.0626894315910582</v>
      </c>
    </row>
    <row r="10" spans="1:17">
      <c r="A10" s="17">
        <v>1</v>
      </c>
      <c r="B10" s="17">
        <v>1</v>
      </c>
      <c r="C10" s="17">
        <v>25</v>
      </c>
      <c r="D10" s="17" t="s">
        <v>72</v>
      </c>
      <c r="E10" s="17">
        <v>86</v>
      </c>
      <c r="F10" s="17"/>
      <c r="G10" s="19">
        <f t="shared" ref="G10:G73" si="0">$Q$3</f>
        <v>44.976666666666667</v>
      </c>
      <c r="H10" s="19">
        <f t="shared" ref="H10:H73" si="1">$Q$6</f>
        <v>88.250344884840729</v>
      </c>
      <c r="I10" s="19">
        <f t="shared" ref="I10:I73" si="2">$Q$7</f>
        <v>53.157040133779255</v>
      </c>
      <c r="J10" s="19">
        <f t="shared" ref="J10:J73" si="3">$Q$4</f>
        <v>16.270903010033443</v>
      </c>
      <c r="K10" s="17" t="str">
        <f t="shared" ref="K10:K73" si="4">IF(E10&gt;$Q$6,"OOC","" )</f>
        <v/>
      </c>
      <c r="L10" s="17" t="str">
        <f t="shared" ref="L10:L73" si="5">IF(E10&gt;$B$3,"OOS","" )</f>
        <v/>
      </c>
    </row>
    <row r="11" spans="1:17">
      <c r="A11" s="17">
        <v>2</v>
      </c>
      <c r="B11" s="17">
        <v>1</v>
      </c>
      <c r="C11" s="17">
        <v>24</v>
      </c>
      <c r="D11" s="17" t="s">
        <v>73</v>
      </c>
      <c r="E11" s="17">
        <v>99</v>
      </c>
      <c r="F11" s="17">
        <f t="shared" ref="F11:F74" si="6">ABS(E11-E10)</f>
        <v>13</v>
      </c>
      <c r="G11" s="19">
        <f t="shared" si="0"/>
        <v>44.976666666666667</v>
      </c>
      <c r="H11" s="19">
        <f t="shared" si="1"/>
        <v>88.250344884840729</v>
      </c>
      <c r="I11" s="19">
        <f t="shared" si="2"/>
        <v>53.157040133779255</v>
      </c>
      <c r="J11" s="19">
        <f t="shared" si="3"/>
        <v>16.270903010033443</v>
      </c>
      <c r="K11" s="17" t="str">
        <f t="shared" si="4"/>
        <v>OOC</v>
      </c>
      <c r="L11" s="17" t="str">
        <f t="shared" si="5"/>
        <v/>
      </c>
    </row>
    <row r="12" spans="1:17">
      <c r="A12" s="17">
        <v>3</v>
      </c>
      <c r="B12" s="17">
        <v>1</v>
      </c>
      <c r="C12" s="17">
        <v>23</v>
      </c>
      <c r="D12" s="17" t="s">
        <v>74</v>
      </c>
      <c r="E12" s="17">
        <v>31</v>
      </c>
      <c r="F12" s="17">
        <f t="shared" si="6"/>
        <v>68</v>
      </c>
      <c r="G12" s="19">
        <f t="shared" si="0"/>
        <v>44.976666666666667</v>
      </c>
      <c r="H12" s="19">
        <f t="shared" si="1"/>
        <v>88.250344884840729</v>
      </c>
      <c r="I12" s="19">
        <f t="shared" si="2"/>
        <v>53.157040133779255</v>
      </c>
      <c r="J12" s="19">
        <f t="shared" si="3"/>
        <v>16.270903010033443</v>
      </c>
      <c r="K12" s="17" t="str">
        <f t="shared" si="4"/>
        <v/>
      </c>
      <c r="L12" s="17" t="str">
        <f t="shared" si="5"/>
        <v/>
      </c>
    </row>
    <row r="13" spans="1:17">
      <c r="A13" s="17">
        <v>4</v>
      </c>
      <c r="B13" s="17">
        <v>1</v>
      </c>
      <c r="C13" s="17">
        <v>22</v>
      </c>
      <c r="D13" s="17" t="s">
        <v>75</v>
      </c>
      <c r="E13" s="17">
        <v>58</v>
      </c>
      <c r="F13" s="17">
        <f t="shared" si="6"/>
        <v>27</v>
      </c>
      <c r="G13" s="19">
        <f t="shared" si="0"/>
        <v>44.976666666666667</v>
      </c>
      <c r="H13" s="19">
        <f t="shared" si="1"/>
        <v>88.250344884840729</v>
      </c>
      <c r="I13" s="19">
        <f t="shared" si="2"/>
        <v>53.157040133779255</v>
      </c>
      <c r="J13" s="19">
        <f t="shared" si="3"/>
        <v>16.270903010033443</v>
      </c>
      <c r="K13" s="17" t="str">
        <f t="shared" si="4"/>
        <v/>
      </c>
      <c r="L13" s="17" t="str">
        <f t="shared" si="5"/>
        <v/>
      </c>
    </row>
    <row r="14" spans="1:17">
      <c r="A14" s="17">
        <v>5</v>
      </c>
      <c r="B14" s="17">
        <v>1</v>
      </c>
      <c r="C14" s="17">
        <v>21</v>
      </c>
      <c r="D14" s="17" t="s">
        <v>76</v>
      </c>
      <c r="E14" s="17">
        <v>36</v>
      </c>
      <c r="F14" s="17">
        <f t="shared" si="6"/>
        <v>22</v>
      </c>
      <c r="G14" s="19">
        <f t="shared" si="0"/>
        <v>44.976666666666667</v>
      </c>
      <c r="H14" s="19">
        <f t="shared" si="1"/>
        <v>88.250344884840729</v>
      </c>
      <c r="I14" s="19">
        <f t="shared" si="2"/>
        <v>53.157040133779255</v>
      </c>
      <c r="J14" s="19">
        <f t="shared" si="3"/>
        <v>16.270903010033443</v>
      </c>
      <c r="K14" s="17" t="str">
        <f t="shared" si="4"/>
        <v/>
      </c>
      <c r="L14" s="17" t="str">
        <f t="shared" si="5"/>
        <v/>
      </c>
    </row>
    <row r="15" spans="1:17">
      <c r="A15" s="17">
        <v>6</v>
      </c>
      <c r="B15" s="17">
        <v>1</v>
      </c>
      <c r="C15" s="17">
        <v>20</v>
      </c>
      <c r="D15" s="17" t="s">
        <v>77</v>
      </c>
      <c r="E15" s="17">
        <v>87</v>
      </c>
      <c r="F15" s="17">
        <f t="shared" si="6"/>
        <v>51</v>
      </c>
      <c r="G15" s="19">
        <f t="shared" si="0"/>
        <v>44.976666666666667</v>
      </c>
      <c r="H15" s="19">
        <f t="shared" si="1"/>
        <v>88.250344884840729</v>
      </c>
      <c r="I15" s="19">
        <f t="shared" si="2"/>
        <v>53.157040133779255</v>
      </c>
      <c r="J15" s="19">
        <f t="shared" si="3"/>
        <v>16.270903010033443</v>
      </c>
      <c r="K15" s="17" t="str">
        <f t="shared" si="4"/>
        <v/>
      </c>
      <c r="L15" s="17" t="str">
        <f t="shared" si="5"/>
        <v/>
      </c>
    </row>
    <row r="16" spans="1:17">
      <c r="A16" s="17">
        <v>7</v>
      </c>
      <c r="B16" s="17">
        <v>1</v>
      </c>
      <c r="C16" s="17">
        <v>19</v>
      </c>
      <c r="D16" s="17" t="s">
        <v>78</v>
      </c>
      <c r="E16" s="17">
        <v>59</v>
      </c>
      <c r="F16" s="17">
        <f t="shared" si="6"/>
        <v>28</v>
      </c>
      <c r="G16" s="19">
        <f t="shared" si="0"/>
        <v>44.976666666666667</v>
      </c>
      <c r="H16" s="19">
        <f t="shared" si="1"/>
        <v>88.250344884840729</v>
      </c>
      <c r="I16" s="19">
        <f t="shared" si="2"/>
        <v>53.157040133779255</v>
      </c>
      <c r="J16" s="19">
        <f t="shared" si="3"/>
        <v>16.270903010033443</v>
      </c>
      <c r="K16" s="17" t="str">
        <f t="shared" si="4"/>
        <v/>
      </c>
      <c r="L16" s="17" t="str">
        <f t="shared" si="5"/>
        <v/>
      </c>
    </row>
    <row r="17" spans="1:12">
      <c r="A17" s="17">
        <v>8</v>
      </c>
      <c r="B17" s="17">
        <v>1</v>
      </c>
      <c r="C17" s="17">
        <v>18</v>
      </c>
      <c r="D17" s="17" t="s">
        <v>79</v>
      </c>
      <c r="E17" s="17">
        <v>79</v>
      </c>
      <c r="F17" s="17">
        <f t="shared" si="6"/>
        <v>20</v>
      </c>
      <c r="G17" s="19">
        <f t="shared" si="0"/>
        <v>44.976666666666667</v>
      </c>
      <c r="H17" s="19">
        <f t="shared" si="1"/>
        <v>88.250344884840729</v>
      </c>
      <c r="I17" s="19">
        <f t="shared" si="2"/>
        <v>53.157040133779255</v>
      </c>
      <c r="J17" s="19">
        <f t="shared" si="3"/>
        <v>16.270903010033443</v>
      </c>
      <c r="K17" s="17" t="str">
        <f t="shared" si="4"/>
        <v/>
      </c>
      <c r="L17" s="17" t="str">
        <f t="shared" si="5"/>
        <v/>
      </c>
    </row>
    <row r="18" spans="1:12">
      <c r="A18" s="17">
        <v>9</v>
      </c>
      <c r="B18" s="17">
        <v>1</v>
      </c>
      <c r="C18" s="17">
        <v>17</v>
      </c>
      <c r="D18" s="17" t="s">
        <v>80</v>
      </c>
      <c r="E18" s="17">
        <v>47</v>
      </c>
      <c r="F18" s="17">
        <f t="shared" si="6"/>
        <v>32</v>
      </c>
      <c r="G18" s="19">
        <f t="shared" si="0"/>
        <v>44.976666666666667</v>
      </c>
      <c r="H18" s="19">
        <f t="shared" si="1"/>
        <v>88.250344884840729</v>
      </c>
      <c r="I18" s="19">
        <f t="shared" si="2"/>
        <v>53.157040133779255</v>
      </c>
      <c r="J18" s="19">
        <f t="shared" si="3"/>
        <v>16.270903010033443</v>
      </c>
      <c r="K18" s="17" t="str">
        <f t="shared" si="4"/>
        <v/>
      </c>
      <c r="L18" s="17" t="str">
        <f t="shared" si="5"/>
        <v/>
      </c>
    </row>
    <row r="19" spans="1:12">
      <c r="A19" s="17">
        <v>10</v>
      </c>
      <c r="B19" s="17">
        <v>1</v>
      </c>
      <c r="C19" s="17">
        <v>16</v>
      </c>
      <c r="D19" s="17" t="s">
        <v>81</v>
      </c>
      <c r="E19" s="17">
        <v>38</v>
      </c>
      <c r="F19" s="17">
        <f t="shared" si="6"/>
        <v>9</v>
      </c>
      <c r="G19" s="19">
        <f t="shared" si="0"/>
        <v>44.976666666666667</v>
      </c>
      <c r="H19" s="19">
        <f t="shared" si="1"/>
        <v>88.250344884840729</v>
      </c>
      <c r="I19" s="19">
        <f t="shared" si="2"/>
        <v>53.157040133779255</v>
      </c>
      <c r="J19" s="19">
        <f t="shared" si="3"/>
        <v>16.270903010033443</v>
      </c>
      <c r="K19" s="17" t="str">
        <f t="shared" si="4"/>
        <v/>
      </c>
      <c r="L19" s="17" t="str">
        <f t="shared" si="5"/>
        <v/>
      </c>
    </row>
    <row r="20" spans="1:12">
      <c r="A20" s="17">
        <v>11</v>
      </c>
      <c r="B20" s="17">
        <v>1</v>
      </c>
      <c r="C20" s="17">
        <v>15</v>
      </c>
      <c r="D20" s="17" t="s">
        <v>82</v>
      </c>
      <c r="E20" s="17">
        <v>101</v>
      </c>
      <c r="F20" s="17">
        <f t="shared" si="6"/>
        <v>63</v>
      </c>
      <c r="G20" s="19">
        <f t="shared" si="0"/>
        <v>44.976666666666667</v>
      </c>
      <c r="H20" s="19">
        <f t="shared" si="1"/>
        <v>88.250344884840729</v>
      </c>
      <c r="I20" s="19">
        <f t="shared" si="2"/>
        <v>53.157040133779255</v>
      </c>
      <c r="J20" s="19">
        <f t="shared" si="3"/>
        <v>16.270903010033443</v>
      </c>
      <c r="K20" s="17" t="str">
        <f t="shared" si="4"/>
        <v>OOC</v>
      </c>
      <c r="L20" s="17" t="str">
        <f t="shared" si="5"/>
        <v/>
      </c>
    </row>
    <row r="21" spans="1:12">
      <c r="A21" s="17">
        <v>12</v>
      </c>
      <c r="B21" s="17">
        <v>1</v>
      </c>
      <c r="C21" s="17">
        <v>14</v>
      </c>
      <c r="D21" s="17" t="s">
        <v>83</v>
      </c>
      <c r="E21" s="17">
        <v>97</v>
      </c>
      <c r="F21" s="17">
        <f t="shared" si="6"/>
        <v>4</v>
      </c>
      <c r="G21" s="19">
        <f t="shared" si="0"/>
        <v>44.976666666666667</v>
      </c>
      <c r="H21" s="19">
        <f t="shared" si="1"/>
        <v>88.250344884840729</v>
      </c>
      <c r="I21" s="19">
        <f t="shared" si="2"/>
        <v>53.157040133779255</v>
      </c>
      <c r="J21" s="19">
        <f t="shared" si="3"/>
        <v>16.270903010033443</v>
      </c>
      <c r="K21" s="17" t="str">
        <f t="shared" si="4"/>
        <v>OOC</v>
      </c>
      <c r="L21" s="17" t="str">
        <f t="shared" si="5"/>
        <v/>
      </c>
    </row>
    <row r="22" spans="1:12">
      <c r="A22" s="17">
        <v>13</v>
      </c>
      <c r="B22" s="17">
        <v>1</v>
      </c>
      <c r="C22" s="17">
        <v>13</v>
      </c>
      <c r="D22" s="17" t="s">
        <v>84</v>
      </c>
      <c r="E22" s="17">
        <v>106</v>
      </c>
      <c r="F22" s="17">
        <f t="shared" si="6"/>
        <v>9</v>
      </c>
      <c r="G22" s="19">
        <f t="shared" si="0"/>
        <v>44.976666666666667</v>
      </c>
      <c r="H22" s="19">
        <f t="shared" si="1"/>
        <v>88.250344884840729</v>
      </c>
      <c r="I22" s="19">
        <f t="shared" si="2"/>
        <v>53.157040133779255</v>
      </c>
      <c r="J22" s="19">
        <f t="shared" si="3"/>
        <v>16.270903010033443</v>
      </c>
      <c r="K22" s="17" t="str">
        <f t="shared" si="4"/>
        <v>OOC</v>
      </c>
      <c r="L22" s="17" t="str">
        <f t="shared" si="5"/>
        <v/>
      </c>
    </row>
    <row r="23" spans="1:12">
      <c r="A23" s="17">
        <v>14</v>
      </c>
      <c r="B23" s="17">
        <v>1</v>
      </c>
      <c r="C23" s="17">
        <v>12</v>
      </c>
      <c r="D23" s="17" t="s">
        <v>85</v>
      </c>
      <c r="E23" s="17">
        <v>97</v>
      </c>
      <c r="F23" s="17">
        <f t="shared" si="6"/>
        <v>9</v>
      </c>
      <c r="G23" s="19">
        <f t="shared" si="0"/>
        <v>44.976666666666667</v>
      </c>
      <c r="H23" s="19">
        <f t="shared" si="1"/>
        <v>88.250344884840729</v>
      </c>
      <c r="I23" s="19">
        <f t="shared" si="2"/>
        <v>53.157040133779255</v>
      </c>
      <c r="J23" s="19">
        <f t="shared" si="3"/>
        <v>16.270903010033443</v>
      </c>
      <c r="K23" s="17" t="str">
        <f t="shared" si="4"/>
        <v>OOC</v>
      </c>
      <c r="L23" s="17" t="str">
        <f t="shared" si="5"/>
        <v/>
      </c>
    </row>
    <row r="24" spans="1:12">
      <c r="A24" s="17">
        <v>15</v>
      </c>
      <c r="B24" s="17">
        <v>1</v>
      </c>
      <c r="C24" s="17">
        <v>11</v>
      </c>
      <c r="D24" s="17" t="s">
        <v>86</v>
      </c>
      <c r="E24" s="17">
        <v>45</v>
      </c>
      <c r="F24" s="17">
        <f t="shared" si="6"/>
        <v>52</v>
      </c>
      <c r="G24" s="19">
        <f t="shared" si="0"/>
        <v>44.976666666666667</v>
      </c>
      <c r="H24" s="19">
        <f t="shared" si="1"/>
        <v>88.250344884840729</v>
      </c>
      <c r="I24" s="19">
        <f t="shared" si="2"/>
        <v>53.157040133779255</v>
      </c>
      <c r="J24" s="19">
        <f t="shared" si="3"/>
        <v>16.270903010033443</v>
      </c>
      <c r="K24" s="17" t="str">
        <f t="shared" si="4"/>
        <v/>
      </c>
      <c r="L24" s="17" t="str">
        <f t="shared" si="5"/>
        <v/>
      </c>
    </row>
    <row r="25" spans="1:12">
      <c r="A25" s="17">
        <v>16</v>
      </c>
      <c r="B25" s="17">
        <v>1</v>
      </c>
      <c r="C25" s="17">
        <v>10</v>
      </c>
      <c r="D25" s="17" t="s">
        <v>87</v>
      </c>
      <c r="E25" s="17">
        <v>95</v>
      </c>
      <c r="F25" s="17">
        <f t="shared" si="6"/>
        <v>50</v>
      </c>
      <c r="G25" s="19">
        <f t="shared" si="0"/>
        <v>44.976666666666667</v>
      </c>
      <c r="H25" s="19">
        <f t="shared" si="1"/>
        <v>88.250344884840729</v>
      </c>
      <c r="I25" s="19">
        <f t="shared" si="2"/>
        <v>53.157040133779255</v>
      </c>
      <c r="J25" s="19">
        <f t="shared" si="3"/>
        <v>16.270903010033443</v>
      </c>
      <c r="K25" s="17" t="str">
        <f t="shared" si="4"/>
        <v>OOC</v>
      </c>
      <c r="L25" s="17" t="str">
        <f t="shared" si="5"/>
        <v/>
      </c>
    </row>
    <row r="26" spans="1:12">
      <c r="A26" s="17">
        <v>17</v>
      </c>
      <c r="B26" s="17">
        <v>1</v>
      </c>
      <c r="C26" s="17">
        <v>9</v>
      </c>
      <c r="D26" s="17" t="s">
        <v>88</v>
      </c>
      <c r="E26" s="17">
        <v>47</v>
      </c>
      <c r="F26" s="17">
        <f t="shared" si="6"/>
        <v>48</v>
      </c>
      <c r="G26" s="19">
        <f t="shared" si="0"/>
        <v>44.976666666666667</v>
      </c>
      <c r="H26" s="19">
        <f t="shared" si="1"/>
        <v>88.250344884840729</v>
      </c>
      <c r="I26" s="19">
        <f t="shared" si="2"/>
        <v>53.157040133779255</v>
      </c>
      <c r="J26" s="19">
        <f t="shared" si="3"/>
        <v>16.270903010033443</v>
      </c>
      <c r="K26" s="17" t="str">
        <f t="shared" si="4"/>
        <v/>
      </c>
      <c r="L26" s="17" t="str">
        <f t="shared" si="5"/>
        <v/>
      </c>
    </row>
    <row r="27" spans="1:12">
      <c r="A27" s="17">
        <v>18</v>
      </c>
      <c r="B27" s="17">
        <v>1</v>
      </c>
      <c r="C27" s="17">
        <v>8</v>
      </c>
      <c r="D27" s="17" t="s">
        <v>89</v>
      </c>
      <c r="E27" s="17">
        <v>109</v>
      </c>
      <c r="F27" s="17">
        <f t="shared" si="6"/>
        <v>62</v>
      </c>
      <c r="G27" s="19">
        <f t="shared" si="0"/>
        <v>44.976666666666667</v>
      </c>
      <c r="H27" s="19">
        <f t="shared" si="1"/>
        <v>88.250344884840729</v>
      </c>
      <c r="I27" s="19">
        <f t="shared" si="2"/>
        <v>53.157040133779255</v>
      </c>
      <c r="J27" s="19">
        <f t="shared" si="3"/>
        <v>16.270903010033443</v>
      </c>
      <c r="K27" s="17" t="str">
        <f t="shared" si="4"/>
        <v>OOC</v>
      </c>
      <c r="L27" s="17" t="str">
        <f t="shared" si="5"/>
        <v/>
      </c>
    </row>
    <row r="28" spans="1:12">
      <c r="A28" s="17">
        <v>19</v>
      </c>
      <c r="B28" s="17">
        <v>1</v>
      </c>
      <c r="C28" s="17">
        <v>7</v>
      </c>
      <c r="D28" s="17" t="s">
        <v>90</v>
      </c>
      <c r="E28" s="17">
        <v>69</v>
      </c>
      <c r="F28" s="17">
        <f t="shared" si="6"/>
        <v>40</v>
      </c>
      <c r="G28" s="19">
        <f t="shared" si="0"/>
        <v>44.976666666666667</v>
      </c>
      <c r="H28" s="19">
        <f t="shared" si="1"/>
        <v>88.250344884840729</v>
      </c>
      <c r="I28" s="19">
        <f t="shared" si="2"/>
        <v>53.157040133779255</v>
      </c>
      <c r="J28" s="19">
        <f t="shared" si="3"/>
        <v>16.270903010033443</v>
      </c>
      <c r="K28" s="17" t="str">
        <f t="shared" si="4"/>
        <v/>
      </c>
      <c r="L28" s="17" t="str">
        <f t="shared" si="5"/>
        <v/>
      </c>
    </row>
    <row r="29" spans="1:12">
      <c r="A29" s="17">
        <v>20</v>
      </c>
      <c r="B29" s="17">
        <v>1</v>
      </c>
      <c r="C29" s="17">
        <v>6</v>
      </c>
      <c r="D29" s="17" t="s">
        <v>91</v>
      </c>
      <c r="E29" s="17">
        <v>107</v>
      </c>
      <c r="F29" s="17">
        <f t="shared" si="6"/>
        <v>38</v>
      </c>
      <c r="G29" s="19">
        <f t="shared" si="0"/>
        <v>44.976666666666667</v>
      </c>
      <c r="H29" s="19">
        <f t="shared" si="1"/>
        <v>88.250344884840729</v>
      </c>
      <c r="I29" s="19">
        <f t="shared" si="2"/>
        <v>53.157040133779255</v>
      </c>
      <c r="J29" s="19">
        <f t="shared" si="3"/>
        <v>16.270903010033443</v>
      </c>
      <c r="K29" s="17" t="str">
        <f t="shared" si="4"/>
        <v>OOC</v>
      </c>
      <c r="L29" s="17" t="str">
        <f t="shared" si="5"/>
        <v/>
      </c>
    </row>
    <row r="30" spans="1:12">
      <c r="A30" s="17">
        <v>21</v>
      </c>
      <c r="B30" s="17">
        <v>1</v>
      </c>
      <c r="C30" s="17">
        <v>5</v>
      </c>
      <c r="D30" s="17" t="s">
        <v>92</v>
      </c>
      <c r="E30" s="17">
        <v>77</v>
      </c>
      <c r="F30" s="17">
        <f t="shared" si="6"/>
        <v>30</v>
      </c>
      <c r="G30" s="19">
        <f t="shared" si="0"/>
        <v>44.976666666666667</v>
      </c>
      <c r="H30" s="19">
        <f t="shared" si="1"/>
        <v>88.250344884840729</v>
      </c>
      <c r="I30" s="19">
        <f t="shared" si="2"/>
        <v>53.157040133779255</v>
      </c>
      <c r="J30" s="19">
        <f t="shared" si="3"/>
        <v>16.270903010033443</v>
      </c>
      <c r="K30" s="17" t="str">
        <f t="shared" si="4"/>
        <v/>
      </c>
      <c r="L30" s="17" t="str">
        <f t="shared" si="5"/>
        <v/>
      </c>
    </row>
    <row r="31" spans="1:12">
      <c r="A31" s="17">
        <v>22</v>
      </c>
      <c r="B31" s="17">
        <v>1</v>
      </c>
      <c r="C31" s="17">
        <v>4</v>
      </c>
      <c r="D31" s="17" t="s">
        <v>93</v>
      </c>
      <c r="E31" s="17">
        <v>91</v>
      </c>
      <c r="F31" s="17">
        <f t="shared" si="6"/>
        <v>14</v>
      </c>
      <c r="G31" s="19">
        <f t="shared" si="0"/>
        <v>44.976666666666667</v>
      </c>
      <c r="H31" s="19">
        <f t="shared" si="1"/>
        <v>88.250344884840729</v>
      </c>
      <c r="I31" s="19">
        <f t="shared" si="2"/>
        <v>53.157040133779255</v>
      </c>
      <c r="J31" s="19">
        <f t="shared" si="3"/>
        <v>16.270903010033443</v>
      </c>
      <c r="K31" s="17" t="str">
        <f t="shared" si="4"/>
        <v>OOC</v>
      </c>
      <c r="L31" s="17" t="str">
        <f t="shared" si="5"/>
        <v/>
      </c>
    </row>
    <row r="32" spans="1:12">
      <c r="A32" s="17">
        <v>23</v>
      </c>
      <c r="B32" s="17">
        <v>1</v>
      </c>
      <c r="C32" s="17">
        <v>3</v>
      </c>
      <c r="D32" s="17" t="s">
        <v>94</v>
      </c>
      <c r="E32" s="17">
        <v>45</v>
      </c>
      <c r="F32" s="17">
        <f t="shared" si="6"/>
        <v>46</v>
      </c>
      <c r="G32" s="19">
        <f t="shared" si="0"/>
        <v>44.976666666666667</v>
      </c>
      <c r="H32" s="19">
        <f t="shared" si="1"/>
        <v>88.250344884840729</v>
      </c>
      <c r="I32" s="19">
        <f t="shared" si="2"/>
        <v>53.157040133779255</v>
      </c>
      <c r="J32" s="19">
        <f t="shared" si="3"/>
        <v>16.270903010033443</v>
      </c>
      <c r="K32" s="17" t="str">
        <f t="shared" si="4"/>
        <v/>
      </c>
      <c r="L32" s="17" t="str">
        <f t="shared" si="5"/>
        <v/>
      </c>
    </row>
    <row r="33" spans="1:12">
      <c r="A33" s="17">
        <v>24</v>
      </c>
      <c r="B33" s="17">
        <v>1</v>
      </c>
      <c r="C33" s="17">
        <v>2</v>
      </c>
      <c r="D33" s="17" t="s">
        <v>95</v>
      </c>
      <c r="E33" s="17">
        <v>51</v>
      </c>
      <c r="F33" s="17">
        <f t="shared" si="6"/>
        <v>6</v>
      </c>
      <c r="G33" s="19">
        <f t="shared" si="0"/>
        <v>44.976666666666667</v>
      </c>
      <c r="H33" s="19">
        <f t="shared" si="1"/>
        <v>88.250344884840729</v>
      </c>
      <c r="I33" s="19">
        <f t="shared" si="2"/>
        <v>53.157040133779255</v>
      </c>
      <c r="J33" s="19">
        <f t="shared" si="3"/>
        <v>16.270903010033443</v>
      </c>
      <c r="K33" s="17" t="str">
        <f t="shared" si="4"/>
        <v/>
      </c>
      <c r="L33" s="17" t="str">
        <f t="shared" si="5"/>
        <v/>
      </c>
    </row>
    <row r="34" spans="1:12">
      <c r="A34" s="17">
        <v>25</v>
      </c>
      <c r="B34" s="17">
        <v>1</v>
      </c>
      <c r="C34" s="17">
        <v>1</v>
      </c>
      <c r="D34" s="17" t="s">
        <v>96</v>
      </c>
      <c r="E34" s="17">
        <v>53</v>
      </c>
      <c r="F34" s="17">
        <f t="shared" si="6"/>
        <v>2</v>
      </c>
      <c r="G34" s="19">
        <f t="shared" si="0"/>
        <v>44.976666666666667</v>
      </c>
      <c r="H34" s="19">
        <f t="shared" si="1"/>
        <v>88.250344884840729</v>
      </c>
      <c r="I34" s="19">
        <f t="shared" si="2"/>
        <v>53.157040133779255</v>
      </c>
      <c r="J34" s="19">
        <f t="shared" si="3"/>
        <v>16.270903010033443</v>
      </c>
      <c r="K34" s="17" t="str">
        <f t="shared" si="4"/>
        <v/>
      </c>
      <c r="L34" s="17" t="str">
        <f t="shared" si="5"/>
        <v/>
      </c>
    </row>
    <row r="35" spans="1:12">
      <c r="A35" s="17">
        <v>26</v>
      </c>
      <c r="B35" s="17">
        <v>1</v>
      </c>
      <c r="C35" s="17">
        <v>25</v>
      </c>
      <c r="D35" s="17" t="s">
        <v>97</v>
      </c>
      <c r="E35" s="17">
        <v>38</v>
      </c>
      <c r="F35" s="17">
        <f t="shared" si="6"/>
        <v>15</v>
      </c>
      <c r="G35" s="19">
        <f t="shared" si="0"/>
        <v>44.976666666666667</v>
      </c>
      <c r="H35" s="19">
        <f t="shared" si="1"/>
        <v>88.250344884840729</v>
      </c>
      <c r="I35" s="19">
        <f t="shared" si="2"/>
        <v>53.157040133779255</v>
      </c>
      <c r="J35" s="19">
        <f t="shared" si="3"/>
        <v>16.270903010033443</v>
      </c>
      <c r="K35" s="17" t="str">
        <f t="shared" si="4"/>
        <v/>
      </c>
      <c r="L35" s="17" t="str">
        <f t="shared" si="5"/>
        <v/>
      </c>
    </row>
    <row r="36" spans="1:12">
      <c r="A36" s="17">
        <v>27</v>
      </c>
      <c r="B36" s="17">
        <v>1</v>
      </c>
      <c r="C36" s="17">
        <v>24</v>
      </c>
      <c r="D36" s="17" t="s">
        <v>98</v>
      </c>
      <c r="E36" s="17">
        <v>30</v>
      </c>
      <c r="F36" s="17">
        <f t="shared" si="6"/>
        <v>8</v>
      </c>
      <c r="G36" s="19">
        <f t="shared" si="0"/>
        <v>44.976666666666667</v>
      </c>
      <c r="H36" s="19">
        <f t="shared" si="1"/>
        <v>88.250344884840729</v>
      </c>
      <c r="I36" s="19">
        <f t="shared" si="2"/>
        <v>53.157040133779255</v>
      </c>
      <c r="J36" s="19">
        <f t="shared" si="3"/>
        <v>16.270903010033443</v>
      </c>
      <c r="K36" s="17" t="str">
        <f t="shared" si="4"/>
        <v/>
      </c>
      <c r="L36" s="17" t="str">
        <f t="shared" si="5"/>
        <v/>
      </c>
    </row>
    <row r="37" spans="1:12">
      <c r="A37" s="17">
        <v>28</v>
      </c>
      <c r="B37" s="17">
        <v>1</v>
      </c>
      <c r="C37" s="17">
        <v>23</v>
      </c>
      <c r="D37" s="17" t="s">
        <v>99</v>
      </c>
      <c r="E37" s="17">
        <v>31</v>
      </c>
      <c r="F37" s="17">
        <f t="shared" si="6"/>
        <v>1</v>
      </c>
      <c r="G37" s="19">
        <f t="shared" si="0"/>
        <v>44.976666666666667</v>
      </c>
      <c r="H37" s="19">
        <f t="shared" si="1"/>
        <v>88.250344884840729</v>
      </c>
      <c r="I37" s="19">
        <f t="shared" si="2"/>
        <v>53.157040133779255</v>
      </c>
      <c r="J37" s="19">
        <f t="shared" si="3"/>
        <v>16.270903010033443</v>
      </c>
      <c r="K37" s="17" t="str">
        <f t="shared" si="4"/>
        <v/>
      </c>
      <c r="L37" s="17" t="str">
        <f t="shared" si="5"/>
        <v/>
      </c>
    </row>
    <row r="38" spans="1:12">
      <c r="A38" s="17">
        <v>29</v>
      </c>
      <c r="B38" s="17">
        <v>1</v>
      </c>
      <c r="C38" s="17">
        <v>22</v>
      </c>
      <c r="D38" s="17" t="s">
        <v>100</v>
      </c>
      <c r="E38" s="17">
        <v>30</v>
      </c>
      <c r="F38" s="17">
        <f t="shared" si="6"/>
        <v>1</v>
      </c>
      <c r="G38" s="19">
        <f t="shared" si="0"/>
        <v>44.976666666666667</v>
      </c>
      <c r="H38" s="19">
        <f t="shared" si="1"/>
        <v>88.250344884840729</v>
      </c>
      <c r="I38" s="19">
        <f t="shared" si="2"/>
        <v>53.157040133779255</v>
      </c>
      <c r="J38" s="19">
        <f t="shared" si="3"/>
        <v>16.270903010033443</v>
      </c>
      <c r="K38" s="17" t="str">
        <f t="shared" si="4"/>
        <v/>
      </c>
      <c r="L38" s="17" t="str">
        <f t="shared" si="5"/>
        <v/>
      </c>
    </row>
    <row r="39" spans="1:12">
      <c r="A39" s="17">
        <v>30</v>
      </c>
      <c r="B39" s="17">
        <v>1</v>
      </c>
      <c r="C39" s="17">
        <v>21</v>
      </c>
      <c r="D39" s="17" t="s">
        <v>101</v>
      </c>
      <c r="E39" s="17">
        <v>33</v>
      </c>
      <c r="F39" s="17">
        <f t="shared" si="6"/>
        <v>3</v>
      </c>
      <c r="G39" s="19">
        <f t="shared" si="0"/>
        <v>44.976666666666667</v>
      </c>
      <c r="H39" s="19">
        <f t="shared" si="1"/>
        <v>88.250344884840729</v>
      </c>
      <c r="I39" s="19">
        <f t="shared" si="2"/>
        <v>53.157040133779255</v>
      </c>
      <c r="J39" s="19">
        <f t="shared" si="3"/>
        <v>16.270903010033443</v>
      </c>
      <c r="K39" s="17" t="str">
        <f t="shared" si="4"/>
        <v/>
      </c>
      <c r="L39" s="17" t="str">
        <f t="shared" si="5"/>
        <v/>
      </c>
    </row>
    <row r="40" spans="1:12">
      <c r="A40" s="17">
        <v>31</v>
      </c>
      <c r="B40" s="17">
        <v>1</v>
      </c>
      <c r="C40" s="17">
        <v>20</v>
      </c>
      <c r="D40" s="17" t="s">
        <v>102</v>
      </c>
      <c r="E40" s="17">
        <v>33</v>
      </c>
      <c r="F40" s="17">
        <f t="shared" si="6"/>
        <v>0</v>
      </c>
      <c r="G40" s="19">
        <f t="shared" si="0"/>
        <v>44.976666666666667</v>
      </c>
      <c r="H40" s="19">
        <f t="shared" si="1"/>
        <v>88.250344884840729</v>
      </c>
      <c r="I40" s="19">
        <f t="shared" si="2"/>
        <v>53.157040133779255</v>
      </c>
      <c r="J40" s="19">
        <f t="shared" si="3"/>
        <v>16.270903010033443</v>
      </c>
      <c r="K40" s="17" t="str">
        <f t="shared" si="4"/>
        <v/>
      </c>
      <c r="L40" s="17" t="str">
        <f t="shared" si="5"/>
        <v/>
      </c>
    </row>
    <row r="41" spans="1:12">
      <c r="A41" s="17">
        <v>32</v>
      </c>
      <c r="B41" s="17">
        <v>1</v>
      </c>
      <c r="C41" s="17">
        <v>19</v>
      </c>
      <c r="D41" s="17" t="s">
        <v>103</v>
      </c>
      <c r="E41" s="17">
        <v>36</v>
      </c>
      <c r="F41" s="17">
        <f t="shared" si="6"/>
        <v>3</v>
      </c>
      <c r="G41" s="19">
        <f t="shared" si="0"/>
        <v>44.976666666666667</v>
      </c>
      <c r="H41" s="19">
        <f t="shared" si="1"/>
        <v>88.250344884840729</v>
      </c>
      <c r="I41" s="19">
        <f t="shared" si="2"/>
        <v>53.157040133779255</v>
      </c>
      <c r="J41" s="19">
        <f t="shared" si="3"/>
        <v>16.270903010033443</v>
      </c>
      <c r="K41" s="17" t="str">
        <f t="shared" si="4"/>
        <v/>
      </c>
      <c r="L41" s="17" t="str">
        <f t="shared" si="5"/>
        <v/>
      </c>
    </row>
    <row r="42" spans="1:12">
      <c r="A42" s="17">
        <v>33</v>
      </c>
      <c r="B42" s="17">
        <v>1</v>
      </c>
      <c r="C42" s="17">
        <v>18</v>
      </c>
      <c r="D42" s="17" t="s">
        <v>104</v>
      </c>
      <c r="E42" s="17">
        <v>29</v>
      </c>
      <c r="F42" s="17">
        <f t="shared" si="6"/>
        <v>7</v>
      </c>
      <c r="G42" s="19">
        <f t="shared" si="0"/>
        <v>44.976666666666667</v>
      </c>
      <c r="H42" s="19">
        <f t="shared" si="1"/>
        <v>88.250344884840729</v>
      </c>
      <c r="I42" s="19">
        <f t="shared" si="2"/>
        <v>53.157040133779255</v>
      </c>
      <c r="J42" s="19">
        <f t="shared" si="3"/>
        <v>16.270903010033443</v>
      </c>
      <c r="K42" s="17" t="str">
        <f t="shared" si="4"/>
        <v/>
      </c>
      <c r="L42" s="17" t="str">
        <f t="shared" si="5"/>
        <v/>
      </c>
    </row>
    <row r="43" spans="1:12">
      <c r="A43" s="17">
        <v>34</v>
      </c>
      <c r="B43" s="17">
        <v>1</v>
      </c>
      <c r="C43" s="17">
        <v>17</v>
      </c>
      <c r="D43" s="17" t="s">
        <v>105</v>
      </c>
      <c r="E43" s="17">
        <v>27</v>
      </c>
      <c r="F43" s="17">
        <f t="shared" si="6"/>
        <v>2</v>
      </c>
      <c r="G43" s="19">
        <f t="shared" si="0"/>
        <v>44.976666666666667</v>
      </c>
      <c r="H43" s="19">
        <f t="shared" si="1"/>
        <v>88.250344884840729</v>
      </c>
      <c r="I43" s="19">
        <f t="shared" si="2"/>
        <v>53.157040133779255</v>
      </c>
      <c r="J43" s="19">
        <f t="shared" si="3"/>
        <v>16.270903010033443</v>
      </c>
      <c r="K43" s="17" t="str">
        <f t="shared" si="4"/>
        <v/>
      </c>
      <c r="L43" s="17" t="str">
        <f t="shared" si="5"/>
        <v/>
      </c>
    </row>
    <row r="44" spans="1:12">
      <c r="A44" s="17">
        <v>35</v>
      </c>
      <c r="B44" s="17">
        <v>1</v>
      </c>
      <c r="C44" s="17">
        <v>16</v>
      </c>
      <c r="D44" s="17" t="s">
        <v>106</v>
      </c>
      <c r="E44" s="17">
        <v>31</v>
      </c>
      <c r="F44" s="17">
        <f t="shared" si="6"/>
        <v>4</v>
      </c>
      <c r="G44" s="19">
        <f t="shared" si="0"/>
        <v>44.976666666666667</v>
      </c>
      <c r="H44" s="19">
        <f t="shared" si="1"/>
        <v>88.250344884840729</v>
      </c>
      <c r="I44" s="19">
        <f t="shared" si="2"/>
        <v>53.157040133779255</v>
      </c>
      <c r="J44" s="19">
        <f t="shared" si="3"/>
        <v>16.270903010033443</v>
      </c>
      <c r="K44" s="17" t="str">
        <f t="shared" si="4"/>
        <v/>
      </c>
      <c r="L44" s="17" t="str">
        <f t="shared" si="5"/>
        <v/>
      </c>
    </row>
    <row r="45" spans="1:12">
      <c r="A45" s="17">
        <v>36</v>
      </c>
      <c r="B45" s="17">
        <v>1</v>
      </c>
      <c r="C45" s="17">
        <v>15</v>
      </c>
      <c r="D45" s="17" t="s">
        <v>107</v>
      </c>
      <c r="E45" s="17">
        <v>35</v>
      </c>
      <c r="F45" s="17">
        <f t="shared" si="6"/>
        <v>4</v>
      </c>
      <c r="G45" s="19">
        <f t="shared" si="0"/>
        <v>44.976666666666667</v>
      </c>
      <c r="H45" s="19">
        <f t="shared" si="1"/>
        <v>88.250344884840729</v>
      </c>
      <c r="I45" s="19">
        <f t="shared" si="2"/>
        <v>53.157040133779255</v>
      </c>
      <c r="J45" s="19">
        <f t="shared" si="3"/>
        <v>16.270903010033443</v>
      </c>
      <c r="K45" s="17" t="str">
        <f t="shared" si="4"/>
        <v/>
      </c>
      <c r="L45" s="17" t="str">
        <f t="shared" si="5"/>
        <v/>
      </c>
    </row>
    <row r="46" spans="1:12">
      <c r="A46" s="17">
        <v>37</v>
      </c>
      <c r="B46" s="17">
        <v>1</v>
      </c>
      <c r="C46" s="17">
        <v>14</v>
      </c>
      <c r="D46" s="17" t="s">
        <v>108</v>
      </c>
      <c r="E46" s="17">
        <v>13</v>
      </c>
      <c r="F46" s="17">
        <f t="shared" si="6"/>
        <v>22</v>
      </c>
      <c r="G46" s="19">
        <f t="shared" si="0"/>
        <v>44.976666666666667</v>
      </c>
      <c r="H46" s="19">
        <f t="shared" si="1"/>
        <v>88.250344884840729</v>
      </c>
      <c r="I46" s="19">
        <f t="shared" si="2"/>
        <v>53.157040133779255</v>
      </c>
      <c r="J46" s="19">
        <f t="shared" si="3"/>
        <v>16.270903010033443</v>
      </c>
      <c r="K46" s="17" t="str">
        <f t="shared" si="4"/>
        <v/>
      </c>
      <c r="L46" s="17" t="str">
        <f t="shared" si="5"/>
        <v/>
      </c>
    </row>
    <row r="47" spans="1:12">
      <c r="A47" s="17">
        <v>38</v>
      </c>
      <c r="B47" s="17">
        <v>1</v>
      </c>
      <c r="C47" s="17">
        <v>13</v>
      </c>
      <c r="D47" s="17" t="s">
        <v>109</v>
      </c>
      <c r="E47" s="17">
        <v>14</v>
      </c>
      <c r="F47" s="17">
        <f t="shared" si="6"/>
        <v>1</v>
      </c>
      <c r="G47" s="19">
        <f t="shared" si="0"/>
        <v>44.976666666666667</v>
      </c>
      <c r="H47" s="19">
        <f t="shared" si="1"/>
        <v>88.250344884840729</v>
      </c>
      <c r="I47" s="19">
        <f t="shared" si="2"/>
        <v>53.157040133779255</v>
      </c>
      <c r="J47" s="19">
        <f t="shared" si="3"/>
        <v>16.270903010033443</v>
      </c>
      <c r="K47" s="17" t="str">
        <f t="shared" si="4"/>
        <v/>
      </c>
      <c r="L47" s="17" t="str">
        <f t="shared" si="5"/>
        <v/>
      </c>
    </row>
    <row r="48" spans="1:12">
      <c r="A48" s="17">
        <v>39</v>
      </c>
      <c r="B48" s="17">
        <v>1</v>
      </c>
      <c r="C48" s="17">
        <v>12</v>
      </c>
      <c r="D48" s="17" t="s">
        <v>110</v>
      </c>
      <c r="E48" s="17">
        <v>38</v>
      </c>
      <c r="F48" s="17">
        <f t="shared" si="6"/>
        <v>24</v>
      </c>
      <c r="G48" s="19">
        <f t="shared" si="0"/>
        <v>44.976666666666667</v>
      </c>
      <c r="H48" s="19">
        <f t="shared" si="1"/>
        <v>88.250344884840729</v>
      </c>
      <c r="I48" s="19">
        <f t="shared" si="2"/>
        <v>53.157040133779255</v>
      </c>
      <c r="J48" s="19">
        <f t="shared" si="3"/>
        <v>16.270903010033443</v>
      </c>
      <c r="K48" s="17" t="str">
        <f t="shared" si="4"/>
        <v/>
      </c>
      <c r="L48" s="17" t="str">
        <f t="shared" si="5"/>
        <v/>
      </c>
    </row>
    <row r="49" spans="1:12">
      <c r="A49" s="17">
        <v>40</v>
      </c>
      <c r="B49" s="17">
        <v>1</v>
      </c>
      <c r="C49" s="17">
        <v>11</v>
      </c>
      <c r="D49" s="17" t="s">
        <v>111</v>
      </c>
      <c r="E49" s="17">
        <v>15</v>
      </c>
      <c r="F49" s="17">
        <f t="shared" si="6"/>
        <v>23</v>
      </c>
      <c r="G49" s="19">
        <f t="shared" si="0"/>
        <v>44.976666666666667</v>
      </c>
      <c r="H49" s="19">
        <f t="shared" si="1"/>
        <v>88.250344884840729</v>
      </c>
      <c r="I49" s="19">
        <f t="shared" si="2"/>
        <v>53.157040133779255</v>
      </c>
      <c r="J49" s="19">
        <f t="shared" si="3"/>
        <v>16.270903010033443</v>
      </c>
      <c r="K49" s="17" t="str">
        <f t="shared" si="4"/>
        <v/>
      </c>
      <c r="L49" s="17" t="str">
        <f t="shared" si="5"/>
        <v/>
      </c>
    </row>
    <row r="50" spans="1:12">
      <c r="A50" s="17">
        <v>41</v>
      </c>
      <c r="B50" s="17">
        <v>1</v>
      </c>
      <c r="C50" s="17">
        <v>10</v>
      </c>
      <c r="D50" s="17" t="s">
        <v>112</v>
      </c>
      <c r="E50" s="17">
        <v>19</v>
      </c>
      <c r="F50" s="17">
        <f t="shared" si="6"/>
        <v>4</v>
      </c>
      <c r="G50" s="19">
        <f t="shared" si="0"/>
        <v>44.976666666666667</v>
      </c>
      <c r="H50" s="19">
        <f t="shared" si="1"/>
        <v>88.250344884840729</v>
      </c>
      <c r="I50" s="19">
        <f t="shared" si="2"/>
        <v>53.157040133779255</v>
      </c>
      <c r="J50" s="19">
        <f t="shared" si="3"/>
        <v>16.270903010033443</v>
      </c>
      <c r="K50" s="17" t="str">
        <f t="shared" si="4"/>
        <v/>
      </c>
      <c r="L50" s="17" t="str">
        <f t="shared" si="5"/>
        <v/>
      </c>
    </row>
    <row r="51" spans="1:12">
      <c r="A51" s="17">
        <v>42</v>
      </c>
      <c r="B51" s="17">
        <v>1</v>
      </c>
      <c r="C51" s="17">
        <v>9</v>
      </c>
      <c r="D51" s="17" t="s">
        <v>113</v>
      </c>
      <c r="E51" s="17">
        <v>34</v>
      </c>
      <c r="F51" s="17">
        <f t="shared" si="6"/>
        <v>15</v>
      </c>
      <c r="G51" s="19">
        <f t="shared" si="0"/>
        <v>44.976666666666667</v>
      </c>
      <c r="H51" s="19">
        <f t="shared" si="1"/>
        <v>88.250344884840729</v>
      </c>
      <c r="I51" s="19">
        <f t="shared" si="2"/>
        <v>53.157040133779255</v>
      </c>
      <c r="J51" s="19">
        <f t="shared" si="3"/>
        <v>16.270903010033443</v>
      </c>
      <c r="K51" s="17" t="str">
        <f t="shared" si="4"/>
        <v/>
      </c>
      <c r="L51" s="17" t="str">
        <f t="shared" si="5"/>
        <v/>
      </c>
    </row>
    <row r="52" spans="1:12">
      <c r="A52" s="17">
        <v>43</v>
      </c>
      <c r="B52" s="17">
        <v>1</v>
      </c>
      <c r="C52" s="17">
        <v>8</v>
      </c>
      <c r="D52" s="17" t="s">
        <v>114</v>
      </c>
      <c r="E52" s="17">
        <v>40</v>
      </c>
      <c r="F52" s="17">
        <f t="shared" si="6"/>
        <v>6</v>
      </c>
      <c r="G52" s="19">
        <f t="shared" si="0"/>
        <v>44.976666666666667</v>
      </c>
      <c r="H52" s="19">
        <f t="shared" si="1"/>
        <v>88.250344884840729</v>
      </c>
      <c r="I52" s="19">
        <f t="shared" si="2"/>
        <v>53.157040133779255</v>
      </c>
      <c r="J52" s="19">
        <f t="shared" si="3"/>
        <v>16.270903010033443</v>
      </c>
      <c r="K52" s="17" t="str">
        <f t="shared" si="4"/>
        <v/>
      </c>
      <c r="L52" s="17" t="str">
        <f t="shared" si="5"/>
        <v/>
      </c>
    </row>
    <row r="53" spans="1:12">
      <c r="A53" s="17">
        <v>44</v>
      </c>
      <c r="B53" s="17">
        <v>1</v>
      </c>
      <c r="C53" s="17">
        <v>7</v>
      </c>
      <c r="D53" s="17" t="s">
        <v>115</v>
      </c>
      <c r="E53" s="17">
        <v>42</v>
      </c>
      <c r="F53" s="17">
        <f t="shared" si="6"/>
        <v>2</v>
      </c>
      <c r="G53" s="19">
        <f t="shared" si="0"/>
        <v>44.976666666666667</v>
      </c>
      <c r="H53" s="19">
        <f t="shared" si="1"/>
        <v>88.250344884840729</v>
      </c>
      <c r="I53" s="19">
        <f t="shared" si="2"/>
        <v>53.157040133779255</v>
      </c>
      <c r="J53" s="19">
        <f t="shared" si="3"/>
        <v>16.270903010033443</v>
      </c>
      <c r="K53" s="17" t="str">
        <f t="shared" si="4"/>
        <v/>
      </c>
      <c r="L53" s="17" t="str">
        <f t="shared" si="5"/>
        <v/>
      </c>
    </row>
    <row r="54" spans="1:12">
      <c r="A54" s="17">
        <v>45</v>
      </c>
      <c r="B54" s="17">
        <v>1</v>
      </c>
      <c r="C54" s="17">
        <v>6</v>
      </c>
      <c r="D54" s="17" t="s">
        <v>116</v>
      </c>
      <c r="E54" s="17">
        <v>29</v>
      </c>
      <c r="F54" s="17">
        <f t="shared" si="6"/>
        <v>13</v>
      </c>
      <c r="G54" s="19">
        <f t="shared" si="0"/>
        <v>44.976666666666667</v>
      </c>
      <c r="H54" s="19">
        <f t="shared" si="1"/>
        <v>88.250344884840729</v>
      </c>
      <c r="I54" s="19">
        <f t="shared" si="2"/>
        <v>53.157040133779255</v>
      </c>
      <c r="J54" s="19">
        <f t="shared" si="3"/>
        <v>16.270903010033443</v>
      </c>
      <c r="K54" s="17" t="str">
        <f t="shared" si="4"/>
        <v/>
      </c>
      <c r="L54" s="17" t="str">
        <f t="shared" si="5"/>
        <v/>
      </c>
    </row>
    <row r="55" spans="1:12">
      <c r="A55" s="17">
        <v>46</v>
      </c>
      <c r="B55" s="17">
        <v>1</v>
      </c>
      <c r="C55" s="17">
        <v>5</v>
      </c>
      <c r="D55" s="17" t="s">
        <v>117</v>
      </c>
      <c r="E55" s="17">
        <v>18</v>
      </c>
      <c r="F55" s="17">
        <f t="shared" si="6"/>
        <v>11</v>
      </c>
      <c r="G55" s="19">
        <f t="shared" si="0"/>
        <v>44.976666666666667</v>
      </c>
      <c r="H55" s="19">
        <f t="shared" si="1"/>
        <v>88.250344884840729</v>
      </c>
      <c r="I55" s="19">
        <f t="shared" si="2"/>
        <v>53.157040133779255</v>
      </c>
      <c r="J55" s="19">
        <f t="shared" si="3"/>
        <v>16.270903010033443</v>
      </c>
      <c r="K55" s="17" t="str">
        <f t="shared" si="4"/>
        <v/>
      </c>
      <c r="L55" s="17" t="str">
        <f t="shared" si="5"/>
        <v/>
      </c>
    </row>
    <row r="56" spans="1:12">
      <c r="A56" s="17">
        <v>47</v>
      </c>
      <c r="B56" s="17">
        <v>1</v>
      </c>
      <c r="C56" s="17">
        <v>4</v>
      </c>
      <c r="D56" s="17" t="s">
        <v>118</v>
      </c>
      <c r="E56" s="17">
        <v>28</v>
      </c>
      <c r="F56" s="17">
        <f t="shared" si="6"/>
        <v>10</v>
      </c>
      <c r="G56" s="19">
        <f t="shared" si="0"/>
        <v>44.976666666666667</v>
      </c>
      <c r="H56" s="19">
        <f t="shared" si="1"/>
        <v>88.250344884840729</v>
      </c>
      <c r="I56" s="19">
        <f t="shared" si="2"/>
        <v>53.157040133779255</v>
      </c>
      <c r="J56" s="19">
        <f t="shared" si="3"/>
        <v>16.270903010033443</v>
      </c>
      <c r="K56" s="17" t="str">
        <f t="shared" si="4"/>
        <v/>
      </c>
      <c r="L56" s="17" t="str">
        <f t="shared" si="5"/>
        <v/>
      </c>
    </row>
    <row r="57" spans="1:12">
      <c r="A57" s="17">
        <v>48</v>
      </c>
      <c r="B57" s="17">
        <v>1</v>
      </c>
      <c r="C57" s="17">
        <v>3</v>
      </c>
      <c r="D57" s="17" t="s">
        <v>119</v>
      </c>
      <c r="E57" s="17">
        <v>21</v>
      </c>
      <c r="F57" s="17">
        <f t="shared" si="6"/>
        <v>7</v>
      </c>
      <c r="G57" s="19">
        <f t="shared" si="0"/>
        <v>44.976666666666667</v>
      </c>
      <c r="H57" s="19">
        <f t="shared" si="1"/>
        <v>88.250344884840729</v>
      </c>
      <c r="I57" s="19">
        <f t="shared" si="2"/>
        <v>53.157040133779255</v>
      </c>
      <c r="J57" s="19">
        <f t="shared" si="3"/>
        <v>16.270903010033443</v>
      </c>
      <c r="K57" s="17" t="str">
        <f t="shared" si="4"/>
        <v/>
      </c>
      <c r="L57" s="17" t="str">
        <f t="shared" si="5"/>
        <v/>
      </c>
    </row>
    <row r="58" spans="1:12">
      <c r="A58" s="17">
        <v>49</v>
      </c>
      <c r="B58" s="17">
        <v>1</v>
      </c>
      <c r="C58" s="17">
        <v>2</v>
      </c>
      <c r="D58" s="17" t="s">
        <v>120</v>
      </c>
      <c r="E58" s="17">
        <v>21</v>
      </c>
      <c r="F58" s="17">
        <f t="shared" si="6"/>
        <v>0</v>
      </c>
      <c r="G58" s="19">
        <f t="shared" si="0"/>
        <v>44.976666666666667</v>
      </c>
      <c r="H58" s="19">
        <f t="shared" si="1"/>
        <v>88.250344884840729</v>
      </c>
      <c r="I58" s="19">
        <f t="shared" si="2"/>
        <v>53.157040133779255</v>
      </c>
      <c r="J58" s="19">
        <f t="shared" si="3"/>
        <v>16.270903010033443</v>
      </c>
      <c r="K58" s="17" t="str">
        <f t="shared" si="4"/>
        <v/>
      </c>
      <c r="L58" s="17" t="str">
        <f t="shared" si="5"/>
        <v/>
      </c>
    </row>
    <row r="59" spans="1:12">
      <c r="A59" s="17">
        <v>50</v>
      </c>
      <c r="B59" s="17">
        <v>1</v>
      </c>
      <c r="C59" s="17">
        <v>1</v>
      </c>
      <c r="D59" s="17" t="s">
        <v>121</v>
      </c>
      <c r="E59" s="17">
        <v>25</v>
      </c>
      <c r="F59" s="17">
        <f t="shared" si="6"/>
        <v>4</v>
      </c>
      <c r="G59" s="19">
        <f t="shared" si="0"/>
        <v>44.976666666666667</v>
      </c>
      <c r="H59" s="19">
        <f t="shared" si="1"/>
        <v>88.250344884840729</v>
      </c>
      <c r="I59" s="19">
        <f t="shared" si="2"/>
        <v>53.157040133779255</v>
      </c>
      <c r="J59" s="19">
        <f t="shared" si="3"/>
        <v>16.270903010033443</v>
      </c>
      <c r="K59" s="17" t="str">
        <f t="shared" si="4"/>
        <v/>
      </c>
      <c r="L59" s="17" t="str">
        <f t="shared" si="5"/>
        <v/>
      </c>
    </row>
    <row r="60" spans="1:12">
      <c r="A60" s="17">
        <v>51</v>
      </c>
      <c r="B60" s="17">
        <v>2</v>
      </c>
      <c r="C60" s="17">
        <v>25</v>
      </c>
      <c r="D60" s="17" t="s">
        <v>122</v>
      </c>
      <c r="E60" s="17">
        <v>57</v>
      </c>
      <c r="F60" s="17">
        <f t="shared" si="6"/>
        <v>32</v>
      </c>
      <c r="G60" s="19">
        <f t="shared" si="0"/>
        <v>44.976666666666667</v>
      </c>
      <c r="H60" s="19">
        <f t="shared" si="1"/>
        <v>88.250344884840729</v>
      </c>
      <c r="I60" s="19">
        <f t="shared" si="2"/>
        <v>53.157040133779255</v>
      </c>
      <c r="J60" s="19">
        <f t="shared" si="3"/>
        <v>16.270903010033443</v>
      </c>
      <c r="K60" s="17" t="str">
        <f t="shared" si="4"/>
        <v/>
      </c>
      <c r="L60" s="17" t="str">
        <f t="shared" si="5"/>
        <v/>
      </c>
    </row>
    <row r="61" spans="1:12">
      <c r="A61" s="17">
        <v>52</v>
      </c>
      <c r="B61" s="17">
        <v>2</v>
      </c>
      <c r="C61" s="17">
        <v>24</v>
      </c>
      <c r="D61" s="17" t="s">
        <v>123</v>
      </c>
      <c r="E61" s="17">
        <v>41</v>
      </c>
      <c r="F61" s="17">
        <f t="shared" si="6"/>
        <v>16</v>
      </c>
      <c r="G61" s="19">
        <f t="shared" si="0"/>
        <v>44.976666666666667</v>
      </c>
      <c r="H61" s="19">
        <f t="shared" si="1"/>
        <v>88.250344884840729</v>
      </c>
      <c r="I61" s="19">
        <f t="shared" si="2"/>
        <v>53.157040133779255</v>
      </c>
      <c r="J61" s="19">
        <f t="shared" si="3"/>
        <v>16.270903010033443</v>
      </c>
      <c r="K61" s="17" t="str">
        <f t="shared" si="4"/>
        <v/>
      </c>
      <c r="L61" s="17" t="str">
        <f t="shared" si="5"/>
        <v/>
      </c>
    </row>
    <row r="62" spans="1:12">
      <c r="A62" s="17">
        <v>53</v>
      </c>
      <c r="B62" s="17">
        <v>2</v>
      </c>
      <c r="C62" s="17">
        <v>23</v>
      </c>
      <c r="D62" s="17" t="s">
        <v>124</v>
      </c>
      <c r="E62" s="17">
        <v>68</v>
      </c>
      <c r="F62" s="17">
        <f t="shared" si="6"/>
        <v>27</v>
      </c>
      <c r="G62" s="19">
        <f t="shared" si="0"/>
        <v>44.976666666666667</v>
      </c>
      <c r="H62" s="19">
        <f t="shared" si="1"/>
        <v>88.250344884840729</v>
      </c>
      <c r="I62" s="19">
        <f t="shared" si="2"/>
        <v>53.157040133779255</v>
      </c>
      <c r="J62" s="19">
        <f t="shared" si="3"/>
        <v>16.270903010033443</v>
      </c>
      <c r="K62" s="17" t="str">
        <f t="shared" si="4"/>
        <v/>
      </c>
      <c r="L62" s="17" t="str">
        <f t="shared" si="5"/>
        <v/>
      </c>
    </row>
    <row r="63" spans="1:12">
      <c r="A63" s="17">
        <v>54</v>
      </c>
      <c r="B63" s="17">
        <v>2</v>
      </c>
      <c r="C63" s="17">
        <v>22</v>
      </c>
      <c r="D63" s="17" t="s">
        <v>125</v>
      </c>
      <c r="E63" s="17">
        <v>62</v>
      </c>
      <c r="F63" s="17">
        <f t="shared" si="6"/>
        <v>6</v>
      </c>
      <c r="G63" s="19">
        <f t="shared" si="0"/>
        <v>44.976666666666667</v>
      </c>
      <c r="H63" s="19">
        <f t="shared" si="1"/>
        <v>88.250344884840729</v>
      </c>
      <c r="I63" s="19">
        <f t="shared" si="2"/>
        <v>53.157040133779255</v>
      </c>
      <c r="J63" s="19">
        <f t="shared" si="3"/>
        <v>16.270903010033443</v>
      </c>
      <c r="K63" s="17" t="str">
        <f t="shared" si="4"/>
        <v/>
      </c>
      <c r="L63" s="17" t="str">
        <f t="shared" si="5"/>
        <v/>
      </c>
    </row>
    <row r="64" spans="1:12">
      <c r="A64" s="17">
        <v>55</v>
      </c>
      <c r="B64" s="17">
        <v>2</v>
      </c>
      <c r="C64" s="17">
        <v>21</v>
      </c>
      <c r="D64" s="17" t="s">
        <v>126</v>
      </c>
      <c r="E64" s="17">
        <v>47</v>
      </c>
      <c r="F64" s="17">
        <f t="shared" si="6"/>
        <v>15</v>
      </c>
      <c r="G64" s="19">
        <f t="shared" si="0"/>
        <v>44.976666666666667</v>
      </c>
      <c r="H64" s="19">
        <f t="shared" si="1"/>
        <v>88.250344884840729</v>
      </c>
      <c r="I64" s="19">
        <f t="shared" si="2"/>
        <v>53.157040133779255</v>
      </c>
      <c r="J64" s="19">
        <f t="shared" si="3"/>
        <v>16.270903010033443</v>
      </c>
      <c r="K64" s="17" t="str">
        <f t="shared" si="4"/>
        <v/>
      </c>
      <c r="L64" s="17" t="str">
        <f t="shared" si="5"/>
        <v/>
      </c>
    </row>
    <row r="65" spans="1:12">
      <c r="A65" s="17">
        <v>56</v>
      </c>
      <c r="B65" s="17">
        <v>2</v>
      </c>
      <c r="C65" s="17">
        <v>20</v>
      </c>
      <c r="D65" s="17" t="s">
        <v>127</v>
      </c>
      <c r="E65" s="17">
        <v>63</v>
      </c>
      <c r="F65" s="17">
        <f t="shared" si="6"/>
        <v>16</v>
      </c>
      <c r="G65" s="19">
        <f t="shared" si="0"/>
        <v>44.976666666666667</v>
      </c>
      <c r="H65" s="19">
        <f t="shared" si="1"/>
        <v>88.250344884840729</v>
      </c>
      <c r="I65" s="19">
        <f t="shared" si="2"/>
        <v>53.157040133779255</v>
      </c>
      <c r="J65" s="19">
        <f t="shared" si="3"/>
        <v>16.270903010033443</v>
      </c>
      <c r="K65" s="17" t="str">
        <f t="shared" si="4"/>
        <v/>
      </c>
      <c r="L65" s="17" t="str">
        <f t="shared" si="5"/>
        <v/>
      </c>
    </row>
    <row r="66" spans="1:12">
      <c r="A66" s="17">
        <v>57</v>
      </c>
      <c r="B66" s="17">
        <v>2</v>
      </c>
      <c r="C66" s="17">
        <v>19</v>
      </c>
      <c r="D66" s="17" t="s">
        <v>128</v>
      </c>
      <c r="E66" s="17">
        <v>78</v>
      </c>
      <c r="F66" s="17">
        <f t="shared" si="6"/>
        <v>15</v>
      </c>
      <c r="G66" s="19">
        <f t="shared" si="0"/>
        <v>44.976666666666667</v>
      </c>
      <c r="H66" s="19">
        <f t="shared" si="1"/>
        <v>88.250344884840729</v>
      </c>
      <c r="I66" s="19">
        <f t="shared" si="2"/>
        <v>53.157040133779255</v>
      </c>
      <c r="J66" s="19">
        <f t="shared" si="3"/>
        <v>16.270903010033443</v>
      </c>
      <c r="K66" s="17" t="str">
        <f t="shared" si="4"/>
        <v/>
      </c>
      <c r="L66" s="17" t="str">
        <f t="shared" si="5"/>
        <v/>
      </c>
    </row>
    <row r="67" spans="1:12">
      <c r="A67" s="17">
        <v>58</v>
      </c>
      <c r="B67" s="17">
        <v>2</v>
      </c>
      <c r="C67" s="17">
        <v>18</v>
      </c>
      <c r="D67" s="17" t="s">
        <v>129</v>
      </c>
      <c r="E67" s="17">
        <v>92</v>
      </c>
      <c r="F67" s="17">
        <f t="shared" si="6"/>
        <v>14</v>
      </c>
      <c r="G67" s="19">
        <f t="shared" si="0"/>
        <v>44.976666666666667</v>
      </c>
      <c r="H67" s="19">
        <f t="shared" si="1"/>
        <v>88.250344884840729</v>
      </c>
      <c r="I67" s="19">
        <f t="shared" si="2"/>
        <v>53.157040133779255</v>
      </c>
      <c r="J67" s="19">
        <f t="shared" si="3"/>
        <v>16.270903010033443</v>
      </c>
      <c r="K67" s="17" t="str">
        <f t="shared" si="4"/>
        <v>OOC</v>
      </c>
      <c r="L67" s="17" t="str">
        <f t="shared" si="5"/>
        <v/>
      </c>
    </row>
    <row r="68" spans="1:12">
      <c r="A68" s="17">
        <v>59</v>
      </c>
      <c r="B68" s="17">
        <v>2</v>
      </c>
      <c r="C68" s="17">
        <v>17</v>
      </c>
      <c r="D68" s="17" t="s">
        <v>130</v>
      </c>
      <c r="E68" s="17">
        <v>77</v>
      </c>
      <c r="F68" s="17">
        <f t="shared" si="6"/>
        <v>15</v>
      </c>
      <c r="G68" s="19">
        <f t="shared" si="0"/>
        <v>44.976666666666667</v>
      </c>
      <c r="H68" s="19">
        <f t="shared" si="1"/>
        <v>88.250344884840729</v>
      </c>
      <c r="I68" s="19">
        <f t="shared" si="2"/>
        <v>53.157040133779255</v>
      </c>
      <c r="J68" s="19">
        <f t="shared" si="3"/>
        <v>16.270903010033443</v>
      </c>
      <c r="K68" s="17" t="str">
        <f t="shared" si="4"/>
        <v/>
      </c>
      <c r="L68" s="17" t="str">
        <f t="shared" si="5"/>
        <v/>
      </c>
    </row>
    <row r="69" spans="1:12">
      <c r="A69" s="17">
        <v>60</v>
      </c>
      <c r="B69" s="17">
        <v>2</v>
      </c>
      <c r="C69" s="17">
        <v>16</v>
      </c>
      <c r="D69" s="17" t="s">
        <v>131</v>
      </c>
      <c r="E69" s="17">
        <v>61</v>
      </c>
      <c r="F69" s="17">
        <f t="shared" si="6"/>
        <v>16</v>
      </c>
      <c r="G69" s="19">
        <f t="shared" si="0"/>
        <v>44.976666666666667</v>
      </c>
      <c r="H69" s="19">
        <f t="shared" si="1"/>
        <v>88.250344884840729</v>
      </c>
      <c r="I69" s="19">
        <f t="shared" si="2"/>
        <v>53.157040133779255</v>
      </c>
      <c r="J69" s="19">
        <f t="shared" si="3"/>
        <v>16.270903010033443</v>
      </c>
      <c r="K69" s="17" t="str">
        <f t="shared" si="4"/>
        <v/>
      </c>
      <c r="L69" s="17" t="str">
        <f t="shared" si="5"/>
        <v/>
      </c>
    </row>
    <row r="70" spans="1:12">
      <c r="A70" s="17">
        <v>61</v>
      </c>
      <c r="B70" s="17">
        <v>2</v>
      </c>
      <c r="C70" s="17">
        <v>15</v>
      </c>
      <c r="D70" s="17" t="s">
        <v>132</v>
      </c>
      <c r="E70" s="17">
        <v>58</v>
      </c>
      <c r="F70" s="17">
        <f t="shared" si="6"/>
        <v>3</v>
      </c>
      <c r="G70" s="19">
        <f t="shared" si="0"/>
        <v>44.976666666666667</v>
      </c>
      <c r="H70" s="19">
        <f t="shared" si="1"/>
        <v>88.250344884840729</v>
      </c>
      <c r="I70" s="19">
        <f t="shared" si="2"/>
        <v>53.157040133779255</v>
      </c>
      <c r="J70" s="19">
        <f t="shared" si="3"/>
        <v>16.270903010033443</v>
      </c>
      <c r="K70" s="17" t="str">
        <f t="shared" si="4"/>
        <v/>
      </c>
      <c r="L70" s="17" t="str">
        <f t="shared" si="5"/>
        <v/>
      </c>
    </row>
    <row r="71" spans="1:12">
      <c r="A71" s="17">
        <v>62</v>
      </c>
      <c r="B71" s="17">
        <v>2</v>
      </c>
      <c r="C71" s="17">
        <v>14</v>
      </c>
      <c r="D71" s="17" t="s">
        <v>133</v>
      </c>
      <c r="E71" s="17">
        <v>81</v>
      </c>
      <c r="F71" s="17">
        <f t="shared" si="6"/>
        <v>23</v>
      </c>
      <c r="G71" s="19">
        <f t="shared" si="0"/>
        <v>44.976666666666667</v>
      </c>
      <c r="H71" s="19">
        <f t="shared" si="1"/>
        <v>88.250344884840729</v>
      </c>
      <c r="I71" s="19">
        <f t="shared" si="2"/>
        <v>53.157040133779255</v>
      </c>
      <c r="J71" s="19">
        <f t="shared" si="3"/>
        <v>16.270903010033443</v>
      </c>
      <c r="K71" s="17" t="str">
        <f t="shared" si="4"/>
        <v/>
      </c>
      <c r="L71" s="17" t="str">
        <f t="shared" si="5"/>
        <v/>
      </c>
    </row>
    <row r="72" spans="1:12">
      <c r="A72" s="17">
        <v>63</v>
      </c>
      <c r="B72" s="17">
        <v>2</v>
      </c>
      <c r="C72" s="17">
        <v>13</v>
      </c>
      <c r="D72" s="17" t="s">
        <v>134</v>
      </c>
      <c r="E72" s="17">
        <v>106</v>
      </c>
      <c r="F72" s="17">
        <f t="shared" si="6"/>
        <v>25</v>
      </c>
      <c r="G72" s="19">
        <f t="shared" si="0"/>
        <v>44.976666666666667</v>
      </c>
      <c r="H72" s="19">
        <f t="shared" si="1"/>
        <v>88.250344884840729</v>
      </c>
      <c r="I72" s="19">
        <f t="shared" si="2"/>
        <v>53.157040133779255</v>
      </c>
      <c r="J72" s="19">
        <f t="shared" si="3"/>
        <v>16.270903010033443</v>
      </c>
      <c r="K72" s="17" t="str">
        <f t="shared" si="4"/>
        <v>OOC</v>
      </c>
      <c r="L72" s="17" t="str">
        <f t="shared" si="5"/>
        <v/>
      </c>
    </row>
    <row r="73" spans="1:12">
      <c r="A73" s="17">
        <v>64</v>
      </c>
      <c r="B73" s="17">
        <v>2</v>
      </c>
      <c r="C73" s="17">
        <v>12</v>
      </c>
      <c r="D73" s="17" t="s">
        <v>135</v>
      </c>
      <c r="E73" s="17">
        <v>89</v>
      </c>
      <c r="F73" s="17">
        <f t="shared" si="6"/>
        <v>17</v>
      </c>
      <c r="G73" s="19">
        <f t="shared" si="0"/>
        <v>44.976666666666667</v>
      </c>
      <c r="H73" s="19">
        <f t="shared" si="1"/>
        <v>88.250344884840729</v>
      </c>
      <c r="I73" s="19">
        <f t="shared" si="2"/>
        <v>53.157040133779255</v>
      </c>
      <c r="J73" s="19">
        <f t="shared" si="3"/>
        <v>16.270903010033443</v>
      </c>
      <c r="K73" s="17" t="str">
        <f t="shared" si="4"/>
        <v>OOC</v>
      </c>
      <c r="L73" s="17" t="str">
        <f t="shared" si="5"/>
        <v/>
      </c>
    </row>
    <row r="74" spans="1:12">
      <c r="A74" s="17">
        <v>65</v>
      </c>
      <c r="B74" s="17">
        <v>2</v>
      </c>
      <c r="C74" s="17">
        <v>11</v>
      </c>
      <c r="D74" s="17" t="s">
        <v>136</v>
      </c>
      <c r="E74" s="17">
        <v>51</v>
      </c>
      <c r="F74" s="17">
        <f t="shared" si="6"/>
        <v>38</v>
      </c>
      <c r="G74" s="19">
        <f t="shared" ref="G74:G137" si="7">$Q$3</f>
        <v>44.976666666666667</v>
      </c>
      <c r="H74" s="19">
        <f t="shared" ref="H74:H137" si="8">$Q$6</f>
        <v>88.250344884840729</v>
      </c>
      <c r="I74" s="19">
        <f t="shared" ref="I74:I137" si="9">$Q$7</f>
        <v>53.157040133779255</v>
      </c>
      <c r="J74" s="19">
        <f t="shared" ref="J74:J137" si="10">$Q$4</f>
        <v>16.270903010033443</v>
      </c>
      <c r="K74" s="17" t="str">
        <f t="shared" ref="K74:K137" si="11">IF(E74&gt;$Q$6,"OOC","" )</f>
        <v/>
      </c>
      <c r="L74" s="17" t="str">
        <f t="shared" ref="L74:L137" si="12">IF(E74&gt;$B$3,"OOS","" )</f>
        <v/>
      </c>
    </row>
    <row r="75" spans="1:12">
      <c r="A75" s="17">
        <v>66</v>
      </c>
      <c r="B75" s="17">
        <v>2</v>
      </c>
      <c r="C75" s="17">
        <v>10</v>
      </c>
      <c r="D75" s="17" t="s">
        <v>137</v>
      </c>
      <c r="E75" s="17">
        <v>78</v>
      </c>
      <c r="F75" s="17">
        <f t="shared" ref="F75:F138" si="13">ABS(E75-E74)</f>
        <v>27</v>
      </c>
      <c r="G75" s="19">
        <f t="shared" si="7"/>
        <v>44.976666666666667</v>
      </c>
      <c r="H75" s="19">
        <f t="shared" si="8"/>
        <v>88.250344884840729</v>
      </c>
      <c r="I75" s="19">
        <f t="shared" si="9"/>
        <v>53.157040133779255</v>
      </c>
      <c r="J75" s="19">
        <f t="shared" si="10"/>
        <v>16.270903010033443</v>
      </c>
      <c r="K75" s="17" t="str">
        <f t="shared" si="11"/>
        <v/>
      </c>
      <c r="L75" s="17" t="str">
        <f t="shared" si="12"/>
        <v/>
      </c>
    </row>
    <row r="76" spans="1:12">
      <c r="A76" s="17">
        <v>67</v>
      </c>
      <c r="B76" s="17">
        <v>2</v>
      </c>
      <c r="C76" s="17">
        <v>9</v>
      </c>
      <c r="D76" s="17" t="s">
        <v>138</v>
      </c>
      <c r="E76" s="17">
        <v>53</v>
      </c>
      <c r="F76" s="17">
        <f t="shared" si="13"/>
        <v>25</v>
      </c>
      <c r="G76" s="19">
        <f t="shared" si="7"/>
        <v>44.976666666666667</v>
      </c>
      <c r="H76" s="19">
        <f t="shared" si="8"/>
        <v>88.250344884840729</v>
      </c>
      <c r="I76" s="19">
        <f t="shared" si="9"/>
        <v>53.157040133779255</v>
      </c>
      <c r="J76" s="19">
        <f t="shared" si="10"/>
        <v>16.270903010033443</v>
      </c>
      <c r="K76" s="17" t="str">
        <f t="shared" si="11"/>
        <v/>
      </c>
      <c r="L76" s="17" t="str">
        <f t="shared" si="12"/>
        <v/>
      </c>
    </row>
    <row r="77" spans="1:12">
      <c r="A77" s="17">
        <v>68</v>
      </c>
      <c r="B77" s="17">
        <v>2</v>
      </c>
      <c r="C77" s="17">
        <v>8</v>
      </c>
      <c r="D77" s="17" t="s">
        <v>139</v>
      </c>
      <c r="E77" s="17">
        <v>30</v>
      </c>
      <c r="F77" s="17">
        <f t="shared" si="13"/>
        <v>23</v>
      </c>
      <c r="G77" s="19">
        <f t="shared" si="7"/>
        <v>44.976666666666667</v>
      </c>
      <c r="H77" s="19">
        <f t="shared" si="8"/>
        <v>88.250344884840729</v>
      </c>
      <c r="I77" s="19">
        <f t="shared" si="9"/>
        <v>53.157040133779255</v>
      </c>
      <c r="J77" s="19">
        <f t="shared" si="10"/>
        <v>16.270903010033443</v>
      </c>
      <c r="K77" s="17" t="str">
        <f t="shared" si="11"/>
        <v/>
      </c>
      <c r="L77" s="17" t="str">
        <f t="shared" si="12"/>
        <v/>
      </c>
    </row>
    <row r="78" spans="1:12">
      <c r="A78" s="17">
        <v>69</v>
      </c>
      <c r="B78" s="17">
        <v>2</v>
      </c>
      <c r="C78" s="17">
        <v>7</v>
      </c>
      <c r="D78" s="17" t="s">
        <v>140</v>
      </c>
      <c r="E78" s="17">
        <v>27</v>
      </c>
      <c r="F78" s="17">
        <f t="shared" si="13"/>
        <v>3</v>
      </c>
      <c r="G78" s="19">
        <f t="shared" si="7"/>
        <v>44.976666666666667</v>
      </c>
      <c r="H78" s="19">
        <f t="shared" si="8"/>
        <v>88.250344884840729</v>
      </c>
      <c r="I78" s="19">
        <f t="shared" si="9"/>
        <v>53.157040133779255</v>
      </c>
      <c r="J78" s="19">
        <f t="shared" si="10"/>
        <v>16.270903010033443</v>
      </c>
      <c r="K78" s="17" t="str">
        <f t="shared" si="11"/>
        <v/>
      </c>
      <c r="L78" s="17" t="str">
        <f t="shared" si="12"/>
        <v/>
      </c>
    </row>
    <row r="79" spans="1:12">
      <c r="A79" s="17">
        <v>70</v>
      </c>
      <c r="B79" s="17">
        <v>2</v>
      </c>
      <c r="C79" s="17">
        <v>6</v>
      </c>
      <c r="D79" s="17" t="s">
        <v>141</v>
      </c>
      <c r="E79" s="17">
        <v>65</v>
      </c>
      <c r="F79" s="17">
        <f t="shared" si="13"/>
        <v>38</v>
      </c>
      <c r="G79" s="19">
        <f t="shared" si="7"/>
        <v>44.976666666666667</v>
      </c>
      <c r="H79" s="19">
        <f t="shared" si="8"/>
        <v>88.250344884840729</v>
      </c>
      <c r="I79" s="19">
        <f t="shared" si="9"/>
        <v>53.157040133779255</v>
      </c>
      <c r="J79" s="19">
        <f t="shared" si="10"/>
        <v>16.270903010033443</v>
      </c>
      <c r="K79" s="17" t="str">
        <f t="shared" si="11"/>
        <v/>
      </c>
      <c r="L79" s="17" t="str">
        <f t="shared" si="12"/>
        <v/>
      </c>
    </row>
    <row r="80" spans="1:12">
      <c r="A80" s="17">
        <v>71</v>
      </c>
      <c r="B80" s="17">
        <v>2</v>
      </c>
      <c r="C80" s="17">
        <v>5</v>
      </c>
      <c r="D80" s="17" t="s">
        <v>142</v>
      </c>
      <c r="E80" s="17">
        <v>54</v>
      </c>
      <c r="F80" s="17">
        <f t="shared" si="13"/>
        <v>11</v>
      </c>
      <c r="G80" s="19">
        <f t="shared" si="7"/>
        <v>44.976666666666667</v>
      </c>
      <c r="H80" s="19">
        <f t="shared" si="8"/>
        <v>88.250344884840729</v>
      </c>
      <c r="I80" s="19">
        <f t="shared" si="9"/>
        <v>53.157040133779255</v>
      </c>
      <c r="J80" s="19">
        <f t="shared" si="10"/>
        <v>16.270903010033443</v>
      </c>
      <c r="K80" s="17" t="str">
        <f t="shared" si="11"/>
        <v/>
      </c>
      <c r="L80" s="17" t="str">
        <f t="shared" si="12"/>
        <v/>
      </c>
    </row>
    <row r="81" spans="1:12">
      <c r="A81" s="17">
        <v>72</v>
      </c>
      <c r="B81" s="17">
        <v>2</v>
      </c>
      <c r="C81" s="17">
        <v>4</v>
      </c>
      <c r="D81" s="17" t="s">
        <v>143</v>
      </c>
      <c r="E81" s="17">
        <v>49</v>
      </c>
      <c r="F81" s="17">
        <f t="shared" si="13"/>
        <v>5</v>
      </c>
      <c r="G81" s="19">
        <f t="shared" si="7"/>
        <v>44.976666666666667</v>
      </c>
      <c r="H81" s="19">
        <f t="shared" si="8"/>
        <v>88.250344884840729</v>
      </c>
      <c r="I81" s="19">
        <f t="shared" si="9"/>
        <v>53.157040133779255</v>
      </c>
      <c r="J81" s="19">
        <f t="shared" si="10"/>
        <v>16.270903010033443</v>
      </c>
      <c r="K81" s="17" t="str">
        <f t="shared" si="11"/>
        <v/>
      </c>
      <c r="L81" s="17" t="str">
        <f t="shared" si="12"/>
        <v/>
      </c>
    </row>
    <row r="82" spans="1:12">
      <c r="A82" s="17">
        <v>73</v>
      </c>
      <c r="B82" s="17">
        <v>2</v>
      </c>
      <c r="C82" s="17">
        <v>3</v>
      </c>
      <c r="D82" s="17" t="s">
        <v>144</v>
      </c>
      <c r="E82" s="17">
        <v>44</v>
      </c>
      <c r="F82" s="17">
        <f t="shared" si="13"/>
        <v>5</v>
      </c>
      <c r="G82" s="19">
        <f t="shared" si="7"/>
        <v>44.976666666666667</v>
      </c>
      <c r="H82" s="19">
        <f t="shared" si="8"/>
        <v>88.250344884840729</v>
      </c>
      <c r="I82" s="19">
        <f t="shared" si="9"/>
        <v>53.157040133779255</v>
      </c>
      <c r="J82" s="19">
        <f t="shared" si="10"/>
        <v>16.270903010033443</v>
      </c>
      <c r="K82" s="17" t="str">
        <f t="shared" si="11"/>
        <v/>
      </c>
      <c r="L82" s="17" t="str">
        <f t="shared" si="12"/>
        <v/>
      </c>
    </row>
    <row r="83" spans="1:12">
      <c r="A83" s="17">
        <v>74</v>
      </c>
      <c r="B83" s="17">
        <v>2</v>
      </c>
      <c r="C83" s="17">
        <v>2</v>
      </c>
      <c r="D83" s="17" t="s">
        <v>145</v>
      </c>
      <c r="E83" s="17">
        <v>32</v>
      </c>
      <c r="F83" s="17">
        <f t="shared" si="13"/>
        <v>12</v>
      </c>
      <c r="G83" s="19">
        <f t="shared" si="7"/>
        <v>44.976666666666667</v>
      </c>
      <c r="H83" s="19">
        <f t="shared" si="8"/>
        <v>88.250344884840729</v>
      </c>
      <c r="I83" s="19">
        <f t="shared" si="9"/>
        <v>53.157040133779255</v>
      </c>
      <c r="J83" s="19">
        <f t="shared" si="10"/>
        <v>16.270903010033443</v>
      </c>
      <c r="K83" s="17" t="str">
        <f t="shared" si="11"/>
        <v/>
      </c>
      <c r="L83" s="17" t="str">
        <f t="shared" si="12"/>
        <v/>
      </c>
    </row>
    <row r="84" spans="1:12">
      <c r="A84" s="17">
        <v>75</v>
      </c>
      <c r="B84" s="17">
        <v>2</v>
      </c>
      <c r="C84" s="17">
        <v>1</v>
      </c>
      <c r="D84" s="17" t="s">
        <v>146</v>
      </c>
      <c r="E84" s="17">
        <v>35</v>
      </c>
      <c r="F84" s="17">
        <f t="shared" si="13"/>
        <v>3</v>
      </c>
      <c r="G84" s="19">
        <f t="shared" si="7"/>
        <v>44.976666666666667</v>
      </c>
      <c r="H84" s="19">
        <f t="shared" si="8"/>
        <v>88.250344884840729</v>
      </c>
      <c r="I84" s="19">
        <f t="shared" si="9"/>
        <v>53.157040133779255</v>
      </c>
      <c r="J84" s="19">
        <f t="shared" si="10"/>
        <v>16.270903010033443</v>
      </c>
      <c r="K84" s="17" t="str">
        <f t="shared" si="11"/>
        <v/>
      </c>
      <c r="L84" s="17" t="str">
        <f t="shared" si="12"/>
        <v/>
      </c>
    </row>
    <row r="85" spans="1:12">
      <c r="A85" s="17">
        <v>76</v>
      </c>
      <c r="B85" s="17">
        <v>2</v>
      </c>
      <c r="C85" s="17">
        <v>25</v>
      </c>
      <c r="D85" s="17" t="s">
        <v>147</v>
      </c>
      <c r="E85" s="17">
        <v>35</v>
      </c>
      <c r="F85" s="17">
        <f t="shared" si="13"/>
        <v>0</v>
      </c>
      <c r="G85" s="19">
        <f t="shared" si="7"/>
        <v>44.976666666666667</v>
      </c>
      <c r="H85" s="19">
        <f t="shared" si="8"/>
        <v>88.250344884840729</v>
      </c>
      <c r="I85" s="19">
        <f t="shared" si="9"/>
        <v>53.157040133779255</v>
      </c>
      <c r="J85" s="19">
        <f t="shared" si="10"/>
        <v>16.270903010033443</v>
      </c>
      <c r="K85" s="17" t="str">
        <f t="shared" si="11"/>
        <v/>
      </c>
      <c r="L85" s="17" t="str">
        <f t="shared" si="12"/>
        <v/>
      </c>
    </row>
    <row r="86" spans="1:12">
      <c r="A86" s="17">
        <v>77</v>
      </c>
      <c r="B86" s="17">
        <v>2</v>
      </c>
      <c r="C86" s="17">
        <v>24</v>
      </c>
      <c r="D86" s="17" t="s">
        <v>148</v>
      </c>
      <c r="E86" s="17">
        <v>25</v>
      </c>
      <c r="F86" s="17">
        <f t="shared" si="13"/>
        <v>10</v>
      </c>
      <c r="G86" s="19">
        <f t="shared" si="7"/>
        <v>44.976666666666667</v>
      </c>
      <c r="H86" s="19">
        <f t="shared" si="8"/>
        <v>88.250344884840729</v>
      </c>
      <c r="I86" s="19">
        <f t="shared" si="9"/>
        <v>53.157040133779255</v>
      </c>
      <c r="J86" s="19">
        <f t="shared" si="10"/>
        <v>16.270903010033443</v>
      </c>
      <c r="K86" s="17" t="str">
        <f t="shared" si="11"/>
        <v/>
      </c>
      <c r="L86" s="17" t="str">
        <f t="shared" si="12"/>
        <v/>
      </c>
    </row>
    <row r="87" spans="1:12">
      <c r="A87" s="17">
        <v>78</v>
      </c>
      <c r="B87" s="17">
        <v>2</v>
      </c>
      <c r="C87" s="17">
        <v>23</v>
      </c>
      <c r="D87" s="17" t="s">
        <v>149</v>
      </c>
      <c r="E87" s="17">
        <v>21</v>
      </c>
      <c r="F87" s="17">
        <f t="shared" si="13"/>
        <v>4</v>
      </c>
      <c r="G87" s="19">
        <f t="shared" si="7"/>
        <v>44.976666666666667</v>
      </c>
      <c r="H87" s="19">
        <f t="shared" si="8"/>
        <v>88.250344884840729</v>
      </c>
      <c r="I87" s="19">
        <f t="shared" si="9"/>
        <v>53.157040133779255</v>
      </c>
      <c r="J87" s="19">
        <f t="shared" si="10"/>
        <v>16.270903010033443</v>
      </c>
      <c r="K87" s="17" t="str">
        <f t="shared" si="11"/>
        <v/>
      </c>
      <c r="L87" s="17" t="str">
        <f t="shared" si="12"/>
        <v/>
      </c>
    </row>
    <row r="88" spans="1:12">
      <c r="A88" s="17">
        <v>79</v>
      </c>
      <c r="B88" s="17">
        <v>2</v>
      </c>
      <c r="C88" s="17">
        <v>22</v>
      </c>
      <c r="D88" s="17" t="s">
        <v>150</v>
      </c>
      <c r="E88" s="17">
        <v>32</v>
      </c>
      <c r="F88" s="17">
        <f t="shared" si="13"/>
        <v>11</v>
      </c>
      <c r="G88" s="19">
        <f t="shared" si="7"/>
        <v>44.976666666666667</v>
      </c>
      <c r="H88" s="19">
        <f t="shared" si="8"/>
        <v>88.250344884840729</v>
      </c>
      <c r="I88" s="19">
        <f t="shared" si="9"/>
        <v>53.157040133779255</v>
      </c>
      <c r="J88" s="19">
        <f t="shared" si="10"/>
        <v>16.270903010033443</v>
      </c>
      <c r="K88" s="17" t="str">
        <f t="shared" si="11"/>
        <v/>
      </c>
      <c r="L88" s="17" t="str">
        <f t="shared" si="12"/>
        <v/>
      </c>
    </row>
    <row r="89" spans="1:12">
      <c r="A89" s="17">
        <v>80</v>
      </c>
      <c r="B89" s="17">
        <v>2</v>
      </c>
      <c r="C89" s="17">
        <v>21</v>
      </c>
      <c r="D89" s="17" t="s">
        <v>151</v>
      </c>
      <c r="E89" s="17">
        <v>18</v>
      </c>
      <c r="F89" s="17">
        <f t="shared" si="13"/>
        <v>14</v>
      </c>
      <c r="G89" s="19">
        <f t="shared" si="7"/>
        <v>44.976666666666667</v>
      </c>
      <c r="H89" s="19">
        <f t="shared" si="8"/>
        <v>88.250344884840729</v>
      </c>
      <c r="I89" s="19">
        <f t="shared" si="9"/>
        <v>53.157040133779255</v>
      </c>
      <c r="J89" s="19">
        <f t="shared" si="10"/>
        <v>16.270903010033443</v>
      </c>
      <c r="K89" s="17" t="str">
        <f t="shared" si="11"/>
        <v/>
      </c>
      <c r="L89" s="17" t="str">
        <f t="shared" si="12"/>
        <v/>
      </c>
    </row>
    <row r="90" spans="1:12">
      <c r="A90" s="17">
        <v>81</v>
      </c>
      <c r="B90" s="17">
        <v>2</v>
      </c>
      <c r="C90" s="17">
        <v>20</v>
      </c>
      <c r="D90" s="17" t="s">
        <v>152</v>
      </c>
      <c r="E90" s="17">
        <v>27</v>
      </c>
      <c r="F90" s="17">
        <f t="shared" si="13"/>
        <v>9</v>
      </c>
      <c r="G90" s="19">
        <f t="shared" si="7"/>
        <v>44.976666666666667</v>
      </c>
      <c r="H90" s="19">
        <f t="shared" si="8"/>
        <v>88.250344884840729</v>
      </c>
      <c r="I90" s="19">
        <f t="shared" si="9"/>
        <v>53.157040133779255</v>
      </c>
      <c r="J90" s="19">
        <f t="shared" si="10"/>
        <v>16.270903010033443</v>
      </c>
      <c r="K90" s="17" t="str">
        <f t="shared" si="11"/>
        <v/>
      </c>
      <c r="L90" s="17" t="str">
        <f t="shared" si="12"/>
        <v/>
      </c>
    </row>
    <row r="91" spans="1:12">
      <c r="A91" s="17">
        <v>82</v>
      </c>
      <c r="B91" s="17">
        <v>2</v>
      </c>
      <c r="C91" s="17">
        <v>19</v>
      </c>
      <c r="D91" s="17" t="s">
        <v>153</v>
      </c>
      <c r="E91" s="17">
        <v>50</v>
      </c>
      <c r="F91" s="17">
        <f t="shared" si="13"/>
        <v>23</v>
      </c>
      <c r="G91" s="19">
        <f t="shared" si="7"/>
        <v>44.976666666666667</v>
      </c>
      <c r="H91" s="19">
        <f t="shared" si="8"/>
        <v>88.250344884840729</v>
      </c>
      <c r="I91" s="19">
        <f t="shared" si="9"/>
        <v>53.157040133779255</v>
      </c>
      <c r="J91" s="19">
        <f t="shared" si="10"/>
        <v>16.270903010033443</v>
      </c>
      <c r="K91" s="17" t="str">
        <f t="shared" si="11"/>
        <v/>
      </c>
      <c r="L91" s="17" t="str">
        <f t="shared" si="12"/>
        <v/>
      </c>
    </row>
    <row r="92" spans="1:12">
      <c r="A92" s="17">
        <v>83</v>
      </c>
      <c r="B92" s="17">
        <v>2</v>
      </c>
      <c r="C92" s="17">
        <v>18</v>
      </c>
      <c r="D92" s="17" t="s">
        <v>154</v>
      </c>
      <c r="E92" s="17">
        <v>28</v>
      </c>
      <c r="F92" s="17">
        <f t="shared" si="13"/>
        <v>22</v>
      </c>
      <c r="G92" s="19">
        <f t="shared" si="7"/>
        <v>44.976666666666667</v>
      </c>
      <c r="H92" s="19">
        <f t="shared" si="8"/>
        <v>88.250344884840729</v>
      </c>
      <c r="I92" s="19">
        <f t="shared" si="9"/>
        <v>53.157040133779255</v>
      </c>
      <c r="J92" s="19">
        <f t="shared" si="10"/>
        <v>16.270903010033443</v>
      </c>
      <c r="K92" s="17" t="str">
        <f t="shared" si="11"/>
        <v/>
      </c>
      <c r="L92" s="17" t="str">
        <f t="shared" si="12"/>
        <v/>
      </c>
    </row>
    <row r="93" spans="1:12">
      <c r="A93" s="17">
        <v>84</v>
      </c>
      <c r="B93" s="17">
        <v>2</v>
      </c>
      <c r="C93" s="17">
        <v>17</v>
      </c>
      <c r="D93" s="17" t="s">
        <v>155</v>
      </c>
      <c r="E93" s="17">
        <v>24</v>
      </c>
      <c r="F93" s="17">
        <f t="shared" si="13"/>
        <v>4</v>
      </c>
      <c r="G93" s="19">
        <f t="shared" si="7"/>
        <v>44.976666666666667</v>
      </c>
      <c r="H93" s="19">
        <f t="shared" si="8"/>
        <v>88.250344884840729</v>
      </c>
      <c r="I93" s="19">
        <f t="shared" si="9"/>
        <v>53.157040133779255</v>
      </c>
      <c r="J93" s="19">
        <f t="shared" si="10"/>
        <v>16.270903010033443</v>
      </c>
      <c r="K93" s="17" t="str">
        <f t="shared" si="11"/>
        <v/>
      </c>
      <c r="L93" s="17" t="str">
        <f t="shared" si="12"/>
        <v/>
      </c>
    </row>
    <row r="94" spans="1:12">
      <c r="A94" s="17">
        <v>85</v>
      </c>
      <c r="B94" s="17">
        <v>2</v>
      </c>
      <c r="C94" s="17">
        <v>16</v>
      </c>
      <c r="D94" s="17" t="s">
        <v>156</v>
      </c>
      <c r="E94" s="17">
        <v>61</v>
      </c>
      <c r="F94" s="17">
        <f t="shared" si="13"/>
        <v>37</v>
      </c>
      <c r="G94" s="19">
        <f t="shared" si="7"/>
        <v>44.976666666666667</v>
      </c>
      <c r="H94" s="19">
        <f t="shared" si="8"/>
        <v>88.250344884840729</v>
      </c>
      <c r="I94" s="19">
        <f t="shared" si="9"/>
        <v>53.157040133779255</v>
      </c>
      <c r="J94" s="19">
        <f t="shared" si="10"/>
        <v>16.270903010033443</v>
      </c>
      <c r="K94" s="17" t="str">
        <f t="shared" si="11"/>
        <v/>
      </c>
      <c r="L94" s="17" t="str">
        <f t="shared" si="12"/>
        <v/>
      </c>
    </row>
    <row r="95" spans="1:12">
      <c r="A95" s="17">
        <v>86</v>
      </c>
      <c r="B95" s="17">
        <v>2</v>
      </c>
      <c r="C95" s="17">
        <v>15</v>
      </c>
      <c r="D95" s="17" t="s">
        <v>157</v>
      </c>
      <c r="E95" s="17">
        <v>50</v>
      </c>
      <c r="F95" s="17">
        <f t="shared" si="13"/>
        <v>11</v>
      </c>
      <c r="G95" s="19">
        <f t="shared" si="7"/>
        <v>44.976666666666667</v>
      </c>
      <c r="H95" s="19">
        <f t="shared" si="8"/>
        <v>88.250344884840729</v>
      </c>
      <c r="I95" s="19">
        <f t="shared" si="9"/>
        <v>53.157040133779255</v>
      </c>
      <c r="J95" s="19">
        <f t="shared" si="10"/>
        <v>16.270903010033443</v>
      </c>
      <c r="K95" s="17" t="str">
        <f t="shared" si="11"/>
        <v/>
      </c>
      <c r="L95" s="17" t="str">
        <f t="shared" si="12"/>
        <v/>
      </c>
    </row>
    <row r="96" spans="1:12">
      <c r="A96" s="17">
        <v>87</v>
      </c>
      <c r="B96" s="17">
        <v>2</v>
      </c>
      <c r="C96" s="17">
        <v>14</v>
      </c>
      <c r="D96" s="17" t="s">
        <v>158</v>
      </c>
      <c r="E96" s="17">
        <v>38</v>
      </c>
      <c r="F96" s="17">
        <f t="shared" si="13"/>
        <v>12</v>
      </c>
      <c r="G96" s="19">
        <f t="shared" si="7"/>
        <v>44.976666666666667</v>
      </c>
      <c r="H96" s="19">
        <f t="shared" si="8"/>
        <v>88.250344884840729</v>
      </c>
      <c r="I96" s="19">
        <f t="shared" si="9"/>
        <v>53.157040133779255</v>
      </c>
      <c r="J96" s="19">
        <f t="shared" si="10"/>
        <v>16.270903010033443</v>
      </c>
      <c r="K96" s="17" t="str">
        <f t="shared" si="11"/>
        <v/>
      </c>
      <c r="L96" s="17" t="str">
        <f t="shared" si="12"/>
        <v/>
      </c>
    </row>
    <row r="97" spans="1:12">
      <c r="A97" s="17">
        <v>88</v>
      </c>
      <c r="B97" s="17">
        <v>2</v>
      </c>
      <c r="C97" s="17">
        <v>13</v>
      </c>
      <c r="D97" s="17" t="s">
        <v>159</v>
      </c>
      <c r="E97" s="17">
        <v>42</v>
      </c>
      <c r="F97" s="17">
        <f t="shared" si="13"/>
        <v>4</v>
      </c>
      <c r="G97" s="19">
        <f t="shared" si="7"/>
        <v>44.976666666666667</v>
      </c>
      <c r="H97" s="19">
        <f t="shared" si="8"/>
        <v>88.250344884840729</v>
      </c>
      <c r="I97" s="19">
        <f t="shared" si="9"/>
        <v>53.157040133779255</v>
      </c>
      <c r="J97" s="19">
        <f t="shared" si="10"/>
        <v>16.270903010033443</v>
      </c>
      <c r="K97" s="17" t="str">
        <f t="shared" si="11"/>
        <v/>
      </c>
      <c r="L97" s="17" t="str">
        <f t="shared" si="12"/>
        <v/>
      </c>
    </row>
    <row r="98" spans="1:12">
      <c r="A98" s="17">
        <v>89</v>
      </c>
      <c r="B98" s="17">
        <v>2</v>
      </c>
      <c r="C98" s="17">
        <v>12</v>
      </c>
      <c r="D98" s="17" t="s">
        <v>160</v>
      </c>
      <c r="E98" s="17">
        <v>28</v>
      </c>
      <c r="F98" s="17">
        <f t="shared" si="13"/>
        <v>14</v>
      </c>
      <c r="G98" s="19">
        <f t="shared" si="7"/>
        <v>44.976666666666667</v>
      </c>
      <c r="H98" s="19">
        <f t="shared" si="8"/>
        <v>88.250344884840729</v>
      </c>
      <c r="I98" s="19">
        <f t="shared" si="9"/>
        <v>53.157040133779255</v>
      </c>
      <c r="J98" s="19">
        <f t="shared" si="10"/>
        <v>16.270903010033443</v>
      </c>
      <c r="K98" s="17" t="str">
        <f t="shared" si="11"/>
        <v/>
      </c>
      <c r="L98" s="17" t="str">
        <f t="shared" si="12"/>
        <v/>
      </c>
    </row>
    <row r="99" spans="1:12">
      <c r="A99" s="17">
        <v>90</v>
      </c>
      <c r="B99" s="17">
        <v>2</v>
      </c>
      <c r="C99" s="17">
        <v>11</v>
      </c>
      <c r="D99" s="17" t="s">
        <v>161</v>
      </c>
      <c r="E99" s="17">
        <v>18</v>
      </c>
      <c r="F99" s="17">
        <f t="shared" si="13"/>
        <v>10</v>
      </c>
      <c r="G99" s="19">
        <f t="shared" si="7"/>
        <v>44.976666666666667</v>
      </c>
      <c r="H99" s="19">
        <f t="shared" si="8"/>
        <v>88.250344884840729</v>
      </c>
      <c r="I99" s="19">
        <f t="shared" si="9"/>
        <v>53.157040133779255</v>
      </c>
      <c r="J99" s="19">
        <f t="shared" si="10"/>
        <v>16.270903010033443</v>
      </c>
      <c r="K99" s="17" t="str">
        <f t="shared" si="11"/>
        <v/>
      </c>
      <c r="L99" s="17" t="str">
        <f t="shared" si="12"/>
        <v/>
      </c>
    </row>
    <row r="100" spans="1:12">
      <c r="A100" s="17">
        <v>91</v>
      </c>
      <c r="B100" s="17">
        <v>2</v>
      </c>
      <c r="C100" s="17">
        <v>10</v>
      </c>
      <c r="D100" s="17" t="s">
        <v>162</v>
      </c>
      <c r="E100" s="17">
        <v>25</v>
      </c>
      <c r="F100" s="17">
        <f t="shared" si="13"/>
        <v>7</v>
      </c>
      <c r="G100" s="19">
        <f t="shared" si="7"/>
        <v>44.976666666666667</v>
      </c>
      <c r="H100" s="19">
        <f t="shared" si="8"/>
        <v>88.250344884840729</v>
      </c>
      <c r="I100" s="19">
        <f t="shared" si="9"/>
        <v>53.157040133779255</v>
      </c>
      <c r="J100" s="19">
        <f t="shared" si="10"/>
        <v>16.270903010033443</v>
      </c>
      <c r="K100" s="17" t="str">
        <f t="shared" si="11"/>
        <v/>
      </c>
      <c r="L100" s="17" t="str">
        <f t="shared" si="12"/>
        <v/>
      </c>
    </row>
    <row r="101" spans="1:12">
      <c r="A101" s="17">
        <v>92</v>
      </c>
      <c r="B101" s="17">
        <v>2</v>
      </c>
      <c r="C101" s="17">
        <v>9</v>
      </c>
      <c r="D101" s="17" t="s">
        <v>163</v>
      </c>
      <c r="E101" s="17">
        <v>20</v>
      </c>
      <c r="F101" s="17">
        <f t="shared" si="13"/>
        <v>5</v>
      </c>
      <c r="G101" s="19">
        <f t="shared" si="7"/>
        <v>44.976666666666667</v>
      </c>
      <c r="H101" s="19">
        <f t="shared" si="8"/>
        <v>88.250344884840729</v>
      </c>
      <c r="I101" s="19">
        <f t="shared" si="9"/>
        <v>53.157040133779255</v>
      </c>
      <c r="J101" s="19">
        <f t="shared" si="10"/>
        <v>16.270903010033443</v>
      </c>
      <c r="K101" s="17" t="str">
        <f t="shared" si="11"/>
        <v/>
      </c>
      <c r="L101" s="17" t="str">
        <f t="shared" si="12"/>
        <v/>
      </c>
    </row>
    <row r="102" spans="1:12">
      <c r="A102" s="17">
        <v>93</v>
      </c>
      <c r="B102" s="17">
        <v>2</v>
      </c>
      <c r="C102" s="17">
        <v>8</v>
      </c>
      <c r="D102" s="17" t="s">
        <v>164</v>
      </c>
      <c r="E102" s="17">
        <v>22</v>
      </c>
      <c r="F102" s="17">
        <f t="shared" si="13"/>
        <v>2</v>
      </c>
      <c r="G102" s="19">
        <f t="shared" si="7"/>
        <v>44.976666666666667</v>
      </c>
      <c r="H102" s="19">
        <f t="shared" si="8"/>
        <v>88.250344884840729</v>
      </c>
      <c r="I102" s="19">
        <f t="shared" si="9"/>
        <v>53.157040133779255</v>
      </c>
      <c r="J102" s="19">
        <f t="shared" si="10"/>
        <v>16.270903010033443</v>
      </c>
      <c r="K102" s="17" t="str">
        <f t="shared" si="11"/>
        <v/>
      </c>
      <c r="L102" s="17" t="str">
        <f t="shared" si="12"/>
        <v/>
      </c>
    </row>
    <row r="103" spans="1:12">
      <c r="A103" s="17">
        <v>94</v>
      </c>
      <c r="B103" s="17">
        <v>2</v>
      </c>
      <c r="C103" s="17">
        <v>7</v>
      </c>
      <c r="D103" s="17" t="s">
        <v>165</v>
      </c>
      <c r="E103" s="17">
        <v>15</v>
      </c>
      <c r="F103" s="17">
        <f t="shared" si="13"/>
        <v>7</v>
      </c>
      <c r="G103" s="19">
        <f t="shared" si="7"/>
        <v>44.976666666666667</v>
      </c>
      <c r="H103" s="19">
        <f t="shared" si="8"/>
        <v>88.250344884840729</v>
      </c>
      <c r="I103" s="19">
        <f t="shared" si="9"/>
        <v>53.157040133779255</v>
      </c>
      <c r="J103" s="19">
        <f t="shared" si="10"/>
        <v>16.270903010033443</v>
      </c>
      <c r="K103" s="17" t="str">
        <f t="shared" si="11"/>
        <v/>
      </c>
      <c r="L103" s="17" t="str">
        <f t="shared" si="12"/>
        <v/>
      </c>
    </row>
    <row r="104" spans="1:12">
      <c r="A104" s="17">
        <v>95</v>
      </c>
      <c r="B104" s="17">
        <v>2</v>
      </c>
      <c r="C104" s="17">
        <v>6</v>
      </c>
      <c r="D104" s="17" t="s">
        <v>166</v>
      </c>
      <c r="E104" s="17">
        <v>21</v>
      </c>
      <c r="F104" s="17">
        <f t="shared" si="13"/>
        <v>6</v>
      </c>
      <c r="G104" s="19">
        <f t="shared" si="7"/>
        <v>44.976666666666667</v>
      </c>
      <c r="H104" s="19">
        <f t="shared" si="8"/>
        <v>88.250344884840729</v>
      </c>
      <c r="I104" s="19">
        <f t="shared" si="9"/>
        <v>53.157040133779255</v>
      </c>
      <c r="J104" s="19">
        <f t="shared" si="10"/>
        <v>16.270903010033443</v>
      </c>
      <c r="K104" s="17" t="str">
        <f t="shared" si="11"/>
        <v/>
      </c>
      <c r="L104" s="17" t="str">
        <f t="shared" si="12"/>
        <v/>
      </c>
    </row>
    <row r="105" spans="1:12">
      <c r="A105" s="17">
        <v>96</v>
      </c>
      <c r="B105" s="17">
        <v>2</v>
      </c>
      <c r="C105" s="17">
        <v>5</v>
      </c>
      <c r="D105" s="17" t="s">
        <v>167</v>
      </c>
      <c r="E105" s="17">
        <v>24</v>
      </c>
      <c r="F105" s="17">
        <f t="shared" si="13"/>
        <v>3</v>
      </c>
      <c r="G105" s="19">
        <f t="shared" si="7"/>
        <v>44.976666666666667</v>
      </c>
      <c r="H105" s="19">
        <f t="shared" si="8"/>
        <v>88.250344884840729</v>
      </c>
      <c r="I105" s="19">
        <f t="shared" si="9"/>
        <v>53.157040133779255</v>
      </c>
      <c r="J105" s="19">
        <f t="shared" si="10"/>
        <v>16.270903010033443</v>
      </c>
      <c r="K105" s="17" t="str">
        <f t="shared" si="11"/>
        <v/>
      </c>
      <c r="L105" s="17" t="str">
        <f t="shared" si="12"/>
        <v/>
      </c>
    </row>
    <row r="106" spans="1:12">
      <c r="A106" s="17">
        <v>97</v>
      </c>
      <c r="B106" s="17">
        <v>2</v>
      </c>
      <c r="C106" s="17">
        <v>4</v>
      </c>
      <c r="D106" s="17" t="s">
        <v>168</v>
      </c>
      <c r="E106" s="17">
        <v>30</v>
      </c>
      <c r="F106" s="17">
        <f t="shared" si="13"/>
        <v>6</v>
      </c>
      <c r="G106" s="19">
        <f t="shared" si="7"/>
        <v>44.976666666666667</v>
      </c>
      <c r="H106" s="19">
        <f t="shared" si="8"/>
        <v>88.250344884840729</v>
      </c>
      <c r="I106" s="19">
        <f t="shared" si="9"/>
        <v>53.157040133779255</v>
      </c>
      <c r="J106" s="19">
        <f t="shared" si="10"/>
        <v>16.270903010033443</v>
      </c>
      <c r="K106" s="17" t="str">
        <f t="shared" si="11"/>
        <v/>
      </c>
      <c r="L106" s="17" t="str">
        <f t="shared" si="12"/>
        <v/>
      </c>
    </row>
    <row r="107" spans="1:12">
      <c r="A107" s="17">
        <v>98</v>
      </c>
      <c r="B107" s="17">
        <v>2</v>
      </c>
      <c r="C107" s="17">
        <v>3</v>
      </c>
      <c r="D107" s="17" t="s">
        <v>169</v>
      </c>
      <c r="E107" s="17">
        <v>35</v>
      </c>
      <c r="F107" s="17">
        <f t="shared" si="13"/>
        <v>5</v>
      </c>
      <c r="G107" s="19">
        <f t="shared" si="7"/>
        <v>44.976666666666667</v>
      </c>
      <c r="H107" s="19">
        <f t="shared" si="8"/>
        <v>88.250344884840729</v>
      </c>
      <c r="I107" s="19">
        <f t="shared" si="9"/>
        <v>53.157040133779255</v>
      </c>
      <c r="J107" s="19">
        <f t="shared" si="10"/>
        <v>16.270903010033443</v>
      </c>
      <c r="K107" s="17" t="str">
        <f t="shared" si="11"/>
        <v/>
      </c>
      <c r="L107" s="17" t="str">
        <f t="shared" si="12"/>
        <v/>
      </c>
    </row>
    <row r="108" spans="1:12">
      <c r="A108" s="17">
        <v>99</v>
      </c>
      <c r="B108" s="17">
        <v>2</v>
      </c>
      <c r="C108" s="17">
        <v>2</v>
      </c>
      <c r="D108" s="17" t="s">
        <v>170</v>
      </c>
      <c r="E108" s="17">
        <v>24</v>
      </c>
      <c r="F108" s="17">
        <f t="shared" si="13"/>
        <v>11</v>
      </c>
      <c r="G108" s="19">
        <f t="shared" si="7"/>
        <v>44.976666666666667</v>
      </c>
      <c r="H108" s="19">
        <f t="shared" si="8"/>
        <v>88.250344884840729</v>
      </c>
      <c r="I108" s="19">
        <f t="shared" si="9"/>
        <v>53.157040133779255</v>
      </c>
      <c r="J108" s="19">
        <f t="shared" si="10"/>
        <v>16.270903010033443</v>
      </c>
      <c r="K108" s="17" t="str">
        <f t="shared" si="11"/>
        <v/>
      </c>
      <c r="L108" s="17" t="str">
        <f t="shared" si="12"/>
        <v/>
      </c>
    </row>
    <row r="109" spans="1:12">
      <c r="A109" s="17">
        <v>100</v>
      </c>
      <c r="B109" s="17">
        <v>2</v>
      </c>
      <c r="C109" s="17">
        <v>1</v>
      </c>
      <c r="D109" s="17" t="s">
        <v>171</v>
      </c>
      <c r="E109" s="17">
        <v>36</v>
      </c>
      <c r="F109" s="17">
        <f t="shared" si="13"/>
        <v>12</v>
      </c>
      <c r="G109" s="19">
        <f t="shared" si="7"/>
        <v>44.976666666666667</v>
      </c>
      <c r="H109" s="19">
        <f t="shared" si="8"/>
        <v>88.250344884840729</v>
      </c>
      <c r="I109" s="19">
        <f t="shared" si="9"/>
        <v>53.157040133779255</v>
      </c>
      <c r="J109" s="19">
        <f t="shared" si="10"/>
        <v>16.270903010033443</v>
      </c>
      <c r="K109" s="17" t="str">
        <f t="shared" si="11"/>
        <v/>
      </c>
      <c r="L109" s="17" t="str">
        <f t="shared" si="12"/>
        <v/>
      </c>
    </row>
    <row r="110" spans="1:12">
      <c r="A110" s="17">
        <v>101</v>
      </c>
      <c r="B110" s="17">
        <v>3</v>
      </c>
      <c r="C110" s="17">
        <v>25</v>
      </c>
      <c r="D110" s="17" t="s">
        <v>172</v>
      </c>
      <c r="E110" s="17">
        <v>68</v>
      </c>
      <c r="F110" s="17">
        <f t="shared" si="13"/>
        <v>32</v>
      </c>
      <c r="G110" s="19">
        <f t="shared" si="7"/>
        <v>44.976666666666667</v>
      </c>
      <c r="H110" s="19">
        <f t="shared" si="8"/>
        <v>88.250344884840729</v>
      </c>
      <c r="I110" s="19">
        <f t="shared" si="9"/>
        <v>53.157040133779255</v>
      </c>
      <c r="J110" s="19">
        <f t="shared" si="10"/>
        <v>16.270903010033443</v>
      </c>
      <c r="K110" s="17" t="str">
        <f t="shared" si="11"/>
        <v/>
      </c>
      <c r="L110" s="17" t="str">
        <f t="shared" si="12"/>
        <v/>
      </c>
    </row>
    <row r="111" spans="1:12">
      <c r="A111" s="17">
        <v>102</v>
      </c>
      <c r="B111" s="17">
        <v>3</v>
      </c>
      <c r="C111" s="17">
        <v>24</v>
      </c>
      <c r="D111" s="17" t="s">
        <v>173</v>
      </c>
      <c r="E111" s="17">
        <v>40</v>
      </c>
      <c r="F111" s="17">
        <f t="shared" si="13"/>
        <v>28</v>
      </c>
      <c r="G111" s="19">
        <f t="shared" si="7"/>
        <v>44.976666666666667</v>
      </c>
      <c r="H111" s="19">
        <f t="shared" si="8"/>
        <v>88.250344884840729</v>
      </c>
      <c r="I111" s="19">
        <f t="shared" si="9"/>
        <v>53.157040133779255</v>
      </c>
      <c r="J111" s="19">
        <f t="shared" si="10"/>
        <v>16.270903010033443</v>
      </c>
      <c r="K111" s="17" t="str">
        <f t="shared" si="11"/>
        <v/>
      </c>
      <c r="L111" s="17" t="str">
        <f t="shared" si="12"/>
        <v/>
      </c>
    </row>
    <row r="112" spans="1:12">
      <c r="A112" s="17">
        <v>103</v>
      </c>
      <c r="B112" s="17">
        <v>3</v>
      </c>
      <c r="C112" s="17">
        <v>23</v>
      </c>
      <c r="D112" s="17" t="s">
        <v>174</v>
      </c>
      <c r="E112" s="17">
        <v>50</v>
      </c>
      <c r="F112" s="17">
        <f t="shared" si="13"/>
        <v>10</v>
      </c>
      <c r="G112" s="19">
        <f t="shared" si="7"/>
        <v>44.976666666666667</v>
      </c>
      <c r="H112" s="19">
        <f t="shared" si="8"/>
        <v>88.250344884840729</v>
      </c>
      <c r="I112" s="19">
        <f t="shared" si="9"/>
        <v>53.157040133779255</v>
      </c>
      <c r="J112" s="19">
        <f t="shared" si="10"/>
        <v>16.270903010033443</v>
      </c>
      <c r="K112" s="17" t="str">
        <f t="shared" si="11"/>
        <v/>
      </c>
      <c r="L112" s="17" t="str">
        <f t="shared" si="12"/>
        <v/>
      </c>
    </row>
    <row r="113" spans="1:12">
      <c r="A113" s="17">
        <v>104</v>
      </c>
      <c r="B113" s="17">
        <v>3</v>
      </c>
      <c r="C113" s="17">
        <v>22</v>
      </c>
      <c r="D113" s="17" t="s">
        <v>175</v>
      </c>
      <c r="E113" s="17">
        <v>62</v>
      </c>
      <c r="F113" s="17">
        <f t="shared" si="13"/>
        <v>12</v>
      </c>
      <c r="G113" s="19">
        <f t="shared" si="7"/>
        <v>44.976666666666667</v>
      </c>
      <c r="H113" s="19">
        <f t="shared" si="8"/>
        <v>88.250344884840729</v>
      </c>
      <c r="I113" s="19">
        <f t="shared" si="9"/>
        <v>53.157040133779255</v>
      </c>
      <c r="J113" s="19">
        <f t="shared" si="10"/>
        <v>16.270903010033443</v>
      </c>
      <c r="K113" s="17" t="str">
        <f t="shared" si="11"/>
        <v/>
      </c>
      <c r="L113" s="17" t="str">
        <f t="shared" si="12"/>
        <v/>
      </c>
    </row>
    <row r="114" spans="1:12">
      <c r="A114" s="17">
        <v>105</v>
      </c>
      <c r="B114" s="17">
        <v>3</v>
      </c>
      <c r="C114" s="17">
        <v>21</v>
      </c>
      <c r="D114" s="17" t="s">
        <v>176</v>
      </c>
      <c r="E114" s="17">
        <v>31</v>
      </c>
      <c r="F114" s="17">
        <f t="shared" si="13"/>
        <v>31</v>
      </c>
      <c r="G114" s="19">
        <f t="shared" si="7"/>
        <v>44.976666666666667</v>
      </c>
      <c r="H114" s="19">
        <f t="shared" si="8"/>
        <v>88.250344884840729</v>
      </c>
      <c r="I114" s="19">
        <f t="shared" si="9"/>
        <v>53.157040133779255</v>
      </c>
      <c r="J114" s="19">
        <f t="shared" si="10"/>
        <v>16.270903010033443</v>
      </c>
      <c r="K114" s="17" t="str">
        <f t="shared" si="11"/>
        <v/>
      </c>
      <c r="L114" s="17" t="str">
        <f t="shared" si="12"/>
        <v/>
      </c>
    </row>
    <row r="115" spans="1:12">
      <c r="A115" s="17">
        <v>106</v>
      </c>
      <c r="B115" s="17">
        <v>3</v>
      </c>
      <c r="C115" s="17">
        <v>20</v>
      </c>
      <c r="D115" s="17" t="s">
        <v>177</v>
      </c>
      <c r="E115" s="17">
        <v>49</v>
      </c>
      <c r="F115" s="17">
        <f t="shared" si="13"/>
        <v>18</v>
      </c>
      <c r="G115" s="19">
        <f t="shared" si="7"/>
        <v>44.976666666666667</v>
      </c>
      <c r="H115" s="19">
        <f t="shared" si="8"/>
        <v>88.250344884840729</v>
      </c>
      <c r="I115" s="19">
        <f t="shared" si="9"/>
        <v>53.157040133779255</v>
      </c>
      <c r="J115" s="19">
        <f t="shared" si="10"/>
        <v>16.270903010033443</v>
      </c>
      <c r="K115" s="17" t="str">
        <f t="shared" si="11"/>
        <v/>
      </c>
      <c r="L115" s="17" t="str">
        <f t="shared" si="12"/>
        <v/>
      </c>
    </row>
    <row r="116" spans="1:12">
      <c r="A116" s="17">
        <v>107</v>
      </c>
      <c r="B116" s="17">
        <v>3</v>
      </c>
      <c r="C116" s="17">
        <v>19</v>
      </c>
      <c r="D116" s="17" t="s">
        <v>178</v>
      </c>
      <c r="E116" s="17">
        <v>93</v>
      </c>
      <c r="F116" s="17">
        <f t="shared" si="13"/>
        <v>44</v>
      </c>
      <c r="G116" s="19">
        <f t="shared" si="7"/>
        <v>44.976666666666667</v>
      </c>
      <c r="H116" s="19">
        <f t="shared" si="8"/>
        <v>88.250344884840729</v>
      </c>
      <c r="I116" s="19">
        <f t="shared" si="9"/>
        <v>53.157040133779255</v>
      </c>
      <c r="J116" s="19">
        <f t="shared" si="10"/>
        <v>16.270903010033443</v>
      </c>
      <c r="K116" s="17" t="str">
        <f t="shared" si="11"/>
        <v>OOC</v>
      </c>
      <c r="L116" s="17" t="str">
        <f t="shared" si="12"/>
        <v/>
      </c>
    </row>
    <row r="117" spans="1:12">
      <c r="A117" s="17">
        <v>108</v>
      </c>
      <c r="B117" s="17">
        <v>3</v>
      </c>
      <c r="C117" s="17">
        <v>18</v>
      </c>
      <c r="D117" s="17" t="s">
        <v>179</v>
      </c>
      <c r="E117" s="17">
        <v>31</v>
      </c>
      <c r="F117" s="17">
        <f t="shared" si="13"/>
        <v>62</v>
      </c>
      <c r="G117" s="19">
        <f t="shared" si="7"/>
        <v>44.976666666666667</v>
      </c>
      <c r="H117" s="19">
        <f t="shared" si="8"/>
        <v>88.250344884840729</v>
      </c>
      <c r="I117" s="19">
        <f t="shared" si="9"/>
        <v>53.157040133779255</v>
      </c>
      <c r="J117" s="19">
        <f t="shared" si="10"/>
        <v>16.270903010033443</v>
      </c>
      <c r="K117" s="17" t="str">
        <f t="shared" si="11"/>
        <v/>
      </c>
      <c r="L117" s="17" t="str">
        <f t="shared" si="12"/>
        <v/>
      </c>
    </row>
    <row r="118" spans="1:12">
      <c r="A118" s="17">
        <v>109</v>
      </c>
      <c r="B118" s="17">
        <v>3</v>
      </c>
      <c r="C118" s="17">
        <v>17</v>
      </c>
      <c r="D118" s="17" t="s">
        <v>180</v>
      </c>
      <c r="E118" s="17">
        <v>40</v>
      </c>
      <c r="F118" s="17">
        <f t="shared" si="13"/>
        <v>9</v>
      </c>
      <c r="G118" s="19">
        <f t="shared" si="7"/>
        <v>44.976666666666667</v>
      </c>
      <c r="H118" s="19">
        <f t="shared" si="8"/>
        <v>88.250344884840729</v>
      </c>
      <c r="I118" s="19">
        <f t="shared" si="9"/>
        <v>53.157040133779255</v>
      </c>
      <c r="J118" s="19">
        <f t="shared" si="10"/>
        <v>16.270903010033443</v>
      </c>
      <c r="K118" s="17" t="str">
        <f t="shared" si="11"/>
        <v/>
      </c>
      <c r="L118" s="17" t="str">
        <f t="shared" si="12"/>
        <v/>
      </c>
    </row>
    <row r="119" spans="1:12">
      <c r="A119" s="17">
        <v>110</v>
      </c>
      <c r="B119" s="17">
        <v>3</v>
      </c>
      <c r="C119" s="17">
        <v>16</v>
      </c>
      <c r="D119" s="17" t="s">
        <v>181</v>
      </c>
      <c r="E119" s="17">
        <v>49</v>
      </c>
      <c r="F119" s="17">
        <f t="shared" si="13"/>
        <v>9</v>
      </c>
      <c r="G119" s="19">
        <f t="shared" si="7"/>
        <v>44.976666666666667</v>
      </c>
      <c r="H119" s="19">
        <f t="shared" si="8"/>
        <v>88.250344884840729</v>
      </c>
      <c r="I119" s="19">
        <f t="shared" si="9"/>
        <v>53.157040133779255</v>
      </c>
      <c r="J119" s="19">
        <f t="shared" si="10"/>
        <v>16.270903010033443</v>
      </c>
      <c r="K119" s="17" t="str">
        <f t="shared" si="11"/>
        <v/>
      </c>
      <c r="L119" s="17" t="str">
        <f t="shared" si="12"/>
        <v/>
      </c>
    </row>
    <row r="120" spans="1:12">
      <c r="A120" s="17">
        <v>111</v>
      </c>
      <c r="B120" s="17">
        <v>3</v>
      </c>
      <c r="C120" s="17">
        <v>15</v>
      </c>
      <c r="D120" s="17" t="s">
        <v>182</v>
      </c>
      <c r="E120" s="17">
        <v>34</v>
      </c>
      <c r="F120" s="17">
        <f t="shared" si="13"/>
        <v>15</v>
      </c>
      <c r="G120" s="19">
        <f t="shared" si="7"/>
        <v>44.976666666666667</v>
      </c>
      <c r="H120" s="19">
        <f t="shared" si="8"/>
        <v>88.250344884840729</v>
      </c>
      <c r="I120" s="19">
        <f t="shared" si="9"/>
        <v>53.157040133779255</v>
      </c>
      <c r="J120" s="19">
        <f t="shared" si="10"/>
        <v>16.270903010033443</v>
      </c>
      <c r="K120" s="17" t="str">
        <f t="shared" si="11"/>
        <v/>
      </c>
      <c r="L120" s="17" t="str">
        <f t="shared" si="12"/>
        <v/>
      </c>
    </row>
    <row r="121" spans="1:12">
      <c r="A121" s="17">
        <v>112</v>
      </c>
      <c r="B121" s="17">
        <v>3</v>
      </c>
      <c r="C121" s="17">
        <v>14</v>
      </c>
      <c r="D121" s="17" t="s">
        <v>183</v>
      </c>
      <c r="E121" s="17">
        <v>48</v>
      </c>
      <c r="F121" s="17">
        <f t="shared" si="13"/>
        <v>14</v>
      </c>
      <c r="G121" s="19">
        <f t="shared" si="7"/>
        <v>44.976666666666667</v>
      </c>
      <c r="H121" s="19">
        <f t="shared" si="8"/>
        <v>88.250344884840729</v>
      </c>
      <c r="I121" s="19">
        <f t="shared" si="9"/>
        <v>53.157040133779255</v>
      </c>
      <c r="J121" s="19">
        <f t="shared" si="10"/>
        <v>16.270903010033443</v>
      </c>
      <c r="K121" s="17" t="str">
        <f t="shared" si="11"/>
        <v/>
      </c>
      <c r="L121" s="17" t="str">
        <f t="shared" si="12"/>
        <v/>
      </c>
    </row>
    <row r="122" spans="1:12">
      <c r="A122" s="17">
        <v>113</v>
      </c>
      <c r="B122" s="17">
        <v>3</v>
      </c>
      <c r="C122" s="17">
        <v>13</v>
      </c>
      <c r="D122" s="17" t="s">
        <v>184</v>
      </c>
      <c r="E122" s="17">
        <v>51</v>
      </c>
      <c r="F122" s="17">
        <f t="shared" si="13"/>
        <v>3</v>
      </c>
      <c r="G122" s="19">
        <f t="shared" si="7"/>
        <v>44.976666666666667</v>
      </c>
      <c r="H122" s="19">
        <f t="shared" si="8"/>
        <v>88.250344884840729</v>
      </c>
      <c r="I122" s="19">
        <f t="shared" si="9"/>
        <v>53.157040133779255</v>
      </c>
      <c r="J122" s="19">
        <f t="shared" si="10"/>
        <v>16.270903010033443</v>
      </c>
      <c r="K122" s="17" t="str">
        <f t="shared" si="11"/>
        <v/>
      </c>
      <c r="L122" s="17" t="str">
        <f t="shared" si="12"/>
        <v/>
      </c>
    </row>
    <row r="123" spans="1:12">
      <c r="A123" s="17">
        <v>114</v>
      </c>
      <c r="B123" s="17">
        <v>3</v>
      </c>
      <c r="C123" s="17">
        <v>12</v>
      </c>
      <c r="D123" s="17" t="s">
        <v>185</v>
      </c>
      <c r="E123" s="17">
        <v>60</v>
      </c>
      <c r="F123" s="17">
        <f t="shared" si="13"/>
        <v>9</v>
      </c>
      <c r="G123" s="19">
        <f t="shared" si="7"/>
        <v>44.976666666666667</v>
      </c>
      <c r="H123" s="19">
        <f t="shared" si="8"/>
        <v>88.250344884840729</v>
      </c>
      <c r="I123" s="19">
        <f t="shared" si="9"/>
        <v>53.157040133779255</v>
      </c>
      <c r="J123" s="19">
        <f t="shared" si="10"/>
        <v>16.270903010033443</v>
      </c>
      <c r="K123" s="17" t="str">
        <f t="shared" si="11"/>
        <v/>
      </c>
      <c r="L123" s="17" t="str">
        <f t="shared" si="12"/>
        <v/>
      </c>
    </row>
    <row r="124" spans="1:12">
      <c r="A124" s="17">
        <v>115</v>
      </c>
      <c r="B124" s="17">
        <v>3</v>
      </c>
      <c r="C124" s="17">
        <v>11</v>
      </c>
      <c r="D124" s="17" t="s">
        <v>186</v>
      </c>
      <c r="E124" s="17">
        <v>54</v>
      </c>
      <c r="F124" s="17">
        <f t="shared" si="13"/>
        <v>6</v>
      </c>
      <c r="G124" s="19">
        <f t="shared" si="7"/>
        <v>44.976666666666667</v>
      </c>
      <c r="H124" s="19">
        <f t="shared" si="8"/>
        <v>88.250344884840729</v>
      </c>
      <c r="I124" s="19">
        <f t="shared" si="9"/>
        <v>53.157040133779255</v>
      </c>
      <c r="J124" s="19">
        <f t="shared" si="10"/>
        <v>16.270903010033443</v>
      </c>
      <c r="K124" s="17" t="str">
        <f t="shared" si="11"/>
        <v/>
      </c>
      <c r="L124" s="17" t="str">
        <f t="shared" si="12"/>
        <v/>
      </c>
    </row>
    <row r="125" spans="1:12">
      <c r="A125" s="17">
        <v>116</v>
      </c>
      <c r="B125" s="17">
        <v>3</v>
      </c>
      <c r="C125" s="17">
        <v>10</v>
      </c>
      <c r="D125" s="17" t="s">
        <v>187</v>
      </c>
      <c r="E125" s="17">
        <v>51</v>
      </c>
      <c r="F125" s="17">
        <f t="shared" si="13"/>
        <v>3</v>
      </c>
      <c r="G125" s="19">
        <f t="shared" si="7"/>
        <v>44.976666666666667</v>
      </c>
      <c r="H125" s="19">
        <f t="shared" si="8"/>
        <v>88.250344884840729</v>
      </c>
      <c r="I125" s="19">
        <f t="shared" si="9"/>
        <v>53.157040133779255</v>
      </c>
      <c r="J125" s="19">
        <f t="shared" si="10"/>
        <v>16.270903010033443</v>
      </c>
      <c r="K125" s="17" t="str">
        <f t="shared" si="11"/>
        <v/>
      </c>
      <c r="L125" s="17" t="str">
        <f t="shared" si="12"/>
        <v/>
      </c>
    </row>
    <row r="126" spans="1:12">
      <c r="A126" s="17">
        <v>117</v>
      </c>
      <c r="B126" s="17">
        <v>3</v>
      </c>
      <c r="C126" s="17">
        <v>9</v>
      </c>
      <c r="D126" s="17" t="s">
        <v>188</v>
      </c>
      <c r="E126" s="17">
        <v>44</v>
      </c>
      <c r="F126" s="17">
        <f t="shared" si="13"/>
        <v>7</v>
      </c>
      <c r="G126" s="19">
        <f t="shared" si="7"/>
        <v>44.976666666666667</v>
      </c>
      <c r="H126" s="19">
        <f t="shared" si="8"/>
        <v>88.250344884840729</v>
      </c>
      <c r="I126" s="19">
        <f t="shared" si="9"/>
        <v>53.157040133779255</v>
      </c>
      <c r="J126" s="19">
        <f t="shared" si="10"/>
        <v>16.270903010033443</v>
      </c>
      <c r="K126" s="17" t="str">
        <f t="shared" si="11"/>
        <v/>
      </c>
      <c r="L126" s="17" t="str">
        <f t="shared" si="12"/>
        <v/>
      </c>
    </row>
    <row r="127" spans="1:12">
      <c r="A127" s="17">
        <v>118</v>
      </c>
      <c r="B127" s="17">
        <v>3</v>
      </c>
      <c r="C127" s="17">
        <v>8</v>
      </c>
      <c r="D127" s="17" t="s">
        <v>189</v>
      </c>
      <c r="E127" s="17">
        <v>40</v>
      </c>
      <c r="F127" s="17">
        <f t="shared" si="13"/>
        <v>4</v>
      </c>
      <c r="G127" s="19">
        <f t="shared" si="7"/>
        <v>44.976666666666667</v>
      </c>
      <c r="H127" s="19">
        <f t="shared" si="8"/>
        <v>88.250344884840729</v>
      </c>
      <c r="I127" s="19">
        <f t="shared" si="9"/>
        <v>53.157040133779255</v>
      </c>
      <c r="J127" s="19">
        <f t="shared" si="10"/>
        <v>16.270903010033443</v>
      </c>
      <c r="K127" s="17" t="str">
        <f t="shared" si="11"/>
        <v/>
      </c>
      <c r="L127" s="17" t="str">
        <f t="shared" si="12"/>
        <v/>
      </c>
    </row>
    <row r="128" spans="1:12">
      <c r="A128" s="17">
        <v>119</v>
      </c>
      <c r="B128" s="17">
        <v>3</v>
      </c>
      <c r="C128" s="17">
        <v>7</v>
      </c>
      <c r="D128" s="17" t="s">
        <v>190</v>
      </c>
      <c r="E128" s="17">
        <v>39</v>
      </c>
      <c r="F128" s="17">
        <f t="shared" si="13"/>
        <v>1</v>
      </c>
      <c r="G128" s="19">
        <f t="shared" si="7"/>
        <v>44.976666666666667</v>
      </c>
      <c r="H128" s="19">
        <f t="shared" si="8"/>
        <v>88.250344884840729</v>
      </c>
      <c r="I128" s="19">
        <f t="shared" si="9"/>
        <v>53.157040133779255</v>
      </c>
      <c r="J128" s="19">
        <f t="shared" si="10"/>
        <v>16.270903010033443</v>
      </c>
      <c r="K128" s="17" t="str">
        <f t="shared" si="11"/>
        <v/>
      </c>
      <c r="L128" s="17" t="str">
        <f t="shared" si="12"/>
        <v/>
      </c>
    </row>
    <row r="129" spans="1:12">
      <c r="A129" s="17">
        <v>120</v>
      </c>
      <c r="B129" s="17">
        <v>3</v>
      </c>
      <c r="C129" s="17">
        <v>6</v>
      </c>
      <c r="D129" s="17" t="s">
        <v>191</v>
      </c>
      <c r="E129" s="17">
        <v>51</v>
      </c>
      <c r="F129" s="17">
        <f t="shared" si="13"/>
        <v>12</v>
      </c>
      <c r="G129" s="19">
        <f t="shared" si="7"/>
        <v>44.976666666666667</v>
      </c>
      <c r="H129" s="19">
        <f t="shared" si="8"/>
        <v>88.250344884840729</v>
      </c>
      <c r="I129" s="19">
        <f t="shared" si="9"/>
        <v>53.157040133779255</v>
      </c>
      <c r="J129" s="19">
        <f t="shared" si="10"/>
        <v>16.270903010033443</v>
      </c>
      <c r="K129" s="17" t="str">
        <f t="shared" si="11"/>
        <v/>
      </c>
      <c r="L129" s="17" t="str">
        <f t="shared" si="12"/>
        <v/>
      </c>
    </row>
    <row r="130" spans="1:12">
      <c r="A130" s="17">
        <v>121</v>
      </c>
      <c r="B130" s="17">
        <v>3</v>
      </c>
      <c r="C130" s="17">
        <v>5</v>
      </c>
      <c r="D130" s="17" t="s">
        <v>192</v>
      </c>
      <c r="E130" s="17">
        <v>97</v>
      </c>
      <c r="F130" s="17">
        <f t="shared" si="13"/>
        <v>46</v>
      </c>
      <c r="G130" s="19">
        <f t="shared" si="7"/>
        <v>44.976666666666667</v>
      </c>
      <c r="H130" s="19">
        <f t="shared" si="8"/>
        <v>88.250344884840729</v>
      </c>
      <c r="I130" s="19">
        <f t="shared" si="9"/>
        <v>53.157040133779255</v>
      </c>
      <c r="J130" s="19">
        <f t="shared" si="10"/>
        <v>16.270903010033443</v>
      </c>
      <c r="K130" s="17" t="str">
        <f t="shared" si="11"/>
        <v>OOC</v>
      </c>
      <c r="L130" s="17" t="str">
        <f t="shared" si="12"/>
        <v/>
      </c>
    </row>
    <row r="131" spans="1:12">
      <c r="A131" s="17">
        <v>122</v>
      </c>
      <c r="B131" s="17">
        <v>3</v>
      </c>
      <c r="C131" s="17">
        <v>4</v>
      </c>
      <c r="D131" s="17" t="s">
        <v>193</v>
      </c>
      <c r="E131" s="17">
        <v>40</v>
      </c>
      <c r="F131" s="17">
        <f t="shared" si="13"/>
        <v>57</v>
      </c>
      <c r="G131" s="19">
        <f t="shared" si="7"/>
        <v>44.976666666666667</v>
      </c>
      <c r="H131" s="19">
        <f t="shared" si="8"/>
        <v>88.250344884840729</v>
      </c>
      <c r="I131" s="19">
        <f t="shared" si="9"/>
        <v>53.157040133779255</v>
      </c>
      <c r="J131" s="19">
        <f t="shared" si="10"/>
        <v>16.270903010033443</v>
      </c>
      <c r="K131" s="17" t="str">
        <f t="shared" si="11"/>
        <v/>
      </c>
      <c r="L131" s="17" t="str">
        <f t="shared" si="12"/>
        <v/>
      </c>
    </row>
    <row r="132" spans="1:12">
      <c r="A132" s="17">
        <v>123</v>
      </c>
      <c r="B132" s="17">
        <v>3</v>
      </c>
      <c r="C132" s="17">
        <v>3</v>
      </c>
      <c r="D132" s="17" t="s">
        <v>194</v>
      </c>
      <c r="E132" s="17">
        <v>39</v>
      </c>
      <c r="F132" s="17">
        <f t="shared" si="13"/>
        <v>1</v>
      </c>
      <c r="G132" s="19">
        <f t="shared" si="7"/>
        <v>44.976666666666667</v>
      </c>
      <c r="H132" s="19">
        <f t="shared" si="8"/>
        <v>88.250344884840729</v>
      </c>
      <c r="I132" s="19">
        <f t="shared" si="9"/>
        <v>53.157040133779255</v>
      </c>
      <c r="J132" s="19">
        <f t="shared" si="10"/>
        <v>16.270903010033443</v>
      </c>
      <c r="K132" s="17" t="str">
        <f t="shared" si="11"/>
        <v/>
      </c>
      <c r="L132" s="17" t="str">
        <f t="shared" si="12"/>
        <v/>
      </c>
    </row>
    <row r="133" spans="1:12">
      <c r="A133" s="17">
        <v>124</v>
      </c>
      <c r="B133" s="17">
        <v>3</v>
      </c>
      <c r="C133" s="17">
        <v>2</v>
      </c>
      <c r="D133" s="17" t="s">
        <v>195</v>
      </c>
      <c r="E133" s="17">
        <v>51</v>
      </c>
      <c r="F133" s="17">
        <f t="shared" si="13"/>
        <v>12</v>
      </c>
      <c r="G133" s="19">
        <f t="shared" si="7"/>
        <v>44.976666666666667</v>
      </c>
      <c r="H133" s="19">
        <f t="shared" si="8"/>
        <v>88.250344884840729</v>
      </c>
      <c r="I133" s="19">
        <f t="shared" si="9"/>
        <v>53.157040133779255</v>
      </c>
      <c r="J133" s="19">
        <f t="shared" si="10"/>
        <v>16.270903010033443</v>
      </c>
      <c r="K133" s="17" t="str">
        <f t="shared" si="11"/>
        <v/>
      </c>
      <c r="L133" s="17" t="str">
        <f t="shared" si="12"/>
        <v/>
      </c>
    </row>
    <row r="134" spans="1:12">
      <c r="A134" s="17">
        <v>125</v>
      </c>
      <c r="B134" s="17">
        <v>3</v>
      </c>
      <c r="C134" s="17">
        <v>1</v>
      </c>
      <c r="D134" s="17" t="s">
        <v>196</v>
      </c>
      <c r="E134" s="17">
        <v>97</v>
      </c>
      <c r="F134" s="17">
        <f t="shared" si="13"/>
        <v>46</v>
      </c>
      <c r="G134" s="19">
        <f t="shared" si="7"/>
        <v>44.976666666666667</v>
      </c>
      <c r="H134" s="19">
        <f t="shared" si="8"/>
        <v>88.250344884840729</v>
      </c>
      <c r="I134" s="19">
        <f t="shared" si="9"/>
        <v>53.157040133779255</v>
      </c>
      <c r="J134" s="19">
        <f t="shared" si="10"/>
        <v>16.270903010033443</v>
      </c>
      <c r="K134" s="17" t="str">
        <f t="shared" si="11"/>
        <v>OOC</v>
      </c>
      <c r="L134" s="17" t="str">
        <f t="shared" si="12"/>
        <v/>
      </c>
    </row>
    <row r="135" spans="1:12">
      <c r="A135" s="17">
        <v>126</v>
      </c>
      <c r="B135" s="17">
        <v>3</v>
      </c>
      <c r="C135" s="17">
        <v>25</v>
      </c>
      <c r="D135" s="17" t="s">
        <v>197</v>
      </c>
      <c r="E135" s="17">
        <v>34</v>
      </c>
      <c r="F135" s="17">
        <f t="shared" si="13"/>
        <v>63</v>
      </c>
      <c r="G135" s="19">
        <f t="shared" si="7"/>
        <v>44.976666666666667</v>
      </c>
      <c r="H135" s="19">
        <f t="shared" si="8"/>
        <v>88.250344884840729</v>
      </c>
      <c r="I135" s="19">
        <f t="shared" si="9"/>
        <v>53.157040133779255</v>
      </c>
      <c r="J135" s="19">
        <f t="shared" si="10"/>
        <v>16.270903010033443</v>
      </c>
      <c r="K135" s="17" t="str">
        <f t="shared" si="11"/>
        <v/>
      </c>
      <c r="L135" s="17" t="str">
        <f t="shared" si="12"/>
        <v/>
      </c>
    </row>
    <row r="136" spans="1:12">
      <c r="A136" s="17">
        <v>127</v>
      </c>
      <c r="B136" s="17">
        <v>3</v>
      </c>
      <c r="C136" s="17">
        <v>24</v>
      </c>
      <c r="D136" s="17" t="s">
        <v>198</v>
      </c>
      <c r="E136" s="17">
        <v>29</v>
      </c>
      <c r="F136" s="17">
        <f t="shared" si="13"/>
        <v>5</v>
      </c>
      <c r="G136" s="19">
        <f t="shared" si="7"/>
        <v>44.976666666666667</v>
      </c>
      <c r="H136" s="19">
        <f t="shared" si="8"/>
        <v>88.250344884840729</v>
      </c>
      <c r="I136" s="19">
        <f t="shared" si="9"/>
        <v>53.157040133779255</v>
      </c>
      <c r="J136" s="19">
        <f t="shared" si="10"/>
        <v>16.270903010033443</v>
      </c>
      <c r="K136" s="17" t="str">
        <f t="shared" si="11"/>
        <v/>
      </c>
      <c r="L136" s="17" t="str">
        <f t="shared" si="12"/>
        <v/>
      </c>
    </row>
    <row r="137" spans="1:12">
      <c r="A137" s="17">
        <v>128</v>
      </c>
      <c r="B137" s="17">
        <v>3</v>
      </c>
      <c r="C137" s="17">
        <v>23</v>
      </c>
      <c r="D137" s="17" t="s">
        <v>199</v>
      </c>
      <c r="E137" s="17">
        <v>46</v>
      </c>
      <c r="F137" s="17">
        <f t="shared" si="13"/>
        <v>17</v>
      </c>
      <c r="G137" s="19">
        <f t="shared" si="7"/>
        <v>44.976666666666667</v>
      </c>
      <c r="H137" s="19">
        <f t="shared" si="8"/>
        <v>88.250344884840729</v>
      </c>
      <c r="I137" s="19">
        <f t="shared" si="9"/>
        <v>53.157040133779255</v>
      </c>
      <c r="J137" s="19">
        <f t="shared" si="10"/>
        <v>16.270903010033443</v>
      </c>
      <c r="K137" s="17" t="str">
        <f t="shared" si="11"/>
        <v/>
      </c>
      <c r="L137" s="17" t="str">
        <f t="shared" si="12"/>
        <v/>
      </c>
    </row>
    <row r="138" spans="1:12">
      <c r="A138" s="17">
        <v>129</v>
      </c>
      <c r="B138" s="17">
        <v>3</v>
      </c>
      <c r="C138" s="17">
        <v>22</v>
      </c>
      <c r="D138" s="17" t="s">
        <v>200</v>
      </c>
      <c r="E138" s="17">
        <v>39</v>
      </c>
      <c r="F138" s="17">
        <f t="shared" si="13"/>
        <v>7</v>
      </c>
      <c r="G138" s="19">
        <f t="shared" ref="G138:G201" si="14">$Q$3</f>
        <v>44.976666666666667</v>
      </c>
      <c r="H138" s="19">
        <f t="shared" ref="H138:H201" si="15">$Q$6</f>
        <v>88.250344884840729</v>
      </c>
      <c r="I138" s="19">
        <f t="shared" ref="I138:I201" si="16">$Q$7</f>
        <v>53.157040133779255</v>
      </c>
      <c r="J138" s="19">
        <f t="shared" ref="J138:J201" si="17">$Q$4</f>
        <v>16.270903010033443</v>
      </c>
      <c r="K138" s="17" t="str">
        <f t="shared" ref="K138:K201" si="18">IF(E138&gt;$Q$6,"OOC","" )</f>
        <v/>
      </c>
      <c r="L138" s="17" t="str">
        <f t="shared" ref="L138:L201" si="19">IF(E138&gt;$B$3,"OOS","" )</f>
        <v/>
      </c>
    </row>
    <row r="139" spans="1:12">
      <c r="A139" s="17">
        <v>130</v>
      </c>
      <c r="B139" s="17">
        <v>3</v>
      </c>
      <c r="C139" s="17">
        <v>21</v>
      </c>
      <c r="D139" s="17" t="s">
        <v>201</v>
      </c>
      <c r="E139" s="17">
        <v>40</v>
      </c>
      <c r="F139" s="17">
        <f t="shared" ref="F139:F202" si="20">ABS(E139-E138)</f>
        <v>1</v>
      </c>
      <c r="G139" s="19">
        <f t="shared" si="14"/>
        <v>44.976666666666667</v>
      </c>
      <c r="H139" s="19">
        <f t="shared" si="15"/>
        <v>88.250344884840729</v>
      </c>
      <c r="I139" s="19">
        <f t="shared" si="16"/>
        <v>53.157040133779255</v>
      </c>
      <c r="J139" s="19">
        <f t="shared" si="17"/>
        <v>16.270903010033443</v>
      </c>
      <c r="K139" s="17" t="str">
        <f t="shared" si="18"/>
        <v/>
      </c>
      <c r="L139" s="17" t="str">
        <f t="shared" si="19"/>
        <v/>
      </c>
    </row>
    <row r="140" spans="1:12">
      <c r="A140" s="17">
        <v>131</v>
      </c>
      <c r="B140" s="17">
        <v>3</v>
      </c>
      <c r="C140" s="17">
        <v>20</v>
      </c>
      <c r="D140" s="17" t="s">
        <v>202</v>
      </c>
      <c r="E140" s="17">
        <v>36</v>
      </c>
      <c r="F140" s="17">
        <f t="shared" si="20"/>
        <v>4</v>
      </c>
      <c r="G140" s="19">
        <f t="shared" si="14"/>
        <v>44.976666666666667</v>
      </c>
      <c r="H140" s="19">
        <f t="shared" si="15"/>
        <v>88.250344884840729</v>
      </c>
      <c r="I140" s="19">
        <f t="shared" si="16"/>
        <v>53.157040133779255</v>
      </c>
      <c r="J140" s="19">
        <f t="shared" si="17"/>
        <v>16.270903010033443</v>
      </c>
      <c r="K140" s="17" t="str">
        <f t="shared" si="18"/>
        <v/>
      </c>
      <c r="L140" s="17" t="str">
        <f t="shared" si="19"/>
        <v/>
      </c>
    </row>
    <row r="141" spans="1:12">
      <c r="A141" s="17">
        <v>132</v>
      </c>
      <c r="B141" s="17">
        <v>3</v>
      </c>
      <c r="C141" s="17">
        <v>19</v>
      </c>
      <c r="D141" s="17" t="s">
        <v>203</v>
      </c>
      <c r="E141" s="17">
        <v>29</v>
      </c>
      <c r="F141" s="17">
        <f t="shared" si="20"/>
        <v>7</v>
      </c>
      <c r="G141" s="19">
        <f t="shared" si="14"/>
        <v>44.976666666666667</v>
      </c>
      <c r="H141" s="19">
        <f t="shared" si="15"/>
        <v>88.250344884840729</v>
      </c>
      <c r="I141" s="19">
        <f t="shared" si="16"/>
        <v>53.157040133779255</v>
      </c>
      <c r="J141" s="19">
        <f t="shared" si="17"/>
        <v>16.270903010033443</v>
      </c>
      <c r="K141" s="17" t="str">
        <f t="shared" si="18"/>
        <v/>
      </c>
      <c r="L141" s="17" t="str">
        <f t="shared" si="19"/>
        <v/>
      </c>
    </row>
    <row r="142" spans="1:12">
      <c r="A142" s="17">
        <v>133</v>
      </c>
      <c r="B142" s="17">
        <v>3</v>
      </c>
      <c r="C142" s="17">
        <v>18</v>
      </c>
      <c r="D142" s="17" t="s">
        <v>204</v>
      </c>
      <c r="E142" s="17">
        <v>37</v>
      </c>
      <c r="F142" s="17">
        <f t="shared" si="20"/>
        <v>8</v>
      </c>
      <c r="G142" s="19">
        <f t="shared" si="14"/>
        <v>44.976666666666667</v>
      </c>
      <c r="H142" s="19">
        <f t="shared" si="15"/>
        <v>88.250344884840729</v>
      </c>
      <c r="I142" s="19">
        <f t="shared" si="16"/>
        <v>53.157040133779255</v>
      </c>
      <c r="J142" s="19">
        <f t="shared" si="17"/>
        <v>16.270903010033443</v>
      </c>
      <c r="K142" s="17" t="str">
        <f t="shared" si="18"/>
        <v/>
      </c>
      <c r="L142" s="17" t="str">
        <f t="shared" si="19"/>
        <v/>
      </c>
    </row>
    <row r="143" spans="1:12">
      <c r="A143" s="17">
        <v>134</v>
      </c>
      <c r="B143" s="17">
        <v>3</v>
      </c>
      <c r="C143" s="17">
        <v>17</v>
      </c>
      <c r="D143" s="17" t="s">
        <v>205</v>
      </c>
      <c r="E143" s="17">
        <v>31</v>
      </c>
      <c r="F143" s="17">
        <f t="shared" si="20"/>
        <v>6</v>
      </c>
      <c r="G143" s="19">
        <f t="shared" si="14"/>
        <v>44.976666666666667</v>
      </c>
      <c r="H143" s="19">
        <f t="shared" si="15"/>
        <v>88.250344884840729</v>
      </c>
      <c r="I143" s="19">
        <f t="shared" si="16"/>
        <v>53.157040133779255</v>
      </c>
      <c r="J143" s="19">
        <f t="shared" si="17"/>
        <v>16.270903010033443</v>
      </c>
      <c r="K143" s="17" t="str">
        <f t="shared" si="18"/>
        <v/>
      </c>
      <c r="L143" s="17" t="str">
        <f t="shared" si="19"/>
        <v/>
      </c>
    </row>
    <row r="144" spans="1:12">
      <c r="A144" s="17">
        <v>135</v>
      </c>
      <c r="B144" s="17">
        <v>3</v>
      </c>
      <c r="C144" s="17">
        <v>16</v>
      </c>
      <c r="D144" s="17" t="s">
        <v>206</v>
      </c>
      <c r="E144" s="17">
        <v>78</v>
      </c>
      <c r="F144" s="17">
        <f t="shared" si="20"/>
        <v>47</v>
      </c>
      <c r="G144" s="19">
        <f t="shared" si="14"/>
        <v>44.976666666666667</v>
      </c>
      <c r="H144" s="19">
        <f t="shared" si="15"/>
        <v>88.250344884840729</v>
      </c>
      <c r="I144" s="19">
        <f t="shared" si="16"/>
        <v>53.157040133779255</v>
      </c>
      <c r="J144" s="19">
        <f t="shared" si="17"/>
        <v>16.270903010033443</v>
      </c>
      <c r="K144" s="17" t="str">
        <f t="shared" si="18"/>
        <v/>
      </c>
      <c r="L144" s="17" t="str">
        <f t="shared" si="19"/>
        <v/>
      </c>
    </row>
    <row r="145" spans="1:12">
      <c r="A145" s="17">
        <v>136</v>
      </c>
      <c r="B145" s="17">
        <v>3</v>
      </c>
      <c r="C145" s="17">
        <v>15</v>
      </c>
      <c r="D145" s="17" t="s">
        <v>207</v>
      </c>
      <c r="E145" s="17">
        <v>24</v>
      </c>
      <c r="F145" s="17">
        <f t="shared" si="20"/>
        <v>54</v>
      </c>
      <c r="G145" s="19">
        <f t="shared" si="14"/>
        <v>44.976666666666667</v>
      </c>
      <c r="H145" s="19">
        <f t="shared" si="15"/>
        <v>88.250344884840729</v>
      </c>
      <c r="I145" s="19">
        <f t="shared" si="16"/>
        <v>53.157040133779255</v>
      </c>
      <c r="J145" s="19">
        <f t="shared" si="17"/>
        <v>16.270903010033443</v>
      </c>
      <c r="K145" s="17" t="str">
        <f t="shared" si="18"/>
        <v/>
      </c>
      <c r="L145" s="17" t="str">
        <f t="shared" si="19"/>
        <v/>
      </c>
    </row>
    <row r="146" spans="1:12">
      <c r="A146" s="17">
        <v>137</v>
      </c>
      <c r="B146" s="17">
        <v>3</v>
      </c>
      <c r="C146" s="17">
        <v>14</v>
      </c>
      <c r="D146" s="17" t="s">
        <v>208</v>
      </c>
      <c r="E146" s="17">
        <v>23</v>
      </c>
      <c r="F146" s="17">
        <f t="shared" si="20"/>
        <v>1</v>
      </c>
      <c r="G146" s="19">
        <f t="shared" si="14"/>
        <v>44.976666666666667</v>
      </c>
      <c r="H146" s="19">
        <f t="shared" si="15"/>
        <v>88.250344884840729</v>
      </c>
      <c r="I146" s="19">
        <f t="shared" si="16"/>
        <v>53.157040133779255</v>
      </c>
      <c r="J146" s="19">
        <f t="shared" si="17"/>
        <v>16.270903010033443</v>
      </c>
      <c r="K146" s="17" t="str">
        <f t="shared" si="18"/>
        <v/>
      </c>
      <c r="L146" s="17" t="str">
        <f t="shared" si="19"/>
        <v/>
      </c>
    </row>
    <row r="147" spans="1:12">
      <c r="A147" s="17">
        <v>138</v>
      </c>
      <c r="B147" s="17">
        <v>3</v>
      </c>
      <c r="C147" s="17">
        <v>13</v>
      </c>
      <c r="D147" s="17" t="s">
        <v>209</v>
      </c>
      <c r="E147" s="17">
        <v>47</v>
      </c>
      <c r="F147" s="17">
        <f t="shared" si="20"/>
        <v>24</v>
      </c>
      <c r="G147" s="19">
        <f t="shared" si="14"/>
        <v>44.976666666666667</v>
      </c>
      <c r="H147" s="19">
        <f t="shared" si="15"/>
        <v>88.250344884840729</v>
      </c>
      <c r="I147" s="19">
        <f t="shared" si="16"/>
        <v>53.157040133779255</v>
      </c>
      <c r="J147" s="19">
        <f t="shared" si="17"/>
        <v>16.270903010033443</v>
      </c>
      <c r="K147" s="17" t="str">
        <f t="shared" si="18"/>
        <v/>
      </c>
      <c r="L147" s="17" t="str">
        <f t="shared" si="19"/>
        <v/>
      </c>
    </row>
    <row r="148" spans="1:12">
      <c r="A148" s="17">
        <v>139</v>
      </c>
      <c r="B148" s="17">
        <v>3</v>
      </c>
      <c r="C148" s="17">
        <v>12</v>
      </c>
      <c r="D148" s="17" t="s">
        <v>210</v>
      </c>
      <c r="E148" s="17">
        <v>37</v>
      </c>
      <c r="F148" s="17">
        <f t="shared" si="20"/>
        <v>10</v>
      </c>
      <c r="G148" s="19">
        <f t="shared" si="14"/>
        <v>44.976666666666667</v>
      </c>
      <c r="H148" s="19">
        <f t="shared" si="15"/>
        <v>88.250344884840729</v>
      </c>
      <c r="I148" s="19">
        <f t="shared" si="16"/>
        <v>53.157040133779255</v>
      </c>
      <c r="J148" s="19">
        <f t="shared" si="17"/>
        <v>16.270903010033443</v>
      </c>
      <c r="K148" s="17" t="str">
        <f t="shared" si="18"/>
        <v/>
      </c>
      <c r="L148" s="17" t="str">
        <f t="shared" si="19"/>
        <v/>
      </c>
    </row>
    <row r="149" spans="1:12">
      <c r="A149" s="17">
        <v>140</v>
      </c>
      <c r="B149" s="17">
        <v>3</v>
      </c>
      <c r="C149" s="17">
        <v>11</v>
      </c>
      <c r="D149" s="17" t="s">
        <v>211</v>
      </c>
      <c r="E149" s="17">
        <v>37</v>
      </c>
      <c r="F149" s="17">
        <f t="shared" si="20"/>
        <v>0</v>
      </c>
      <c r="G149" s="19">
        <f t="shared" si="14"/>
        <v>44.976666666666667</v>
      </c>
      <c r="H149" s="19">
        <f t="shared" si="15"/>
        <v>88.250344884840729</v>
      </c>
      <c r="I149" s="19">
        <f t="shared" si="16"/>
        <v>53.157040133779255</v>
      </c>
      <c r="J149" s="19">
        <f t="shared" si="17"/>
        <v>16.270903010033443</v>
      </c>
      <c r="K149" s="17" t="str">
        <f t="shared" si="18"/>
        <v/>
      </c>
      <c r="L149" s="17" t="str">
        <f t="shared" si="19"/>
        <v/>
      </c>
    </row>
    <row r="150" spans="1:12">
      <c r="A150" s="17">
        <v>141</v>
      </c>
      <c r="B150" s="17">
        <v>3</v>
      </c>
      <c r="C150" s="17">
        <v>10</v>
      </c>
      <c r="D150" s="17" t="s">
        <v>212</v>
      </c>
      <c r="E150" s="17">
        <v>27</v>
      </c>
      <c r="F150" s="17">
        <f t="shared" si="20"/>
        <v>10</v>
      </c>
      <c r="G150" s="19">
        <f t="shared" si="14"/>
        <v>44.976666666666667</v>
      </c>
      <c r="H150" s="19">
        <f t="shared" si="15"/>
        <v>88.250344884840729</v>
      </c>
      <c r="I150" s="19">
        <f t="shared" si="16"/>
        <v>53.157040133779255</v>
      </c>
      <c r="J150" s="19">
        <f t="shared" si="17"/>
        <v>16.270903010033443</v>
      </c>
      <c r="K150" s="17" t="str">
        <f t="shared" si="18"/>
        <v/>
      </c>
      <c r="L150" s="17" t="str">
        <f t="shared" si="19"/>
        <v/>
      </c>
    </row>
    <row r="151" spans="1:12">
      <c r="A151" s="17">
        <v>142</v>
      </c>
      <c r="B151" s="17">
        <v>3</v>
      </c>
      <c r="C151" s="17">
        <v>9</v>
      </c>
      <c r="D151" s="17" t="s">
        <v>213</v>
      </c>
      <c r="E151" s="17">
        <v>34</v>
      </c>
      <c r="F151" s="17">
        <f t="shared" si="20"/>
        <v>7</v>
      </c>
      <c r="G151" s="19">
        <f t="shared" si="14"/>
        <v>44.976666666666667</v>
      </c>
      <c r="H151" s="19">
        <f t="shared" si="15"/>
        <v>88.250344884840729</v>
      </c>
      <c r="I151" s="19">
        <f t="shared" si="16"/>
        <v>53.157040133779255</v>
      </c>
      <c r="J151" s="19">
        <f t="shared" si="17"/>
        <v>16.270903010033443</v>
      </c>
      <c r="K151" s="17" t="str">
        <f t="shared" si="18"/>
        <v/>
      </c>
      <c r="L151" s="17" t="str">
        <f t="shared" si="19"/>
        <v/>
      </c>
    </row>
    <row r="152" spans="1:12">
      <c r="A152" s="17">
        <v>143</v>
      </c>
      <c r="B152" s="17">
        <v>3</v>
      </c>
      <c r="C152" s="17">
        <v>8</v>
      </c>
      <c r="D152" s="17" t="s">
        <v>214</v>
      </c>
      <c r="E152" s="17">
        <v>37</v>
      </c>
      <c r="F152" s="17">
        <f t="shared" si="20"/>
        <v>3</v>
      </c>
      <c r="G152" s="19">
        <f t="shared" si="14"/>
        <v>44.976666666666667</v>
      </c>
      <c r="H152" s="19">
        <f t="shared" si="15"/>
        <v>88.250344884840729</v>
      </c>
      <c r="I152" s="19">
        <f t="shared" si="16"/>
        <v>53.157040133779255</v>
      </c>
      <c r="J152" s="19">
        <f t="shared" si="17"/>
        <v>16.270903010033443</v>
      </c>
      <c r="K152" s="17" t="str">
        <f t="shared" si="18"/>
        <v/>
      </c>
      <c r="L152" s="17" t="str">
        <f t="shared" si="19"/>
        <v/>
      </c>
    </row>
    <row r="153" spans="1:12">
      <c r="A153" s="17">
        <v>144</v>
      </c>
      <c r="B153" s="17">
        <v>3</v>
      </c>
      <c r="C153" s="17">
        <v>7</v>
      </c>
      <c r="D153" s="17" t="s">
        <v>215</v>
      </c>
      <c r="E153" s="17">
        <v>32</v>
      </c>
      <c r="F153" s="17">
        <f t="shared" si="20"/>
        <v>5</v>
      </c>
      <c r="G153" s="19">
        <f t="shared" si="14"/>
        <v>44.976666666666667</v>
      </c>
      <c r="H153" s="19">
        <f t="shared" si="15"/>
        <v>88.250344884840729</v>
      </c>
      <c r="I153" s="19">
        <f t="shared" si="16"/>
        <v>53.157040133779255</v>
      </c>
      <c r="J153" s="19">
        <f t="shared" si="17"/>
        <v>16.270903010033443</v>
      </c>
      <c r="K153" s="17" t="str">
        <f t="shared" si="18"/>
        <v/>
      </c>
      <c r="L153" s="17" t="str">
        <f t="shared" si="19"/>
        <v/>
      </c>
    </row>
    <row r="154" spans="1:12">
      <c r="A154" s="17">
        <v>145</v>
      </c>
      <c r="B154" s="17">
        <v>3</v>
      </c>
      <c r="C154" s="17">
        <v>6</v>
      </c>
      <c r="D154" s="17" t="s">
        <v>216</v>
      </c>
      <c r="E154" s="17">
        <v>32</v>
      </c>
      <c r="F154" s="17">
        <f t="shared" si="20"/>
        <v>0</v>
      </c>
      <c r="G154" s="19">
        <f t="shared" si="14"/>
        <v>44.976666666666667</v>
      </c>
      <c r="H154" s="19">
        <f t="shared" si="15"/>
        <v>88.250344884840729</v>
      </c>
      <c r="I154" s="19">
        <f t="shared" si="16"/>
        <v>53.157040133779255</v>
      </c>
      <c r="J154" s="19">
        <f t="shared" si="17"/>
        <v>16.270903010033443</v>
      </c>
      <c r="K154" s="17" t="str">
        <f t="shared" si="18"/>
        <v/>
      </c>
      <c r="L154" s="17" t="str">
        <f t="shared" si="19"/>
        <v/>
      </c>
    </row>
    <row r="155" spans="1:12">
      <c r="A155" s="17">
        <v>146</v>
      </c>
      <c r="B155" s="17">
        <v>3</v>
      </c>
      <c r="C155" s="17">
        <v>5</v>
      </c>
      <c r="D155" s="17" t="s">
        <v>217</v>
      </c>
      <c r="E155" s="17">
        <v>46</v>
      </c>
      <c r="F155" s="17">
        <f t="shared" si="20"/>
        <v>14</v>
      </c>
      <c r="G155" s="19">
        <f t="shared" si="14"/>
        <v>44.976666666666667</v>
      </c>
      <c r="H155" s="19">
        <f t="shared" si="15"/>
        <v>88.250344884840729</v>
      </c>
      <c r="I155" s="19">
        <f t="shared" si="16"/>
        <v>53.157040133779255</v>
      </c>
      <c r="J155" s="19">
        <f t="shared" si="17"/>
        <v>16.270903010033443</v>
      </c>
      <c r="K155" s="17" t="str">
        <f t="shared" si="18"/>
        <v/>
      </c>
      <c r="L155" s="17" t="str">
        <f t="shared" si="19"/>
        <v/>
      </c>
    </row>
    <row r="156" spans="1:12">
      <c r="A156" s="17">
        <v>147</v>
      </c>
      <c r="B156" s="17">
        <v>3</v>
      </c>
      <c r="C156" s="17">
        <v>4</v>
      </c>
      <c r="D156" s="17" t="s">
        <v>218</v>
      </c>
      <c r="E156" s="17">
        <v>37</v>
      </c>
      <c r="F156" s="17">
        <f t="shared" si="20"/>
        <v>9</v>
      </c>
      <c r="G156" s="19">
        <f t="shared" si="14"/>
        <v>44.976666666666667</v>
      </c>
      <c r="H156" s="19">
        <f t="shared" si="15"/>
        <v>88.250344884840729</v>
      </c>
      <c r="I156" s="19">
        <f t="shared" si="16"/>
        <v>53.157040133779255</v>
      </c>
      <c r="J156" s="19">
        <f t="shared" si="17"/>
        <v>16.270903010033443</v>
      </c>
      <c r="K156" s="17" t="str">
        <f t="shared" si="18"/>
        <v/>
      </c>
      <c r="L156" s="17" t="str">
        <f t="shared" si="19"/>
        <v/>
      </c>
    </row>
    <row r="157" spans="1:12">
      <c r="A157" s="17">
        <v>148</v>
      </c>
      <c r="B157" s="17">
        <v>3</v>
      </c>
      <c r="C157" s="17">
        <v>3</v>
      </c>
      <c r="D157" s="17" t="s">
        <v>219</v>
      </c>
      <c r="E157" s="17">
        <v>40</v>
      </c>
      <c r="F157" s="17">
        <f t="shared" si="20"/>
        <v>3</v>
      </c>
      <c r="G157" s="19">
        <f t="shared" si="14"/>
        <v>44.976666666666667</v>
      </c>
      <c r="H157" s="19">
        <f t="shared" si="15"/>
        <v>88.250344884840729</v>
      </c>
      <c r="I157" s="19">
        <f t="shared" si="16"/>
        <v>53.157040133779255</v>
      </c>
      <c r="J157" s="19">
        <f t="shared" si="17"/>
        <v>16.270903010033443</v>
      </c>
      <c r="K157" s="17" t="str">
        <f t="shared" si="18"/>
        <v/>
      </c>
      <c r="L157" s="17" t="str">
        <f t="shared" si="19"/>
        <v/>
      </c>
    </row>
    <row r="158" spans="1:12">
      <c r="A158" s="17">
        <v>149</v>
      </c>
      <c r="B158" s="17">
        <v>3</v>
      </c>
      <c r="C158" s="17">
        <v>2</v>
      </c>
      <c r="D158" s="17" t="s">
        <v>220</v>
      </c>
      <c r="E158" s="17">
        <v>31</v>
      </c>
      <c r="F158" s="17">
        <f t="shared" si="20"/>
        <v>9</v>
      </c>
      <c r="G158" s="19">
        <f t="shared" si="14"/>
        <v>44.976666666666667</v>
      </c>
      <c r="H158" s="19">
        <f t="shared" si="15"/>
        <v>88.250344884840729</v>
      </c>
      <c r="I158" s="19">
        <f t="shared" si="16"/>
        <v>53.157040133779255</v>
      </c>
      <c r="J158" s="19">
        <f t="shared" si="17"/>
        <v>16.270903010033443</v>
      </c>
      <c r="K158" s="17" t="str">
        <f t="shared" si="18"/>
        <v/>
      </c>
      <c r="L158" s="17" t="str">
        <f t="shared" si="19"/>
        <v/>
      </c>
    </row>
    <row r="159" spans="1:12">
      <c r="A159" s="17">
        <v>150</v>
      </c>
      <c r="B159" s="17">
        <v>3</v>
      </c>
      <c r="C159" s="17">
        <v>1</v>
      </c>
      <c r="D159" s="17" t="s">
        <v>221</v>
      </c>
      <c r="E159" s="17">
        <v>29</v>
      </c>
      <c r="F159" s="17">
        <f t="shared" si="20"/>
        <v>2</v>
      </c>
      <c r="G159" s="19">
        <f t="shared" si="14"/>
        <v>44.976666666666667</v>
      </c>
      <c r="H159" s="19">
        <f t="shared" si="15"/>
        <v>88.250344884840729</v>
      </c>
      <c r="I159" s="19">
        <f t="shared" si="16"/>
        <v>53.157040133779255</v>
      </c>
      <c r="J159" s="19">
        <f t="shared" si="17"/>
        <v>16.270903010033443</v>
      </c>
      <c r="K159" s="17" t="str">
        <f t="shared" si="18"/>
        <v/>
      </c>
      <c r="L159" s="17" t="str">
        <f t="shared" si="19"/>
        <v/>
      </c>
    </row>
    <row r="160" spans="1:12">
      <c r="A160" s="17">
        <v>151</v>
      </c>
      <c r="B160" s="17">
        <v>4</v>
      </c>
      <c r="C160" s="17">
        <v>25</v>
      </c>
      <c r="D160" s="17" t="s">
        <v>222</v>
      </c>
      <c r="E160" s="17">
        <v>21</v>
      </c>
      <c r="F160" s="17">
        <f t="shared" si="20"/>
        <v>8</v>
      </c>
      <c r="G160" s="19">
        <f t="shared" si="14"/>
        <v>44.976666666666667</v>
      </c>
      <c r="H160" s="19">
        <f t="shared" si="15"/>
        <v>88.250344884840729</v>
      </c>
      <c r="I160" s="19">
        <f t="shared" si="16"/>
        <v>53.157040133779255</v>
      </c>
      <c r="J160" s="19">
        <f t="shared" si="17"/>
        <v>16.270903010033443</v>
      </c>
      <c r="K160" s="17" t="str">
        <f t="shared" si="18"/>
        <v/>
      </c>
      <c r="L160" s="17" t="str">
        <f t="shared" si="19"/>
        <v/>
      </c>
    </row>
    <row r="161" spans="1:12">
      <c r="A161" s="17">
        <v>152</v>
      </c>
      <c r="B161" s="17">
        <v>4</v>
      </c>
      <c r="C161" s="17">
        <v>24</v>
      </c>
      <c r="D161" s="17" t="s">
        <v>223</v>
      </c>
      <c r="E161" s="17">
        <v>54</v>
      </c>
      <c r="F161" s="17">
        <f t="shared" si="20"/>
        <v>33</v>
      </c>
      <c r="G161" s="19">
        <f t="shared" si="14"/>
        <v>44.976666666666667</v>
      </c>
      <c r="H161" s="19">
        <f t="shared" si="15"/>
        <v>88.250344884840729</v>
      </c>
      <c r="I161" s="19">
        <f t="shared" si="16"/>
        <v>53.157040133779255</v>
      </c>
      <c r="J161" s="19">
        <f t="shared" si="17"/>
        <v>16.270903010033443</v>
      </c>
      <c r="K161" s="17" t="str">
        <f t="shared" si="18"/>
        <v/>
      </c>
      <c r="L161" s="17" t="str">
        <f t="shared" si="19"/>
        <v/>
      </c>
    </row>
    <row r="162" spans="1:12">
      <c r="A162" s="17">
        <v>153</v>
      </c>
      <c r="B162" s="17">
        <v>4</v>
      </c>
      <c r="C162" s="17">
        <v>23</v>
      </c>
      <c r="D162" s="17" t="s">
        <v>224</v>
      </c>
      <c r="E162" s="17">
        <v>72</v>
      </c>
      <c r="F162" s="17">
        <f t="shared" si="20"/>
        <v>18</v>
      </c>
      <c r="G162" s="19">
        <f t="shared" si="14"/>
        <v>44.976666666666667</v>
      </c>
      <c r="H162" s="19">
        <f t="shared" si="15"/>
        <v>88.250344884840729</v>
      </c>
      <c r="I162" s="19">
        <f t="shared" si="16"/>
        <v>53.157040133779255</v>
      </c>
      <c r="J162" s="19">
        <f t="shared" si="17"/>
        <v>16.270903010033443</v>
      </c>
      <c r="K162" s="17" t="str">
        <f t="shared" si="18"/>
        <v/>
      </c>
      <c r="L162" s="17" t="str">
        <f t="shared" si="19"/>
        <v/>
      </c>
    </row>
    <row r="163" spans="1:12">
      <c r="A163" s="17">
        <v>154</v>
      </c>
      <c r="B163" s="17">
        <v>4</v>
      </c>
      <c r="C163" s="17">
        <v>22</v>
      </c>
      <c r="D163" s="17" t="s">
        <v>225</v>
      </c>
      <c r="E163" s="17">
        <v>80</v>
      </c>
      <c r="F163" s="17">
        <f t="shared" si="20"/>
        <v>8</v>
      </c>
      <c r="G163" s="19">
        <f t="shared" si="14"/>
        <v>44.976666666666667</v>
      </c>
      <c r="H163" s="19">
        <f t="shared" si="15"/>
        <v>88.250344884840729</v>
      </c>
      <c r="I163" s="19">
        <f t="shared" si="16"/>
        <v>53.157040133779255</v>
      </c>
      <c r="J163" s="19">
        <f t="shared" si="17"/>
        <v>16.270903010033443</v>
      </c>
      <c r="K163" s="17" t="str">
        <f t="shared" si="18"/>
        <v/>
      </c>
      <c r="L163" s="17" t="str">
        <f t="shared" si="19"/>
        <v/>
      </c>
    </row>
    <row r="164" spans="1:12">
      <c r="A164" s="17">
        <v>155</v>
      </c>
      <c r="B164" s="17">
        <v>4</v>
      </c>
      <c r="C164" s="17">
        <v>21</v>
      </c>
      <c r="D164" s="17" t="s">
        <v>226</v>
      </c>
      <c r="E164" s="17">
        <v>81</v>
      </c>
      <c r="F164" s="17">
        <f t="shared" si="20"/>
        <v>1</v>
      </c>
      <c r="G164" s="19">
        <f t="shared" si="14"/>
        <v>44.976666666666667</v>
      </c>
      <c r="H164" s="19">
        <f t="shared" si="15"/>
        <v>88.250344884840729</v>
      </c>
      <c r="I164" s="19">
        <f t="shared" si="16"/>
        <v>53.157040133779255</v>
      </c>
      <c r="J164" s="19">
        <f t="shared" si="17"/>
        <v>16.270903010033443</v>
      </c>
      <c r="K164" s="17" t="str">
        <f t="shared" si="18"/>
        <v/>
      </c>
      <c r="L164" s="17" t="str">
        <f t="shared" si="19"/>
        <v/>
      </c>
    </row>
    <row r="165" spans="1:12">
      <c r="A165" s="17">
        <v>156</v>
      </c>
      <c r="B165" s="17">
        <v>4</v>
      </c>
      <c r="C165" s="17">
        <v>20</v>
      </c>
      <c r="D165" s="17" t="s">
        <v>227</v>
      </c>
      <c r="E165" s="17">
        <v>87</v>
      </c>
      <c r="F165" s="17">
        <f t="shared" si="20"/>
        <v>6</v>
      </c>
      <c r="G165" s="19">
        <f t="shared" si="14"/>
        <v>44.976666666666667</v>
      </c>
      <c r="H165" s="19">
        <f t="shared" si="15"/>
        <v>88.250344884840729</v>
      </c>
      <c r="I165" s="19">
        <f t="shared" si="16"/>
        <v>53.157040133779255</v>
      </c>
      <c r="J165" s="19">
        <f t="shared" si="17"/>
        <v>16.270903010033443</v>
      </c>
      <c r="K165" s="17" t="str">
        <f t="shared" si="18"/>
        <v/>
      </c>
      <c r="L165" s="17" t="str">
        <f t="shared" si="19"/>
        <v/>
      </c>
    </row>
    <row r="166" spans="1:12">
      <c r="A166" s="17">
        <v>157</v>
      </c>
      <c r="B166" s="17">
        <v>4</v>
      </c>
      <c r="C166" s="17">
        <v>19</v>
      </c>
      <c r="D166" s="17" t="s">
        <v>228</v>
      </c>
      <c r="E166" s="17">
        <v>83</v>
      </c>
      <c r="F166" s="17">
        <f t="shared" si="20"/>
        <v>4</v>
      </c>
      <c r="G166" s="19">
        <f t="shared" si="14"/>
        <v>44.976666666666667</v>
      </c>
      <c r="H166" s="19">
        <f t="shared" si="15"/>
        <v>88.250344884840729</v>
      </c>
      <c r="I166" s="19">
        <f t="shared" si="16"/>
        <v>53.157040133779255</v>
      </c>
      <c r="J166" s="19">
        <f t="shared" si="17"/>
        <v>16.270903010033443</v>
      </c>
      <c r="K166" s="17" t="str">
        <f t="shared" si="18"/>
        <v/>
      </c>
      <c r="L166" s="17" t="str">
        <f t="shared" si="19"/>
        <v/>
      </c>
    </row>
    <row r="167" spans="1:12">
      <c r="A167" s="17">
        <v>158</v>
      </c>
      <c r="B167" s="17">
        <v>4</v>
      </c>
      <c r="C167" s="17">
        <v>18</v>
      </c>
      <c r="D167" s="17" t="s">
        <v>229</v>
      </c>
      <c r="E167" s="17">
        <v>72</v>
      </c>
      <c r="F167" s="17">
        <f t="shared" si="20"/>
        <v>11</v>
      </c>
      <c r="G167" s="19">
        <f t="shared" si="14"/>
        <v>44.976666666666667</v>
      </c>
      <c r="H167" s="19">
        <f t="shared" si="15"/>
        <v>88.250344884840729</v>
      </c>
      <c r="I167" s="19">
        <f t="shared" si="16"/>
        <v>53.157040133779255</v>
      </c>
      <c r="J167" s="19">
        <f t="shared" si="17"/>
        <v>16.270903010033443</v>
      </c>
      <c r="K167" s="17" t="str">
        <f t="shared" si="18"/>
        <v/>
      </c>
      <c r="L167" s="17" t="str">
        <f t="shared" si="19"/>
        <v/>
      </c>
    </row>
    <row r="168" spans="1:12">
      <c r="A168" s="17">
        <v>159</v>
      </c>
      <c r="B168" s="17">
        <v>4</v>
      </c>
      <c r="C168" s="17">
        <v>17</v>
      </c>
      <c r="D168" s="17" t="s">
        <v>230</v>
      </c>
      <c r="E168" s="17">
        <v>69</v>
      </c>
      <c r="F168" s="17">
        <f t="shared" si="20"/>
        <v>3</v>
      </c>
      <c r="G168" s="19">
        <f t="shared" si="14"/>
        <v>44.976666666666667</v>
      </c>
      <c r="H168" s="19">
        <f t="shared" si="15"/>
        <v>88.250344884840729</v>
      </c>
      <c r="I168" s="19">
        <f t="shared" si="16"/>
        <v>53.157040133779255</v>
      </c>
      <c r="J168" s="19">
        <f t="shared" si="17"/>
        <v>16.270903010033443</v>
      </c>
      <c r="K168" s="17" t="str">
        <f t="shared" si="18"/>
        <v/>
      </c>
      <c r="L168" s="17" t="str">
        <f t="shared" si="19"/>
        <v/>
      </c>
    </row>
    <row r="169" spans="1:12">
      <c r="A169" s="17">
        <v>160</v>
      </c>
      <c r="B169" s="17">
        <v>4</v>
      </c>
      <c r="C169" s="17">
        <v>16</v>
      </c>
      <c r="D169" s="17" t="s">
        <v>231</v>
      </c>
      <c r="E169" s="17">
        <v>85</v>
      </c>
      <c r="F169" s="17">
        <f t="shared" si="20"/>
        <v>16</v>
      </c>
      <c r="G169" s="19">
        <f t="shared" si="14"/>
        <v>44.976666666666667</v>
      </c>
      <c r="H169" s="19">
        <f t="shared" si="15"/>
        <v>88.250344884840729</v>
      </c>
      <c r="I169" s="19">
        <f t="shared" si="16"/>
        <v>53.157040133779255</v>
      </c>
      <c r="J169" s="19">
        <f t="shared" si="17"/>
        <v>16.270903010033443</v>
      </c>
      <c r="K169" s="17" t="str">
        <f t="shared" si="18"/>
        <v/>
      </c>
      <c r="L169" s="17" t="str">
        <f t="shared" si="19"/>
        <v/>
      </c>
    </row>
    <row r="170" spans="1:12">
      <c r="A170" s="17">
        <v>161</v>
      </c>
      <c r="B170" s="17">
        <v>4</v>
      </c>
      <c r="C170" s="17">
        <v>15</v>
      </c>
      <c r="D170" s="17" t="s">
        <v>232</v>
      </c>
      <c r="E170" s="17">
        <v>200</v>
      </c>
      <c r="F170" s="17">
        <f t="shared" si="20"/>
        <v>115</v>
      </c>
      <c r="G170" s="19">
        <f t="shared" si="14"/>
        <v>44.976666666666667</v>
      </c>
      <c r="H170" s="19">
        <f t="shared" si="15"/>
        <v>88.250344884840729</v>
      </c>
      <c r="I170" s="19">
        <f t="shared" si="16"/>
        <v>53.157040133779255</v>
      </c>
      <c r="J170" s="19">
        <f t="shared" si="17"/>
        <v>16.270903010033443</v>
      </c>
      <c r="K170" s="17" t="str">
        <f t="shared" si="18"/>
        <v>OOC</v>
      </c>
      <c r="L170" s="17" t="str">
        <f t="shared" si="19"/>
        <v/>
      </c>
    </row>
    <row r="171" spans="1:12">
      <c r="A171" s="17">
        <v>162</v>
      </c>
      <c r="B171" s="17">
        <v>4</v>
      </c>
      <c r="C171" s="17">
        <v>14</v>
      </c>
      <c r="D171" s="17" t="s">
        <v>233</v>
      </c>
      <c r="E171" s="17">
        <v>52</v>
      </c>
      <c r="F171" s="17">
        <f t="shared" si="20"/>
        <v>148</v>
      </c>
      <c r="G171" s="19">
        <f t="shared" si="14"/>
        <v>44.976666666666667</v>
      </c>
      <c r="H171" s="19">
        <f t="shared" si="15"/>
        <v>88.250344884840729</v>
      </c>
      <c r="I171" s="19">
        <f t="shared" si="16"/>
        <v>53.157040133779255</v>
      </c>
      <c r="J171" s="19">
        <f t="shared" si="17"/>
        <v>16.270903010033443</v>
      </c>
      <c r="K171" s="17" t="str">
        <f t="shared" si="18"/>
        <v/>
      </c>
      <c r="L171" s="17" t="str">
        <f t="shared" si="19"/>
        <v/>
      </c>
    </row>
    <row r="172" spans="1:12">
      <c r="A172" s="17">
        <v>163</v>
      </c>
      <c r="B172" s="17">
        <v>4</v>
      </c>
      <c r="C172" s="17">
        <v>13</v>
      </c>
      <c r="D172" s="17" t="s">
        <v>234</v>
      </c>
      <c r="E172" s="17">
        <v>46</v>
      </c>
      <c r="F172" s="17">
        <f t="shared" si="20"/>
        <v>6</v>
      </c>
      <c r="G172" s="19">
        <f t="shared" si="14"/>
        <v>44.976666666666667</v>
      </c>
      <c r="H172" s="19">
        <f t="shared" si="15"/>
        <v>88.250344884840729</v>
      </c>
      <c r="I172" s="19">
        <f t="shared" si="16"/>
        <v>53.157040133779255</v>
      </c>
      <c r="J172" s="19">
        <f t="shared" si="17"/>
        <v>16.270903010033443</v>
      </c>
      <c r="K172" s="17" t="str">
        <f t="shared" si="18"/>
        <v/>
      </c>
      <c r="L172" s="17" t="str">
        <f t="shared" si="19"/>
        <v/>
      </c>
    </row>
    <row r="173" spans="1:12">
      <c r="A173" s="17">
        <v>164</v>
      </c>
      <c r="B173" s="17">
        <v>4</v>
      </c>
      <c r="C173" s="17">
        <v>12</v>
      </c>
      <c r="D173" s="17" t="s">
        <v>235</v>
      </c>
      <c r="E173" s="17">
        <v>93</v>
      </c>
      <c r="F173" s="17">
        <f t="shared" si="20"/>
        <v>47</v>
      </c>
      <c r="G173" s="19">
        <f t="shared" si="14"/>
        <v>44.976666666666667</v>
      </c>
      <c r="H173" s="19">
        <f t="shared" si="15"/>
        <v>88.250344884840729</v>
      </c>
      <c r="I173" s="19">
        <f t="shared" si="16"/>
        <v>53.157040133779255</v>
      </c>
      <c r="J173" s="19">
        <f t="shared" si="17"/>
        <v>16.270903010033443</v>
      </c>
      <c r="K173" s="17" t="str">
        <f t="shared" si="18"/>
        <v>OOC</v>
      </c>
      <c r="L173" s="17" t="str">
        <f t="shared" si="19"/>
        <v/>
      </c>
    </row>
    <row r="174" spans="1:12">
      <c r="A174" s="17">
        <v>165</v>
      </c>
      <c r="B174" s="17">
        <v>4</v>
      </c>
      <c r="C174" s="17">
        <v>11</v>
      </c>
      <c r="D174" s="17" t="s">
        <v>236</v>
      </c>
      <c r="E174" s="17">
        <v>72</v>
      </c>
      <c r="F174" s="17">
        <f t="shared" si="20"/>
        <v>21</v>
      </c>
      <c r="G174" s="19">
        <f t="shared" si="14"/>
        <v>44.976666666666667</v>
      </c>
      <c r="H174" s="19">
        <f t="shared" si="15"/>
        <v>88.250344884840729</v>
      </c>
      <c r="I174" s="19">
        <f t="shared" si="16"/>
        <v>53.157040133779255</v>
      </c>
      <c r="J174" s="19">
        <f t="shared" si="17"/>
        <v>16.270903010033443</v>
      </c>
      <c r="K174" s="17" t="str">
        <f t="shared" si="18"/>
        <v/>
      </c>
      <c r="L174" s="17" t="str">
        <f t="shared" si="19"/>
        <v/>
      </c>
    </row>
    <row r="175" spans="1:12">
      <c r="A175" s="17">
        <v>166</v>
      </c>
      <c r="B175" s="17">
        <v>4</v>
      </c>
      <c r="C175" s="17">
        <v>10</v>
      </c>
      <c r="D175" s="17" t="s">
        <v>237</v>
      </c>
      <c r="E175" s="17">
        <v>36</v>
      </c>
      <c r="F175" s="17">
        <f t="shared" si="20"/>
        <v>36</v>
      </c>
      <c r="G175" s="19">
        <f t="shared" si="14"/>
        <v>44.976666666666667</v>
      </c>
      <c r="H175" s="19">
        <f t="shared" si="15"/>
        <v>88.250344884840729</v>
      </c>
      <c r="I175" s="19">
        <f t="shared" si="16"/>
        <v>53.157040133779255</v>
      </c>
      <c r="J175" s="19">
        <f t="shared" si="17"/>
        <v>16.270903010033443</v>
      </c>
      <c r="K175" s="17" t="str">
        <f t="shared" si="18"/>
        <v/>
      </c>
      <c r="L175" s="17" t="str">
        <f t="shared" si="19"/>
        <v/>
      </c>
    </row>
    <row r="176" spans="1:12">
      <c r="A176" s="17">
        <v>167</v>
      </c>
      <c r="B176" s="17">
        <v>4</v>
      </c>
      <c r="C176" s="17">
        <v>9</v>
      </c>
      <c r="D176" s="17" t="s">
        <v>238</v>
      </c>
      <c r="E176" s="17">
        <v>32</v>
      </c>
      <c r="F176" s="17">
        <f t="shared" si="20"/>
        <v>4</v>
      </c>
      <c r="G176" s="19">
        <f t="shared" si="14"/>
        <v>44.976666666666667</v>
      </c>
      <c r="H176" s="19">
        <f t="shared" si="15"/>
        <v>88.250344884840729</v>
      </c>
      <c r="I176" s="19">
        <f t="shared" si="16"/>
        <v>53.157040133779255</v>
      </c>
      <c r="J176" s="19">
        <f t="shared" si="17"/>
        <v>16.270903010033443</v>
      </c>
      <c r="K176" s="17" t="str">
        <f t="shared" si="18"/>
        <v/>
      </c>
      <c r="L176" s="17" t="str">
        <f t="shared" si="19"/>
        <v/>
      </c>
    </row>
    <row r="177" spans="1:12">
      <c r="A177" s="17">
        <v>168</v>
      </c>
      <c r="B177" s="17">
        <v>4</v>
      </c>
      <c r="C177" s="17">
        <v>8</v>
      </c>
      <c r="D177" s="17" t="s">
        <v>239</v>
      </c>
      <c r="E177" s="17">
        <v>26</v>
      </c>
      <c r="F177" s="17">
        <f t="shared" si="20"/>
        <v>6</v>
      </c>
      <c r="G177" s="19">
        <f t="shared" si="14"/>
        <v>44.976666666666667</v>
      </c>
      <c r="H177" s="19">
        <f t="shared" si="15"/>
        <v>88.250344884840729</v>
      </c>
      <c r="I177" s="19">
        <f t="shared" si="16"/>
        <v>53.157040133779255</v>
      </c>
      <c r="J177" s="19">
        <f t="shared" si="17"/>
        <v>16.270903010033443</v>
      </c>
      <c r="K177" s="17" t="str">
        <f t="shared" si="18"/>
        <v/>
      </c>
      <c r="L177" s="17" t="str">
        <f t="shared" si="19"/>
        <v/>
      </c>
    </row>
    <row r="178" spans="1:12">
      <c r="A178" s="17">
        <v>169</v>
      </c>
      <c r="B178" s="17">
        <v>4</v>
      </c>
      <c r="C178" s="17">
        <v>7</v>
      </c>
      <c r="D178" s="17" t="s">
        <v>240</v>
      </c>
      <c r="E178" s="17">
        <v>30</v>
      </c>
      <c r="F178" s="17">
        <f t="shared" si="20"/>
        <v>4</v>
      </c>
      <c r="G178" s="19">
        <f t="shared" si="14"/>
        <v>44.976666666666667</v>
      </c>
      <c r="H178" s="19">
        <f t="shared" si="15"/>
        <v>88.250344884840729</v>
      </c>
      <c r="I178" s="19">
        <f t="shared" si="16"/>
        <v>53.157040133779255</v>
      </c>
      <c r="J178" s="19">
        <f t="shared" si="17"/>
        <v>16.270903010033443</v>
      </c>
      <c r="K178" s="17" t="str">
        <f t="shared" si="18"/>
        <v/>
      </c>
      <c r="L178" s="17" t="str">
        <f t="shared" si="19"/>
        <v/>
      </c>
    </row>
    <row r="179" spans="1:12">
      <c r="A179" s="17">
        <v>170</v>
      </c>
      <c r="B179" s="17">
        <v>4</v>
      </c>
      <c r="C179" s="17">
        <v>6</v>
      </c>
      <c r="D179" s="17" t="s">
        <v>241</v>
      </c>
      <c r="E179" s="17">
        <v>27</v>
      </c>
      <c r="F179" s="17">
        <f t="shared" si="20"/>
        <v>3</v>
      </c>
      <c r="G179" s="19">
        <f t="shared" si="14"/>
        <v>44.976666666666667</v>
      </c>
      <c r="H179" s="19">
        <f t="shared" si="15"/>
        <v>88.250344884840729</v>
      </c>
      <c r="I179" s="19">
        <f t="shared" si="16"/>
        <v>53.157040133779255</v>
      </c>
      <c r="J179" s="19">
        <f t="shared" si="17"/>
        <v>16.270903010033443</v>
      </c>
      <c r="K179" s="17" t="str">
        <f t="shared" si="18"/>
        <v/>
      </c>
      <c r="L179" s="17" t="str">
        <f t="shared" si="19"/>
        <v/>
      </c>
    </row>
    <row r="180" spans="1:12">
      <c r="A180" s="17">
        <v>171</v>
      </c>
      <c r="B180" s="17">
        <v>4</v>
      </c>
      <c r="C180" s="17">
        <v>5</v>
      </c>
      <c r="D180" s="17" t="s">
        <v>242</v>
      </c>
      <c r="E180" s="17">
        <v>31</v>
      </c>
      <c r="F180" s="17">
        <f t="shared" si="20"/>
        <v>4</v>
      </c>
      <c r="G180" s="19">
        <f t="shared" si="14"/>
        <v>44.976666666666667</v>
      </c>
      <c r="H180" s="19">
        <f t="shared" si="15"/>
        <v>88.250344884840729</v>
      </c>
      <c r="I180" s="19">
        <f t="shared" si="16"/>
        <v>53.157040133779255</v>
      </c>
      <c r="J180" s="19">
        <f t="shared" si="17"/>
        <v>16.270903010033443</v>
      </c>
      <c r="K180" s="17" t="str">
        <f t="shared" si="18"/>
        <v/>
      </c>
      <c r="L180" s="17" t="str">
        <f t="shared" si="19"/>
        <v/>
      </c>
    </row>
    <row r="181" spans="1:12">
      <c r="A181" s="17">
        <v>172</v>
      </c>
      <c r="B181" s="17">
        <v>4</v>
      </c>
      <c r="C181" s="17">
        <v>4</v>
      </c>
      <c r="D181" s="17" t="s">
        <v>243</v>
      </c>
      <c r="E181" s="17">
        <v>50</v>
      </c>
      <c r="F181" s="17">
        <f t="shared" si="20"/>
        <v>19</v>
      </c>
      <c r="G181" s="19">
        <f t="shared" si="14"/>
        <v>44.976666666666667</v>
      </c>
      <c r="H181" s="19">
        <f t="shared" si="15"/>
        <v>88.250344884840729</v>
      </c>
      <c r="I181" s="19">
        <f t="shared" si="16"/>
        <v>53.157040133779255</v>
      </c>
      <c r="J181" s="19">
        <f t="shared" si="17"/>
        <v>16.270903010033443</v>
      </c>
      <c r="K181" s="17" t="str">
        <f t="shared" si="18"/>
        <v/>
      </c>
      <c r="L181" s="17" t="str">
        <f t="shared" si="19"/>
        <v/>
      </c>
    </row>
    <row r="182" spans="1:12">
      <c r="A182" s="17">
        <v>173</v>
      </c>
      <c r="B182" s="17">
        <v>4</v>
      </c>
      <c r="C182" s="17">
        <v>3</v>
      </c>
      <c r="D182" s="17" t="s">
        <v>244</v>
      </c>
      <c r="E182" s="17">
        <v>26</v>
      </c>
      <c r="F182" s="17">
        <f t="shared" si="20"/>
        <v>24</v>
      </c>
      <c r="G182" s="19">
        <f t="shared" si="14"/>
        <v>44.976666666666667</v>
      </c>
      <c r="H182" s="19">
        <f t="shared" si="15"/>
        <v>88.250344884840729</v>
      </c>
      <c r="I182" s="19">
        <f t="shared" si="16"/>
        <v>53.157040133779255</v>
      </c>
      <c r="J182" s="19">
        <f t="shared" si="17"/>
        <v>16.270903010033443</v>
      </c>
      <c r="K182" s="17" t="str">
        <f t="shared" si="18"/>
        <v/>
      </c>
      <c r="L182" s="17" t="str">
        <f t="shared" si="19"/>
        <v/>
      </c>
    </row>
    <row r="183" spans="1:12">
      <c r="A183" s="17">
        <v>174</v>
      </c>
      <c r="B183" s="17">
        <v>4</v>
      </c>
      <c r="C183" s="17">
        <v>2</v>
      </c>
      <c r="D183" s="17" t="s">
        <v>245</v>
      </c>
      <c r="E183" s="17">
        <v>36</v>
      </c>
      <c r="F183" s="17">
        <f t="shared" si="20"/>
        <v>10</v>
      </c>
      <c r="G183" s="19">
        <f t="shared" si="14"/>
        <v>44.976666666666667</v>
      </c>
      <c r="H183" s="19">
        <f t="shared" si="15"/>
        <v>88.250344884840729</v>
      </c>
      <c r="I183" s="19">
        <f t="shared" si="16"/>
        <v>53.157040133779255</v>
      </c>
      <c r="J183" s="19">
        <f t="shared" si="17"/>
        <v>16.270903010033443</v>
      </c>
      <c r="K183" s="17" t="str">
        <f t="shared" si="18"/>
        <v/>
      </c>
      <c r="L183" s="17" t="str">
        <f t="shared" si="19"/>
        <v/>
      </c>
    </row>
    <row r="184" spans="1:12">
      <c r="A184" s="17">
        <v>175</v>
      </c>
      <c r="B184" s="17">
        <v>4</v>
      </c>
      <c r="C184" s="17">
        <v>1</v>
      </c>
      <c r="D184" s="17" t="s">
        <v>246</v>
      </c>
      <c r="E184" s="17">
        <v>36</v>
      </c>
      <c r="F184" s="17">
        <f t="shared" si="20"/>
        <v>0</v>
      </c>
      <c r="G184" s="19">
        <f t="shared" si="14"/>
        <v>44.976666666666667</v>
      </c>
      <c r="H184" s="19">
        <f t="shared" si="15"/>
        <v>88.250344884840729</v>
      </c>
      <c r="I184" s="19">
        <f t="shared" si="16"/>
        <v>53.157040133779255</v>
      </c>
      <c r="J184" s="19">
        <f t="shared" si="17"/>
        <v>16.270903010033443</v>
      </c>
      <c r="K184" s="17" t="str">
        <f t="shared" si="18"/>
        <v/>
      </c>
      <c r="L184" s="17" t="str">
        <f t="shared" si="19"/>
        <v/>
      </c>
    </row>
    <row r="185" spans="1:12">
      <c r="A185" s="17">
        <v>176</v>
      </c>
      <c r="B185" s="17">
        <v>4</v>
      </c>
      <c r="C185" s="17">
        <v>25</v>
      </c>
      <c r="D185" s="17" t="s">
        <v>247</v>
      </c>
      <c r="E185" s="17">
        <v>15</v>
      </c>
      <c r="F185" s="17">
        <f t="shared" si="20"/>
        <v>21</v>
      </c>
      <c r="G185" s="19">
        <f t="shared" si="14"/>
        <v>44.976666666666667</v>
      </c>
      <c r="H185" s="19">
        <f t="shared" si="15"/>
        <v>88.250344884840729</v>
      </c>
      <c r="I185" s="19">
        <f t="shared" si="16"/>
        <v>53.157040133779255</v>
      </c>
      <c r="J185" s="19">
        <f t="shared" si="17"/>
        <v>16.270903010033443</v>
      </c>
      <c r="K185" s="17" t="str">
        <f t="shared" si="18"/>
        <v/>
      </c>
      <c r="L185" s="17" t="str">
        <f t="shared" si="19"/>
        <v/>
      </c>
    </row>
    <row r="186" spans="1:12">
      <c r="A186" s="17">
        <v>177</v>
      </c>
      <c r="B186" s="17">
        <v>4</v>
      </c>
      <c r="C186" s="17">
        <v>24</v>
      </c>
      <c r="D186" s="17" t="s">
        <v>248</v>
      </c>
      <c r="E186" s="17">
        <v>15</v>
      </c>
      <c r="F186" s="17">
        <f t="shared" si="20"/>
        <v>0</v>
      </c>
      <c r="G186" s="19">
        <f t="shared" si="14"/>
        <v>44.976666666666667</v>
      </c>
      <c r="H186" s="19">
        <f t="shared" si="15"/>
        <v>88.250344884840729</v>
      </c>
      <c r="I186" s="19">
        <f t="shared" si="16"/>
        <v>53.157040133779255</v>
      </c>
      <c r="J186" s="19">
        <f t="shared" si="17"/>
        <v>16.270903010033443</v>
      </c>
      <c r="K186" s="17" t="str">
        <f t="shared" si="18"/>
        <v/>
      </c>
      <c r="L186" s="17" t="str">
        <f t="shared" si="19"/>
        <v/>
      </c>
    </row>
    <row r="187" spans="1:12">
      <c r="A187" s="17">
        <v>178</v>
      </c>
      <c r="B187" s="17">
        <v>4</v>
      </c>
      <c r="C187" s="17">
        <v>23</v>
      </c>
      <c r="D187" s="17" t="s">
        <v>249</v>
      </c>
      <c r="E187" s="17">
        <v>53</v>
      </c>
      <c r="F187" s="17">
        <f t="shared" si="20"/>
        <v>38</v>
      </c>
      <c r="G187" s="19">
        <f t="shared" si="14"/>
        <v>44.976666666666667</v>
      </c>
      <c r="H187" s="19">
        <f t="shared" si="15"/>
        <v>88.250344884840729</v>
      </c>
      <c r="I187" s="19">
        <f t="shared" si="16"/>
        <v>53.157040133779255</v>
      </c>
      <c r="J187" s="19">
        <f t="shared" si="17"/>
        <v>16.270903010033443</v>
      </c>
      <c r="K187" s="17" t="str">
        <f t="shared" si="18"/>
        <v/>
      </c>
      <c r="L187" s="17" t="str">
        <f t="shared" si="19"/>
        <v/>
      </c>
    </row>
    <row r="188" spans="1:12">
      <c r="A188" s="17">
        <v>179</v>
      </c>
      <c r="B188" s="17">
        <v>4</v>
      </c>
      <c r="C188" s="17">
        <v>22</v>
      </c>
      <c r="D188" s="17" t="s">
        <v>250</v>
      </c>
      <c r="E188" s="17">
        <v>40</v>
      </c>
      <c r="F188" s="17">
        <f t="shared" si="20"/>
        <v>13</v>
      </c>
      <c r="G188" s="19">
        <f t="shared" si="14"/>
        <v>44.976666666666667</v>
      </c>
      <c r="H188" s="19">
        <f t="shared" si="15"/>
        <v>88.250344884840729</v>
      </c>
      <c r="I188" s="19">
        <f t="shared" si="16"/>
        <v>53.157040133779255</v>
      </c>
      <c r="J188" s="19">
        <f t="shared" si="17"/>
        <v>16.270903010033443</v>
      </c>
      <c r="K188" s="17" t="str">
        <f t="shared" si="18"/>
        <v/>
      </c>
      <c r="L188" s="17" t="str">
        <f t="shared" si="19"/>
        <v/>
      </c>
    </row>
    <row r="189" spans="1:12">
      <c r="A189" s="17">
        <v>180</v>
      </c>
      <c r="B189" s="17">
        <v>4</v>
      </c>
      <c r="C189" s="17">
        <v>21</v>
      </c>
      <c r="D189" s="17" t="s">
        <v>251</v>
      </c>
      <c r="E189" s="17">
        <v>41</v>
      </c>
      <c r="F189" s="17">
        <f t="shared" si="20"/>
        <v>1</v>
      </c>
      <c r="G189" s="19">
        <f t="shared" si="14"/>
        <v>44.976666666666667</v>
      </c>
      <c r="H189" s="19">
        <f t="shared" si="15"/>
        <v>88.250344884840729</v>
      </c>
      <c r="I189" s="19">
        <f t="shared" si="16"/>
        <v>53.157040133779255</v>
      </c>
      <c r="J189" s="19">
        <f t="shared" si="17"/>
        <v>16.270903010033443</v>
      </c>
      <c r="K189" s="17" t="str">
        <f t="shared" si="18"/>
        <v/>
      </c>
      <c r="L189" s="17" t="str">
        <f t="shared" si="19"/>
        <v/>
      </c>
    </row>
    <row r="190" spans="1:12">
      <c r="A190" s="17">
        <v>181</v>
      </c>
      <c r="B190" s="17">
        <v>4</v>
      </c>
      <c r="C190" s="17">
        <v>20</v>
      </c>
      <c r="D190" s="17" t="s">
        <v>252</v>
      </c>
      <c r="E190" s="17">
        <v>37</v>
      </c>
      <c r="F190" s="17">
        <f t="shared" si="20"/>
        <v>4</v>
      </c>
      <c r="G190" s="19">
        <f t="shared" si="14"/>
        <v>44.976666666666667</v>
      </c>
      <c r="H190" s="19">
        <f t="shared" si="15"/>
        <v>88.250344884840729</v>
      </c>
      <c r="I190" s="19">
        <f t="shared" si="16"/>
        <v>53.157040133779255</v>
      </c>
      <c r="J190" s="19">
        <f t="shared" si="17"/>
        <v>16.270903010033443</v>
      </c>
      <c r="K190" s="17" t="str">
        <f t="shared" si="18"/>
        <v/>
      </c>
      <c r="L190" s="17" t="str">
        <f t="shared" si="19"/>
        <v/>
      </c>
    </row>
    <row r="191" spans="1:12">
      <c r="A191" s="17">
        <v>182</v>
      </c>
      <c r="B191" s="17">
        <v>4</v>
      </c>
      <c r="C191" s="17">
        <v>19</v>
      </c>
      <c r="D191" s="17" t="s">
        <v>253</v>
      </c>
      <c r="E191" s="17">
        <v>37</v>
      </c>
      <c r="F191" s="17">
        <f t="shared" si="20"/>
        <v>0</v>
      </c>
      <c r="G191" s="19">
        <f t="shared" si="14"/>
        <v>44.976666666666667</v>
      </c>
      <c r="H191" s="19">
        <f t="shared" si="15"/>
        <v>88.250344884840729</v>
      </c>
      <c r="I191" s="19">
        <f t="shared" si="16"/>
        <v>53.157040133779255</v>
      </c>
      <c r="J191" s="19">
        <f t="shared" si="17"/>
        <v>16.270903010033443</v>
      </c>
      <c r="K191" s="17" t="str">
        <f t="shared" si="18"/>
        <v/>
      </c>
      <c r="L191" s="17" t="str">
        <f t="shared" si="19"/>
        <v/>
      </c>
    </row>
    <row r="192" spans="1:12">
      <c r="A192" s="17">
        <v>183</v>
      </c>
      <c r="B192" s="17">
        <v>4</v>
      </c>
      <c r="C192" s="17">
        <v>18</v>
      </c>
      <c r="D192" s="17" t="s">
        <v>254</v>
      </c>
      <c r="E192" s="17">
        <v>27</v>
      </c>
      <c r="F192" s="17">
        <f t="shared" si="20"/>
        <v>10</v>
      </c>
      <c r="G192" s="19">
        <f t="shared" si="14"/>
        <v>44.976666666666667</v>
      </c>
      <c r="H192" s="19">
        <f t="shared" si="15"/>
        <v>88.250344884840729</v>
      </c>
      <c r="I192" s="19">
        <f t="shared" si="16"/>
        <v>53.157040133779255</v>
      </c>
      <c r="J192" s="19">
        <f t="shared" si="17"/>
        <v>16.270903010033443</v>
      </c>
      <c r="K192" s="17" t="str">
        <f t="shared" si="18"/>
        <v/>
      </c>
      <c r="L192" s="17" t="str">
        <f t="shared" si="19"/>
        <v/>
      </c>
    </row>
    <row r="193" spans="1:12">
      <c r="A193" s="17">
        <v>184</v>
      </c>
      <c r="B193" s="17">
        <v>4</v>
      </c>
      <c r="C193" s="17">
        <v>17</v>
      </c>
      <c r="D193" s="17" t="s">
        <v>255</v>
      </c>
      <c r="E193" s="17">
        <v>49</v>
      </c>
      <c r="F193" s="17">
        <f t="shared" si="20"/>
        <v>22</v>
      </c>
      <c r="G193" s="19">
        <f t="shared" si="14"/>
        <v>44.976666666666667</v>
      </c>
      <c r="H193" s="19">
        <f t="shared" si="15"/>
        <v>88.250344884840729</v>
      </c>
      <c r="I193" s="19">
        <f t="shared" si="16"/>
        <v>53.157040133779255</v>
      </c>
      <c r="J193" s="19">
        <f t="shared" si="17"/>
        <v>16.270903010033443</v>
      </c>
      <c r="K193" s="17" t="str">
        <f t="shared" si="18"/>
        <v/>
      </c>
      <c r="L193" s="17" t="str">
        <f t="shared" si="19"/>
        <v/>
      </c>
    </row>
    <row r="194" spans="1:12">
      <c r="A194" s="17">
        <v>185</v>
      </c>
      <c r="B194" s="17">
        <v>4</v>
      </c>
      <c r="C194" s="17">
        <v>16</v>
      </c>
      <c r="D194" s="17" t="s">
        <v>256</v>
      </c>
      <c r="E194" s="17">
        <v>40</v>
      </c>
      <c r="F194" s="17">
        <f t="shared" si="20"/>
        <v>9</v>
      </c>
      <c r="G194" s="19">
        <f t="shared" si="14"/>
        <v>44.976666666666667</v>
      </c>
      <c r="H194" s="19">
        <f t="shared" si="15"/>
        <v>88.250344884840729</v>
      </c>
      <c r="I194" s="19">
        <f t="shared" si="16"/>
        <v>53.157040133779255</v>
      </c>
      <c r="J194" s="19">
        <f t="shared" si="17"/>
        <v>16.270903010033443</v>
      </c>
      <c r="K194" s="17" t="str">
        <f t="shared" si="18"/>
        <v/>
      </c>
      <c r="L194" s="17" t="str">
        <f t="shared" si="19"/>
        <v/>
      </c>
    </row>
    <row r="195" spans="1:12">
      <c r="A195" s="17">
        <v>186</v>
      </c>
      <c r="B195" s="17">
        <v>4</v>
      </c>
      <c r="C195" s="17">
        <v>15</v>
      </c>
      <c r="D195" s="17" t="s">
        <v>257</v>
      </c>
      <c r="E195" s="17">
        <v>40</v>
      </c>
      <c r="F195" s="17">
        <f t="shared" si="20"/>
        <v>0</v>
      </c>
      <c r="G195" s="19">
        <f t="shared" si="14"/>
        <v>44.976666666666667</v>
      </c>
      <c r="H195" s="19">
        <f t="shared" si="15"/>
        <v>88.250344884840729</v>
      </c>
      <c r="I195" s="19">
        <f t="shared" si="16"/>
        <v>53.157040133779255</v>
      </c>
      <c r="J195" s="19">
        <f t="shared" si="17"/>
        <v>16.270903010033443</v>
      </c>
      <c r="K195" s="17" t="str">
        <f t="shared" si="18"/>
        <v/>
      </c>
      <c r="L195" s="17" t="str">
        <f t="shared" si="19"/>
        <v/>
      </c>
    </row>
    <row r="196" spans="1:12">
      <c r="A196" s="17">
        <v>187</v>
      </c>
      <c r="B196" s="17">
        <v>4</v>
      </c>
      <c r="C196" s="17">
        <v>14</v>
      </c>
      <c r="D196" s="17" t="s">
        <v>258</v>
      </c>
      <c r="E196" s="17">
        <v>42</v>
      </c>
      <c r="F196" s="17">
        <f t="shared" si="20"/>
        <v>2</v>
      </c>
      <c r="G196" s="19">
        <f t="shared" si="14"/>
        <v>44.976666666666667</v>
      </c>
      <c r="H196" s="19">
        <f t="shared" si="15"/>
        <v>88.250344884840729</v>
      </c>
      <c r="I196" s="19">
        <f t="shared" si="16"/>
        <v>53.157040133779255</v>
      </c>
      <c r="J196" s="19">
        <f t="shared" si="17"/>
        <v>16.270903010033443</v>
      </c>
      <c r="K196" s="17" t="str">
        <f t="shared" si="18"/>
        <v/>
      </c>
      <c r="L196" s="17" t="str">
        <f t="shared" si="19"/>
        <v/>
      </c>
    </row>
    <row r="197" spans="1:12">
      <c r="A197" s="17">
        <v>188</v>
      </c>
      <c r="B197" s="17">
        <v>4</v>
      </c>
      <c r="C197" s="17">
        <v>13</v>
      </c>
      <c r="D197" s="17" t="s">
        <v>259</v>
      </c>
      <c r="E197" s="17">
        <v>46</v>
      </c>
      <c r="F197" s="17">
        <f t="shared" si="20"/>
        <v>4</v>
      </c>
      <c r="G197" s="19">
        <f t="shared" si="14"/>
        <v>44.976666666666667</v>
      </c>
      <c r="H197" s="19">
        <f t="shared" si="15"/>
        <v>88.250344884840729</v>
      </c>
      <c r="I197" s="19">
        <f t="shared" si="16"/>
        <v>53.157040133779255</v>
      </c>
      <c r="J197" s="19">
        <f t="shared" si="17"/>
        <v>16.270903010033443</v>
      </c>
      <c r="K197" s="17" t="str">
        <f t="shared" si="18"/>
        <v/>
      </c>
      <c r="L197" s="17" t="str">
        <f t="shared" si="19"/>
        <v/>
      </c>
    </row>
    <row r="198" spans="1:12">
      <c r="A198" s="17">
        <v>189</v>
      </c>
      <c r="B198" s="17">
        <v>4</v>
      </c>
      <c r="C198" s="17">
        <v>12</v>
      </c>
      <c r="D198" s="17" t="s">
        <v>260</v>
      </c>
      <c r="E198" s="17">
        <v>48</v>
      </c>
      <c r="F198" s="17">
        <f t="shared" si="20"/>
        <v>2</v>
      </c>
      <c r="G198" s="19">
        <f t="shared" si="14"/>
        <v>44.976666666666667</v>
      </c>
      <c r="H198" s="19">
        <f t="shared" si="15"/>
        <v>88.250344884840729</v>
      </c>
      <c r="I198" s="19">
        <f t="shared" si="16"/>
        <v>53.157040133779255</v>
      </c>
      <c r="J198" s="19">
        <f t="shared" si="17"/>
        <v>16.270903010033443</v>
      </c>
      <c r="K198" s="17" t="str">
        <f t="shared" si="18"/>
        <v/>
      </c>
      <c r="L198" s="17" t="str">
        <f t="shared" si="19"/>
        <v/>
      </c>
    </row>
    <row r="199" spans="1:12">
      <c r="A199" s="17">
        <v>190</v>
      </c>
      <c r="B199" s="17">
        <v>4</v>
      </c>
      <c r="C199" s="17">
        <v>11</v>
      </c>
      <c r="D199" s="17" t="s">
        <v>261</v>
      </c>
      <c r="E199" s="17">
        <v>54</v>
      </c>
      <c r="F199" s="17">
        <f t="shared" si="20"/>
        <v>6</v>
      </c>
      <c r="G199" s="19">
        <f t="shared" si="14"/>
        <v>44.976666666666667</v>
      </c>
      <c r="H199" s="19">
        <f t="shared" si="15"/>
        <v>88.250344884840729</v>
      </c>
      <c r="I199" s="19">
        <f t="shared" si="16"/>
        <v>53.157040133779255</v>
      </c>
      <c r="J199" s="19">
        <f t="shared" si="17"/>
        <v>16.270903010033443</v>
      </c>
      <c r="K199" s="17" t="str">
        <f t="shared" si="18"/>
        <v/>
      </c>
      <c r="L199" s="17" t="str">
        <f t="shared" si="19"/>
        <v/>
      </c>
    </row>
    <row r="200" spans="1:12">
      <c r="A200" s="17">
        <v>191</v>
      </c>
      <c r="B200" s="17">
        <v>4</v>
      </c>
      <c r="C200" s="17">
        <v>10</v>
      </c>
      <c r="D200" s="17" t="s">
        <v>262</v>
      </c>
      <c r="E200" s="17">
        <v>52</v>
      </c>
      <c r="F200" s="17">
        <f t="shared" si="20"/>
        <v>2</v>
      </c>
      <c r="G200" s="19">
        <f t="shared" si="14"/>
        <v>44.976666666666667</v>
      </c>
      <c r="H200" s="19">
        <f t="shared" si="15"/>
        <v>88.250344884840729</v>
      </c>
      <c r="I200" s="19">
        <f t="shared" si="16"/>
        <v>53.157040133779255</v>
      </c>
      <c r="J200" s="19">
        <f t="shared" si="17"/>
        <v>16.270903010033443</v>
      </c>
      <c r="K200" s="17" t="str">
        <f t="shared" si="18"/>
        <v/>
      </c>
      <c r="L200" s="17" t="str">
        <f t="shared" si="19"/>
        <v/>
      </c>
    </row>
    <row r="201" spans="1:12">
      <c r="A201" s="17">
        <v>192</v>
      </c>
      <c r="B201" s="17">
        <v>4</v>
      </c>
      <c r="C201" s="17">
        <v>9</v>
      </c>
      <c r="D201" s="17" t="s">
        <v>263</v>
      </c>
      <c r="E201" s="17">
        <v>45</v>
      </c>
      <c r="F201" s="17">
        <f t="shared" si="20"/>
        <v>7</v>
      </c>
      <c r="G201" s="19">
        <f t="shared" si="14"/>
        <v>44.976666666666667</v>
      </c>
      <c r="H201" s="19">
        <f t="shared" si="15"/>
        <v>88.250344884840729</v>
      </c>
      <c r="I201" s="19">
        <f t="shared" si="16"/>
        <v>53.157040133779255</v>
      </c>
      <c r="J201" s="19">
        <f t="shared" si="17"/>
        <v>16.270903010033443</v>
      </c>
      <c r="K201" s="17" t="str">
        <f t="shared" si="18"/>
        <v/>
      </c>
      <c r="L201" s="17" t="str">
        <f t="shared" si="19"/>
        <v/>
      </c>
    </row>
    <row r="202" spans="1:12">
      <c r="A202" s="17">
        <v>193</v>
      </c>
      <c r="B202" s="17">
        <v>4</v>
      </c>
      <c r="C202" s="17">
        <v>8</v>
      </c>
      <c r="D202" s="17" t="s">
        <v>264</v>
      </c>
      <c r="E202" s="17">
        <v>43</v>
      </c>
      <c r="F202" s="17">
        <f t="shared" si="20"/>
        <v>2</v>
      </c>
      <c r="G202" s="19">
        <f t="shared" ref="G202:G265" si="21">$Q$3</f>
        <v>44.976666666666667</v>
      </c>
      <c r="H202" s="19">
        <f t="shared" ref="H202:H265" si="22">$Q$6</f>
        <v>88.250344884840729</v>
      </c>
      <c r="I202" s="19">
        <f t="shared" ref="I202:I265" si="23">$Q$7</f>
        <v>53.157040133779255</v>
      </c>
      <c r="J202" s="19">
        <f t="shared" ref="J202:J265" si="24">$Q$4</f>
        <v>16.270903010033443</v>
      </c>
      <c r="K202" s="17" t="str">
        <f t="shared" ref="K202:K265" si="25">IF(E202&gt;$Q$6,"OOC","" )</f>
        <v/>
      </c>
      <c r="L202" s="17" t="str">
        <f t="shared" ref="L202:L265" si="26">IF(E202&gt;$B$3,"OOS","" )</f>
        <v/>
      </c>
    </row>
    <row r="203" spans="1:12">
      <c r="A203" s="17">
        <v>194</v>
      </c>
      <c r="B203" s="17">
        <v>4</v>
      </c>
      <c r="C203" s="17">
        <v>7</v>
      </c>
      <c r="D203" s="17" t="s">
        <v>265</v>
      </c>
      <c r="E203" s="17">
        <v>72</v>
      </c>
      <c r="F203" s="17">
        <f t="shared" ref="F203:F266" si="27">ABS(E203-E202)</f>
        <v>29</v>
      </c>
      <c r="G203" s="19">
        <f t="shared" si="21"/>
        <v>44.976666666666667</v>
      </c>
      <c r="H203" s="19">
        <f t="shared" si="22"/>
        <v>88.250344884840729</v>
      </c>
      <c r="I203" s="19">
        <f t="shared" si="23"/>
        <v>53.157040133779255</v>
      </c>
      <c r="J203" s="19">
        <f t="shared" si="24"/>
        <v>16.270903010033443</v>
      </c>
      <c r="K203" s="17" t="str">
        <f t="shared" si="25"/>
        <v/>
      </c>
      <c r="L203" s="17" t="str">
        <f t="shared" si="26"/>
        <v/>
      </c>
    </row>
    <row r="204" spans="1:12">
      <c r="A204" s="17">
        <v>195</v>
      </c>
      <c r="B204" s="17">
        <v>4</v>
      </c>
      <c r="C204" s="17">
        <v>6</v>
      </c>
      <c r="D204" s="17" t="s">
        <v>266</v>
      </c>
      <c r="E204" s="17">
        <v>67</v>
      </c>
      <c r="F204" s="17">
        <f t="shared" si="27"/>
        <v>5</v>
      </c>
      <c r="G204" s="19">
        <f t="shared" si="21"/>
        <v>44.976666666666667</v>
      </c>
      <c r="H204" s="19">
        <f t="shared" si="22"/>
        <v>88.250344884840729</v>
      </c>
      <c r="I204" s="19">
        <f t="shared" si="23"/>
        <v>53.157040133779255</v>
      </c>
      <c r="J204" s="19">
        <f t="shared" si="24"/>
        <v>16.270903010033443</v>
      </c>
      <c r="K204" s="17" t="str">
        <f t="shared" si="25"/>
        <v/>
      </c>
      <c r="L204" s="17" t="str">
        <f t="shared" si="26"/>
        <v/>
      </c>
    </row>
    <row r="205" spans="1:12">
      <c r="A205" s="17">
        <v>196</v>
      </c>
      <c r="B205" s="17">
        <v>4</v>
      </c>
      <c r="C205" s="17">
        <v>5</v>
      </c>
      <c r="D205" s="17" t="s">
        <v>267</v>
      </c>
      <c r="E205" s="17">
        <v>70</v>
      </c>
      <c r="F205" s="17">
        <f t="shared" si="27"/>
        <v>3</v>
      </c>
      <c r="G205" s="19">
        <f t="shared" si="21"/>
        <v>44.976666666666667</v>
      </c>
      <c r="H205" s="19">
        <f t="shared" si="22"/>
        <v>88.250344884840729</v>
      </c>
      <c r="I205" s="19">
        <f t="shared" si="23"/>
        <v>53.157040133779255</v>
      </c>
      <c r="J205" s="19">
        <f t="shared" si="24"/>
        <v>16.270903010033443</v>
      </c>
      <c r="K205" s="17" t="str">
        <f t="shared" si="25"/>
        <v/>
      </c>
      <c r="L205" s="17" t="str">
        <f t="shared" si="26"/>
        <v/>
      </c>
    </row>
    <row r="206" spans="1:12">
      <c r="A206" s="17">
        <v>197</v>
      </c>
      <c r="B206" s="17">
        <v>4</v>
      </c>
      <c r="C206" s="17">
        <v>4</v>
      </c>
      <c r="D206" s="17" t="s">
        <v>268</v>
      </c>
      <c r="E206" s="17">
        <v>13</v>
      </c>
      <c r="F206" s="17">
        <f t="shared" si="27"/>
        <v>57</v>
      </c>
      <c r="G206" s="19">
        <f t="shared" si="21"/>
        <v>44.976666666666667</v>
      </c>
      <c r="H206" s="19">
        <f t="shared" si="22"/>
        <v>88.250344884840729</v>
      </c>
      <c r="I206" s="19">
        <f t="shared" si="23"/>
        <v>53.157040133779255</v>
      </c>
      <c r="J206" s="19">
        <f t="shared" si="24"/>
        <v>16.270903010033443</v>
      </c>
      <c r="K206" s="17" t="str">
        <f t="shared" si="25"/>
        <v/>
      </c>
      <c r="L206" s="17" t="str">
        <f t="shared" si="26"/>
        <v/>
      </c>
    </row>
    <row r="207" spans="1:12">
      <c r="A207" s="17">
        <v>198</v>
      </c>
      <c r="B207" s="17">
        <v>4</v>
      </c>
      <c r="C207" s="17">
        <v>3</v>
      </c>
      <c r="D207" s="17" t="s">
        <v>269</v>
      </c>
      <c r="E207" s="17">
        <v>17</v>
      </c>
      <c r="F207" s="17">
        <f t="shared" si="27"/>
        <v>4</v>
      </c>
      <c r="G207" s="19">
        <f t="shared" si="21"/>
        <v>44.976666666666667</v>
      </c>
      <c r="H207" s="19">
        <f t="shared" si="22"/>
        <v>88.250344884840729</v>
      </c>
      <c r="I207" s="19">
        <f t="shared" si="23"/>
        <v>53.157040133779255</v>
      </c>
      <c r="J207" s="19">
        <f t="shared" si="24"/>
        <v>16.270903010033443</v>
      </c>
      <c r="K207" s="17" t="str">
        <f t="shared" si="25"/>
        <v/>
      </c>
      <c r="L207" s="17" t="str">
        <f t="shared" si="26"/>
        <v/>
      </c>
    </row>
    <row r="208" spans="1:12">
      <c r="A208" s="17">
        <v>199</v>
      </c>
      <c r="B208" s="17">
        <v>4</v>
      </c>
      <c r="C208" s="17">
        <v>2</v>
      </c>
      <c r="D208" s="17" t="s">
        <v>270</v>
      </c>
      <c r="E208" s="17">
        <v>25</v>
      </c>
      <c r="F208" s="17">
        <f t="shared" si="27"/>
        <v>8</v>
      </c>
      <c r="G208" s="19">
        <f t="shared" si="21"/>
        <v>44.976666666666667</v>
      </c>
      <c r="H208" s="19">
        <f t="shared" si="22"/>
        <v>88.250344884840729</v>
      </c>
      <c r="I208" s="19">
        <f t="shared" si="23"/>
        <v>53.157040133779255</v>
      </c>
      <c r="J208" s="19">
        <f t="shared" si="24"/>
        <v>16.270903010033443</v>
      </c>
      <c r="K208" s="17" t="str">
        <f t="shared" si="25"/>
        <v/>
      </c>
      <c r="L208" s="17" t="str">
        <f t="shared" si="26"/>
        <v/>
      </c>
    </row>
    <row r="209" spans="1:12">
      <c r="A209" s="17">
        <v>200</v>
      </c>
      <c r="B209" s="17">
        <v>4</v>
      </c>
      <c r="C209" s="17">
        <v>1</v>
      </c>
      <c r="D209" s="17" t="s">
        <v>271</v>
      </c>
      <c r="E209" s="17">
        <v>26</v>
      </c>
      <c r="F209" s="17">
        <f t="shared" si="27"/>
        <v>1</v>
      </c>
      <c r="G209" s="19">
        <f t="shared" si="21"/>
        <v>44.976666666666667</v>
      </c>
      <c r="H209" s="19">
        <f t="shared" si="22"/>
        <v>88.250344884840729</v>
      </c>
      <c r="I209" s="19">
        <f t="shared" si="23"/>
        <v>53.157040133779255</v>
      </c>
      <c r="J209" s="19">
        <f t="shared" si="24"/>
        <v>16.270903010033443</v>
      </c>
      <c r="K209" s="17" t="str">
        <f t="shared" si="25"/>
        <v/>
      </c>
      <c r="L209" s="17" t="str">
        <f t="shared" si="26"/>
        <v/>
      </c>
    </row>
    <row r="210" spans="1:12">
      <c r="A210" s="17">
        <v>201</v>
      </c>
      <c r="B210" s="17">
        <v>5</v>
      </c>
      <c r="C210" s="17">
        <v>25</v>
      </c>
      <c r="D210" s="17" t="s">
        <v>272</v>
      </c>
      <c r="E210" s="17">
        <v>25</v>
      </c>
      <c r="F210" s="17">
        <f t="shared" si="27"/>
        <v>1</v>
      </c>
      <c r="G210" s="19">
        <f t="shared" si="21"/>
        <v>44.976666666666667</v>
      </c>
      <c r="H210" s="19">
        <f t="shared" si="22"/>
        <v>88.250344884840729</v>
      </c>
      <c r="I210" s="19">
        <f t="shared" si="23"/>
        <v>53.157040133779255</v>
      </c>
      <c r="J210" s="19">
        <f t="shared" si="24"/>
        <v>16.270903010033443</v>
      </c>
      <c r="K210" s="17" t="str">
        <f t="shared" si="25"/>
        <v/>
      </c>
      <c r="L210" s="17" t="str">
        <f t="shared" si="26"/>
        <v/>
      </c>
    </row>
    <row r="211" spans="1:12">
      <c r="A211" s="17">
        <v>202</v>
      </c>
      <c r="B211" s="17">
        <v>5</v>
      </c>
      <c r="C211" s="17">
        <v>24</v>
      </c>
      <c r="D211" s="17" t="s">
        <v>273</v>
      </c>
      <c r="E211" s="17">
        <v>78</v>
      </c>
      <c r="F211" s="17">
        <f t="shared" si="27"/>
        <v>53</v>
      </c>
      <c r="G211" s="19">
        <f t="shared" si="21"/>
        <v>44.976666666666667</v>
      </c>
      <c r="H211" s="19">
        <f t="shared" si="22"/>
        <v>88.250344884840729</v>
      </c>
      <c r="I211" s="19">
        <f t="shared" si="23"/>
        <v>53.157040133779255</v>
      </c>
      <c r="J211" s="19">
        <f t="shared" si="24"/>
        <v>16.270903010033443</v>
      </c>
      <c r="K211" s="17" t="str">
        <f t="shared" si="25"/>
        <v/>
      </c>
      <c r="L211" s="17" t="str">
        <f t="shared" si="26"/>
        <v/>
      </c>
    </row>
    <row r="212" spans="1:12">
      <c r="A212" s="17">
        <v>203</v>
      </c>
      <c r="B212" s="17">
        <v>5</v>
      </c>
      <c r="C212" s="17">
        <v>23</v>
      </c>
      <c r="D212" s="17" t="s">
        <v>274</v>
      </c>
      <c r="E212" s="17">
        <v>53</v>
      </c>
      <c r="F212" s="17">
        <f t="shared" si="27"/>
        <v>25</v>
      </c>
      <c r="G212" s="19">
        <f t="shared" si="21"/>
        <v>44.976666666666667</v>
      </c>
      <c r="H212" s="19">
        <f t="shared" si="22"/>
        <v>88.250344884840729</v>
      </c>
      <c r="I212" s="19">
        <f t="shared" si="23"/>
        <v>53.157040133779255</v>
      </c>
      <c r="J212" s="19">
        <f t="shared" si="24"/>
        <v>16.270903010033443</v>
      </c>
      <c r="K212" s="17" t="str">
        <f t="shared" si="25"/>
        <v/>
      </c>
      <c r="L212" s="17" t="str">
        <f t="shared" si="26"/>
        <v/>
      </c>
    </row>
    <row r="213" spans="1:12">
      <c r="A213" s="17">
        <v>204</v>
      </c>
      <c r="B213" s="17">
        <v>5</v>
      </c>
      <c r="C213" s="17">
        <v>22</v>
      </c>
      <c r="D213" s="17" t="s">
        <v>275</v>
      </c>
      <c r="E213" s="17">
        <v>67</v>
      </c>
      <c r="F213" s="17">
        <f t="shared" si="27"/>
        <v>14</v>
      </c>
      <c r="G213" s="19">
        <f t="shared" si="21"/>
        <v>44.976666666666667</v>
      </c>
      <c r="H213" s="19">
        <f t="shared" si="22"/>
        <v>88.250344884840729</v>
      </c>
      <c r="I213" s="19">
        <f t="shared" si="23"/>
        <v>53.157040133779255</v>
      </c>
      <c r="J213" s="19">
        <f t="shared" si="24"/>
        <v>16.270903010033443</v>
      </c>
      <c r="K213" s="17" t="str">
        <f t="shared" si="25"/>
        <v/>
      </c>
      <c r="L213" s="17" t="str">
        <f t="shared" si="26"/>
        <v/>
      </c>
    </row>
    <row r="214" spans="1:12">
      <c r="A214" s="17">
        <v>205</v>
      </c>
      <c r="B214" s="17">
        <v>5</v>
      </c>
      <c r="C214" s="17">
        <v>21</v>
      </c>
      <c r="D214" s="17" t="s">
        <v>276</v>
      </c>
      <c r="E214" s="17">
        <v>40</v>
      </c>
      <c r="F214" s="17">
        <f t="shared" si="27"/>
        <v>27</v>
      </c>
      <c r="G214" s="19">
        <f t="shared" si="21"/>
        <v>44.976666666666667</v>
      </c>
      <c r="H214" s="19">
        <f t="shared" si="22"/>
        <v>88.250344884840729</v>
      </c>
      <c r="I214" s="19">
        <f t="shared" si="23"/>
        <v>53.157040133779255</v>
      </c>
      <c r="J214" s="19">
        <f t="shared" si="24"/>
        <v>16.270903010033443</v>
      </c>
      <c r="K214" s="17" t="str">
        <f t="shared" si="25"/>
        <v/>
      </c>
      <c r="L214" s="17" t="str">
        <f t="shared" si="26"/>
        <v/>
      </c>
    </row>
    <row r="215" spans="1:12">
      <c r="A215" s="17">
        <v>206</v>
      </c>
      <c r="B215" s="17">
        <v>5</v>
      </c>
      <c r="C215" s="17">
        <v>20</v>
      </c>
      <c r="D215" s="17" t="s">
        <v>277</v>
      </c>
      <c r="E215" s="17">
        <v>42</v>
      </c>
      <c r="F215" s="17">
        <f t="shared" si="27"/>
        <v>2</v>
      </c>
      <c r="G215" s="19">
        <f t="shared" si="21"/>
        <v>44.976666666666667</v>
      </c>
      <c r="H215" s="19">
        <f t="shared" si="22"/>
        <v>88.250344884840729</v>
      </c>
      <c r="I215" s="19">
        <f t="shared" si="23"/>
        <v>53.157040133779255</v>
      </c>
      <c r="J215" s="19">
        <f t="shared" si="24"/>
        <v>16.270903010033443</v>
      </c>
      <c r="K215" s="17" t="str">
        <f t="shared" si="25"/>
        <v/>
      </c>
      <c r="L215" s="17" t="str">
        <f t="shared" si="26"/>
        <v/>
      </c>
    </row>
    <row r="216" spans="1:12">
      <c r="A216" s="17">
        <v>207</v>
      </c>
      <c r="B216" s="17">
        <v>5</v>
      </c>
      <c r="C216" s="17">
        <v>19</v>
      </c>
      <c r="D216" s="17" t="s">
        <v>278</v>
      </c>
      <c r="E216" s="17">
        <v>52</v>
      </c>
      <c r="F216" s="17">
        <f t="shared" si="27"/>
        <v>10</v>
      </c>
      <c r="G216" s="19">
        <f t="shared" si="21"/>
        <v>44.976666666666667</v>
      </c>
      <c r="H216" s="19">
        <f t="shared" si="22"/>
        <v>88.250344884840729</v>
      </c>
      <c r="I216" s="19">
        <f t="shared" si="23"/>
        <v>53.157040133779255</v>
      </c>
      <c r="J216" s="19">
        <f t="shared" si="24"/>
        <v>16.270903010033443</v>
      </c>
      <c r="K216" s="17" t="str">
        <f t="shared" si="25"/>
        <v/>
      </c>
      <c r="L216" s="17" t="str">
        <f t="shared" si="26"/>
        <v/>
      </c>
    </row>
    <row r="217" spans="1:12">
      <c r="A217" s="17">
        <v>208</v>
      </c>
      <c r="B217" s="17">
        <v>5</v>
      </c>
      <c r="C217" s="17">
        <v>18</v>
      </c>
      <c r="D217" s="17" t="s">
        <v>279</v>
      </c>
      <c r="E217" s="17">
        <v>85</v>
      </c>
      <c r="F217" s="17">
        <f t="shared" si="27"/>
        <v>33</v>
      </c>
      <c r="G217" s="19">
        <f t="shared" si="21"/>
        <v>44.976666666666667</v>
      </c>
      <c r="H217" s="19">
        <f t="shared" si="22"/>
        <v>88.250344884840729</v>
      </c>
      <c r="I217" s="19">
        <f t="shared" si="23"/>
        <v>53.157040133779255</v>
      </c>
      <c r="J217" s="19">
        <f t="shared" si="24"/>
        <v>16.270903010033443</v>
      </c>
      <c r="K217" s="17" t="str">
        <f t="shared" si="25"/>
        <v/>
      </c>
      <c r="L217" s="17" t="str">
        <f t="shared" si="26"/>
        <v/>
      </c>
    </row>
    <row r="218" spans="1:12">
      <c r="A218" s="17">
        <v>209</v>
      </c>
      <c r="B218" s="17">
        <v>5</v>
      </c>
      <c r="C218" s="17">
        <v>17</v>
      </c>
      <c r="D218" s="17" t="s">
        <v>280</v>
      </c>
      <c r="E218" s="17">
        <v>42</v>
      </c>
      <c r="F218" s="17">
        <f t="shared" si="27"/>
        <v>43</v>
      </c>
      <c r="G218" s="19">
        <f t="shared" si="21"/>
        <v>44.976666666666667</v>
      </c>
      <c r="H218" s="19">
        <f t="shared" si="22"/>
        <v>88.250344884840729</v>
      </c>
      <c r="I218" s="19">
        <f t="shared" si="23"/>
        <v>53.157040133779255</v>
      </c>
      <c r="J218" s="19">
        <f t="shared" si="24"/>
        <v>16.270903010033443</v>
      </c>
      <c r="K218" s="17" t="str">
        <f t="shared" si="25"/>
        <v/>
      </c>
      <c r="L218" s="17" t="str">
        <f t="shared" si="26"/>
        <v/>
      </c>
    </row>
    <row r="219" spans="1:12">
      <c r="A219" s="17">
        <v>210</v>
      </c>
      <c r="B219" s="17">
        <v>5</v>
      </c>
      <c r="C219" s="17">
        <v>16</v>
      </c>
      <c r="D219" s="17" t="s">
        <v>281</v>
      </c>
      <c r="E219" s="17">
        <v>33</v>
      </c>
      <c r="F219" s="17">
        <f t="shared" si="27"/>
        <v>9</v>
      </c>
      <c r="G219" s="19">
        <f t="shared" si="21"/>
        <v>44.976666666666667</v>
      </c>
      <c r="H219" s="19">
        <f t="shared" si="22"/>
        <v>88.250344884840729</v>
      </c>
      <c r="I219" s="19">
        <f t="shared" si="23"/>
        <v>53.157040133779255</v>
      </c>
      <c r="J219" s="19">
        <f t="shared" si="24"/>
        <v>16.270903010033443</v>
      </c>
      <c r="K219" s="17" t="str">
        <f t="shared" si="25"/>
        <v/>
      </c>
      <c r="L219" s="17" t="str">
        <f t="shared" si="26"/>
        <v/>
      </c>
    </row>
    <row r="220" spans="1:12">
      <c r="A220" s="17">
        <v>211</v>
      </c>
      <c r="B220" s="17">
        <v>5</v>
      </c>
      <c r="C220" s="17">
        <v>15</v>
      </c>
      <c r="D220" s="17" t="s">
        <v>282</v>
      </c>
      <c r="E220" s="17">
        <v>56</v>
      </c>
      <c r="F220" s="17">
        <f t="shared" si="27"/>
        <v>23</v>
      </c>
      <c r="G220" s="19">
        <f t="shared" si="21"/>
        <v>44.976666666666667</v>
      </c>
      <c r="H220" s="19">
        <f t="shared" si="22"/>
        <v>88.250344884840729</v>
      </c>
      <c r="I220" s="19">
        <f t="shared" si="23"/>
        <v>53.157040133779255</v>
      </c>
      <c r="J220" s="19">
        <f t="shared" si="24"/>
        <v>16.270903010033443</v>
      </c>
      <c r="K220" s="17" t="str">
        <f t="shared" si="25"/>
        <v/>
      </c>
      <c r="L220" s="17" t="str">
        <f t="shared" si="26"/>
        <v/>
      </c>
    </row>
    <row r="221" spans="1:12">
      <c r="A221" s="17">
        <v>212</v>
      </c>
      <c r="B221" s="17">
        <v>5</v>
      </c>
      <c r="C221" s="17">
        <v>14</v>
      </c>
      <c r="D221" s="17" t="s">
        <v>283</v>
      </c>
      <c r="E221" s="17">
        <v>40</v>
      </c>
      <c r="F221" s="17">
        <f t="shared" si="27"/>
        <v>16</v>
      </c>
      <c r="G221" s="19">
        <f t="shared" si="21"/>
        <v>44.976666666666667</v>
      </c>
      <c r="H221" s="19">
        <f t="shared" si="22"/>
        <v>88.250344884840729</v>
      </c>
      <c r="I221" s="19">
        <f t="shared" si="23"/>
        <v>53.157040133779255</v>
      </c>
      <c r="J221" s="19">
        <f t="shared" si="24"/>
        <v>16.270903010033443</v>
      </c>
      <c r="K221" s="17" t="str">
        <f t="shared" si="25"/>
        <v/>
      </c>
      <c r="L221" s="17" t="str">
        <f t="shared" si="26"/>
        <v/>
      </c>
    </row>
    <row r="222" spans="1:12">
      <c r="A222" s="17">
        <v>213</v>
      </c>
      <c r="B222" s="17">
        <v>5</v>
      </c>
      <c r="C222" s="17">
        <v>13</v>
      </c>
      <c r="D222" s="17" t="s">
        <v>284</v>
      </c>
      <c r="E222" s="17">
        <v>50</v>
      </c>
      <c r="F222" s="17">
        <f t="shared" si="27"/>
        <v>10</v>
      </c>
      <c r="G222" s="19">
        <f t="shared" si="21"/>
        <v>44.976666666666667</v>
      </c>
      <c r="H222" s="19">
        <f t="shared" si="22"/>
        <v>88.250344884840729</v>
      </c>
      <c r="I222" s="19">
        <f t="shared" si="23"/>
        <v>53.157040133779255</v>
      </c>
      <c r="J222" s="19">
        <f t="shared" si="24"/>
        <v>16.270903010033443</v>
      </c>
      <c r="K222" s="17" t="str">
        <f t="shared" si="25"/>
        <v/>
      </c>
      <c r="L222" s="17" t="str">
        <f t="shared" si="26"/>
        <v/>
      </c>
    </row>
    <row r="223" spans="1:12">
      <c r="A223" s="17">
        <v>214</v>
      </c>
      <c r="B223" s="17">
        <v>5</v>
      </c>
      <c r="C223" s="17">
        <v>12</v>
      </c>
      <c r="D223" s="17" t="s">
        <v>285</v>
      </c>
      <c r="E223" s="17">
        <v>57</v>
      </c>
      <c r="F223" s="17">
        <f t="shared" si="27"/>
        <v>7</v>
      </c>
      <c r="G223" s="19">
        <f t="shared" si="21"/>
        <v>44.976666666666667</v>
      </c>
      <c r="H223" s="19">
        <f t="shared" si="22"/>
        <v>88.250344884840729</v>
      </c>
      <c r="I223" s="19">
        <f t="shared" si="23"/>
        <v>53.157040133779255</v>
      </c>
      <c r="J223" s="19">
        <f t="shared" si="24"/>
        <v>16.270903010033443</v>
      </c>
      <c r="K223" s="17" t="str">
        <f t="shared" si="25"/>
        <v/>
      </c>
      <c r="L223" s="17" t="str">
        <f t="shared" si="26"/>
        <v/>
      </c>
    </row>
    <row r="224" spans="1:12">
      <c r="A224" s="17">
        <v>215</v>
      </c>
      <c r="B224" s="17">
        <v>5</v>
      </c>
      <c r="C224" s="17">
        <v>11</v>
      </c>
      <c r="D224" s="17" t="s">
        <v>286</v>
      </c>
      <c r="E224" s="17">
        <v>170</v>
      </c>
      <c r="F224" s="17">
        <f t="shared" si="27"/>
        <v>113</v>
      </c>
      <c r="G224" s="19">
        <f t="shared" si="21"/>
        <v>44.976666666666667</v>
      </c>
      <c r="H224" s="19">
        <f t="shared" si="22"/>
        <v>88.250344884840729</v>
      </c>
      <c r="I224" s="19">
        <f t="shared" si="23"/>
        <v>53.157040133779255</v>
      </c>
      <c r="J224" s="19">
        <f t="shared" si="24"/>
        <v>16.270903010033443</v>
      </c>
      <c r="K224" s="17" t="str">
        <f t="shared" si="25"/>
        <v>OOC</v>
      </c>
      <c r="L224" s="17" t="str">
        <f t="shared" si="26"/>
        <v/>
      </c>
    </row>
    <row r="225" spans="1:12">
      <c r="A225" s="17">
        <v>216</v>
      </c>
      <c r="B225" s="17">
        <v>5</v>
      </c>
      <c r="C225" s="17">
        <v>10</v>
      </c>
      <c r="D225" s="17" t="s">
        <v>287</v>
      </c>
      <c r="E225" s="17">
        <v>34</v>
      </c>
      <c r="F225" s="17">
        <f t="shared" si="27"/>
        <v>136</v>
      </c>
      <c r="G225" s="19">
        <f t="shared" si="21"/>
        <v>44.976666666666667</v>
      </c>
      <c r="H225" s="19">
        <f t="shared" si="22"/>
        <v>88.250344884840729</v>
      </c>
      <c r="I225" s="19">
        <f t="shared" si="23"/>
        <v>53.157040133779255</v>
      </c>
      <c r="J225" s="19">
        <f t="shared" si="24"/>
        <v>16.270903010033443</v>
      </c>
      <c r="K225" s="17" t="str">
        <f t="shared" si="25"/>
        <v/>
      </c>
      <c r="L225" s="17" t="str">
        <f t="shared" si="26"/>
        <v/>
      </c>
    </row>
    <row r="226" spans="1:12">
      <c r="A226" s="17">
        <v>217</v>
      </c>
      <c r="B226" s="17">
        <v>5</v>
      </c>
      <c r="C226" s="17">
        <v>9</v>
      </c>
      <c r="D226" s="17" t="s">
        <v>288</v>
      </c>
      <c r="E226" s="17">
        <v>45</v>
      </c>
      <c r="F226" s="17">
        <f t="shared" si="27"/>
        <v>11</v>
      </c>
      <c r="G226" s="19">
        <f t="shared" si="21"/>
        <v>44.976666666666667</v>
      </c>
      <c r="H226" s="19">
        <f t="shared" si="22"/>
        <v>88.250344884840729</v>
      </c>
      <c r="I226" s="19">
        <f t="shared" si="23"/>
        <v>53.157040133779255</v>
      </c>
      <c r="J226" s="19">
        <f t="shared" si="24"/>
        <v>16.270903010033443</v>
      </c>
      <c r="K226" s="17" t="str">
        <f t="shared" si="25"/>
        <v/>
      </c>
      <c r="L226" s="17" t="str">
        <f t="shared" si="26"/>
        <v/>
      </c>
    </row>
    <row r="227" spans="1:12">
      <c r="A227" s="17">
        <v>218</v>
      </c>
      <c r="B227" s="17">
        <v>5</v>
      </c>
      <c r="C227" s="17">
        <v>8</v>
      </c>
      <c r="D227" s="17" t="s">
        <v>289</v>
      </c>
      <c r="E227" s="17">
        <v>66</v>
      </c>
      <c r="F227" s="17">
        <f t="shared" si="27"/>
        <v>21</v>
      </c>
      <c r="G227" s="19">
        <f t="shared" si="21"/>
        <v>44.976666666666667</v>
      </c>
      <c r="H227" s="19">
        <f t="shared" si="22"/>
        <v>88.250344884840729</v>
      </c>
      <c r="I227" s="19">
        <f t="shared" si="23"/>
        <v>53.157040133779255</v>
      </c>
      <c r="J227" s="19">
        <f t="shared" si="24"/>
        <v>16.270903010033443</v>
      </c>
      <c r="K227" s="17" t="str">
        <f t="shared" si="25"/>
        <v/>
      </c>
      <c r="L227" s="17" t="str">
        <f t="shared" si="26"/>
        <v/>
      </c>
    </row>
    <row r="228" spans="1:12">
      <c r="A228" s="17">
        <v>219</v>
      </c>
      <c r="B228" s="17">
        <v>5</v>
      </c>
      <c r="C228" s="17">
        <v>7</v>
      </c>
      <c r="D228" s="17" t="s">
        <v>290</v>
      </c>
      <c r="E228" s="17">
        <v>39</v>
      </c>
      <c r="F228" s="17">
        <f t="shared" si="27"/>
        <v>27</v>
      </c>
      <c r="G228" s="19">
        <f t="shared" si="21"/>
        <v>44.976666666666667</v>
      </c>
      <c r="H228" s="19">
        <f t="shared" si="22"/>
        <v>88.250344884840729</v>
      </c>
      <c r="I228" s="19">
        <f t="shared" si="23"/>
        <v>53.157040133779255</v>
      </c>
      <c r="J228" s="19">
        <f t="shared" si="24"/>
        <v>16.270903010033443</v>
      </c>
      <c r="K228" s="17" t="str">
        <f t="shared" si="25"/>
        <v/>
      </c>
      <c r="L228" s="17" t="str">
        <f t="shared" si="26"/>
        <v/>
      </c>
    </row>
    <row r="229" spans="1:12">
      <c r="A229" s="17">
        <v>220</v>
      </c>
      <c r="B229" s="17">
        <v>5</v>
      </c>
      <c r="C229" s="17">
        <v>6</v>
      </c>
      <c r="D229" s="17" t="s">
        <v>291</v>
      </c>
      <c r="E229" s="17">
        <v>22</v>
      </c>
      <c r="F229" s="17">
        <f t="shared" si="27"/>
        <v>17</v>
      </c>
      <c r="G229" s="19">
        <f t="shared" si="21"/>
        <v>44.976666666666667</v>
      </c>
      <c r="H229" s="19">
        <f t="shared" si="22"/>
        <v>88.250344884840729</v>
      </c>
      <c r="I229" s="19">
        <f t="shared" si="23"/>
        <v>53.157040133779255</v>
      </c>
      <c r="J229" s="19">
        <f t="shared" si="24"/>
        <v>16.270903010033443</v>
      </c>
      <c r="K229" s="17" t="str">
        <f t="shared" si="25"/>
        <v/>
      </c>
      <c r="L229" s="17" t="str">
        <f t="shared" si="26"/>
        <v/>
      </c>
    </row>
    <row r="230" spans="1:12">
      <c r="A230" s="17">
        <v>221</v>
      </c>
      <c r="B230" s="17">
        <v>5</v>
      </c>
      <c r="C230" s="17">
        <v>5</v>
      </c>
      <c r="D230" s="17" t="s">
        <v>292</v>
      </c>
      <c r="E230" s="17">
        <v>30</v>
      </c>
      <c r="F230" s="17">
        <f t="shared" si="27"/>
        <v>8</v>
      </c>
      <c r="G230" s="19">
        <f t="shared" si="21"/>
        <v>44.976666666666667</v>
      </c>
      <c r="H230" s="19">
        <f t="shared" si="22"/>
        <v>88.250344884840729</v>
      </c>
      <c r="I230" s="19">
        <f t="shared" si="23"/>
        <v>53.157040133779255</v>
      </c>
      <c r="J230" s="19">
        <f t="shared" si="24"/>
        <v>16.270903010033443</v>
      </c>
      <c r="K230" s="17" t="str">
        <f t="shared" si="25"/>
        <v/>
      </c>
      <c r="L230" s="17" t="str">
        <f t="shared" si="26"/>
        <v/>
      </c>
    </row>
    <row r="231" spans="1:12">
      <c r="A231" s="17">
        <v>222</v>
      </c>
      <c r="B231" s="17">
        <v>5</v>
      </c>
      <c r="C231" s="17">
        <v>4</v>
      </c>
      <c r="D231" s="17" t="s">
        <v>293</v>
      </c>
      <c r="E231" s="17">
        <v>27</v>
      </c>
      <c r="F231" s="17">
        <f t="shared" si="27"/>
        <v>3</v>
      </c>
      <c r="G231" s="19">
        <f t="shared" si="21"/>
        <v>44.976666666666667</v>
      </c>
      <c r="H231" s="19">
        <f t="shared" si="22"/>
        <v>88.250344884840729</v>
      </c>
      <c r="I231" s="19">
        <f t="shared" si="23"/>
        <v>53.157040133779255</v>
      </c>
      <c r="J231" s="19">
        <f t="shared" si="24"/>
        <v>16.270903010033443</v>
      </c>
      <c r="K231" s="17" t="str">
        <f t="shared" si="25"/>
        <v/>
      </c>
      <c r="L231" s="17" t="str">
        <f t="shared" si="26"/>
        <v/>
      </c>
    </row>
    <row r="232" spans="1:12">
      <c r="A232" s="17">
        <v>223</v>
      </c>
      <c r="B232" s="17">
        <v>5</v>
      </c>
      <c r="C232" s="17">
        <v>3</v>
      </c>
      <c r="D232" s="17" t="s">
        <v>294</v>
      </c>
      <c r="E232" s="17">
        <v>41</v>
      </c>
      <c r="F232" s="17">
        <f t="shared" si="27"/>
        <v>14</v>
      </c>
      <c r="G232" s="19">
        <f t="shared" si="21"/>
        <v>44.976666666666667</v>
      </c>
      <c r="H232" s="19">
        <f t="shared" si="22"/>
        <v>88.250344884840729</v>
      </c>
      <c r="I232" s="19">
        <f t="shared" si="23"/>
        <v>53.157040133779255</v>
      </c>
      <c r="J232" s="19">
        <f t="shared" si="24"/>
        <v>16.270903010033443</v>
      </c>
      <c r="K232" s="17" t="str">
        <f t="shared" si="25"/>
        <v/>
      </c>
      <c r="L232" s="17" t="str">
        <f t="shared" si="26"/>
        <v/>
      </c>
    </row>
    <row r="233" spans="1:12">
      <c r="A233" s="17">
        <v>224</v>
      </c>
      <c r="B233" s="17">
        <v>5</v>
      </c>
      <c r="C233" s="17">
        <v>2</v>
      </c>
      <c r="D233" s="17" t="s">
        <v>295</v>
      </c>
      <c r="E233" s="17">
        <v>29</v>
      </c>
      <c r="F233" s="17">
        <f t="shared" si="27"/>
        <v>12</v>
      </c>
      <c r="G233" s="19">
        <f t="shared" si="21"/>
        <v>44.976666666666667</v>
      </c>
      <c r="H233" s="19">
        <f t="shared" si="22"/>
        <v>88.250344884840729</v>
      </c>
      <c r="I233" s="19">
        <f t="shared" si="23"/>
        <v>53.157040133779255</v>
      </c>
      <c r="J233" s="19">
        <f t="shared" si="24"/>
        <v>16.270903010033443</v>
      </c>
      <c r="K233" s="17" t="str">
        <f t="shared" si="25"/>
        <v/>
      </c>
      <c r="L233" s="17" t="str">
        <f t="shared" si="26"/>
        <v/>
      </c>
    </row>
    <row r="234" spans="1:12">
      <c r="A234" s="17">
        <v>225</v>
      </c>
      <c r="B234" s="17">
        <v>5</v>
      </c>
      <c r="C234" s="17">
        <v>1</v>
      </c>
      <c r="D234" s="17" t="s">
        <v>296</v>
      </c>
      <c r="E234" s="17">
        <v>21</v>
      </c>
      <c r="F234" s="17">
        <f t="shared" si="27"/>
        <v>8</v>
      </c>
      <c r="G234" s="19">
        <f t="shared" si="21"/>
        <v>44.976666666666667</v>
      </c>
      <c r="H234" s="19">
        <f t="shared" si="22"/>
        <v>88.250344884840729</v>
      </c>
      <c r="I234" s="19">
        <f t="shared" si="23"/>
        <v>53.157040133779255</v>
      </c>
      <c r="J234" s="19">
        <f t="shared" si="24"/>
        <v>16.270903010033443</v>
      </c>
      <c r="K234" s="17" t="str">
        <f t="shared" si="25"/>
        <v/>
      </c>
      <c r="L234" s="17" t="str">
        <f t="shared" si="26"/>
        <v/>
      </c>
    </row>
    <row r="235" spans="1:12">
      <c r="A235" s="17">
        <v>226</v>
      </c>
      <c r="B235" s="17">
        <v>5</v>
      </c>
      <c r="C235" s="17">
        <v>25</v>
      </c>
      <c r="D235" s="17" t="s">
        <v>297</v>
      </c>
      <c r="E235" s="17">
        <v>45</v>
      </c>
      <c r="F235" s="17">
        <f t="shared" si="27"/>
        <v>24</v>
      </c>
      <c r="G235" s="19">
        <f t="shared" si="21"/>
        <v>44.976666666666667</v>
      </c>
      <c r="H235" s="19">
        <f t="shared" si="22"/>
        <v>88.250344884840729</v>
      </c>
      <c r="I235" s="19">
        <f t="shared" si="23"/>
        <v>53.157040133779255</v>
      </c>
      <c r="J235" s="19">
        <f t="shared" si="24"/>
        <v>16.270903010033443</v>
      </c>
      <c r="K235" s="17" t="str">
        <f t="shared" si="25"/>
        <v/>
      </c>
      <c r="L235" s="17" t="str">
        <f t="shared" si="26"/>
        <v/>
      </c>
    </row>
    <row r="236" spans="1:12">
      <c r="A236" s="17">
        <v>227</v>
      </c>
      <c r="B236" s="17">
        <v>5</v>
      </c>
      <c r="C236" s="17">
        <v>24</v>
      </c>
      <c r="D236" s="17" t="s">
        <v>298</v>
      </c>
      <c r="E236" s="17">
        <v>14</v>
      </c>
      <c r="F236" s="17">
        <f t="shared" si="27"/>
        <v>31</v>
      </c>
      <c r="G236" s="19">
        <f t="shared" si="21"/>
        <v>44.976666666666667</v>
      </c>
      <c r="H236" s="19">
        <f t="shared" si="22"/>
        <v>88.250344884840729</v>
      </c>
      <c r="I236" s="19">
        <f t="shared" si="23"/>
        <v>53.157040133779255</v>
      </c>
      <c r="J236" s="19">
        <f t="shared" si="24"/>
        <v>16.270903010033443</v>
      </c>
      <c r="K236" s="17" t="str">
        <f t="shared" si="25"/>
        <v/>
      </c>
      <c r="L236" s="17" t="str">
        <f t="shared" si="26"/>
        <v/>
      </c>
    </row>
    <row r="237" spans="1:12">
      <c r="A237" s="17">
        <v>228</v>
      </c>
      <c r="B237" s="17">
        <v>5</v>
      </c>
      <c r="C237" s="17">
        <v>23</v>
      </c>
      <c r="D237" s="17" t="s">
        <v>299</v>
      </c>
      <c r="E237" s="17">
        <v>16</v>
      </c>
      <c r="F237" s="17">
        <f t="shared" si="27"/>
        <v>2</v>
      </c>
      <c r="G237" s="19">
        <f t="shared" si="21"/>
        <v>44.976666666666667</v>
      </c>
      <c r="H237" s="19">
        <f t="shared" si="22"/>
        <v>88.250344884840729</v>
      </c>
      <c r="I237" s="19">
        <f t="shared" si="23"/>
        <v>53.157040133779255</v>
      </c>
      <c r="J237" s="19">
        <f t="shared" si="24"/>
        <v>16.270903010033443</v>
      </c>
      <c r="K237" s="17" t="str">
        <f t="shared" si="25"/>
        <v/>
      </c>
      <c r="L237" s="17" t="str">
        <f t="shared" si="26"/>
        <v/>
      </c>
    </row>
    <row r="238" spans="1:12">
      <c r="A238" s="17">
        <v>229</v>
      </c>
      <c r="B238" s="17">
        <v>5</v>
      </c>
      <c r="C238" s="17">
        <v>22</v>
      </c>
      <c r="D238" s="17" t="s">
        <v>300</v>
      </c>
      <c r="E238" s="17">
        <v>19</v>
      </c>
      <c r="F238" s="17">
        <f t="shared" si="27"/>
        <v>3</v>
      </c>
      <c r="G238" s="19">
        <f t="shared" si="21"/>
        <v>44.976666666666667</v>
      </c>
      <c r="H238" s="19">
        <f t="shared" si="22"/>
        <v>88.250344884840729</v>
      </c>
      <c r="I238" s="19">
        <f t="shared" si="23"/>
        <v>53.157040133779255</v>
      </c>
      <c r="J238" s="19">
        <f t="shared" si="24"/>
        <v>16.270903010033443</v>
      </c>
      <c r="K238" s="17" t="str">
        <f t="shared" si="25"/>
        <v/>
      </c>
      <c r="L238" s="17" t="str">
        <f t="shared" si="26"/>
        <v/>
      </c>
    </row>
    <row r="239" spans="1:12">
      <c r="A239" s="17">
        <v>230</v>
      </c>
      <c r="B239" s="17">
        <v>5</v>
      </c>
      <c r="C239" s="17">
        <v>21</v>
      </c>
      <c r="D239" s="17" t="s">
        <v>301</v>
      </c>
      <c r="E239" s="17">
        <v>15</v>
      </c>
      <c r="F239" s="17">
        <f t="shared" si="27"/>
        <v>4</v>
      </c>
      <c r="G239" s="19">
        <f t="shared" si="21"/>
        <v>44.976666666666667</v>
      </c>
      <c r="H239" s="19">
        <f t="shared" si="22"/>
        <v>88.250344884840729</v>
      </c>
      <c r="I239" s="19">
        <f t="shared" si="23"/>
        <v>53.157040133779255</v>
      </c>
      <c r="J239" s="19">
        <f t="shared" si="24"/>
        <v>16.270903010033443</v>
      </c>
      <c r="K239" s="17" t="str">
        <f t="shared" si="25"/>
        <v/>
      </c>
      <c r="L239" s="17" t="str">
        <f t="shared" si="26"/>
        <v/>
      </c>
    </row>
    <row r="240" spans="1:12">
      <c r="A240" s="17">
        <v>231</v>
      </c>
      <c r="B240" s="17">
        <v>5</v>
      </c>
      <c r="C240" s="17">
        <v>20</v>
      </c>
      <c r="D240" s="17" t="s">
        <v>302</v>
      </c>
      <c r="E240" s="17">
        <v>21</v>
      </c>
      <c r="F240" s="17">
        <f t="shared" si="27"/>
        <v>6</v>
      </c>
      <c r="G240" s="19">
        <f t="shared" si="21"/>
        <v>44.976666666666667</v>
      </c>
      <c r="H240" s="19">
        <f t="shared" si="22"/>
        <v>88.250344884840729</v>
      </c>
      <c r="I240" s="19">
        <f t="shared" si="23"/>
        <v>53.157040133779255</v>
      </c>
      <c r="J240" s="19">
        <f t="shared" si="24"/>
        <v>16.270903010033443</v>
      </c>
      <c r="K240" s="17" t="str">
        <f t="shared" si="25"/>
        <v/>
      </c>
      <c r="L240" s="17" t="str">
        <f t="shared" si="26"/>
        <v/>
      </c>
    </row>
    <row r="241" spans="1:12">
      <c r="A241" s="17">
        <v>232</v>
      </c>
      <c r="B241" s="17">
        <v>5</v>
      </c>
      <c r="C241" s="17">
        <v>19</v>
      </c>
      <c r="D241" s="17" t="s">
        <v>303</v>
      </c>
      <c r="E241" s="17">
        <v>18</v>
      </c>
      <c r="F241" s="17">
        <f t="shared" si="27"/>
        <v>3</v>
      </c>
      <c r="G241" s="19">
        <f t="shared" si="21"/>
        <v>44.976666666666667</v>
      </c>
      <c r="H241" s="19">
        <f t="shared" si="22"/>
        <v>88.250344884840729</v>
      </c>
      <c r="I241" s="19">
        <f t="shared" si="23"/>
        <v>53.157040133779255</v>
      </c>
      <c r="J241" s="19">
        <f t="shared" si="24"/>
        <v>16.270903010033443</v>
      </c>
      <c r="K241" s="17" t="str">
        <f t="shared" si="25"/>
        <v/>
      </c>
      <c r="L241" s="17" t="str">
        <f t="shared" si="26"/>
        <v/>
      </c>
    </row>
    <row r="242" spans="1:12">
      <c r="A242" s="17">
        <v>233</v>
      </c>
      <c r="B242" s="17">
        <v>5</v>
      </c>
      <c r="C242" s="17">
        <v>18</v>
      </c>
      <c r="D242" s="17" t="s">
        <v>304</v>
      </c>
      <c r="E242" s="17">
        <v>17</v>
      </c>
      <c r="F242" s="17">
        <f t="shared" si="27"/>
        <v>1</v>
      </c>
      <c r="G242" s="19">
        <f t="shared" si="21"/>
        <v>44.976666666666667</v>
      </c>
      <c r="H242" s="19">
        <f t="shared" si="22"/>
        <v>88.250344884840729</v>
      </c>
      <c r="I242" s="19">
        <f t="shared" si="23"/>
        <v>53.157040133779255</v>
      </c>
      <c r="J242" s="19">
        <f t="shared" si="24"/>
        <v>16.270903010033443</v>
      </c>
      <c r="K242" s="17" t="str">
        <f t="shared" si="25"/>
        <v/>
      </c>
      <c r="L242" s="17" t="str">
        <f t="shared" si="26"/>
        <v/>
      </c>
    </row>
    <row r="243" spans="1:12">
      <c r="A243" s="17">
        <v>234</v>
      </c>
      <c r="B243" s="17">
        <v>5</v>
      </c>
      <c r="C243" s="17">
        <v>17</v>
      </c>
      <c r="D243" s="17" t="s">
        <v>305</v>
      </c>
      <c r="E243" s="17">
        <v>26</v>
      </c>
      <c r="F243" s="17">
        <f t="shared" si="27"/>
        <v>9</v>
      </c>
      <c r="G243" s="19">
        <f t="shared" si="21"/>
        <v>44.976666666666667</v>
      </c>
      <c r="H243" s="19">
        <f t="shared" si="22"/>
        <v>88.250344884840729</v>
      </c>
      <c r="I243" s="19">
        <f t="shared" si="23"/>
        <v>53.157040133779255</v>
      </c>
      <c r="J243" s="19">
        <f t="shared" si="24"/>
        <v>16.270903010033443</v>
      </c>
      <c r="K243" s="17" t="str">
        <f t="shared" si="25"/>
        <v/>
      </c>
      <c r="L243" s="17" t="str">
        <f t="shared" si="26"/>
        <v/>
      </c>
    </row>
    <row r="244" spans="1:12">
      <c r="A244" s="17">
        <v>235</v>
      </c>
      <c r="B244" s="17">
        <v>5</v>
      </c>
      <c r="C244" s="17">
        <v>16</v>
      </c>
      <c r="D244" s="17" t="s">
        <v>306</v>
      </c>
      <c r="E244" s="17">
        <v>14</v>
      </c>
      <c r="F244" s="17">
        <f t="shared" si="27"/>
        <v>12</v>
      </c>
      <c r="G244" s="19">
        <f t="shared" si="21"/>
        <v>44.976666666666667</v>
      </c>
      <c r="H244" s="19">
        <f t="shared" si="22"/>
        <v>88.250344884840729</v>
      </c>
      <c r="I244" s="19">
        <f t="shared" si="23"/>
        <v>53.157040133779255</v>
      </c>
      <c r="J244" s="19">
        <f t="shared" si="24"/>
        <v>16.270903010033443</v>
      </c>
      <c r="K244" s="17" t="str">
        <f t="shared" si="25"/>
        <v/>
      </c>
      <c r="L244" s="17" t="str">
        <f t="shared" si="26"/>
        <v/>
      </c>
    </row>
    <row r="245" spans="1:12">
      <c r="A245" s="17">
        <v>236</v>
      </c>
      <c r="B245" s="17">
        <v>5</v>
      </c>
      <c r="C245" s="17">
        <v>15</v>
      </c>
      <c r="D245" s="17" t="s">
        <v>307</v>
      </c>
      <c r="E245" s="17">
        <v>27</v>
      </c>
      <c r="F245" s="17">
        <f t="shared" si="27"/>
        <v>13</v>
      </c>
      <c r="G245" s="19">
        <f t="shared" si="21"/>
        <v>44.976666666666667</v>
      </c>
      <c r="H245" s="19">
        <f t="shared" si="22"/>
        <v>88.250344884840729</v>
      </c>
      <c r="I245" s="19">
        <f t="shared" si="23"/>
        <v>53.157040133779255</v>
      </c>
      <c r="J245" s="19">
        <f t="shared" si="24"/>
        <v>16.270903010033443</v>
      </c>
      <c r="K245" s="17" t="str">
        <f t="shared" si="25"/>
        <v/>
      </c>
      <c r="L245" s="17" t="str">
        <f t="shared" si="26"/>
        <v/>
      </c>
    </row>
    <row r="246" spans="1:12">
      <c r="A246" s="17">
        <v>237</v>
      </c>
      <c r="B246" s="17">
        <v>5</v>
      </c>
      <c r="C246" s="17">
        <v>14</v>
      </c>
      <c r="D246" s="17" t="s">
        <v>308</v>
      </c>
      <c r="E246" s="17">
        <v>43</v>
      </c>
      <c r="F246" s="17">
        <f t="shared" si="27"/>
        <v>16</v>
      </c>
      <c r="G246" s="19">
        <f t="shared" si="21"/>
        <v>44.976666666666667</v>
      </c>
      <c r="H246" s="19">
        <f t="shared" si="22"/>
        <v>88.250344884840729</v>
      </c>
      <c r="I246" s="19">
        <f t="shared" si="23"/>
        <v>53.157040133779255</v>
      </c>
      <c r="J246" s="19">
        <f t="shared" si="24"/>
        <v>16.270903010033443</v>
      </c>
      <c r="K246" s="17" t="str">
        <f t="shared" si="25"/>
        <v/>
      </c>
      <c r="L246" s="17" t="str">
        <f t="shared" si="26"/>
        <v/>
      </c>
    </row>
    <row r="247" spans="1:12">
      <c r="A247" s="17">
        <v>238</v>
      </c>
      <c r="B247" s="17">
        <v>5</v>
      </c>
      <c r="C247" s="17">
        <v>13</v>
      </c>
      <c r="D247" s="17" t="s">
        <v>309</v>
      </c>
      <c r="E247" s="17">
        <v>57</v>
      </c>
      <c r="F247" s="17">
        <f t="shared" si="27"/>
        <v>14</v>
      </c>
      <c r="G247" s="19">
        <f t="shared" si="21"/>
        <v>44.976666666666667</v>
      </c>
      <c r="H247" s="19">
        <f t="shared" si="22"/>
        <v>88.250344884840729</v>
      </c>
      <c r="I247" s="19">
        <f t="shared" si="23"/>
        <v>53.157040133779255</v>
      </c>
      <c r="J247" s="19">
        <f t="shared" si="24"/>
        <v>16.270903010033443</v>
      </c>
      <c r="K247" s="17" t="str">
        <f t="shared" si="25"/>
        <v/>
      </c>
      <c r="L247" s="17" t="str">
        <f t="shared" si="26"/>
        <v/>
      </c>
    </row>
    <row r="248" spans="1:12">
      <c r="A248" s="17">
        <v>239</v>
      </c>
      <c r="B248" s="17">
        <v>5</v>
      </c>
      <c r="C248" s="17">
        <v>12</v>
      </c>
      <c r="D248" s="17" t="s">
        <v>310</v>
      </c>
      <c r="E248" s="17">
        <v>30</v>
      </c>
      <c r="F248" s="17">
        <f t="shared" si="27"/>
        <v>27</v>
      </c>
      <c r="G248" s="19">
        <f t="shared" si="21"/>
        <v>44.976666666666667</v>
      </c>
      <c r="H248" s="19">
        <f t="shared" si="22"/>
        <v>88.250344884840729</v>
      </c>
      <c r="I248" s="19">
        <f t="shared" si="23"/>
        <v>53.157040133779255</v>
      </c>
      <c r="J248" s="19">
        <f t="shared" si="24"/>
        <v>16.270903010033443</v>
      </c>
      <c r="K248" s="17" t="str">
        <f t="shared" si="25"/>
        <v/>
      </c>
      <c r="L248" s="17" t="str">
        <f t="shared" si="26"/>
        <v/>
      </c>
    </row>
    <row r="249" spans="1:12">
      <c r="A249" s="17">
        <v>240</v>
      </c>
      <c r="B249" s="17">
        <v>5</v>
      </c>
      <c r="C249" s="17">
        <v>11</v>
      </c>
      <c r="D249" s="17" t="s">
        <v>311</v>
      </c>
      <c r="E249" s="17">
        <v>50</v>
      </c>
      <c r="F249" s="17">
        <f t="shared" si="27"/>
        <v>20</v>
      </c>
      <c r="G249" s="19">
        <f t="shared" si="21"/>
        <v>44.976666666666667</v>
      </c>
      <c r="H249" s="19">
        <f t="shared" si="22"/>
        <v>88.250344884840729</v>
      </c>
      <c r="I249" s="19">
        <f t="shared" si="23"/>
        <v>53.157040133779255</v>
      </c>
      <c r="J249" s="19">
        <f t="shared" si="24"/>
        <v>16.270903010033443</v>
      </c>
      <c r="K249" s="17" t="str">
        <f t="shared" si="25"/>
        <v/>
      </c>
      <c r="L249" s="17" t="str">
        <f t="shared" si="26"/>
        <v/>
      </c>
    </row>
    <row r="250" spans="1:12">
      <c r="A250" s="17">
        <v>241</v>
      </c>
      <c r="B250" s="17">
        <v>5</v>
      </c>
      <c r="C250" s="17">
        <v>10</v>
      </c>
      <c r="D250" s="17" t="s">
        <v>312</v>
      </c>
      <c r="E250" s="17">
        <v>45</v>
      </c>
      <c r="F250" s="17">
        <f t="shared" si="27"/>
        <v>5</v>
      </c>
      <c r="G250" s="19">
        <f t="shared" si="21"/>
        <v>44.976666666666667</v>
      </c>
      <c r="H250" s="19">
        <f t="shared" si="22"/>
        <v>88.250344884840729</v>
      </c>
      <c r="I250" s="19">
        <f t="shared" si="23"/>
        <v>53.157040133779255</v>
      </c>
      <c r="J250" s="19">
        <f t="shared" si="24"/>
        <v>16.270903010033443</v>
      </c>
      <c r="K250" s="17" t="str">
        <f t="shared" si="25"/>
        <v/>
      </c>
      <c r="L250" s="17" t="str">
        <f t="shared" si="26"/>
        <v/>
      </c>
    </row>
    <row r="251" spans="1:12">
      <c r="A251" s="17">
        <v>242</v>
      </c>
      <c r="B251" s="17">
        <v>5</v>
      </c>
      <c r="C251" s="17">
        <v>9</v>
      </c>
      <c r="D251" s="17" t="s">
        <v>313</v>
      </c>
      <c r="E251" s="17">
        <v>54</v>
      </c>
      <c r="F251" s="17">
        <f t="shared" si="27"/>
        <v>9</v>
      </c>
      <c r="G251" s="19">
        <f t="shared" si="21"/>
        <v>44.976666666666667</v>
      </c>
      <c r="H251" s="19">
        <f t="shared" si="22"/>
        <v>88.250344884840729</v>
      </c>
      <c r="I251" s="19">
        <f t="shared" si="23"/>
        <v>53.157040133779255</v>
      </c>
      <c r="J251" s="19">
        <f t="shared" si="24"/>
        <v>16.270903010033443</v>
      </c>
      <c r="K251" s="17" t="str">
        <f t="shared" si="25"/>
        <v/>
      </c>
      <c r="L251" s="17" t="str">
        <f t="shared" si="26"/>
        <v/>
      </c>
    </row>
    <row r="252" spans="1:12">
      <c r="A252" s="17">
        <v>243</v>
      </c>
      <c r="B252" s="17">
        <v>5</v>
      </c>
      <c r="C252" s="17">
        <v>8</v>
      </c>
      <c r="D252" s="17" t="s">
        <v>314</v>
      </c>
      <c r="E252" s="17">
        <v>62</v>
      </c>
      <c r="F252" s="17">
        <f t="shared" si="27"/>
        <v>8</v>
      </c>
      <c r="G252" s="19">
        <f t="shared" si="21"/>
        <v>44.976666666666667</v>
      </c>
      <c r="H252" s="19">
        <f t="shared" si="22"/>
        <v>88.250344884840729</v>
      </c>
      <c r="I252" s="19">
        <f t="shared" si="23"/>
        <v>53.157040133779255</v>
      </c>
      <c r="J252" s="19">
        <f t="shared" si="24"/>
        <v>16.270903010033443</v>
      </c>
      <c r="K252" s="17" t="str">
        <f t="shared" si="25"/>
        <v/>
      </c>
      <c r="L252" s="17" t="str">
        <f t="shared" si="26"/>
        <v/>
      </c>
    </row>
    <row r="253" spans="1:12">
      <c r="A253" s="17">
        <v>244</v>
      </c>
      <c r="B253" s="17">
        <v>5</v>
      </c>
      <c r="C253" s="17">
        <v>7</v>
      </c>
      <c r="D253" s="17" t="s">
        <v>315</v>
      </c>
      <c r="E253" s="17">
        <v>26</v>
      </c>
      <c r="F253" s="17">
        <f t="shared" si="27"/>
        <v>36</v>
      </c>
      <c r="G253" s="19">
        <f t="shared" si="21"/>
        <v>44.976666666666667</v>
      </c>
      <c r="H253" s="19">
        <f t="shared" si="22"/>
        <v>88.250344884840729</v>
      </c>
      <c r="I253" s="19">
        <f t="shared" si="23"/>
        <v>53.157040133779255</v>
      </c>
      <c r="J253" s="19">
        <f t="shared" si="24"/>
        <v>16.270903010033443</v>
      </c>
      <c r="K253" s="17" t="str">
        <f t="shared" si="25"/>
        <v/>
      </c>
      <c r="L253" s="17" t="str">
        <f t="shared" si="26"/>
        <v/>
      </c>
    </row>
    <row r="254" spans="1:12">
      <c r="A254" s="17">
        <v>245</v>
      </c>
      <c r="B254" s="17">
        <v>5</v>
      </c>
      <c r="C254" s="17">
        <v>6</v>
      </c>
      <c r="D254" s="17" t="s">
        <v>316</v>
      </c>
      <c r="E254" s="17">
        <v>29</v>
      </c>
      <c r="F254" s="17">
        <f t="shared" si="27"/>
        <v>3</v>
      </c>
      <c r="G254" s="19">
        <f t="shared" si="21"/>
        <v>44.976666666666667</v>
      </c>
      <c r="H254" s="19">
        <f t="shared" si="22"/>
        <v>88.250344884840729</v>
      </c>
      <c r="I254" s="19">
        <f t="shared" si="23"/>
        <v>53.157040133779255</v>
      </c>
      <c r="J254" s="19">
        <f t="shared" si="24"/>
        <v>16.270903010033443</v>
      </c>
      <c r="K254" s="17" t="str">
        <f t="shared" si="25"/>
        <v/>
      </c>
      <c r="L254" s="17" t="str">
        <f t="shared" si="26"/>
        <v/>
      </c>
    </row>
    <row r="255" spans="1:12">
      <c r="A255" s="17">
        <v>246</v>
      </c>
      <c r="B255" s="17">
        <v>5</v>
      </c>
      <c r="C255" s="17">
        <v>5</v>
      </c>
      <c r="D255" s="17" t="s">
        <v>317</v>
      </c>
      <c r="E255" s="17">
        <v>27</v>
      </c>
      <c r="F255" s="17">
        <f t="shared" si="27"/>
        <v>2</v>
      </c>
      <c r="G255" s="19">
        <f t="shared" si="21"/>
        <v>44.976666666666667</v>
      </c>
      <c r="H255" s="19">
        <f t="shared" si="22"/>
        <v>88.250344884840729</v>
      </c>
      <c r="I255" s="19">
        <f t="shared" si="23"/>
        <v>53.157040133779255</v>
      </c>
      <c r="J255" s="19">
        <f t="shared" si="24"/>
        <v>16.270903010033443</v>
      </c>
      <c r="K255" s="17" t="str">
        <f t="shared" si="25"/>
        <v/>
      </c>
      <c r="L255" s="17" t="str">
        <f t="shared" si="26"/>
        <v/>
      </c>
    </row>
    <row r="256" spans="1:12">
      <c r="A256" s="17">
        <v>247</v>
      </c>
      <c r="B256" s="17">
        <v>5</v>
      </c>
      <c r="C256" s="17">
        <v>4</v>
      </c>
      <c r="D256" s="17" t="s">
        <v>318</v>
      </c>
      <c r="E256" s="17">
        <v>19</v>
      </c>
      <c r="F256" s="17">
        <f t="shared" si="27"/>
        <v>8</v>
      </c>
      <c r="G256" s="19">
        <f t="shared" si="21"/>
        <v>44.976666666666667</v>
      </c>
      <c r="H256" s="19">
        <f t="shared" si="22"/>
        <v>88.250344884840729</v>
      </c>
      <c r="I256" s="19">
        <f t="shared" si="23"/>
        <v>53.157040133779255</v>
      </c>
      <c r="J256" s="19">
        <f t="shared" si="24"/>
        <v>16.270903010033443</v>
      </c>
      <c r="K256" s="17" t="str">
        <f t="shared" si="25"/>
        <v/>
      </c>
      <c r="L256" s="17" t="str">
        <f t="shared" si="26"/>
        <v/>
      </c>
    </row>
    <row r="257" spans="1:12">
      <c r="A257" s="17">
        <v>248</v>
      </c>
      <c r="B257" s="17">
        <v>5</v>
      </c>
      <c r="C257" s="17">
        <v>3</v>
      </c>
      <c r="D257" s="17" t="s">
        <v>319</v>
      </c>
      <c r="E257" s="17">
        <v>53</v>
      </c>
      <c r="F257" s="17">
        <f t="shared" si="27"/>
        <v>34</v>
      </c>
      <c r="G257" s="19">
        <f t="shared" si="21"/>
        <v>44.976666666666667</v>
      </c>
      <c r="H257" s="19">
        <f t="shared" si="22"/>
        <v>88.250344884840729</v>
      </c>
      <c r="I257" s="19">
        <f t="shared" si="23"/>
        <v>53.157040133779255</v>
      </c>
      <c r="J257" s="19">
        <f t="shared" si="24"/>
        <v>16.270903010033443</v>
      </c>
      <c r="K257" s="17" t="str">
        <f t="shared" si="25"/>
        <v/>
      </c>
      <c r="L257" s="17" t="str">
        <f t="shared" si="26"/>
        <v/>
      </c>
    </row>
    <row r="258" spans="1:12">
      <c r="A258" s="17">
        <v>249</v>
      </c>
      <c r="B258" s="17">
        <v>5</v>
      </c>
      <c r="C258" s="17">
        <v>2</v>
      </c>
      <c r="D258" s="17" t="s">
        <v>320</v>
      </c>
      <c r="E258" s="17">
        <v>28</v>
      </c>
      <c r="F258" s="17">
        <f t="shared" si="27"/>
        <v>25</v>
      </c>
      <c r="G258" s="19">
        <f t="shared" si="21"/>
        <v>44.976666666666667</v>
      </c>
      <c r="H258" s="19">
        <f t="shared" si="22"/>
        <v>88.250344884840729</v>
      </c>
      <c r="I258" s="19">
        <f t="shared" si="23"/>
        <v>53.157040133779255</v>
      </c>
      <c r="J258" s="19">
        <f t="shared" si="24"/>
        <v>16.270903010033443</v>
      </c>
      <c r="K258" s="17" t="str">
        <f t="shared" si="25"/>
        <v/>
      </c>
      <c r="L258" s="17" t="str">
        <f t="shared" si="26"/>
        <v/>
      </c>
    </row>
    <row r="259" spans="1:12">
      <c r="A259" s="17">
        <v>250</v>
      </c>
      <c r="B259" s="17">
        <v>5</v>
      </c>
      <c r="C259" s="17">
        <v>1</v>
      </c>
      <c r="D259" s="17" t="s">
        <v>321</v>
      </c>
      <c r="E259" s="17">
        <v>25</v>
      </c>
      <c r="F259" s="17">
        <f t="shared" si="27"/>
        <v>3</v>
      </c>
      <c r="G259" s="19">
        <f t="shared" si="21"/>
        <v>44.976666666666667</v>
      </c>
      <c r="H259" s="19">
        <f t="shared" si="22"/>
        <v>88.250344884840729</v>
      </c>
      <c r="I259" s="19">
        <f t="shared" si="23"/>
        <v>53.157040133779255</v>
      </c>
      <c r="J259" s="19">
        <f t="shared" si="24"/>
        <v>16.270903010033443</v>
      </c>
      <c r="K259" s="17" t="str">
        <f t="shared" si="25"/>
        <v/>
      </c>
      <c r="L259" s="17" t="str">
        <f t="shared" si="26"/>
        <v/>
      </c>
    </row>
    <row r="260" spans="1:12">
      <c r="A260" s="17">
        <v>251</v>
      </c>
      <c r="B260" s="17">
        <v>6</v>
      </c>
      <c r="C260" s="17">
        <v>25</v>
      </c>
      <c r="D260" s="17" t="s">
        <v>322</v>
      </c>
      <c r="E260" s="17">
        <v>44</v>
      </c>
      <c r="F260" s="17">
        <f t="shared" si="27"/>
        <v>19</v>
      </c>
      <c r="G260" s="19">
        <f t="shared" si="21"/>
        <v>44.976666666666667</v>
      </c>
      <c r="H260" s="19">
        <f t="shared" si="22"/>
        <v>88.250344884840729</v>
      </c>
      <c r="I260" s="19">
        <f t="shared" si="23"/>
        <v>53.157040133779255</v>
      </c>
      <c r="J260" s="19">
        <f t="shared" si="24"/>
        <v>16.270903010033443</v>
      </c>
      <c r="K260" s="17" t="str">
        <f t="shared" si="25"/>
        <v/>
      </c>
      <c r="L260" s="17" t="str">
        <f t="shared" si="26"/>
        <v/>
      </c>
    </row>
    <row r="261" spans="1:12">
      <c r="A261" s="17">
        <v>252</v>
      </c>
      <c r="B261" s="17">
        <v>6</v>
      </c>
      <c r="C261" s="17">
        <v>24</v>
      </c>
      <c r="D261" s="17" t="s">
        <v>323</v>
      </c>
      <c r="E261" s="17">
        <v>29</v>
      </c>
      <c r="F261" s="17">
        <f t="shared" si="27"/>
        <v>15</v>
      </c>
      <c r="G261" s="19">
        <f t="shared" si="21"/>
        <v>44.976666666666667</v>
      </c>
      <c r="H261" s="19">
        <f t="shared" si="22"/>
        <v>88.250344884840729</v>
      </c>
      <c r="I261" s="19">
        <f t="shared" si="23"/>
        <v>53.157040133779255</v>
      </c>
      <c r="J261" s="19">
        <f t="shared" si="24"/>
        <v>16.270903010033443</v>
      </c>
      <c r="K261" s="17" t="str">
        <f t="shared" si="25"/>
        <v/>
      </c>
      <c r="L261" s="17" t="str">
        <f t="shared" si="26"/>
        <v/>
      </c>
    </row>
    <row r="262" spans="1:12">
      <c r="A262" s="17">
        <v>253</v>
      </c>
      <c r="B262" s="17">
        <v>6</v>
      </c>
      <c r="C262" s="17">
        <v>23</v>
      </c>
      <c r="D262" s="17" t="s">
        <v>324</v>
      </c>
      <c r="E262" s="17">
        <v>21</v>
      </c>
      <c r="F262" s="17">
        <f t="shared" si="27"/>
        <v>8</v>
      </c>
      <c r="G262" s="19">
        <f t="shared" si="21"/>
        <v>44.976666666666667</v>
      </c>
      <c r="H262" s="19">
        <f t="shared" si="22"/>
        <v>88.250344884840729</v>
      </c>
      <c r="I262" s="19">
        <f t="shared" si="23"/>
        <v>53.157040133779255</v>
      </c>
      <c r="J262" s="19">
        <f t="shared" si="24"/>
        <v>16.270903010033443</v>
      </c>
      <c r="K262" s="17" t="str">
        <f t="shared" si="25"/>
        <v/>
      </c>
      <c r="L262" s="17" t="str">
        <f t="shared" si="26"/>
        <v/>
      </c>
    </row>
    <row r="263" spans="1:12">
      <c r="A263" s="17">
        <v>254</v>
      </c>
      <c r="B263" s="17">
        <v>6</v>
      </c>
      <c r="C263" s="17">
        <v>22</v>
      </c>
      <c r="D263" s="17" t="s">
        <v>325</v>
      </c>
      <c r="E263" s="17">
        <v>12</v>
      </c>
      <c r="F263" s="17">
        <f t="shared" si="27"/>
        <v>9</v>
      </c>
      <c r="G263" s="19">
        <f t="shared" si="21"/>
        <v>44.976666666666667</v>
      </c>
      <c r="H263" s="19">
        <f t="shared" si="22"/>
        <v>88.250344884840729</v>
      </c>
      <c r="I263" s="19">
        <f t="shared" si="23"/>
        <v>53.157040133779255</v>
      </c>
      <c r="J263" s="19">
        <f t="shared" si="24"/>
        <v>16.270903010033443</v>
      </c>
      <c r="K263" s="17" t="str">
        <f t="shared" si="25"/>
        <v/>
      </c>
      <c r="L263" s="17" t="str">
        <f t="shared" si="26"/>
        <v/>
      </c>
    </row>
    <row r="264" spans="1:12">
      <c r="A264" s="17">
        <v>255</v>
      </c>
      <c r="B264" s="17">
        <v>6</v>
      </c>
      <c r="C264" s="17">
        <v>21</v>
      </c>
      <c r="D264" s="17" t="s">
        <v>326</v>
      </c>
      <c r="E264" s="17">
        <v>27</v>
      </c>
      <c r="F264" s="17">
        <f t="shared" si="27"/>
        <v>15</v>
      </c>
      <c r="G264" s="19">
        <f t="shared" si="21"/>
        <v>44.976666666666667</v>
      </c>
      <c r="H264" s="19">
        <f t="shared" si="22"/>
        <v>88.250344884840729</v>
      </c>
      <c r="I264" s="19">
        <f t="shared" si="23"/>
        <v>53.157040133779255</v>
      </c>
      <c r="J264" s="19">
        <f t="shared" si="24"/>
        <v>16.270903010033443</v>
      </c>
      <c r="K264" s="17" t="str">
        <f t="shared" si="25"/>
        <v/>
      </c>
      <c r="L264" s="17" t="str">
        <f t="shared" si="26"/>
        <v/>
      </c>
    </row>
    <row r="265" spans="1:12">
      <c r="A265" s="17">
        <v>256</v>
      </c>
      <c r="B265" s="17">
        <v>6</v>
      </c>
      <c r="C265" s="17">
        <v>20</v>
      </c>
      <c r="D265" s="17" t="s">
        <v>327</v>
      </c>
      <c r="E265" s="17">
        <v>34</v>
      </c>
      <c r="F265" s="17">
        <f t="shared" si="27"/>
        <v>7</v>
      </c>
      <c r="G265" s="19">
        <f t="shared" si="21"/>
        <v>44.976666666666667</v>
      </c>
      <c r="H265" s="19">
        <f t="shared" si="22"/>
        <v>88.250344884840729</v>
      </c>
      <c r="I265" s="19">
        <f t="shared" si="23"/>
        <v>53.157040133779255</v>
      </c>
      <c r="J265" s="19">
        <f t="shared" si="24"/>
        <v>16.270903010033443</v>
      </c>
      <c r="K265" s="17" t="str">
        <f t="shared" si="25"/>
        <v/>
      </c>
      <c r="L265" s="17" t="str">
        <f t="shared" si="26"/>
        <v/>
      </c>
    </row>
    <row r="266" spans="1:12">
      <c r="A266" s="17">
        <v>257</v>
      </c>
      <c r="B266" s="17">
        <v>6</v>
      </c>
      <c r="C266" s="17">
        <v>19</v>
      </c>
      <c r="D266" s="17" t="s">
        <v>328</v>
      </c>
      <c r="E266" s="17">
        <v>47</v>
      </c>
      <c r="F266" s="17">
        <f t="shared" si="27"/>
        <v>13</v>
      </c>
      <c r="G266" s="19">
        <f t="shared" ref="G266:G309" si="28">$Q$3</f>
        <v>44.976666666666667</v>
      </c>
      <c r="H266" s="19">
        <f t="shared" ref="H266:H309" si="29">$Q$6</f>
        <v>88.250344884840729</v>
      </c>
      <c r="I266" s="19">
        <f t="shared" ref="I266:I309" si="30">$Q$7</f>
        <v>53.157040133779255</v>
      </c>
      <c r="J266" s="19">
        <f t="shared" ref="J266:J309" si="31">$Q$4</f>
        <v>16.270903010033443</v>
      </c>
      <c r="K266" s="17" t="str">
        <f t="shared" ref="K266:K309" si="32">IF(E266&gt;$Q$6,"OOC","" )</f>
        <v/>
      </c>
      <c r="L266" s="17" t="str">
        <f t="shared" ref="L266:L309" si="33">IF(E266&gt;$B$3,"OOS","" )</f>
        <v/>
      </c>
    </row>
    <row r="267" spans="1:12">
      <c r="A267" s="17">
        <v>258</v>
      </c>
      <c r="B267" s="17">
        <v>6</v>
      </c>
      <c r="C267" s="17">
        <v>18</v>
      </c>
      <c r="D267" s="17" t="s">
        <v>329</v>
      </c>
      <c r="E267" s="17">
        <v>28</v>
      </c>
      <c r="F267" s="17">
        <f t="shared" ref="F267:F309" si="34">ABS(E267-E266)</f>
        <v>19</v>
      </c>
      <c r="G267" s="19">
        <f t="shared" si="28"/>
        <v>44.976666666666667</v>
      </c>
      <c r="H267" s="19">
        <f t="shared" si="29"/>
        <v>88.250344884840729</v>
      </c>
      <c r="I267" s="19">
        <f t="shared" si="30"/>
        <v>53.157040133779255</v>
      </c>
      <c r="J267" s="19">
        <f t="shared" si="31"/>
        <v>16.270903010033443</v>
      </c>
      <c r="K267" s="17" t="str">
        <f t="shared" si="32"/>
        <v/>
      </c>
      <c r="L267" s="17" t="str">
        <f t="shared" si="33"/>
        <v/>
      </c>
    </row>
    <row r="268" spans="1:12">
      <c r="A268" s="17">
        <v>259</v>
      </c>
      <c r="B268" s="17">
        <v>6</v>
      </c>
      <c r="C268" s="17">
        <v>17</v>
      </c>
      <c r="D268" s="17" t="s">
        <v>330</v>
      </c>
      <c r="E268" s="17">
        <v>27</v>
      </c>
      <c r="F268" s="17">
        <f t="shared" si="34"/>
        <v>1</v>
      </c>
      <c r="G268" s="19">
        <f t="shared" si="28"/>
        <v>44.976666666666667</v>
      </c>
      <c r="H268" s="19">
        <f t="shared" si="29"/>
        <v>88.250344884840729</v>
      </c>
      <c r="I268" s="19">
        <f t="shared" si="30"/>
        <v>53.157040133779255</v>
      </c>
      <c r="J268" s="19">
        <f t="shared" si="31"/>
        <v>16.270903010033443</v>
      </c>
      <c r="K268" s="17" t="str">
        <f t="shared" si="32"/>
        <v/>
      </c>
      <c r="L268" s="17" t="str">
        <f t="shared" si="33"/>
        <v/>
      </c>
    </row>
    <row r="269" spans="1:12">
      <c r="A269" s="17">
        <v>260</v>
      </c>
      <c r="B269" s="17">
        <v>6</v>
      </c>
      <c r="C269" s="17">
        <v>16</v>
      </c>
      <c r="D269" s="17" t="s">
        <v>331</v>
      </c>
      <c r="E269" s="17">
        <v>13</v>
      </c>
      <c r="F269" s="17">
        <f t="shared" si="34"/>
        <v>14</v>
      </c>
      <c r="G269" s="19">
        <f t="shared" si="28"/>
        <v>44.976666666666667</v>
      </c>
      <c r="H269" s="19">
        <f t="shared" si="29"/>
        <v>88.250344884840729</v>
      </c>
      <c r="I269" s="19">
        <f t="shared" si="30"/>
        <v>53.157040133779255</v>
      </c>
      <c r="J269" s="19">
        <f t="shared" si="31"/>
        <v>16.270903010033443</v>
      </c>
      <c r="K269" s="17" t="str">
        <f t="shared" si="32"/>
        <v/>
      </c>
      <c r="L269" s="17" t="str">
        <f t="shared" si="33"/>
        <v/>
      </c>
    </row>
    <row r="270" spans="1:12">
      <c r="A270" s="17">
        <v>261</v>
      </c>
      <c r="B270" s="17">
        <v>6</v>
      </c>
      <c r="C270" s="17">
        <v>15</v>
      </c>
      <c r="D270" s="17" t="s">
        <v>332</v>
      </c>
      <c r="E270" s="17">
        <v>23</v>
      </c>
      <c r="F270" s="17">
        <f t="shared" si="34"/>
        <v>10</v>
      </c>
      <c r="G270" s="19">
        <f t="shared" si="28"/>
        <v>44.976666666666667</v>
      </c>
      <c r="H270" s="19">
        <f t="shared" si="29"/>
        <v>88.250344884840729</v>
      </c>
      <c r="I270" s="19">
        <f t="shared" si="30"/>
        <v>53.157040133779255</v>
      </c>
      <c r="J270" s="19">
        <f t="shared" si="31"/>
        <v>16.270903010033443</v>
      </c>
      <c r="K270" s="17" t="str">
        <f t="shared" si="32"/>
        <v/>
      </c>
      <c r="L270" s="17" t="str">
        <f t="shared" si="33"/>
        <v/>
      </c>
    </row>
    <row r="271" spans="1:12">
      <c r="A271" s="17">
        <v>262</v>
      </c>
      <c r="B271" s="17">
        <v>6</v>
      </c>
      <c r="C271" s="17">
        <v>14</v>
      </c>
      <c r="D271" s="17" t="s">
        <v>333</v>
      </c>
      <c r="E271" s="17">
        <v>16</v>
      </c>
      <c r="F271" s="17">
        <f t="shared" si="34"/>
        <v>7</v>
      </c>
      <c r="G271" s="19">
        <f t="shared" si="28"/>
        <v>44.976666666666667</v>
      </c>
      <c r="H271" s="19">
        <f t="shared" si="29"/>
        <v>88.250344884840729</v>
      </c>
      <c r="I271" s="19">
        <f t="shared" si="30"/>
        <v>53.157040133779255</v>
      </c>
      <c r="J271" s="19">
        <f t="shared" si="31"/>
        <v>16.270903010033443</v>
      </c>
      <c r="K271" s="17" t="str">
        <f t="shared" si="32"/>
        <v/>
      </c>
      <c r="L271" s="17" t="str">
        <f t="shared" si="33"/>
        <v/>
      </c>
    </row>
    <row r="272" spans="1:12">
      <c r="A272" s="17">
        <v>263</v>
      </c>
      <c r="B272" s="17">
        <v>6</v>
      </c>
      <c r="C272" s="17">
        <v>13</v>
      </c>
      <c r="D272" s="17" t="s">
        <v>334</v>
      </c>
      <c r="E272" s="17">
        <v>18</v>
      </c>
      <c r="F272" s="17">
        <f t="shared" si="34"/>
        <v>2</v>
      </c>
      <c r="G272" s="19">
        <f t="shared" si="28"/>
        <v>44.976666666666667</v>
      </c>
      <c r="H272" s="19">
        <f t="shared" si="29"/>
        <v>88.250344884840729</v>
      </c>
      <c r="I272" s="19">
        <f t="shared" si="30"/>
        <v>53.157040133779255</v>
      </c>
      <c r="J272" s="19">
        <f t="shared" si="31"/>
        <v>16.270903010033443</v>
      </c>
      <c r="K272" s="17" t="str">
        <f t="shared" si="32"/>
        <v/>
      </c>
      <c r="L272" s="17" t="str">
        <f t="shared" si="33"/>
        <v/>
      </c>
    </row>
    <row r="273" spans="1:12">
      <c r="A273" s="17">
        <v>264</v>
      </c>
      <c r="B273" s="17">
        <v>6</v>
      </c>
      <c r="C273" s="17">
        <v>12</v>
      </c>
      <c r="D273" s="17" t="s">
        <v>335</v>
      </c>
      <c r="E273" s="17">
        <v>19</v>
      </c>
      <c r="F273" s="17">
        <f t="shared" si="34"/>
        <v>1</v>
      </c>
      <c r="G273" s="19">
        <f t="shared" si="28"/>
        <v>44.976666666666667</v>
      </c>
      <c r="H273" s="19">
        <f t="shared" si="29"/>
        <v>88.250344884840729</v>
      </c>
      <c r="I273" s="19">
        <f t="shared" si="30"/>
        <v>53.157040133779255</v>
      </c>
      <c r="J273" s="19">
        <f t="shared" si="31"/>
        <v>16.270903010033443</v>
      </c>
      <c r="K273" s="17" t="str">
        <f t="shared" si="32"/>
        <v/>
      </c>
      <c r="L273" s="17" t="str">
        <f t="shared" si="33"/>
        <v/>
      </c>
    </row>
    <row r="274" spans="1:12">
      <c r="A274" s="17">
        <v>265</v>
      </c>
      <c r="B274" s="17">
        <v>6</v>
      </c>
      <c r="C274" s="17">
        <v>11</v>
      </c>
      <c r="D274" s="17" t="s">
        <v>336</v>
      </c>
      <c r="E274" s="17">
        <v>12</v>
      </c>
      <c r="F274" s="17">
        <f t="shared" si="34"/>
        <v>7</v>
      </c>
      <c r="G274" s="19">
        <f t="shared" si="28"/>
        <v>44.976666666666667</v>
      </c>
      <c r="H274" s="19">
        <f t="shared" si="29"/>
        <v>88.250344884840729</v>
      </c>
      <c r="I274" s="19">
        <f t="shared" si="30"/>
        <v>53.157040133779255</v>
      </c>
      <c r="J274" s="19">
        <f t="shared" si="31"/>
        <v>16.270903010033443</v>
      </c>
      <c r="K274" s="17" t="str">
        <f t="shared" si="32"/>
        <v/>
      </c>
      <c r="L274" s="17" t="str">
        <f t="shared" si="33"/>
        <v/>
      </c>
    </row>
    <row r="275" spans="1:12">
      <c r="A275" s="17">
        <v>266</v>
      </c>
      <c r="B275" s="17">
        <v>6</v>
      </c>
      <c r="C275" s="17">
        <v>10</v>
      </c>
      <c r="D275" s="17" t="s">
        <v>337</v>
      </c>
      <c r="E275" s="17">
        <v>13</v>
      </c>
      <c r="F275" s="17">
        <f t="shared" si="34"/>
        <v>1</v>
      </c>
      <c r="G275" s="19">
        <f t="shared" si="28"/>
        <v>44.976666666666667</v>
      </c>
      <c r="H275" s="19">
        <f t="shared" si="29"/>
        <v>88.250344884840729</v>
      </c>
      <c r="I275" s="19">
        <f t="shared" si="30"/>
        <v>53.157040133779255</v>
      </c>
      <c r="J275" s="19">
        <f t="shared" si="31"/>
        <v>16.270903010033443</v>
      </c>
      <c r="K275" s="17" t="str">
        <f t="shared" si="32"/>
        <v/>
      </c>
      <c r="L275" s="17" t="str">
        <f t="shared" si="33"/>
        <v/>
      </c>
    </row>
    <row r="276" spans="1:12">
      <c r="A276" s="17">
        <v>267</v>
      </c>
      <c r="B276" s="17">
        <v>6</v>
      </c>
      <c r="C276" s="17">
        <v>9</v>
      </c>
      <c r="D276" s="17" t="s">
        <v>338</v>
      </c>
      <c r="E276" s="17">
        <v>42</v>
      </c>
      <c r="F276" s="17">
        <f t="shared" si="34"/>
        <v>29</v>
      </c>
      <c r="G276" s="19">
        <f t="shared" si="28"/>
        <v>44.976666666666667</v>
      </c>
      <c r="H276" s="19">
        <f t="shared" si="29"/>
        <v>88.250344884840729</v>
      </c>
      <c r="I276" s="19">
        <f t="shared" si="30"/>
        <v>53.157040133779255</v>
      </c>
      <c r="J276" s="19">
        <f t="shared" si="31"/>
        <v>16.270903010033443</v>
      </c>
      <c r="K276" s="17" t="str">
        <f t="shared" si="32"/>
        <v/>
      </c>
      <c r="L276" s="17" t="str">
        <f t="shared" si="33"/>
        <v/>
      </c>
    </row>
    <row r="277" spans="1:12">
      <c r="A277" s="17">
        <v>268</v>
      </c>
      <c r="B277" s="17">
        <v>6</v>
      </c>
      <c r="C277" s="17">
        <v>8</v>
      </c>
      <c r="D277" s="17" t="s">
        <v>339</v>
      </c>
      <c r="E277" s="17">
        <v>24</v>
      </c>
      <c r="F277" s="17">
        <f t="shared" si="34"/>
        <v>18</v>
      </c>
      <c r="G277" s="19">
        <f t="shared" si="28"/>
        <v>44.976666666666667</v>
      </c>
      <c r="H277" s="19">
        <f t="shared" si="29"/>
        <v>88.250344884840729</v>
      </c>
      <c r="I277" s="19">
        <f t="shared" si="30"/>
        <v>53.157040133779255</v>
      </c>
      <c r="J277" s="19">
        <f t="shared" si="31"/>
        <v>16.270903010033443</v>
      </c>
      <c r="K277" s="17" t="str">
        <f t="shared" si="32"/>
        <v/>
      </c>
      <c r="L277" s="17" t="str">
        <f t="shared" si="33"/>
        <v/>
      </c>
    </row>
    <row r="278" spans="1:12">
      <c r="A278" s="17">
        <v>269</v>
      </c>
      <c r="B278" s="17">
        <v>6</v>
      </c>
      <c r="C278" s="17">
        <v>7</v>
      </c>
      <c r="D278" s="17" t="s">
        <v>340</v>
      </c>
      <c r="E278" s="17">
        <v>19</v>
      </c>
      <c r="F278" s="17">
        <f t="shared" si="34"/>
        <v>5</v>
      </c>
      <c r="G278" s="19">
        <f t="shared" si="28"/>
        <v>44.976666666666667</v>
      </c>
      <c r="H278" s="19">
        <f t="shared" si="29"/>
        <v>88.250344884840729</v>
      </c>
      <c r="I278" s="19">
        <f t="shared" si="30"/>
        <v>53.157040133779255</v>
      </c>
      <c r="J278" s="19">
        <f t="shared" si="31"/>
        <v>16.270903010033443</v>
      </c>
      <c r="K278" s="17" t="str">
        <f t="shared" si="32"/>
        <v/>
      </c>
      <c r="L278" s="17" t="str">
        <f t="shared" si="33"/>
        <v/>
      </c>
    </row>
    <row r="279" spans="1:12">
      <c r="A279" s="17">
        <v>270</v>
      </c>
      <c r="B279" s="17">
        <v>6</v>
      </c>
      <c r="C279" s="17">
        <v>6</v>
      </c>
      <c r="D279" s="17" t="s">
        <v>341</v>
      </c>
      <c r="E279" s="17">
        <v>26</v>
      </c>
      <c r="F279" s="17">
        <f t="shared" si="34"/>
        <v>7</v>
      </c>
      <c r="G279" s="19">
        <f t="shared" si="28"/>
        <v>44.976666666666667</v>
      </c>
      <c r="H279" s="19">
        <f t="shared" si="29"/>
        <v>88.250344884840729</v>
      </c>
      <c r="I279" s="19">
        <f t="shared" si="30"/>
        <v>53.157040133779255</v>
      </c>
      <c r="J279" s="19">
        <f t="shared" si="31"/>
        <v>16.270903010033443</v>
      </c>
      <c r="K279" s="17" t="str">
        <f t="shared" si="32"/>
        <v/>
      </c>
      <c r="L279" s="17" t="str">
        <f t="shared" si="33"/>
        <v/>
      </c>
    </row>
    <row r="280" spans="1:12">
      <c r="A280" s="17">
        <v>271</v>
      </c>
      <c r="B280" s="17">
        <v>6</v>
      </c>
      <c r="C280" s="17">
        <v>5</v>
      </c>
      <c r="D280" s="17" t="s">
        <v>342</v>
      </c>
      <c r="E280" s="17">
        <v>18</v>
      </c>
      <c r="F280" s="17">
        <f t="shared" si="34"/>
        <v>8</v>
      </c>
      <c r="G280" s="19">
        <f t="shared" si="28"/>
        <v>44.976666666666667</v>
      </c>
      <c r="H280" s="19">
        <f t="shared" si="29"/>
        <v>88.250344884840729</v>
      </c>
      <c r="I280" s="19">
        <f t="shared" si="30"/>
        <v>53.157040133779255</v>
      </c>
      <c r="J280" s="19">
        <f t="shared" si="31"/>
        <v>16.270903010033443</v>
      </c>
      <c r="K280" s="17" t="str">
        <f t="shared" si="32"/>
        <v/>
      </c>
      <c r="L280" s="17" t="str">
        <f t="shared" si="33"/>
        <v/>
      </c>
    </row>
    <row r="281" spans="1:12">
      <c r="A281" s="17">
        <v>272</v>
      </c>
      <c r="B281" s="17">
        <v>6</v>
      </c>
      <c r="C281" s="17">
        <v>4</v>
      </c>
      <c r="D281" s="17" t="s">
        <v>343</v>
      </c>
      <c r="E281" s="17">
        <v>33</v>
      </c>
      <c r="F281" s="17">
        <f t="shared" si="34"/>
        <v>15</v>
      </c>
      <c r="G281" s="19">
        <f t="shared" si="28"/>
        <v>44.976666666666667</v>
      </c>
      <c r="H281" s="19">
        <f t="shared" si="29"/>
        <v>88.250344884840729</v>
      </c>
      <c r="I281" s="19">
        <f t="shared" si="30"/>
        <v>53.157040133779255</v>
      </c>
      <c r="J281" s="19">
        <f t="shared" si="31"/>
        <v>16.270903010033443</v>
      </c>
      <c r="K281" s="17" t="str">
        <f t="shared" si="32"/>
        <v/>
      </c>
      <c r="L281" s="17" t="str">
        <f t="shared" si="33"/>
        <v/>
      </c>
    </row>
    <row r="282" spans="1:12">
      <c r="A282" s="17">
        <v>273</v>
      </c>
      <c r="B282" s="17">
        <v>6</v>
      </c>
      <c r="C282" s="17">
        <v>3</v>
      </c>
      <c r="D282" s="17" t="s">
        <v>344</v>
      </c>
      <c r="E282" s="17">
        <v>24</v>
      </c>
      <c r="F282" s="17">
        <f t="shared" si="34"/>
        <v>9</v>
      </c>
      <c r="G282" s="19">
        <f t="shared" si="28"/>
        <v>44.976666666666667</v>
      </c>
      <c r="H282" s="19">
        <f t="shared" si="29"/>
        <v>88.250344884840729</v>
      </c>
      <c r="I282" s="19">
        <f t="shared" si="30"/>
        <v>53.157040133779255</v>
      </c>
      <c r="J282" s="19">
        <f t="shared" si="31"/>
        <v>16.270903010033443</v>
      </c>
      <c r="K282" s="17" t="str">
        <f t="shared" si="32"/>
        <v/>
      </c>
      <c r="L282" s="17" t="str">
        <f t="shared" si="33"/>
        <v/>
      </c>
    </row>
    <row r="283" spans="1:12">
      <c r="A283" s="17">
        <v>274</v>
      </c>
      <c r="B283" s="17">
        <v>6</v>
      </c>
      <c r="C283" s="17">
        <v>2</v>
      </c>
      <c r="D283" s="17" t="s">
        <v>345</v>
      </c>
      <c r="E283" s="17">
        <v>25</v>
      </c>
      <c r="F283" s="17">
        <f t="shared" si="34"/>
        <v>1</v>
      </c>
      <c r="G283" s="19">
        <f t="shared" si="28"/>
        <v>44.976666666666667</v>
      </c>
      <c r="H283" s="19">
        <f t="shared" si="29"/>
        <v>88.250344884840729</v>
      </c>
      <c r="I283" s="19">
        <f t="shared" si="30"/>
        <v>53.157040133779255</v>
      </c>
      <c r="J283" s="19">
        <f t="shared" si="31"/>
        <v>16.270903010033443</v>
      </c>
      <c r="K283" s="17" t="str">
        <f t="shared" si="32"/>
        <v/>
      </c>
      <c r="L283" s="17" t="str">
        <f t="shared" si="33"/>
        <v/>
      </c>
    </row>
    <row r="284" spans="1:12">
      <c r="A284" s="17">
        <v>275</v>
      </c>
      <c r="B284" s="17">
        <v>6</v>
      </c>
      <c r="C284" s="17">
        <v>1</v>
      </c>
      <c r="D284" s="17" t="s">
        <v>346</v>
      </c>
      <c r="E284" s="17">
        <v>53</v>
      </c>
      <c r="F284" s="17">
        <f t="shared" si="34"/>
        <v>28</v>
      </c>
      <c r="G284" s="19">
        <f t="shared" si="28"/>
        <v>44.976666666666667</v>
      </c>
      <c r="H284" s="19">
        <f t="shared" si="29"/>
        <v>88.250344884840729</v>
      </c>
      <c r="I284" s="19">
        <f t="shared" si="30"/>
        <v>53.157040133779255</v>
      </c>
      <c r="J284" s="19">
        <f t="shared" si="31"/>
        <v>16.270903010033443</v>
      </c>
      <c r="K284" s="17" t="str">
        <f t="shared" si="32"/>
        <v/>
      </c>
      <c r="L284" s="17" t="str">
        <f t="shared" si="33"/>
        <v/>
      </c>
    </row>
    <row r="285" spans="1:12">
      <c r="A285" s="17">
        <v>276</v>
      </c>
      <c r="B285" s="17">
        <v>6</v>
      </c>
      <c r="C285" s="17">
        <v>25</v>
      </c>
      <c r="D285" s="17" t="s">
        <v>347</v>
      </c>
      <c r="E285" s="17">
        <v>45</v>
      </c>
      <c r="F285" s="17">
        <f t="shared" si="34"/>
        <v>8</v>
      </c>
      <c r="G285" s="19">
        <f t="shared" si="28"/>
        <v>44.976666666666667</v>
      </c>
      <c r="H285" s="19">
        <f t="shared" si="29"/>
        <v>88.250344884840729</v>
      </c>
      <c r="I285" s="19">
        <f t="shared" si="30"/>
        <v>53.157040133779255</v>
      </c>
      <c r="J285" s="19">
        <f t="shared" si="31"/>
        <v>16.270903010033443</v>
      </c>
      <c r="K285" s="17" t="str">
        <f t="shared" si="32"/>
        <v/>
      </c>
      <c r="L285" s="17" t="str">
        <f t="shared" si="33"/>
        <v/>
      </c>
    </row>
    <row r="286" spans="1:12">
      <c r="A286" s="17">
        <v>277</v>
      </c>
      <c r="B286" s="17">
        <v>6</v>
      </c>
      <c r="C286" s="17">
        <v>24</v>
      </c>
      <c r="D286" s="17" t="s">
        <v>348</v>
      </c>
      <c r="E286" s="17">
        <v>32</v>
      </c>
      <c r="F286" s="17">
        <f t="shared" si="34"/>
        <v>13</v>
      </c>
      <c r="G286" s="19">
        <f t="shared" si="28"/>
        <v>44.976666666666667</v>
      </c>
      <c r="H286" s="19">
        <f t="shared" si="29"/>
        <v>88.250344884840729</v>
      </c>
      <c r="I286" s="19">
        <f t="shared" si="30"/>
        <v>53.157040133779255</v>
      </c>
      <c r="J286" s="19">
        <f t="shared" si="31"/>
        <v>16.270903010033443</v>
      </c>
      <c r="K286" s="17" t="str">
        <f t="shared" si="32"/>
        <v/>
      </c>
      <c r="L286" s="17" t="str">
        <f t="shared" si="33"/>
        <v/>
      </c>
    </row>
    <row r="287" spans="1:12">
      <c r="A287" s="17">
        <v>278</v>
      </c>
      <c r="B287" s="17">
        <v>6</v>
      </c>
      <c r="C287" s="17">
        <v>23</v>
      </c>
      <c r="D287" s="17" t="s">
        <v>349</v>
      </c>
      <c r="E287" s="17">
        <v>37</v>
      </c>
      <c r="F287" s="17">
        <f t="shared" si="34"/>
        <v>5</v>
      </c>
      <c r="G287" s="19">
        <f t="shared" si="28"/>
        <v>44.976666666666667</v>
      </c>
      <c r="H287" s="19">
        <f t="shared" si="29"/>
        <v>88.250344884840729</v>
      </c>
      <c r="I287" s="19">
        <f t="shared" si="30"/>
        <v>53.157040133779255</v>
      </c>
      <c r="J287" s="19">
        <f t="shared" si="31"/>
        <v>16.270903010033443</v>
      </c>
      <c r="K287" s="17" t="str">
        <f t="shared" si="32"/>
        <v/>
      </c>
      <c r="L287" s="17" t="str">
        <f t="shared" si="33"/>
        <v/>
      </c>
    </row>
    <row r="288" spans="1:12">
      <c r="A288" s="17">
        <v>279</v>
      </c>
      <c r="B288" s="17">
        <v>6</v>
      </c>
      <c r="C288" s="17">
        <v>22</v>
      </c>
      <c r="D288" s="17" t="s">
        <v>350</v>
      </c>
      <c r="E288" s="17">
        <v>52</v>
      </c>
      <c r="F288" s="17">
        <f t="shared" si="34"/>
        <v>15</v>
      </c>
      <c r="G288" s="19">
        <f t="shared" si="28"/>
        <v>44.976666666666667</v>
      </c>
      <c r="H288" s="19">
        <f t="shared" si="29"/>
        <v>88.250344884840729</v>
      </c>
      <c r="I288" s="19">
        <f t="shared" si="30"/>
        <v>53.157040133779255</v>
      </c>
      <c r="J288" s="19">
        <f t="shared" si="31"/>
        <v>16.270903010033443</v>
      </c>
      <c r="K288" s="17" t="str">
        <f t="shared" si="32"/>
        <v/>
      </c>
      <c r="L288" s="17" t="str">
        <f t="shared" si="33"/>
        <v/>
      </c>
    </row>
    <row r="289" spans="1:12">
      <c r="A289" s="17">
        <v>280</v>
      </c>
      <c r="B289" s="17">
        <v>6</v>
      </c>
      <c r="C289" s="17">
        <v>21</v>
      </c>
      <c r="D289" s="17" t="s">
        <v>351</v>
      </c>
      <c r="E289" s="17">
        <v>54</v>
      </c>
      <c r="F289" s="17">
        <f t="shared" si="34"/>
        <v>2</v>
      </c>
      <c r="G289" s="19">
        <f t="shared" si="28"/>
        <v>44.976666666666667</v>
      </c>
      <c r="H289" s="19">
        <f t="shared" si="29"/>
        <v>88.250344884840729</v>
      </c>
      <c r="I289" s="19">
        <f t="shared" si="30"/>
        <v>53.157040133779255</v>
      </c>
      <c r="J289" s="19">
        <f t="shared" si="31"/>
        <v>16.270903010033443</v>
      </c>
      <c r="K289" s="17" t="str">
        <f t="shared" si="32"/>
        <v/>
      </c>
      <c r="L289" s="17" t="str">
        <f t="shared" si="33"/>
        <v/>
      </c>
    </row>
    <row r="290" spans="1:12">
      <c r="A290" s="17">
        <v>281</v>
      </c>
      <c r="B290" s="17">
        <v>6</v>
      </c>
      <c r="C290" s="17">
        <v>20</v>
      </c>
      <c r="D290" s="17" t="s">
        <v>352</v>
      </c>
      <c r="E290" s="17">
        <v>50</v>
      </c>
      <c r="F290" s="17">
        <f t="shared" si="34"/>
        <v>4</v>
      </c>
      <c r="G290" s="19">
        <f t="shared" si="28"/>
        <v>44.976666666666667</v>
      </c>
      <c r="H290" s="19">
        <f t="shared" si="29"/>
        <v>88.250344884840729</v>
      </c>
      <c r="I290" s="19">
        <f t="shared" si="30"/>
        <v>53.157040133779255</v>
      </c>
      <c r="J290" s="19">
        <f t="shared" si="31"/>
        <v>16.270903010033443</v>
      </c>
      <c r="K290" s="17" t="str">
        <f t="shared" si="32"/>
        <v/>
      </c>
      <c r="L290" s="17" t="str">
        <f t="shared" si="33"/>
        <v/>
      </c>
    </row>
    <row r="291" spans="1:12">
      <c r="A291" s="17">
        <v>282</v>
      </c>
      <c r="B291" s="17">
        <v>6</v>
      </c>
      <c r="C291" s="17">
        <v>19</v>
      </c>
      <c r="D291" s="17" t="s">
        <v>353</v>
      </c>
      <c r="E291" s="17">
        <v>77</v>
      </c>
      <c r="F291" s="17">
        <f t="shared" si="34"/>
        <v>27</v>
      </c>
      <c r="G291" s="19">
        <f t="shared" si="28"/>
        <v>44.976666666666667</v>
      </c>
      <c r="H291" s="19">
        <f t="shared" si="29"/>
        <v>88.250344884840729</v>
      </c>
      <c r="I291" s="19">
        <f t="shared" si="30"/>
        <v>53.157040133779255</v>
      </c>
      <c r="J291" s="19">
        <f t="shared" si="31"/>
        <v>16.270903010033443</v>
      </c>
      <c r="K291" s="17" t="str">
        <f t="shared" si="32"/>
        <v/>
      </c>
      <c r="L291" s="17" t="str">
        <f t="shared" si="33"/>
        <v/>
      </c>
    </row>
    <row r="292" spans="1:12">
      <c r="A292" s="17">
        <v>283</v>
      </c>
      <c r="B292" s="17">
        <v>6</v>
      </c>
      <c r="C292" s="17">
        <v>18</v>
      </c>
      <c r="D292" s="17" t="s">
        <v>354</v>
      </c>
      <c r="E292" s="17">
        <v>46</v>
      </c>
      <c r="F292" s="17">
        <f t="shared" si="34"/>
        <v>31</v>
      </c>
      <c r="G292" s="19">
        <f t="shared" si="28"/>
        <v>44.976666666666667</v>
      </c>
      <c r="H292" s="19">
        <f t="shared" si="29"/>
        <v>88.250344884840729</v>
      </c>
      <c r="I292" s="19">
        <f t="shared" si="30"/>
        <v>53.157040133779255</v>
      </c>
      <c r="J292" s="19">
        <f t="shared" si="31"/>
        <v>16.270903010033443</v>
      </c>
      <c r="K292" s="17" t="str">
        <f t="shared" si="32"/>
        <v/>
      </c>
      <c r="L292" s="17" t="str">
        <f t="shared" si="33"/>
        <v/>
      </c>
    </row>
    <row r="293" spans="1:12">
      <c r="A293" s="17">
        <v>284</v>
      </c>
      <c r="B293" s="17">
        <v>6</v>
      </c>
      <c r="C293" s="17">
        <v>17</v>
      </c>
      <c r="D293" s="17" t="s">
        <v>355</v>
      </c>
      <c r="E293" s="17">
        <v>67</v>
      </c>
      <c r="F293" s="17">
        <f t="shared" si="34"/>
        <v>21</v>
      </c>
      <c r="G293" s="19">
        <f t="shared" si="28"/>
        <v>44.976666666666667</v>
      </c>
      <c r="H293" s="19">
        <f t="shared" si="29"/>
        <v>88.250344884840729</v>
      </c>
      <c r="I293" s="19">
        <f t="shared" si="30"/>
        <v>53.157040133779255</v>
      </c>
      <c r="J293" s="19">
        <f t="shared" si="31"/>
        <v>16.270903010033443</v>
      </c>
      <c r="K293" s="17" t="str">
        <f t="shared" si="32"/>
        <v/>
      </c>
      <c r="L293" s="17" t="str">
        <f t="shared" si="33"/>
        <v/>
      </c>
    </row>
    <row r="294" spans="1:12">
      <c r="A294" s="17">
        <v>285</v>
      </c>
      <c r="B294" s="17">
        <v>6</v>
      </c>
      <c r="C294" s="17">
        <v>16</v>
      </c>
      <c r="D294" s="17" t="s">
        <v>356</v>
      </c>
      <c r="E294" s="17">
        <v>67</v>
      </c>
      <c r="F294" s="17">
        <f t="shared" si="34"/>
        <v>0</v>
      </c>
      <c r="G294" s="19">
        <f t="shared" si="28"/>
        <v>44.976666666666667</v>
      </c>
      <c r="H294" s="19">
        <f t="shared" si="29"/>
        <v>88.250344884840729</v>
      </c>
      <c r="I294" s="19">
        <f t="shared" si="30"/>
        <v>53.157040133779255</v>
      </c>
      <c r="J294" s="19">
        <f t="shared" si="31"/>
        <v>16.270903010033443</v>
      </c>
      <c r="K294" s="17" t="str">
        <f t="shared" si="32"/>
        <v/>
      </c>
      <c r="L294" s="17" t="str">
        <f t="shared" si="33"/>
        <v/>
      </c>
    </row>
    <row r="295" spans="1:12">
      <c r="A295" s="17">
        <v>286</v>
      </c>
      <c r="B295" s="17">
        <v>6</v>
      </c>
      <c r="C295" s="17">
        <v>15</v>
      </c>
      <c r="D295" s="17" t="s">
        <v>357</v>
      </c>
      <c r="E295" s="17">
        <v>45</v>
      </c>
      <c r="F295" s="17">
        <f t="shared" si="34"/>
        <v>22</v>
      </c>
      <c r="G295" s="19">
        <f t="shared" si="28"/>
        <v>44.976666666666667</v>
      </c>
      <c r="H295" s="19">
        <f t="shared" si="29"/>
        <v>88.250344884840729</v>
      </c>
      <c r="I295" s="19">
        <f t="shared" si="30"/>
        <v>53.157040133779255</v>
      </c>
      <c r="J295" s="19">
        <f t="shared" si="31"/>
        <v>16.270903010033443</v>
      </c>
      <c r="K295" s="17" t="str">
        <f t="shared" si="32"/>
        <v/>
      </c>
      <c r="L295" s="17" t="str">
        <f t="shared" si="33"/>
        <v/>
      </c>
    </row>
    <row r="296" spans="1:12">
      <c r="A296" s="17">
        <v>287</v>
      </c>
      <c r="B296" s="17">
        <v>6</v>
      </c>
      <c r="C296" s="17">
        <v>14</v>
      </c>
      <c r="D296" s="17" t="s">
        <v>358</v>
      </c>
      <c r="E296" s="17">
        <v>71</v>
      </c>
      <c r="F296" s="17">
        <f t="shared" si="34"/>
        <v>26</v>
      </c>
      <c r="G296" s="19">
        <f t="shared" si="28"/>
        <v>44.976666666666667</v>
      </c>
      <c r="H296" s="19">
        <f t="shared" si="29"/>
        <v>88.250344884840729</v>
      </c>
      <c r="I296" s="19">
        <f t="shared" si="30"/>
        <v>53.157040133779255</v>
      </c>
      <c r="J296" s="19">
        <f t="shared" si="31"/>
        <v>16.270903010033443</v>
      </c>
      <c r="K296" s="17" t="str">
        <f t="shared" si="32"/>
        <v/>
      </c>
      <c r="L296" s="17" t="str">
        <f t="shared" si="33"/>
        <v/>
      </c>
    </row>
    <row r="297" spans="1:12">
      <c r="A297" s="17">
        <v>288</v>
      </c>
      <c r="B297" s="17">
        <v>6</v>
      </c>
      <c r="C297" s="17">
        <v>13</v>
      </c>
      <c r="D297" s="17" t="s">
        <v>359</v>
      </c>
      <c r="E297" s="17">
        <v>72</v>
      </c>
      <c r="F297" s="17">
        <f t="shared" si="34"/>
        <v>1</v>
      </c>
      <c r="G297" s="19">
        <f t="shared" si="28"/>
        <v>44.976666666666667</v>
      </c>
      <c r="H297" s="19">
        <f t="shared" si="29"/>
        <v>88.250344884840729</v>
      </c>
      <c r="I297" s="19">
        <f t="shared" si="30"/>
        <v>53.157040133779255</v>
      </c>
      <c r="J297" s="19">
        <f t="shared" si="31"/>
        <v>16.270903010033443</v>
      </c>
      <c r="K297" s="17" t="str">
        <f t="shared" si="32"/>
        <v/>
      </c>
      <c r="L297" s="17" t="str">
        <f t="shared" si="33"/>
        <v/>
      </c>
    </row>
    <row r="298" spans="1:12">
      <c r="A298" s="17">
        <v>289</v>
      </c>
      <c r="B298" s="17">
        <v>6</v>
      </c>
      <c r="C298" s="17">
        <v>12</v>
      </c>
      <c r="D298" s="17" t="s">
        <v>360</v>
      </c>
      <c r="E298" s="17">
        <v>62</v>
      </c>
      <c r="F298" s="17">
        <f t="shared" si="34"/>
        <v>10</v>
      </c>
      <c r="G298" s="19">
        <f t="shared" si="28"/>
        <v>44.976666666666667</v>
      </c>
      <c r="H298" s="19">
        <f t="shared" si="29"/>
        <v>88.250344884840729</v>
      </c>
      <c r="I298" s="19">
        <f t="shared" si="30"/>
        <v>53.157040133779255</v>
      </c>
      <c r="J298" s="19">
        <f t="shared" si="31"/>
        <v>16.270903010033443</v>
      </c>
      <c r="K298" s="17" t="str">
        <f t="shared" si="32"/>
        <v/>
      </c>
      <c r="L298" s="17" t="str">
        <f t="shared" si="33"/>
        <v/>
      </c>
    </row>
    <row r="299" spans="1:12">
      <c r="A299" s="17">
        <v>290</v>
      </c>
      <c r="B299" s="17">
        <v>6</v>
      </c>
      <c r="C299" s="17">
        <v>11</v>
      </c>
      <c r="D299" s="17" t="s">
        <v>361</v>
      </c>
      <c r="E299" s="17">
        <v>109</v>
      </c>
      <c r="F299" s="17">
        <f t="shared" si="34"/>
        <v>47</v>
      </c>
      <c r="G299" s="19">
        <f t="shared" si="28"/>
        <v>44.976666666666667</v>
      </c>
      <c r="H299" s="19">
        <f t="shared" si="29"/>
        <v>88.250344884840729</v>
      </c>
      <c r="I299" s="19">
        <f t="shared" si="30"/>
        <v>53.157040133779255</v>
      </c>
      <c r="J299" s="19">
        <f t="shared" si="31"/>
        <v>16.270903010033443</v>
      </c>
      <c r="K299" s="17" t="str">
        <f t="shared" si="32"/>
        <v>OOC</v>
      </c>
      <c r="L299" s="17" t="str">
        <f t="shared" si="33"/>
        <v/>
      </c>
    </row>
    <row r="300" spans="1:12">
      <c r="A300" s="17">
        <v>291</v>
      </c>
      <c r="B300" s="17">
        <v>6</v>
      </c>
      <c r="C300" s="17">
        <v>10</v>
      </c>
      <c r="D300" s="17" t="s">
        <v>362</v>
      </c>
      <c r="E300" s="17">
        <v>115</v>
      </c>
      <c r="F300" s="17">
        <f t="shared" si="34"/>
        <v>6</v>
      </c>
      <c r="G300" s="19">
        <f t="shared" si="28"/>
        <v>44.976666666666667</v>
      </c>
      <c r="H300" s="19">
        <f t="shared" si="29"/>
        <v>88.250344884840729</v>
      </c>
      <c r="I300" s="19">
        <f t="shared" si="30"/>
        <v>53.157040133779255</v>
      </c>
      <c r="J300" s="19">
        <f t="shared" si="31"/>
        <v>16.270903010033443</v>
      </c>
      <c r="K300" s="17" t="str">
        <f t="shared" si="32"/>
        <v>OOC</v>
      </c>
      <c r="L300" s="17" t="str">
        <f t="shared" si="33"/>
        <v/>
      </c>
    </row>
    <row r="301" spans="1:12">
      <c r="A301" s="17">
        <v>292</v>
      </c>
      <c r="B301" s="17">
        <v>6</v>
      </c>
      <c r="C301" s="17">
        <v>9</v>
      </c>
      <c r="D301" s="17" t="s">
        <v>363</v>
      </c>
      <c r="E301" s="17">
        <v>27</v>
      </c>
      <c r="F301" s="17">
        <f t="shared" si="34"/>
        <v>88</v>
      </c>
      <c r="G301" s="19">
        <f t="shared" si="28"/>
        <v>44.976666666666667</v>
      </c>
      <c r="H301" s="19">
        <f t="shared" si="29"/>
        <v>88.250344884840729</v>
      </c>
      <c r="I301" s="19">
        <f t="shared" si="30"/>
        <v>53.157040133779255</v>
      </c>
      <c r="J301" s="19">
        <f t="shared" si="31"/>
        <v>16.270903010033443</v>
      </c>
      <c r="K301" s="17" t="str">
        <f t="shared" si="32"/>
        <v/>
      </c>
      <c r="L301" s="17" t="str">
        <f t="shared" si="33"/>
        <v/>
      </c>
    </row>
    <row r="302" spans="1:12">
      <c r="A302" s="17">
        <v>293</v>
      </c>
      <c r="B302" s="17">
        <v>6</v>
      </c>
      <c r="C302" s="17">
        <v>8</v>
      </c>
      <c r="D302" s="17" t="s">
        <v>364</v>
      </c>
      <c r="E302" s="17">
        <v>30</v>
      </c>
      <c r="F302" s="17">
        <f t="shared" si="34"/>
        <v>3</v>
      </c>
      <c r="G302" s="19">
        <f t="shared" si="28"/>
        <v>44.976666666666667</v>
      </c>
      <c r="H302" s="19">
        <f t="shared" si="29"/>
        <v>88.250344884840729</v>
      </c>
      <c r="I302" s="19">
        <f t="shared" si="30"/>
        <v>53.157040133779255</v>
      </c>
      <c r="J302" s="19">
        <f t="shared" si="31"/>
        <v>16.270903010033443</v>
      </c>
      <c r="K302" s="17" t="str">
        <f t="shared" si="32"/>
        <v/>
      </c>
      <c r="L302" s="17" t="str">
        <f t="shared" si="33"/>
        <v/>
      </c>
    </row>
    <row r="303" spans="1:12">
      <c r="A303" s="17">
        <v>294</v>
      </c>
      <c r="B303" s="17">
        <v>6</v>
      </c>
      <c r="C303" s="17">
        <v>7</v>
      </c>
      <c r="D303" s="17" t="s">
        <v>365</v>
      </c>
      <c r="E303" s="17">
        <v>24</v>
      </c>
      <c r="F303" s="17">
        <f t="shared" si="34"/>
        <v>6</v>
      </c>
      <c r="G303" s="19">
        <f t="shared" si="28"/>
        <v>44.976666666666667</v>
      </c>
      <c r="H303" s="19">
        <f t="shared" si="29"/>
        <v>88.250344884840729</v>
      </c>
      <c r="I303" s="19">
        <f t="shared" si="30"/>
        <v>53.157040133779255</v>
      </c>
      <c r="J303" s="19">
        <f t="shared" si="31"/>
        <v>16.270903010033443</v>
      </c>
      <c r="K303" s="17" t="str">
        <f t="shared" si="32"/>
        <v/>
      </c>
      <c r="L303" s="17" t="str">
        <f t="shared" si="33"/>
        <v/>
      </c>
    </row>
    <row r="304" spans="1:12">
      <c r="A304" s="17">
        <v>295</v>
      </c>
      <c r="B304" s="17">
        <v>6</v>
      </c>
      <c r="C304" s="17">
        <v>6</v>
      </c>
      <c r="D304" s="17" t="s">
        <v>366</v>
      </c>
      <c r="E304" s="17">
        <v>27</v>
      </c>
      <c r="F304" s="17">
        <f t="shared" si="34"/>
        <v>3</v>
      </c>
      <c r="G304" s="19">
        <f t="shared" si="28"/>
        <v>44.976666666666667</v>
      </c>
      <c r="H304" s="19">
        <f t="shared" si="29"/>
        <v>88.250344884840729</v>
      </c>
      <c r="I304" s="19">
        <f t="shared" si="30"/>
        <v>53.157040133779255</v>
      </c>
      <c r="J304" s="19">
        <f t="shared" si="31"/>
        <v>16.270903010033443</v>
      </c>
      <c r="K304" s="17" t="str">
        <f t="shared" si="32"/>
        <v/>
      </c>
      <c r="L304" s="17" t="str">
        <f t="shared" si="33"/>
        <v/>
      </c>
    </row>
    <row r="305" spans="1:12">
      <c r="A305" s="17">
        <v>296</v>
      </c>
      <c r="B305" s="17">
        <v>6</v>
      </c>
      <c r="C305" s="17">
        <v>5</v>
      </c>
      <c r="D305" s="17" t="s">
        <v>367</v>
      </c>
      <c r="E305" s="17">
        <v>22</v>
      </c>
      <c r="F305" s="17">
        <f t="shared" si="34"/>
        <v>5</v>
      </c>
      <c r="G305" s="19">
        <f t="shared" si="28"/>
        <v>44.976666666666667</v>
      </c>
      <c r="H305" s="19">
        <f t="shared" si="29"/>
        <v>88.250344884840729</v>
      </c>
      <c r="I305" s="19">
        <f t="shared" si="30"/>
        <v>53.157040133779255</v>
      </c>
      <c r="J305" s="19">
        <f t="shared" si="31"/>
        <v>16.270903010033443</v>
      </c>
      <c r="K305" s="17" t="str">
        <f t="shared" si="32"/>
        <v/>
      </c>
      <c r="L305" s="17" t="str">
        <f t="shared" si="33"/>
        <v/>
      </c>
    </row>
    <row r="306" spans="1:12">
      <c r="A306" s="17">
        <v>297</v>
      </c>
      <c r="B306" s="17">
        <v>6</v>
      </c>
      <c r="C306" s="17">
        <v>4</v>
      </c>
      <c r="D306" s="17" t="s">
        <v>368</v>
      </c>
      <c r="E306" s="17">
        <v>51</v>
      </c>
      <c r="F306" s="17">
        <f t="shared" si="34"/>
        <v>29</v>
      </c>
      <c r="G306" s="19">
        <f t="shared" si="28"/>
        <v>44.976666666666667</v>
      </c>
      <c r="H306" s="19">
        <f t="shared" si="29"/>
        <v>88.250344884840729</v>
      </c>
      <c r="I306" s="19">
        <f t="shared" si="30"/>
        <v>53.157040133779255</v>
      </c>
      <c r="J306" s="19">
        <f t="shared" si="31"/>
        <v>16.270903010033443</v>
      </c>
      <c r="K306" s="17" t="str">
        <f t="shared" si="32"/>
        <v/>
      </c>
      <c r="L306" s="17" t="str">
        <f t="shared" si="33"/>
        <v/>
      </c>
    </row>
    <row r="307" spans="1:12">
      <c r="A307" s="17">
        <v>298</v>
      </c>
      <c r="B307" s="17">
        <v>6</v>
      </c>
      <c r="C307" s="17">
        <v>3</v>
      </c>
      <c r="D307" s="17" t="s">
        <v>369</v>
      </c>
      <c r="E307" s="17">
        <v>38</v>
      </c>
      <c r="F307" s="17">
        <f t="shared" si="34"/>
        <v>13</v>
      </c>
      <c r="G307" s="19">
        <f t="shared" si="28"/>
        <v>44.976666666666667</v>
      </c>
      <c r="H307" s="19">
        <f t="shared" si="29"/>
        <v>88.250344884840729</v>
      </c>
      <c r="I307" s="19">
        <f t="shared" si="30"/>
        <v>53.157040133779255</v>
      </c>
      <c r="J307" s="19">
        <f t="shared" si="31"/>
        <v>16.270903010033443</v>
      </c>
      <c r="K307" s="17" t="str">
        <f t="shared" si="32"/>
        <v/>
      </c>
      <c r="L307" s="17" t="str">
        <f t="shared" si="33"/>
        <v/>
      </c>
    </row>
    <row r="308" spans="1:12">
      <c r="A308" s="17">
        <v>299</v>
      </c>
      <c r="B308" s="17">
        <v>6</v>
      </c>
      <c r="C308" s="17">
        <v>2</v>
      </c>
      <c r="D308" s="17" t="s">
        <v>370</v>
      </c>
      <c r="E308" s="17">
        <v>56</v>
      </c>
      <c r="F308" s="17">
        <f t="shared" si="34"/>
        <v>18</v>
      </c>
      <c r="G308" s="19">
        <f t="shared" si="28"/>
        <v>44.976666666666667</v>
      </c>
      <c r="H308" s="19">
        <f t="shared" si="29"/>
        <v>88.250344884840729</v>
      </c>
      <c r="I308" s="19">
        <f t="shared" si="30"/>
        <v>53.157040133779255</v>
      </c>
      <c r="J308" s="19">
        <f t="shared" si="31"/>
        <v>16.270903010033443</v>
      </c>
      <c r="K308" s="17" t="str">
        <f t="shared" si="32"/>
        <v/>
      </c>
      <c r="L308" s="17" t="str">
        <f t="shared" si="33"/>
        <v/>
      </c>
    </row>
    <row r="309" spans="1:12">
      <c r="A309" s="17">
        <v>300</v>
      </c>
      <c r="B309" s="17">
        <v>6</v>
      </c>
      <c r="C309" s="17">
        <v>1</v>
      </c>
      <c r="D309" s="17" t="s">
        <v>371</v>
      </c>
      <c r="E309" s="17">
        <v>47</v>
      </c>
      <c r="F309" s="17">
        <f t="shared" si="34"/>
        <v>9</v>
      </c>
      <c r="G309" s="19">
        <f t="shared" si="28"/>
        <v>44.976666666666667</v>
      </c>
      <c r="H309" s="19">
        <f t="shared" si="29"/>
        <v>88.250344884840729</v>
      </c>
      <c r="I309" s="19">
        <f t="shared" si="30"/>
        <v>53.157040133779255</v>
      </c>
      <c r="J309" s="19">
        <f t="shared" si="31"/>
        <v>16.270903010033443</v>
      </c>
      <c r="K309" s="17" t="str">
        <f t="shared" si="32"/>
        <v/>
      </c>
      <c r="L309" s="17" t="str">
        <f t="shared" si="33"/>
        <v/>
      </c>
    </row>
  </sheetData>
  <mergeCells count="6">
    <mergeCell ref="B5:D5"/>
    <mergeCell ref="A1:M1"/>
    <mergeCell ref="P1:Q1"/>
    <mergeCell ref="A2:D2"/>
    <mergeCell ref="B3:D3"/>
    <mergeCell ref="B4:D4"/>
  </mergeCells>
  <phoneticPr fontId="4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9"/>
  <sheetViews>
    <sheetView showGridLines="0" workbookViewId="0">
      <pane ySplit="9" topLeftCell="A10" activePane="bottomLeft" state="frozen"/>
      <selection pane="bottomLeft" activeCell="N3" sqref="N3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>
      <c r="A1" s="71" t="s">
        <v>689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59" t="s">
        <v>47</v>
      </c>
      <c r="Q1" s="69"/>
    </row>
    <row r="2" spans="1:17" ht="15.75" customHeight="1">
      <c r="A2" s="62" t="s">
        <v>46</v>
      </c>
      <c r="B2" s="63"/>
      <c r="C2" s="63"/>
      <c r="D2" s="63"/>
      <c r="P2" s="16" t="s">
        <v>48</v>
      </c>
      <c r="Q2" s="17">
        <f>COUNT(E10:E309)</f>
        <v>300</v>
      </c>
    </row>
    <row r="3" spans="1:17">
      <c r="A3" s="16" t="s">
        <v>23</v>
      </c>
      <c r="B3" s="70">
        <v>200</v>
      </c>
      <c r="C3" s="63"/>
      <c r="D3" s="63"/>
      <c r="P3" s="16" t="s">
        <v>24</v>
      </c>
      <c r="Q3" s="17">
        <f>AVERAGE(E10:E309)</f>
        <v>55.923333333333332</v>
      </c>
    </row>
    <row r="4" spans="1:17" ht="31.5">
      <c r="A4" s="16" t="s">
        <v>49</v>
      </c>
      <c r="B4" s="66">
        <v>1.1279999999999999</v>
      </c>
      <c r="C4" s="63"/>
      <c r="D4" s="63"/>
      <c r="P4" s="16" t="s">
        <v>53</v>
      </c>
      <c r="Q4" s="17">
        <f>IFERROR(AVERAGE(F11:F309),0)</f>
        <v>15.993311036789297</v>
      </c>
    </row>
    <row r="5" spans="1:17" ht="63">
      <c r="A5" s="16" t="s">
        <v>52</v>
      </c>
      <c r="B5" s="66">
        <v>3.2669999999999999</v>
      </c>
      <c r="C5" s="63"/>
      <c r="D5" s="63"/>
      <c r="P5" s="16" t="s">
        <v>679</v>
      </c>
      <c r="Q5" s="17">
        <f>Q4/$B$4</f>
        <v>14.178467231196187</v>
      </c>
    </row>
    <row r="6" spans="1:17">
      <c r="P6" s="16" t="s">
        <v>680</v>
      </c>
      <c r="Q6" s="17">
        <f>Q3+3*Q5</f>
        <v>98.458735026921886</v>
      </c>
    </row>
    <row r="7" spans="1:17">
      <c r="P7" s="16" t="s">
        <v>681</v>
      </c>
      <c r="Q7" s="17">
        <f>$B$5*Q4</f>
        <v>52.250147157190632</v>
      </c>
    </row>
    <row r="8" spans="1:17">
      <c r="P8" s="16" t="s">
        <v>682</v>
      </c>
      <c r="Q8" s="17">
        <f>($B$3-Q3)/(3*Q5)</f>
        <v>3.3872177275895714</v>
      </c>
    </row>
    <row r="9" spans="1:17" ht="31.5">
      <c r="A9" s="18" t="s">
        <v>57</v>
      </c>
      <c r="B9" s="18" t="s">
        <v>59</v>
      </c>
      <c r="C9" s="18" t="s">
        <v>60</v>
      </c>
      <c r="D9" s="18" t="s">
        <v>61</v>
      </c>
      <c r="E9" s="18" t="s">
        <v>62</v>
      </c>
      <c r="F9" s="18" t="s">
        <v>63</v>
      </c>
      <c r="G9" s="18" t="s">
        <v>64</v>
      </c>
      <c r="H9" s="18" t="s">
        <v>65</v>
      </c>
      <c r="I9" s="18" t="s">
        <v>66</v>
      </c>
      <c r="J9" s="18" t="s">
        <v>67</v>
      </c>
      <c r="K9" s="18" t="s">
        <v>68</v>
      </c>
      <c r="L9" s="18" t="s">
        <v>69</v>
      </c>
      <c r="P9" s="16" t="s">
        <v>683</v>
      </c>
      <c r="Q9" s="17">
        <f>($B$3-Q3)/(3*_xlfn.STDEV.S(E10:E309))</f>
        <v>1.6271456829089366</v>
      </c>
    </row>
    <row r="10" spans="1:17">
      <c r="A10" s="17">
        <v>1</v>
      </c>
      <c r="B10" s="17">
        <v>1</v>
      </c>
      <c r="C10" s="17">
        <v>25</v>
      </c>
      <c r="D10" s="17" t="s">
        <v>373</v>
      </c>
      <c r="E10" s="17">
        <v>33</v>
      </c>
      <c r="F10" s="17"/>
      <c r="G10" s="1">
        <f t="shared" ref="G10:G73" si="0">$Q$3</f>
        <v>55.923333333333332</v>
      </c>
      <c r="H10" s="1">
        <f t="shared" ref="H10:H73" si="1">$Q$6</f>
        <v>98.458735026921886</v>
      </c>
      <c r="I10" s="1">
        <f t="shared" ref="I10:I73" si="2">$Q$7</f>
        <v>52.250147157190632</v>
      </c>
      <c r="J10" s="1">
        <f t="shared" ref="J10:J73" si="3">$Q$4</f>
        <v>15.993311036789297</v>
      </c>
      <c r="K10" s="17" t="str">
        <f t="shared" ref="K10:K73" si="4">IF(E10&gt;$Q$6,"OOC","" )</f>
        <v/>
      </c>
      <c r="L10" s="17" t="str">
        <f>IF(E10&gt;$B$3,"OOS","" )</f>
        <v/>
      </c>
    </row>
    <row r="11" spans="1:17">
      <c r="A11" s="17">
        <v>2</v>
      </c>
      <c r="B11" s="17">
        <v>1</v>
      </c>
      <c r="C11" s="17">
        <v>24</v>
      </c>
      <c r="D11" s="17" t="s">
        <v>374</v>
      </c>
      <c r="E11" s="17">
        <v>49</v>
      </c>
      <c r="F11" s="17">
        <f>ABS(E11-E10)</f>
        <v>16</v>
      </c>
      <c r="G11" s="1">
        <f t="shared" si="0"/>
        <v>55.923333333333332</v>
      </c>
      <c r="H11" s="1">
        <f t="shared" si="1"/>
        <v>98.458735026921886</v>
      </c>
      <c r="I11" s="1">
        <f t="shared" si="2"/>
        <v>52.250147157190632</v>
      </c>
      <c r="J11" s="1">
        <f t="shared" si="3"/>
        <v>15.993311036789297</v>
      </c>
      <c r="K11" s="17" t="str">
        <f t="shared" si="4"/>
        <v/>
      </c>
      <c r="L11" s="17" t="str">
        <f t="shared" ref="L11:L73" si="5">IF(E11&gt;$B$3,"OOS","" )</f>
        <v/>
      </c>
    </row>
    <row r="12" spans="1:17">
      <c r="A12" s="17">
        <v>3</v>
      </c>
      <c r="B12" s="17">
        <v>1</v>
      </c>
      <c r="C12" s="17">
        <v>23</v>
      </c>
      <c r="D12" s="17" t="s">
        <v>375</v>
      </c>
      <c r="E12" s="17">
        <v>72</v>
      </c>
      <c r="F12" s="17">
        <f t="shared" ref="F12:F74" si="6">ABS(E12-E11)</f>
        <v>23</v>
      </c>
      <c r="G12" s="1">
        <f t="shared" si="0"/>
        <v>55.923333333333332</v>
      </c>
      <c r="H12" s="1">
        <f t="shared" si="1"/>
        <v>98.458735026921886</v>
      </c>
      <c r="I12" s="1">
        <f t="shared" si="2"/>
        <v>52.250147157190632</v>
      </c>
      <c r="J12" s="1">
        <f t="shared" si="3"/>
        <v>15.993311036789297</v>
      </c>
      <c r="K12" s="17" t="str">
        <f t="shared" si="4"/>
        <v/>
      </c>
      <c r="L12" s="17" t="str">
        <f t="shared" si="5"/>
        <v/>
      </c>
    </row>
    <row r="13" spans="1:17">
      <c r="A13" s="17">
        <v>4</v>
      </c>
      <c r="B13" s="17">
        <v>1</v>
      </c>
      <c r="C13" s="17">
        <v>22</v>
      </c>
      <c r="D13" s="17" t="s">
        <v>376</v>
      </c>
      <c r="E13" s="17">
        <v>53</v>
      </c>
      <c r="F13" s="17">
        <f t="shared" si="6"/>
        <v>19</v>
      </c>
      <c r="G13" s="1">
        <f t="shared" si="0"/>
        <v>55.923333333333332</v>
      </c>
      <c r="H13" s="1">
        <f t="shared" si="1"/>
        <v>98.458735026921886</v>
      </c>
      <c r="I13" s="1">
        <f t="shared" si="2"/>
        <v>52.250147157190632</v>
      </c>
      <c r="J13" s="1">
        <f t="shared" si="3"/>
        <v>15.993311036789297</v>
      </c>
      <c r="K13" s="17" t="str">
        <f t="shared" si="4"/>
        <v/>
      </c>
      <c r="L13" s="17" t="str">
        <f t="shared" si="5"/>
        <v/>
      </c>
    </row>
    <row r="14" spans="1:17">
      <c r="A14" s="17">
        <v>5</v>
      </c>
      <c r="B14" s="17">
        <v>1</v>
      </c>
      <c r="C14" s="17">
        <v>21</v>
      </c>
      <c r="D14" s="17" t="s">
        <v>377</v>
      </c>
      <c r="E14" s="17">
        <v>48</v>
      </c>
      <c r="F14" s="17">
        <f t="shared" si="6"/>
        <v>5</v>
      </c>
      <c r="G14" s="1">
        <f t="shared" si="0"/>
        <v>55.923333333333332</v>
      </c>
      <c r="H14" s="1">
        <f t="shared" si="1"/>
        <v>98.458735026921886</v>
      </c>
      <c r="I14" s="1">
        <f t="shared" si="2"/>
        <v>52.250147157190632</v>
      </c>
      <c r="J14" s="1">
        <f t="shared" si="3"/>
        <v>15.993311036789297</v>
      </c>
      <c r="K14" s="17" t="str">
        <f t="shared" si="4"/>
        <v/>
      </c>
      <c r="L14" s="17" t="str">
        <f t="shared" si="5"/>
        <v/>
      </c>
    </row>
    <row r="15" spans="1:17">
      <c r="A15" s="17">
        <v>6</v>
      </c>
      <c r="B15" s="17">
        <v>1</v>
      </c>
      <c r="C15" s="17">
        <v>20</v>
      </c>
      <c r="D15" s="17" t="s">
        <v>378</v>
      </c>
      <c r="E15" s="17">
        <v>76</v>
      </c>
      <c r="F15" s="17">
        <f t="shared" si="6"/>
        <v>28</v>
      </c>
      <c r="G15" s="1">
        <f t="shared" si="0"/>
        <v>55.923333333333332</v>
      </c>
      <c r="H15" s="1">
        <f t="shared" si="1"/>
        <v>98.458735026921886</v>
      </c>
      <c r="I15" s="1">
        <f t="shared" si="2"/>
        <v>52.250147157190632</v>
      </c>
      <c r="J15" s="1">
        <f t="shared" si="3"/>
        <v>15.993311036789297</v>
      </c>
      <c r="K15" s="17" t="str">
        <f t="shared" si="4"/>
        <v/>
      </c>
      <c r="L15" s="17" t="str">
        <f t="shared" si="5"/>
        <v/>
      </c>
    </row>
    <row r="16" spans="1:17">
      <c r="A16" s="17">
        <v>7</v>
      </c>
      <c r="B16" s="17">
        <v>1</v>
      </c>
      <c r="C16" s="17">
        <v>19</v>
      </c>
      <c r="D16" s="17" t="s">
        <v>379</v>
      </c>
      <c r="E16" s="17">
        <v>88</v>
      </c>
      <c r="F16" s="17">
        <f t="shared" si="6"/>
        <v>12</v>
      </c>
      <c r="G16" s="1">
        <f t="shared" si="0"/>
        <v>55.923333333333332</v>
      </c>
      <c r="H16" s="1">
        <f t="shared" si="1"/>
        <v>98.458735026921886</v>
      </c>
      <c r="I16" s="1">
        <f t="shared" si="2"/>
        <v>52.250147157190632</v>
      </c>
      <c r="J16" s="1">
        <f t="shared" si="3"/>
        <v>15.993311036789297</v>
      </c>
      <c r="K16" s="17" t="str">
        <f t="shared" si="4"/>
        <v/>
      </c>
      <c r="L16" s="17" t="str">
        <f t="shared" si="5"/>
        <v/>
      </c>
    </row>
    <row r="17" spans="1:12">
      <c r="A17" s="17">
        <v>8</v>
      </c>
      <c r="B17" s="17">
        <v>1</v>
      </c>
      <c r="C17" s="17">
        <v>18</v>
      </c>
      <c r="D17" s="17" t="s">
        <v>380</v>
      </c>
      <c r="E17" s="17">
        <v>51</v>
      </c>
      <c r="F17" s="17">
        <f t="shared" si="6"/>
        <v>37</v>
      </c>
      <c r="G17" s="1">
        <f t="shared" si="0"/>
        <v>55.923333333333332</v>
      </c>
      <c r="H17" s="1">
        <f t="shared" si="1"/>
        <v>98.458735026921886</v>
      </c>
      <c r="I17" s="1">
        <f t="shared" si="2"/>
        <v>52.250147157190632</v>
      </c>
      <c r="J17" s="1">
        <f t="shared" si="3"/>
        <v>15.993311036789297</v>
      </c>
      <c r="K17" s="17" t="str">
        <f t="shared" si="4"/>
        <v/>
      </c>
      <c r="L17" s="17" t="str">
        <f t="shared" si="5"/>
        <v/>
      </c>
    </row>
    <row r="18" spans="1:12">
      <c r="A18" s="17">
        <v>9</v>
      </c>
      <c r="B18" s="17">
        <v>1</v>
      </c>
      <c r="C18" s="17">
        <v>17</v>
      </c>
      <c r="D18" s="17" t="s">
        <v>381</v>
      </c>
      <c r="E18" s="17">
        <v>73</v>
      </c>
      <c r="F18" s="17">
        <f t="shared" si="6"/>
        <v>22</v>
      </c>
      <c r="G18" s="1">
        <f t="shared" si="0"/>
        <v>55.923333333333332</v>
      </c>
      <c r="H18" s="1">
        <f t="shared" si="1"/>
        <v>98.458735026921886</v>
      </c>
      <c r="I18" s="1">
        <f t="shared" si="2"/>
        <v>52.250147157190632</v>
      </c>
      <c r="J18" s="1">
        <f t="shared" si="3"/>
        <v>15.993311036789297</v>
      </c>
      <c r="K18" s="17" t="str">
        <f t="shared" si="4"/>
        <v/>
      </c>
      <c r="L18" s="17" t="str">
        <f t="shared" si="5"/>
        <v/>
      </c>
    </row>
    <row r="19" spans="1:12">
      <c r="A19" s="17">
        <v>10</v>
      </c>
      <c r="B19" s="17">
        <v>1</v>
      </c>
      <c r="C19" s="17">
        <v>16</v>
      </c>
      <c r="D19" s="17" t="s">
        <v>382</v>
      </c>
      <c r="E19" s="17">
        <v>59</v>
      </c>
      <c r="F19" s="17">
        <f t="shared" si="6"/>
        <v>14</v>
      </c>
      <c r="G19" s="1">
        <f t="shared" si="0"/>
        <v>55.923333333333332</v>
      </c>
      <c r="H19" s="1">
        <f t="shared" si="1"/>
        <v>98.458735026921886</v>
      </c>
      <c r="I19" s="1">
        <f t="shared" si="2"/>
        <v>52.250147157190632</v>
      </c>
      <c r="J19" s="1">
        <f t="shared" si="3"/>
        <v>15.993311036789297</v>
      </c>
      <c r="K19" s="17" t="str">
        <f t="shared" si="4"/>
        <v/>
      </c>
      <c r="L19" s="17" t="str">
        <f t="shared" si="5"/>
        <v/>
      </c>
    </row>
    <row r="20" spans="1:12">
      <c r="A20" s="17">
        <v>11</v>
      </c>
      <c r="B20" s="17">
        <v>1</v>
      </c>
      <c r="C20" s="17">
        <v>15</v>
      </c>
      <c r="D20" s="17" t="s">
        <v>383</v>
      </c>
      <c r="E20" s="17">
        <v>78</v>
      </c>
      <c r="F20" s="17">
        <f t="shared" si="6"/>
        <v>19</v>
      </c>
      <c r="G20" s="1">
        <f t="shared" si="0"/>
        <v>55.923333333333332</v>
      </c>
      <c r="H20" s="1">
        <f t="shared" si="1"/>
        <v>98.458735026921886</v>
      </c>
      <c r="I20" s="1">
        <f t="shared" si="2"/>
        <v>52.250147157190632</v>
      </c>
      <c r="J20" s="1">
        <f t="shared" si="3"/>
        <v>15.993311036789297</v>
      </c>
      <c r="K20" s="17" t="str">
        <f t="shared" si="4"/>
        <v/>
      </c>
      <c r="L20" s="17" t="str">
        <f t="shared" si="5"/>
        <v/>
      </c>
    </row>
    <row r="21" spans="1:12">
      <c r="A21" s="17">
        <v>12</v>
      </c>
      <c r="B21" s="17">
        <v>1</v>
      </c>
      <c r="C21" s="17">
        <v>14</v>
      </c>
      <c r="D21" s="17" t="s">
        <v>384</v>
      </c>
      <c r="E21" s="17">
        <v>88</v>
      </c>
      <c r="F21" s="17">
        <f t="shared" si="6"/>
        <v>10</v>
      </c>
      <c r="G21" s="1">
        <f t="shared" si="0"/>
        <v>55.923333333333332</v>
      </c>
      <c r="H21" s="1">
        <f t="shared" si="1"/>
        <v>98.458735026921886</v>
      </c>
      <c r="I21" s="1">
        <f t="shared" si="2"/>
        <v>52.250147157190632</v>
      </c>
      <c r="J21" s="1">
        <f t="shared" si="3"/>
        <v>15.993311036789297</v>
      </c>
      <c r="K21" s="17" t="str">
        <f t="shared" si="4"/>
        <v/>
      </c>
      <c r="L21" s="17" t="str">
        <f t="shared" si="5"/>
        <v/>
      </c>
    </row>
    <row r="22" spans="1:12">
      <c r="A22" s="17">
        <v>13</v>
      </c>
      <c r="B22" s="17">
        <v>1</v>
      </c>
      <c r="C22" s="17">
        <v>13</v>
      </c>
      <c r="D22" s="17" t="s">
        <v>385</v>
      </c>
      <c r="E22" s="17">
        <v>98</v>
      </c>
      <c r="F22" s="17">
        <f t="shared" si="6"/>
        <v>10</v>
      </c>
      <c r="G22" s="1">
        <f t="shared" si="0"/>
        <v>55.923333333333332</v>
      </c>
      <c r="H22" s="1">
        <f t="shared" si="1"/>
        <v>98.458735026921886</v>
      </c>
      <c r="I22" s="1">
        <f t="shared" si="2"/>
        <v>52.250147157190632</v>
      </c>
      <c r="J22" s="1">
        <f t="shared" si="3"/>
        <v>15.993311036789297</v>
      </c>
      <c r="K22" s="17" t="str">
        <f t="shared" si="4"/>
        <v/>
      </c>
      <c r="L22" s="17" t="str">
        <f t="shared" si="5"/>
        <v/>
      </c>
    </row>
    <row r="23" spans="1:12">
      <c r="A23" s="17">
        <v>14</v>
      </c>
      <c r="B23" s="17">
        <v>1</v>
      </c>
      <c r="C23" s="17">
        <v>12</v>
      </c>
      <c r="D23" s="17" t="s">
        <v>386</v>
      </c>
      <c r="E23" s="17">
        <v>43</v>
      </c>
      <c r="F23" s="17">
        <f t="shared" si="6"/>
        <v>55</v>
      </c>
      <c r="G23" s="1">
        <f t="shared" si="0"/>
        <v>55.923333333333332</v>
      </c>
      <c r="H23" s="1">
        <f t="shared" si="1"/>
        <v>98.458735026921886</v>
      </c>
      <c r="I23" s="1">
        <f t="shared" si="2"/>
        <v>52.250147157190632</v>
      </c>
      <c r="J23" s="1">
        <f t="shared" si="3"/>
        <v>15.993311036789297</v>
      </c>
      <c r="K23" s="17" t="str">
        <f t="shared" si="4"/>
        <v/>
      </c>
      <c r="L23" s="17" t="str">
        <f t="shared" si="5"/>
        <v/>
      </c>
    </row>
    <row r="24" spans="1:12">
      <c r="A24" s="17">
        <v>15</v>
      </c>
      <c r="B24" s="17">
        <v>1</v>
      </c>
      <c r="C24" s="17">
        <v>11</v>
      </c>
      <c r="D24" s="17" t="s">
        <v>387</v>
      </c>
      <c r="E24" s="17">
        <v>38</v>
      </c>
      <c r="F24" s="17">
        <f t="shared" si="6"/>
        <v>5</v>
      </c>
      <c r="G24" s="1">
        <f t="shared" si="0"/>
        <v>55.923333333333332</v>
      </c>
      <c r="H24" s="1">
        <f t="shared" si="1"/>
        <v>98.458735026921886</v>
      </c>
      <c r="I24" s="1">
        <f t="shared" si="2"/>
        <v>52.250147157190632</v>
      </c>
      <c r="J24" s="1">
        <f t="shared" si="3"/>
        <v>15.993311036789297</v>
      </c>
      <c r="K24" s="17" t="str">
        <f t="shared" si="4"/>
        <v/>
      </c>
      <c r="L24" s="17" t="str">
        <f t="shared" si="5"/>
        <v/>
      </c>
    </row>
    <row r="25" spans="1:12">
      <c r="A25" s="17">
        <v>16</v>
      </c>
      <c r="B25" s="17">
        <v>1</v>
      </c>
      <c r="C25" s="17">
        <v>10</v>
      </c>
      <c r="D25" s="17" t="s">
        <v>388</v>
      </c>
      <c r="E25" s="17">
        <v>19</v>
      </c>
      <c r="F25" s="17">
        <f t="shared" si="6"/>
        <v>19</v>
      </c>
      <c r="G25" s="1">
        <f t="shared" si="0"/>
        <v>55.923333333333332</v>
      </c>
      <c r="H25" s="1">
        <f t="shared" si="1"/>
        <v>98.458735026921886</v>
      </c>
      <c r="I25" s="1">
        <f t="shared" si="2"/>
        <v>52.250147157190632</v>
      </c>
      <c r="J25" s="1">
        <f t="shared" si="3"/>
        <v>15.993311036789297</v>
      </c>
      <c r="K25" s="17" t="str">
        <f t="shared" si="4"/>
        <v/>
      </c>
      <c r="L25" s="17" t="str">
        <f t="shared" si="5"/>
        <v/>
      </c>
    </row>
    <row r="26" spans="1:12">
      <c r="A26" s="17">
        <v>17</v>
      </c>
      <c r="B26" s="17">
        <v>1</v>
      </c>
      <c r="C26" s="17">
        <v>9</v>
      </c>
      <c r="D26" s="17" t="s">
        <v>389</v>
      </c>
      <c r="E26" s="17">
        <v>48</v>
      </c>
      <c r="F26" s="17">
        <f t="shared" si="6"/>
        <v>29</v>
      </c>
      <c r="G26" s="1">
        <f t="shared" si="0"/>
        <v>55.923333333333332</v>
      </c>
      <c r="H26" s="1">
        <f t="shared" si="1"/>
        <v>98.458735026921886</v>
      </c>
      <c r="I26" s="1">
        <f t="shared" si="2"/>
        <v>52.250147157190632</v>
      </c>
      <c r="J26" s="1">
        <f t="shared" si="3"/>
        <v>15.993311036789297</v>
      </c>
      <c r="K26" s="17" t="str">
        <f t="shared" si="4"/>
        <v/>
      </c>
      <c r="L26" s="17" t="str">
        <f t="shared" si="5"/>
        <v/>
      </c>
    </row>
    <row r="27" spans="1:12">
      <c r="A27" s="17">
        <v>18</v>
      </c>
      <c r="B27" s="17">
        <v>1</v>
      </c>
      <c r="C27" s="17">
        <v>8</v>
      </c>
      <c r="D27" s="17" t="s">
        <v>390</v>
      </c>
      <c r="E27" s="17">
        <v>32</v>
      </c>
      <c r="F27" s="17">
        <f t="shared" si="6"/>
        <v>16</v>
      </c>
      <c r="G27" s="1">
        <f t="shared" si="0"/>
        <v>55.923333333333332</v>
      </c>
      <c r="H27" s="1">
        <f t="shared" si="1"/>
        <v>98.458735026921886</v>
      </c>
      <c r="I27" s="1">
        <f t="shared" si="2"/>
        <v>52.250147157190632</v>
      </c>
      <c r="J27" s="1">
        <f t="shared" si="3"/>
        <v>15.993311036789297</v>
      </c>
      <c r="K27" s="17" t="str">
        <f t="shared" si="4"/>
        <v/>
      </c>
      <c r="L27" s="17" t="str">
        <f t="shared" si="5"/>
        <v/>
      </c>
    </row>
    <row r="28" spans="1:12">
      <c r="A28" s="17">
        <v>19</v>
      </c>
      <c r="B28" s="17">
        <v>1</v>
      </c>
      <c r="C28" s="17">
        <v>7</v>
      </c>
      <c r="D28" s="17" t="s">
        <v>391</v>
      </c>
      <c r="E28" s="17">
        <v>54</v>
      </c>
      <c r="F28" s="17">
        <f t="shared" si="6"/>
        <v>22</v>
      </c>
      <c r="G28" s="1">
        <f t="shared" si="0"/>
        <v>55.923333333333332</v>
      </c>
      <c r="H28" s="1">
        <f t="shared" si="1"/>
        <v>98.458735026921886</v>
      </c>
      <c r="I28" s="1">
        <f t="shared" si="2"/>
        <v>52.250147157190632</v>
      </c>
      <c r="J28" s="1">
        <f t="shared" si="3"/>
        <v>15.993311036789297</v>
      </c>
      <c r="K28" s="17" t="str">
        <f t="shared" si="4"/>
        <v/>
      </c>
      <c r="L28" s="17" t="str">
        <f t="shared" si="5"/>
        <v/>
      </c>
    </row>
    <row r="29" spans="1:12">
      <c r="A29" s="17">
        <v>20</v>
      </c>
      <c r="B29" s="17">
        <v>1</v>
      </c>
      <c r="C29" s="17">
        <v>6</v>
      </c>
      <c r="D29" s="17" t="s">
        <v>392</v>
      </c>
      <c r="E29" s="17">
        <v>34</v>
      </c>
      <c r="F29" s="17">
        <f t="shared" si="6"/>
        <v>20</v>
      </c>
      <c r="G29" s="1">
        <f t="shared" si="0"/>
        <v>55.923333333333332</v>
      </c>
      <c r="H29" s="1">
        <f t="shared" si="1"/>
        <v>98.458735026921886</v>
      </c>
      <c r="I29" s="1">
        <f t="shared" si="2"/>
        <v>52.250147157190632</v>
      </c>
      <c r="J29" s="1">
        <f t="shared" si="3"/>
        <v>15.993311036789297</v>
      </c>
      <c r="K29" s="17" t="str">
        <f t="shared" si="4"/>
        <v/>
      </c>
      <c r="L29" s="17" t="str">
        <f t="shared" si="5"/>
        <v/>
      </c>
    </row>
    <row r="30" spans="1:12">
      <c r="A30" s="17">
        <v>21</v>
      </c>
      <c r="B30" s="17">
        <v>1</v>
      </c>
      <c r="C30" s="17">
        <v>5</v>
      </c>
      <c r="D30" s="17" t="s">
        <v>393</v>
      </c>
      <c r="E30" s="17">
        <v>37</v>
      </c>
      <c r="F30" s="17">
        <f t="shared" si="6"/>
        <v>3</v>
      </c>
      <c r="G30" s="1">
        <f t="shared" si="0"/>
        <v>55.923333333333332</v>
      </c>
      <c r="H30" s="1">
        <f t="shared" si="1"/>
        <v>98.458735026921886</v>
      </c>
      <c r="I30" s="1">
        <f t="shared" si="2"/>
        <v>52.250147157190632</v>
      </c>
      <c r="J30" s="1">
        <f t="shared" si="3"/>
        <v>15.993311036789297</v>
      </c>
      <c r="K30" s="17" t="str">
        <f t="shared" si="4"/>
        <v/>
      </c>
      <c r="L30" s="17" t="str">
        <f t="shared" si="5"/>
        <v/>
      </c>
    </row>
    <row r="31" spans="1:12">
      <c r="A31" s="17">
        <v>22</v>
      </c>
      <c r="B31" s="17">
        <v>1</v>
      </c>
      <c r="C31" s="17">
        <v>4</v>
      </c>
      <c r="D31" s="17" t="s">
        <v>394</v>
      </c>
      <c r="E31" s="17">
        <v>27</v>
      </c>
      <c r="F31" s="17">
        <f t="shared" si="6"/>
        <v>10</v>
      </c>
      <c r="G31" s="1">
        <f t="shared" si="0"/>
        <v>55.923333333333332</v>
      </c>
      <c r="H31" s="1">
        <f t="shared" si="1"/>
        <v>98.458735026921886</v>
      </c>
      <c r="I31" s="1">
        <f t="shared" si="2"/>
        <v>52.250147157190632</v>
      </c>
      <c r="J31" s="1">
        <f t="shared" si="3"/>
        <v>15.993311036789297</v>
      </c>
      <c r="K31" s="17" t="str">
        <f t="shared" si="4"/>
        <v/>
      </c>
      <c r="L31" s="17" t="str">
        <f t="shared" si="5"/>
        <v/>
      </c>
    </row>
    <row r="32" spans="1:12">
      <c r="A32" s="17">
        <v>23</v>
      </c>
      <c r="B32" s="17">
        <v>1</v>
      </c>
      <c r="C32" s="17">
        <v>3</v>
      </c>
      <c r="D32" s="17" t="s">
        <v>395</v>
      </c>
      <c r="E32" s="17">
        <v>31</v>
      </c>
      <c r="F32" s="17">
        <f t="shared" si="6"/>
        <v>4</v>
      </c>
      <c r="G32" s="1">
        <f t="shared" si="0"/>
        <v>55.923333333333332</v>
      </c>
      <c r="H32" s="1">
        <f t="shared" si="1"/>
        <v>98.458735026921886</v>
      </c>
      <c r="I32" s="1">
        <f t="shared" si="2"/>
        <v>52.250147157190632</v>
      </c>
      <c r="J32" s="1">
        <f t="shared" si="3"/>
        <v>15.993311036789297</v>
      </c>
      <c r="K32" s="17" t="str">
        <f t="shared" si="4"/>
        <v/>
      </c>
      <c r="L32" s="17" t="str">
        <f t="shared" si="5"/>
        <v/>
      </c>
    </row>
    <row r="33" spans="1:12">
      <c r="A33" s="17">
        <v>24</v>
      </c>
      <c r="B33" s="17">
        <v>1</v>
      </c>
      <c r="C33" s="17">
        <v>2</v>
      </c>
      <c r="D33" s="17" t="s">
        <v>396</v>
      </c>
      <c r="E33" s="17">
        <v>37</v>
      </c>
      <c r="F33" s="17">
        <f t="shared" si="6"/>
        <v>6</v>
      </c>
      <c r="G33" s="1">
        <f t="shared" si="0"/>
        <v>55.923333333333332</v>
      </c>
      <c r="H33" s="1">
        <f t="shared" si="1"/>
        <v>98.458735026921886</v>
      </c>
      <c r="I33" s="1">
        <f t="shared" si="2"/>
        <v>52.250147157190632</v>
      </c>
      <c r="J33" s="1">
        <f t="shared" si="3"/>
        <v>15.993311036789297</v>
      </c>
      <c r="K33" s="17" t="str">
        <f t="shared" si="4"/>
        <v/>
      </c>
      <c r="L33" s="17" t="str">
        <f t="shared" si="5"/>
        <v/>
      </c>
    </row>
    <row r="34" spans="1:12">
      <c r="A34" s="17">
        <v>25</v>
      </c>
      <c r="B34" s="17">
        <v>1</v>
      </c>
      <c r="C34" s="17">
        <v>1</v>
      </c>
      <c r="D34" s="17" t="s">
        <v>397</v>
      </c>
      <c r="E34" s="17">
        <v>30</v>
      </c>
      <c r="F34" s="17">
        <f t="shared" si="6"/>
        <v>7</v>
      </c>
      <c r="G34" s="1">
        <f t="shared" si="0"/>
        <v>55.923333333333332</v>
      </c>
      <c r="H34" s="1">
        <f t="shared" si="1"/>
        <v>98.458735026921886</v>
      </c>
      <c r="I34" s="1">
        <f t="shared" si="2"/>
        <v>52.250147157190632</v>
      </c>
      <c r="J34" s="1">
        <f t="shared" si="3"/>
        <v>15.993311036789297</v>
      </c>
      <c r="K34" s="17" t="str">
        <f t="shared" si="4"/>
        <v/>
      </c>
      <c r="L34" s="17" t="str">
        <f t="shared" si="5"/>
        <v/>
      </c>
    </row>
    <row r="35" spans="1:12">
      <c r="A35" s="17">
        <v>26</v>
      </c>
      <c r="B35" s="17">
        <v>1</v>
      </c>
      <c r="C35" s="17">
        <v>25</v>
      </c>
      <c r="D35" s="17" t="s">
        <v>398</v>
      </c>
      <c r="E35" s="17">
        <v>51</v>
      </c>
      <c r="F35" s="17">
        <f t="shared" si="6"/>
        <v>21</v>
      </c>
      <c r="G35" s="1">
        <f t="shared" si="0"/>
        <v>55.923333333333332</v>
      </c>
      <c r="H35" s="1">
        <f t="shared" si="1"/>
        <v>98.458735026921886</v>
      </c>
      <c r="I35" s="1">
        <f t="shared" si="2"/>
        <v>52.250147157190632</v>
      </c>
      <c r="J35" s="1">
        <f t="shared" si="3"/>
        <v>15.993311036789297</v>
      </c>
      <c r="K35" s="17" t="str">
        <f t="shared" si="4"/>
        <v/>
      </c>
      <c r="L35" s="17" t="str">
        <f t="shared" si="5"/>
        <v/>
      </c>
    </row>
    <row r="36" spans="1:12">
      <c r="A36" s="17">
        <v>27</v>
      </c>
      <c r="B36" s="17">
        <v>1</v>
      </c>
      <c r="C36" s="17">
        <v>24</v>
      </c>
      <c r="D36" s="17" t="s">
        <v>399</v>
      </c>
      <c r="E36" s="17">
        <v>26</v>
      </c>
      <c r="F36" s="17">
        <f t="shared" si="6"/>
        <v>25</v>
      </c>
      <c r="G36" s="1">
        <f t="shared" si="0"/>
        <v>55.923333333333332</v>
      </c>
      <c r="H36" s="1">
        <f t="shared" si="1"/>
        <v>98.458735026921886</v>
      </c>
      <c r="I36" s="1">
        <f t="shared" si="2"/>
        <v>52.250147157190632</v>
      </c>
      <c r="J36" s="1">
        <f t="shared" si="3"/>
        <v>15.993311036789297</v>
      </c>
      <c r="K36" s="17" t="str">
        <f t="shared" si="4"/>
        <v/>
      </c>
      <c r="L36" s="17" t="str">
        <f t="shared" si="5"/>
        <v/>
      </c>
    </row>
    <row r="37" spans="1:12">
      <c r="A37" s="17">
        <v>28</v>
      </c>
      <c r="B37" s="17">
        <v>1</v>
      </c>
      <c r="C37" s="17">
        <v>23</v>
      </c>
      <c r="D37" s="17" t="s">
        <v>400</v>
      </c>
      <c r="E37" s="17">
        <v>28</v>
      </c>
      <c r="F37" s="17">
        <f t="shared" si="6"/>
        <v>2</v>
      </c>
      <c r="G37" s="1">
        <f t="shared" si="0"/>
        <v>55.923333333333332</v>
      </c>
      <c r="H37" s="1">
        <f t="shared" si="1"/>
        <v>98.458735026921886</v>
      </c>
      <c r="I37" s="1">
        <f t="shared" si="2"/>
        <v>52.250147157190632</v>
      </c>
      <c r="J37" s="1">
        <f t="shared" si="3"/>
        <v>15.993311036789297</v>
      </c>
      <c r="K37" s="17" t="str">
        <f t="shared" si="4"/>
        <v/>
      </c>
      <c r="L37" s="17" t="str">
        <f t="shared" si="5"/>
        <v/>
      </c>
    </row>
    <row r="38" spans="1:12">
      <c r="A38" s="17">
        <v>29</v>
      </c>
      <c r="B38" s="17">
        <v>1</v>
      </c>
      <c r="C38" s="17">
        <v>22</v>
      </c>
      <c r="D38" s="17" t="s">
        <v>401</v>
      </c>
      <c r="E38" s="17">
        <v>35</v>
      </c>
      <c r="F38" s="17">
        <f t="shared" si="6"/>
        <v>7</v>
      </c>
      <c r="G38" s="1">
        <f t="shared" si="0"/>
        <v>55.923333333333332</v>
      </c>
      <c r="H38" s="1">
        <f t="shared" si="1"/>
        <v>98.458735026921886</v>
      </c>
      <c r="I38" s="1">
        <f t="shared" si="2"/>
        <v>52.250147157190632</v>
      </c>
      <c r="J38" s="1">
        <f t="shared" si="3"/>
        <v>15.993311036789297</v>
      </c>
      <c r="K38" s="17" t="str">
        <f t="shared" si="4"/>
        <v/>
      </c>
      <c r="L38" s="17" t="str">
        <f t="shared" si="5"/>
        <v/>
      </c>
    </row>
    <row r="39" spans="1:12">
      <c r="A39" s="17">
        <v>30</v>
      </c>
      <c r="B39" s="17">
        <v>1</v>
      </c>
      <c r="C39" s="17">
        <v>21</v>
      </c>
      <c r="D39" s="17" t="s">
        <v>402</v>
      </c>
      <c r="E39" s="17">
        <v>27</v>
      </c>
      <c r="F39" s="17">
        <f t="shared" si="6"/>
        <v>8</v>
      </c>
      <c r="G39" s="1">
        <f t="shared" si="0"/>
        <v>55.923333333333332</v>
      </c>
      <c r="H39" s="1">
        <f t="shared" si="1"/>
        <v>98.458735026921886</v>
      </c>
      <c r="I39" s="1">
        <f t="shared" si="2"/>
        <v>52.250147157190632</v>
      </c>
      <c r="J39" s="1">
        <f t="shared" si="3"/>
        <v>15.993311036789297</v>
      </c>
      <c r="K39" s="17" t="str">
        <f t="shared" si="4"/>
        <v/>
      </c>
      <c r="L39" s="17" t="str">
        <f t="shared" si="5"/>
        <v/>
      </c>
    </row>
    <row r="40" spans="1:12">
      <c r="A40" s="17">
        <v>31</v>
      </c>
      <c r="B40" s="17">
        <v>1</v>
      </c>
      <c r="C40" s="17">
        <v>20</v>
      </c>
      <c r="D40" s="17" t="s">
        <v>403</v>
      </c>
      <c r="E40" s="17">
        <v>28</v>
      </c>
      <c r="F40" s="17">
        <f t="shared" si="6"/>
        <v>1</v>
      </c>
      <c r="G40" s="1">
        <f t="shared" si="0"/>
        <v>55.923333333333332</v>
      </c>
      <c r="H40" s="1">
        <f t="shared" si="1"/>
        <v>98.458735026921886</v>
      </c>
      <c r="I40" s="1">
        <f t="shared" si="2"/>
        <v>52.250147157190632</v>
      </c>
      <c r="J40" s="1">
        <f t="shared" si="3"/>
        <v>15.993311036789297</v>
      </c>
      <c r="K40" s="17" t="str">
        <f t="shared" si="4"/>
        <v/>
      </c>
      <c r="L40" s="17" t="str">
        <f t="shared" si="5"/>
        <v/>
      </c>
    </row>
    <row r="41" spans="1:12">
      <c r="A41" s="17">
        <v>32</v>
      </c>
      <c r="B41" s="17">
        <v>1</v>
      </c>
      <c r="C41" s="17">
        <v>19</v>
      </c>
      <c r="D41" s="17" t="s">
        <v>404</v>
      </c>
      <c r="E41" s="17">
        <v>41</v>
      </c>
      <c r="F41" s="17">
        <f t="shared" si="6"/>
        <v>13</v>
      </c>
      <c r="G41" s="1">
        <f t="shared" si="0"/>
        <v>55.923333333333332</v>
      </c>
      <c r="H41" s="1">
        <f t="shared" si="1"/>
        <v>98.458735026921886</v>
      </c>
      <c r="I41" s="1">
        <f t="shared" si="2"/>
        <v>52.250147157190632</v>
      </c>
      <c r="J41" s="1">
        <f t="shared" si="3"/>
        <v>15.993311036789297</v>
      </c>
      <c r="K41" s="17" t="str">
        <f t="shared" si="4"/>
        <v/>
      </c>
      <c r="L41" s="17" t="str">
        <f t="shared" si="5"/>
        <v/>
      </c>
    </row>
    <row r="42" spans="1:12">
      <c r="A42" s="17">
        <v>33</v>
      </c>
      <c r="B42" s="17">
        <v>1</v>
      </c>
      <c r="C42" s="17">
        <v>18</v>
      </c>
      <c r="D42" s="17" t="s">
        <v>405</v>
      </c>
      <c r="E42" s="17">
        <v>50</v>
      </c>
      <c r="F42" s="17">
        <f t="shared" si="6"/>
        <v>9</v>
      </c>
      <c r="G42" s="1">
        <f t="shared" si="0"/>
        <v>55.923333333333332</v>
      </c>
      <c r="H42" s="1">
        <f t="shared" si="1"/>
        <v>98.458735026921886</v>
      </c>
      <c r="I42" s="1">
        <f t="shared" si="2"/>
        <v>52.250147157190632</v>
      </c>
      <c r="J42" s="1">
        <f t="shared" si="3"/>
        <v>15.993311036789297</v>
      </c>
      <c r="K42" s="17" t="str">
        <f t="shared" si="4"/>
        <v/>
      </c>
      <c r="L42" s="17" t="str">
        <f t="shared" si="5"/>
        <v/>
      </c>
    </row>
    <row r="43" spans="1:12">
      <c r="A43" s="17">
        <v>34</v>
      </c>
      <c r="B43" s="17">
        <v>1</v>
      </c>
      <c r="C43" s="17">
        <v>17</v>
      </c>
      <c r="D43" s="17" t="s">
        <v>406</v>
      </c>
      <c r="E43" s="17">
        <v>36</v>
      </c>
      <c r="F43" s="17">
        <f t="shared" si="6"/>
        <v>14</v>
      </c>
      <c r="G43" s="1">
        <f t="shared" si="0"/>
        <v>55.923333333333332</v>
      </c>
      <c r="H43" s="1">
        <f t="shared" si="1"/>
        <v>98.458735026921886</v>
      </c>
      <c r="I43" s="1">
        <f t="shared" si="2"/>
        <v>52.250147157190632</v>
      </c>
      <c r="J43" s="1">
        <f t="shared" si="3"/>
        <v>15.993311036789297</v>
      </c>
      <c r="K43" s="17" t="str">
        <f t="shared" si="4"/>
        <v/>
      </c>
      <c r="L43" s="17" t="str">
        <f t="shared" si="5"/>
        <v/>
      </c>
    </row>
    <row r="44" spans="1:12">
      <c r="A44" s="17">
        <v>35</v>
      </c>
      <c r="B44" s="17">
        <v>1</v>
      </c>
      <c r="C44" s="17">
        <v>16</v>
      </c>
      <c r="D44" s="17" t="s">
        <v>407</v>
      </c>
      <c r="E44" s="17">
        <v>44</v>
      </c>
      <c r="F44" s="17">
        <f t="shared" si="6"/>
        <v>8</v>
      </c>
      <c r="G44" s="1">
        <f t="shared" si="0"/>
        <v>55.923333333333332</v>
      </c>
      <c r="H44" s="1">
        <f t="shared" si="1"/>
        <v>98.458735026921886</v>
      </c>
      <c r="I44" s="1">
        <f t="shared" si="2"/>
        <v>52.250147157190632</v>
      </c>
      <c r="J44" s="1">
        <f t="shared" si="3"/>
        <v>15.993311036789297</v>
      </c>
      <c r="K44" s="17" t="str">
        <f t="shared" si="4"/>
        <v/>
      </c>
      <c r="L44" s="17" t="str">
        <f t="shared" si="5"/>
        <v/>
      </c>
    </row>
    <row r="45" spans="1:12">
      <c r="A45" s="17">
        <v>36</v>
      </c>
      <c r="B45" s="17">
        <v>1</v>
      </c>
      <c r="C45" s="17">
        <v>15</v>
      </c>
      <c r="D45" s="17" t="s">
        <v>408</v>
      </c>
      <c r="E45" s="17">
        <v>42</v>
      </c>
      <c r="F45" s="17">
        <f t="shared" si="6"/>
        <v>2</v>
      </c>
      <c r="G45" s="1">
        <f t="shared" si="0"/>
        <v>55.923333333333332</v>
      </c>
      <c r="H45" s="1">
        <f t="shared" si="1"/>
        <v>98.458735026921886</v>
      </c>
      <c r="I45" s="1">
        <f t="shared" si="2"/>
        <v>52.250147157190632</v>
      </c>
      <c r="J45" s="1">
        <f t="shared" si="3"/>
        <v>15.993311036789297</v>
      </c>
      <c r="K45" s="17" t="str">
        <f t="shared" si="4"/>
        <v/>
      </c>
      <c r="L45" s="17" t="str">
        <f t="shared" si="5"/>
        <v/>
      </c>
    </row>
    <row r="46" spans="1:12">
      <c r="A46" s="17">
        <v>37</v>
      </c>
      <c r="B46" s="17">
        <v>1</v>
      </c>
      <c r="C46" s="17">
        <v>14</v>
      </c>
      <c r="D46" s="17" t="s">
        <v>409</v>
      </c>
      <c r="E46" s="17">
        <v>63</v>
      </c>
      <c r="F46" s="17">
        <f t="shared" si="6"/>
        <v>21</v>
      </c>
      <c r="G46" s="1">
        <f t="shared" si="0"/>
        <v>55.923333333333332</v>
      </c>
      <c r="H46" s="1">
        <f t="shared" si="1"/>
        <v>98.458735026921886</v>
      </c>
      <c r="I46" s="1">
        <f t="shared" si="2"/>
        <v>52.250147157190632</v>
      </c>
      <c r="J46" s="1">
        <f t="shared" si="3"/>
        <v>15.993311036789297</v>
      </c>
      <c r="K46" s="17" t="str">
        <f t="shared" si="4"/>
        <v/>
      </c>
      <c r="L46" s="17" t="str">
        <f t="shared" si="5"/>
        <v/>
      </c>
    </row>
    <row r="47" spans="1:12">
      <c r="A47" s="17">
        <v>38</v>
      </c>
      <c r="B47" s="17">
        <v>1</v>
      </c>
      <c r="C47" s="17">
        <v>13</v>
      </c>
      <c r="D47" s="17" t="s">
        <v>410</v>
      </c>
      <c r="E47" s="17">
        <v>54</v>
      </c>
      <c r="F47" s="17">
        <f t="shared" si="6"/>
        <v>9</v>
      </c>
      <c r="G47" s="1">
        <f t="shared" si="0"/>
        <v>55.923333333333332</v>
      </c>
      <c r="H47" s="1">
        <f t="shared" si="1"/>
        <v>98.458735026921886</v>
      </c>
      <c r="I47" s="1">
        <f t="shared" si="2"/>
        <v>52.250147157190632</v>
      </c>
      <c r="J47" s="1">
        <f t="shared" si="3"/>
        <v>15.993311036789297</v>
      </c>
      <c r="K47" s="17" t="str">
        <f t="shared" si="4"/>
        <v/>
      </c>
      <c r="L47" s="17" t="str">
        <f t="shared" si="5"/>
        <v/>
      </c>
    </row>
    <row r="48" spans="1:12">
      <c r="A48" s="17">
        <v>39</v>
      </c>
      <c r="B48" s="17">
        <v>1</v>
      </c>
      <c r="C48" s="17">
        <v>12</v>
      </c>
      <c r="D48" s="17" t="s">
        <v>411</v>
      </c>
      <c r="E48" s="17">
        <v>74</v>
      </c>
      <c r="F48" s="17">
        <f t="shared" si="6"/>
        <v>20</v>
      </c>
      <c r="G48" s="1">
        <f t="shared" si="0"/>
        <v>55.923333333333332</v>
      </c>
      <c r="H48" s="1">
        <f t="shared" si="1"/>
        <v>98.458735026921886</v>
      </c>
      <c r="I48" s="1">
        <f t="shared" si="2"/>
        <v>52.250147157190632</v>
      </c>
      <c r="J48" s="1">
        <f t="shared" si="3"/>
        <v>15.993311036789297</v>
      </c>
      <c r="K48" s="17" t="str">
        <f t="shared" si="4"/>
        <v/>
      </c>
      <c r="L48" s="17" t="str">
        <f t="shared" si="5"/>
        <v/>
      </c>
    </row>
    <row r="49" spans="1:12">
      <c r="A49" s="17">
        <v>40</v>
      </c>
      <c r="B49" s="17">
        <v>1</v>
      </c>
      <c r="C49" s="17">
        <v>11</v>
      </c>
      <c r="D49" s="17" t="s">
        <v>412</v>
      </c>
      <c r="E49" s="17">
        <v>15</v>
      </c>
      <c r="F49" s="17">
        <f t="shared" si="6"/>
        <v>59</v>
      </c>
      <c r="G49" s="1">
        <f t="shared" si="0"/>
        <v>55.923333333333332</v>
      </c>
      <c r="H49" s="1">
        <f t="shared" si="1"/>
        <v>98.458735026921886</v>
      </c>
      <c r="I49" s="1">
        <f t="shared" si="2"/>
        <v>52.250147157190632</v>
      </c>
      <c r="J49" s="1">
        <f t="shared" si="3"/>
        <v>15.993311036789297</v>
      </c>
      <c r="K49" s="17" t="str">
        <f t="shared" si="4"/>
        <v/>
      </c>
      <c r="L49" s="17" t="str">
        <f t="shared" si="5"/>
        <v/>
      </c>
    </row>
    <row r="50" spans="1:12">
      <c r="A50" s="17">
        <v>41</v>
      </c>
      <c r="B50" s="17">
        <v>1</v>
      </c>
      <c r="C50" s="17">
        <v>10</v>
      </c>
      <c r="D50" s="17" t="s">
        <v>413</v>
      </c>
      <c r="E50" s="17">
        <v>44</v>
      </c>
      <c r="F50" s="17">
        <f t="shared" si="6"/>
        <v>29</v>
      </c>
      <c r="G50" s="1">
        <f t="shared" si="0"/>
        <v>55.923333333333332</v>
      </c>
      <c r="H50" s="1">
        <f t="shared" si="1"/>
        <v>98.458735026921886</v>
      </c>
      <c r="I50" s="1">
        <f t="shared" si="2"/>
        <v>52.250147157190632</v>
      </c>
      <c r="J50" s="1">
        <f t="shared" si="3"/>
        <v>15.993311036789297</v>
      </c>
      <c r="K50" s="17" t="str">
        <f t="shared" si="4"/>
        <v/>
      </c>
      <c r="L50" s="17" t="str">
        <f t="shared" si="5"/>
        <v/>
      </c>
    </row>
    <row r="51" spans="1:12">
      <c r="A51" s="17">
        <v>42</v>
      </c>
      <c r="B51" s="17">
        <v>1</v>
      </c>
      <c r="C51" s="17">
        <v>9</v>
      </c>
      <c r="D51" s="17" t="s">
        <v>414</v>
      </c>
      <c r="E51" s="17">
        <v>34</v>
      </c>
      <c r="F51" s="17">
        <f t="shared" si="6"/>
        <v>10</v>
      </c>
      <c r="G51" s="1">
        <f t="shared" si="0"/>
        <v>55.923333333333332</v>
      </c>
      <c r="H51" s="1">
        <f t="shared" si="1"/>
        <v>98.458735026921886</v>
      </c>
      <c r="I51" s="1">
        <f t="shared" si="2"/>
        <v>52.250147157190632</v>
      </c>
      <c r="J51" s="1">
        <f t="shared" si="3"/>
        <v>15.993311036789297</v>
      </c>
      <c r="K51" s="17" t="str">
        <f t="shared" si="4"/>
        <v/>
      </c>
      <c r="L51" s="17" t="str">
        <f t="shared" si="5"/>
        <v/>
      </c>
    </row>
    <row r="52" spans="1:12">
      <c r="A52" s="17">
        <v>43</v>
      </c>
      <c r="B52" s="17">
        <v>1</v>
      </c>
      <c r="C52" s="17">
        <v>8</v>
      </c>
      <c r="D52" s="17" t="s">
        <v>415</v>
      </c>
      <c r="E52" s="17">
        <v>26</v>
      </c>
      <c r="F52" s="17">
        <f t="shared" si="6"/>
        <v>8</v>
      </c>
      <c r="G52" s="1">
        <f t="shared" si="0"/>
        <v>55.923333333333332</v>
      </c>
      <c r="H52" s="1">
        <f t="shared" si="1"/>
        <v>98.458735026921886</v>
      </c>
      <c r="I52" s="1">
        <f t="shared" si="2"/>
        <v>52.250147157190632</v>
      </c>
      <c r="J52" s="1">
        <f t="shared" si="3"/>
        <v>15.993311036789297</v>
      </c>
      <c r="K52" s="17" t="str">
        <f t="shared" si="4"/>
        <v/>
      </c>
      <c r="L52" s="17" t="str">
        <f t="shared" si="5"/>
        <v/>
      </c>
    </row>
    <row r="53" spans="1:12">
      <c r="A53" s="17">
        <v>44</v>
      </c>
      <c r="B53" s="17">
        <v>1</v>
      </c>
      <c r="C53" s="17">
        <v>7</v>
      </c>
      <c r="D53" s="17" t="s">
        <v>416</v>
      </c>
      <c r="E53" s="17">
        <v>26</v>
      </c>
      <c r="F53" s="17">
        <f t="shared" si="6"/>
        <v>0</v>
      </c>
      <c r="G53" s="1">
        <f t="shared" si="0"/>
        <v>55.923333333333332</v>
      </c>
      <c r="H53" s="1">
        <f t="shared" si="1"/>
        <v>98.458735026921886</v>
      </c>
      <c r="I53" s="1">
        <f t="shared" si="2"/>
        <v>52.250147157190632</v>
      </c>
      <c r="J53" s="1">
        <f t="shared" si="3"/>
        <v>15.993311036789297</v>
      </c>
      <c r="K53" s="17" t="str">
        <f t="shared" si="4"/>
        <v/>
      </c>
      <c r="L53" s="17" t="str">
        <f t="shared" si="5"/>
        <v/>
      </c>
    </row>
    <row r="54" spans="1:12">
      <c r="A54" s="17">
        <v>45</v>
      </c>
      <c r="B54" s="17">
        <v>1</v>
      </c>
      <c r="C54" s="17">
        <v>6</v>
      </c>
      <c r="D54" s="17" t="s">
        <v>417</v>
      </c>
      <c r="E54" s="17">
        <v>27</v>
      </c>
      <c r="F54" s="17">
        <f t="shared" si="6"/>
        <v>1</v>
      </c>
      <c r="G54" s="1">
        <f t="shared" si="0"/>
        <v>55.923333333333332</v>
      </c>
      <c r="H54" s="1">
        <f t="shared" si="1"/>
        <v>98.458735026921886</v>
      </c>
      <c r="I54" s="1">
        <f t="shared" si="2"/>
        <v>52.250147157190632</v>
      </c>
      <c r="J54" s="1">
        <f t="shared" si="3"/>
        <v>15.993311036789297</v>
      </c>
      <c r="K54" s="17" t="str">
        <f t="shared" si="4"/>
        <v/>
      </c>
      <c r="L54" s="17" t="str">
        <f t="shared" si="5"/>
        <v/>
      </c>
    </row>
    <row r="55" spans="1:12">
      <c r="A55" s="17">
        <v>46</v>
      </c>
      <c r="B55" s="17">
        <v>1</v>
      </c>
      <c r="C55" s="17">
        <v>5</v>
      </c>
      <c r="D55" s="17" t="s">
        <v>418</v>
      </c>
      <c r="E55" s="17">
        <v>31</v>
      </c>
      <c r="F55" s="17">
        <f t="shared" si="6"/>
        <v>4</v>
      </c>
      <c r="G55" s="1">
        <f t="shared" si="0"/>
        <v>55.923333333333332</v>
      </c>
      <c r="H55" s="1">
        <f t="shared" si="1"/>
        <v>98.458735026921886</v>
      </c>
      <c r="I55" s="1">
        <f t="shared" si="2"/>
        <v>52.250147157190632</v>
      </c>
      <c r="J55" s="1">
        <f t="shared" si="3"/>
        <v>15.993311036789297</v>
      </c>
      <c r="K55" s="17" t="str">
        <f t="shared" si="4"/>
        <v/>
      </c>
      <c r="L55" s="17" t="str">
        <f t="shared" si="5"/>
        <v/>
      </c>
    </row>
    <row r="56" spans="1:12">
      <c r="A56" s="17">
        <v>47</v>
      </c>
      <c r="B56" s="17">
        <v>1</v>
      </c>
      <c r="C56" s="17">
        <v>4</v>
      </c>
      <c r="D56" s="17" t="s">
        <v>419</v>
      </c>
      <c r="E56" s="17">
        <v>37</v>
      </c>
      <c r="F56" s="17">
        <f t="shared" si="6"/>
        <v>6</v>
      </c>
      <c r="G56" s="1">
        <f t="shared" si="0"/>
        <v>55.923333333333332</v>
      </c>
      <c r="H56" s="1">
        <f t="shared" si="1"/>
        <v>98.458735026921886</v>
      </c>
      <c r="I56" s="1">
        <f t="shared" si="2"/>
        <v>52.250147157190632</v>
      </c>
      <c r="J56" s="1">
        <f t="shared" si="3"/>
        <v>15.993311036789297</v>
      </c>
      <c r="K56" s="17" t="str">
        <f t="shared" si="4"/>
        <v/>
      </c>
      <c r="L56" s="17" t="str">
        <f t="shared" si="5"/>
        <v/>
      </c>
    </row>
    <row r="57" spans="1:12">
      <c r="A57" s="17">
        <v>48</v>
      </c>
      <c r="B57" s="17">
        <v>1</v>
      </c>
      <c r="C57" s="17">
        <v>3</v>
      </c>
      <c r="D57" s="17" t="s">
        <v>420</v>
      </c>
      <c r="E57" s="17">
        <v>28</v>
      </c>
      <c r="F57" s="17">
        <f t="shared" si="6"/>
        <v>9</v>
      </c>
      <c r="G57" s="1">
        <f t="shared" si="0"/>
        <v>55.923333333333332</v>
      </c>
      <c r="H57" s="1">
        <f t="shared" si="1"/>
        <v>98.458735026921886</v>
      </c>
      <c r="I57" s="1">
        <f t="shared" si="2"/>
        <v>52.250147157190632</v>
      </c>
      <c r="J57" s="1">
        <f t="shared" si="3"/>
        <v>15.993311036789297</v>
      </c>
      <c r="K57" s="17" t="str">
        <f t="shared" si="4"/>
        <v/>
      </c>
      <c r="L57" s="17" t="str">
        <f t="shared" si="5"/>
        <v/>
      </c>
    </row>
    <row r="58" spans="1:12">
      <c r="A58" s="17">
        <v>49</v>
      </c>
      <c r="B58" s="17">
        <v>1</v>
      </c>
      <c r="C58" s="17">
        <v>2</v>
      </c>
      <c r="D58" s="17" t="s">
        <v>421</v>
      </c>
      <c r="E58" s="17">
        <v>36</v>
      </c>
      <c r="F58" s="17">
        <f t="shared" si="6"/>
        <v>8</v>
      </c>
      <c r="G58" s="1">
        <f t="shared" si="0"/>
        <v>55.923333333333332</v>
      </c>
      <c r="H58" s="1">
        <f t="shared" si="1"/>
        <v>98.458735026921886</v>
      </c>
      <c r="I58" s="1">
        <f t="shared" si="2"/>
        <v>52.250147157190632</v>
      </c>
      <c r="J58" s="1">
        <f t="shared" si="3"/>
        <v>15.993311036789297</v>
      </c>
      <c r="K58" s="17" t="str">
        <f t="shared" si="4"/>
        <v/>
      </c>
      <c r="L58" s="17" t="str">
        <f t="shared" si="5"/>
        <v/>
      </c>
    </row>
    <row r="59" spans="1:12">
      <c r="A59" s="17">
        <v>50</v>
      </c>
      <c r="B59" s="17">
        <v>1</v>
      </c>
      <c r="C59" s="17">
        <v>1</v>
      </c>
      <c r="D59" s="17" t="s">
        <v>422</v>
      </c>
      <c r="E59" s="17">
        <v>41</v>
      </c>
      <c r="F59" s="17">
        <f t="shared" si="6"/>
        <v>5</v>
      </c>
      <c r="G59" s="1">
        <f t="shared" si="0"/>
        <v>55.923333333333332</v>
      </c>
      <c r="H59" s="1">
        <f t="shared" si="1"/>
        <v>98.458735026921886</v>
      </c>
      <c r="I59" s="1">
        <f t="shared" si="2"/>
        <v>52.250147157190632</v>
      </c>
      <c r="J59" s="1">
        <f t="shared" si="3"/>
        <v>15.993311036789297</v>
      </c>
      <c r="K59" s="17" t="str">
        <f t="shared" si="4"/>
        <v/>
      </c>
      <c r="L59" s="17" t="str">
        <f t="shared" si="5"/>
        <v/>
      </c>
    </row>
    <row r="60" spans="1:12">
      <c r="A60" s="17">
        <v>51</v>
      </c>
      <c r="B60" s="17">
        <v>2</v>
      </c>
      <c r="C60" s="17">
        <v>25</v>
      </c>
      <c r="D60" s="17" t="s">
        <v>423</v>
      </c>
      <c r="E60" s="17">
        <v>81</v>
      </c>
      <c r="F60" s="17">
        <f t="shared" si="6"/>
        <v>40</v>
      </c>
      <c r="G60" s="1">
        <f t="shared" si="0"/>
        <v>55.923333333333332</v>
      </c>
      <c r="H60" s="1">
        <f t="shared" si="1"/>
        <v>98.458735026921886</v>
      </c>
      <c r="I60" s="1">
        <f t="shared" si="2"/>
        <v>52.250147157190632</v>
      </c>
      <c r="J60" s="1">
        <f t="shared" si="3"/>
        <v>15.993311036789297</v>
      </c>
      <c r="K60" s="17" t="str">
        <f t="shared" si="4"/>
        <v/>
      </c>
      <c r="L60" s="17" t="str">
        <f t="shared" si="5"/>
        <v/>
      </c>
    </row>
    <row r="61" spans="1:12">
      <c r="A61" s="17">
        <v>52</v>
      </c>
      <c r="B61" s="17">
        <v>2</v>
      </c>
      <c r="C61" s="17">
        <v>24</v>
      </c>
      <c r="D61" s="17" t="s">
        <v>424</v>
      </c>
      <c r="E61" s="17">
        <v>39</v>
      </c>
      <c r="F61" s="17">
        <f t="shared" si="6"/>
        <v>42</v>
      </c>
      <c r="G61" s="1">
        <f t="shared" si="0"/>
        <v>55.923333333333332</v>
      </c>
      <c r="H61" s="1">
        <f t="shared" si="1"/>
        <v>98.458735026921886</v>
      </c>
      <c r="I61" s="1">
        <f t="shared" si="2"/>
        <v>52.250147157190632</v>
      </c>
      <c r="J61" s="1">
        <f t="shared" si="3"/>
        <v>15.993311036789297</v>
      </c>
      <c r="K61" s="17" t="str">
        <f t="shared" si="4"/>
        <v/>
      </c>
      <c r="L61" s="17" t="str">
        <f t="shared" si="5"/>
        <v/>
      </c>
    </row>
    <row r="62" spans="1:12">
      <c r="A62" s="17">
        <v>53</v>
      </c>
      <c r="B62" s="17">
        <v>2</v>
      </c>
      <c r="C62" s="17">
        <v>23</v>
      </c>
      <c r="D62" s="17" t="s">
        <v>425</v>
      </c>
      <c r="E62" s="17">
        <v>74</v>
      </c>
      <c r="F62" s="17">
        <f t="shared" si="6"/>
        <v>35</v>
      </c>
      <c r="G62" s="1">
        <f t="shared" si="0"/>
        <v>55.923333333333332</v>
      </c>
      <c r="H62" s="1">
        <f t="shared" si="1"/>
        <v>98.458735026921886</v>
      </c>
      <c r="I62" s="1">
        <f t="shared" si="2"/>
        <v>52.250147157190632</v>
      </c>
      <c r="J62" s="1">
        <f t="shared" si="3"/>
        <v>15.993311036789297</v>
      </c>
      <c r="K62" s="17" t="str">
        <f t="shared" si="4"/>
        <v/>
      </c>
      <c r="L62" s="17" t="str">
        <f t="shared" si="5"/>
        <v/>
      </c>
    </row>
    <row r="63" spans="1:12">
      <c r="A63" s="17">
        <v>54</v>
      </c>
      <c r="B63" s="17">
        <v>2</v>
      </c>
      <c r="C63" s="17">
        <v>22</v>
      </c>
      <c r="D63" s="17" t="s">
        <v>426</v>
      </c>
      <c r="E63" s="17">
        <v>35</v>
      </c>
      <c r="F63" s="17">
        <f t="shared" si="6"/>
        <v>39</v>
      </c>
      <c r="G63" s="1">
        <f t="shared" si="0"/>
        <v>55.923333333333332</v>
      </c>
      <c r="H63" s="1">
        <f t="shared" si="1"/>
        <v>98.458735026921886</v>
      </c>
      <c r="I63" s="1">
        <f t="shared" si="2"/>
        <v>52.250147157190632</v>
      </c>
      <c r="J63" s="1">
        <f t="shared" si="3"/>
        <v>15.993311036789297</v>
      </c>
      <c r="K63" s="17" t="str">
        <f t="shared" si="4"/>
        <v/>
      </c>
      <c r="L63" s="17" t="str">
        <f t="shared" si="5"/>
        <v/>
      </c>
    </row>
    <row r="64" spans="1:12">
      <c r="A64" s="17">
        <v>55</v>
      </c>
      <c r="B64" s="17">
        <v>2</v>
      </c>
      <c r="C64" s="17">
        <v>21</v>
      </c>
      <c r="D64" s="17" t="s">
        <v>427</v>
      </c>
      <c r="E64" s="17">
        <v>55</v>
      </c>
      <c r="F64" s="17">
        <f t="shared" si="6"/>
        <v>20</v>
      </c>
      <c r="G64" s="1">
        <f t="shared" si="0"/>
        <v>55.923333333333332</v>
      </c>
      <c r="H64" s="1">
        <f t="shared" si="1"/>
        <v>98.458735026921886</v>
      </c>
      <c r="I64" s="1">
        <f t="shared" si="2"/>
        <v>52.250147157190632</v>
      </c>
      <c r="J64" s="1">
        <f t="shared" si="3"/>
        <v>15.993311036789297</v>
      </c>
      <c r="K64" s="17" t="str">
        <f t="shared" si="4"/>
        <v/>
      </c>
      <c r="L64" s="17" t="str">
        <f t="shared" si="5"/>
        <v/>
      </c>
    </row>
    <row r="65" spans="1:12">
      <c r="A65" s="17">
        <v>56</v>
      </c>
      <c r="B65" s="17">
        <v>2</v>
      </c>
      <c r="C65" s="17">
        <v>20</v>
      </c>
      <c r="D65" s="17" t="s">
        <v>428</v>
      </c>
      <c r="E65" s="17">
        <v>60</v>
      </c>
      <c r="F65" s="17">
        <f t="shared" si="6"/>
        <v>5</v>
      </c>
      <c r="G65" s="1">
        <f t="shared" si="0"/>
        <v>55.923333333333332</v>
      </c>
      <c r="H65" s="1">
        <f t="shared" si="1"/>
        <v>98.458735026921886</v>
      </c>
      <c r="I65" s="1">
        <f t="shared" si="2"/>
        <v>52.250147157190632</v>
      </c>
      <c r="J65" s="1">
        <f t="shared" si="3"/>
        <v>15.993311036789297</v>
      </c>
      <c r="K65" s="17" t="str">
        <f t="shared" si="4"/>
        <v/>
      </c>
      <c r="L65" s="17" t="str">
        <f t="shared" si="5"/>
        <v/>
      </c>
    </row>
    <row r="66" spans="1:12">
      <c r="A66" s="17">
        <v>57</v>
      </c>
      <c r="B66" s="17">
        <v>2</v>
      </c>
      <c r="C66" s="17">
        <v>19</v>
      </c>
      <c r="D66" s="17" t="s">
        <v>429</v>
      </c>
      <c r="E66" s="17">
        <v>48</v>
      </c>
      <c r="F66" s="17">
        <f t="shared" si="6"/>
        <v>12</v>
      </c>
      <c r="G66" s="1">
        <f t="shared" si="0"/>
        <v>55.923333333333332</v>
      </c>
      <c r="H66" s="1">
        <f t="shared" si="1"/>
        <v>98.458735026921886</v>
      </c>
      <c r="I66" s="1">
        <f t="shared" si="2"/>
        <v>52.250147157190632</v>
      </c>
      <c r="J66" s="1">
        <f t="shared" si="3"/>
        <v>15.993311036789297</v>
      </c>
      <c r="K66" s="17" t="str">
        <f t="shared" si="4"/>
        <v/>
      </c>
      <c r="L66" s="17" t="str">
        <f t="shared" si="5"/>
        <v/>
      </c>
    </row>
    <row r="67" spans="1:12">
      <c r="A67" s="17">
        <v>58</v>
      </c>
      <c r="B67" s="17">
        <v>2</v>
      </c>
      <c r="C67" s="17">
        <v>18</v>
      </c>
      <c r="D67" s="17" t="s">
        <v>430</v>
      </c>
      <c r="E67" s="17">
        <v>69</v>
      </c>
      <c r="F67" s="17">
        <f t="shared" si="6"/>
        <v>21</v>
      </c>
      <c r="G67" s="1">
        <f t="shared" si="0"/>
        <v>55.923333333333332</v>
      </c>
      <c r="H67" s="1">
        <f t="shared" si="1"/>
        <v>98.458735026921886</v>
      </c>
      <c r="I67" s="1">
        <f t="shared" si="2"/>
        <v>52.250147157190632</v>
      </c>
      <c r="J67" s="1">
        <f t="shared" si="3"/>
        <v>15.993311036789297</v>
      </c>
      <c r="K67" s="17" t="str">
        <f t="shared" si="4"/>
        <v/>
      </c>
      <c r="L67" s="17" t="str">
        <f t="shared" si="5"/>
        <v/>
      </c>
    </row>
    <row r="68" spans="1:12">
      <c r="A68" s="17">
        <v>59</v>
      </c>
      <c r="B68" s="17">
        <v>2</v>
      </c>
      <c r="C68" s="17">
        <v>17</v>
      </c>
      <c r="D68" s="17" t="s">
        <v>431</v>
      </c>
      <c r="E68" s="17">
        <v>13</v>
      </c>
      <c r="F68" s="17">
        <f t="shared" si="6"/>
        <v>56</v>
      </c>
      <c r="G68" s="1">
        <f t="shared" si="0"/>
        <v>55.923333333333332</v>
      </c>
      <c r="H68" s="1">
        <f t="shared" si="1"/>
        <v>98.458735026921886</v>
      </c>
      <c r="I68" s="1">
        <f t="shared" si="2"/>
        <v>52.250147157190632</v>
      </c>
      <c r="J68" s="1">
        <f t="shared" si="3"/>
        <v>15.993311036789297</v>
      </c>
      <c r="K68" s="17" t="str">
        <f t="shared" si="4"/>
        <v/>
      </c>
      <c r="L68" s="17" t="str">
        <f t="shared" si="5"/>
        <v/>
      </c>
    </row>
    <row r="69" spans="1:12">
      <c r="A69" s="17">
        <v>60</v>
      </c>
      <c r="B69" s="17">
        <v>2</v>
      </c>
      <c r="C69" s="17">
        <v>16</v>
      </c>
      <c r="D69" s="17" t="s">
        <v>432</v>
      </c>
      <c r="E69" s="17">
        <v>23</v>
      </c>
      <c r="F69" s="17">
        <f t="shared" si="6"/>
        <v>10</v>
      </c>
      <c r="G69" s="1">
        <f t="shared" si="0"/>
        <v>55.923333333333332</v>
      </c>
      <c r="H69" s="1">
        <f t="shared" si="1"/>
        <v>98.458735026921886</v>
      </c>
      <c r="I69" s="1">
        <f t="shared" si="2"/>
        <v>52.250147157190632</v>
      </c>
      <c r="J69" s="1">
        <f t="shared" si="3"/>
        <v>15.993311036789297</v>
      </c>
      <c r="K69" s="17" t="str">
        <f t="shared" si="4"/>
        <v/>
      </c>
      <c r="L69" s="17" t="str">
        <f t="shared" si="5"/>
        <v/>
      </c>
    </row>
    <row r="70" spans="1:12">
      <c r="A70" s="17">
        <v>61</v>
      </c>
      <c r="B70" s="17">
        <v>2</v>
      </c>
      <c r="C70" s="17">
        <v>15</v>
      </c>
      <c r="D70" s="17" t="s">
        <v>433</v>
      </c>
      <c r="E70" s="17">
        <v>27</v>
      </c>
      <c r="F70" s="17">
        <f t="shared" si="6"/>
        <v>4</v>
      </c>
      <c r="G70" s="1">
        <f t="shared" si="0"/>
        <v>55.923333333333332</v>
      </c>
      <c r="H70" s="1">
        <f t="shared" si="1"/>
        <v>98.458735026921886</v>
      </c>
      <c r="I70" s="1">
        <f t="shared" si="2"/>
        <v>52.250147157190632</v>
      </c>
      <c r="J70" s="1">
        <f t="shared" si="3"/>
        <v>15.993311036789297</v>
      </c>
      <c r="K70" s="17" t="str">
        <f t="shared" si="4"/>
        <v/>
      </c>
      <c r="L70" s="17" t="str">
        <f t="shared" si="5"/>
        <v/>
      </c>
    </row>
    <row r="71" spans="1:12">
      <c r="A71" s="17">
        <v>62</v>
      </c>
      <c r="B71" s="17">
        <v>2</v>
      </c>
      <c r="C71" s="17">
        <v>14</v>
      </c>
      <c r="D71" s="17" t="s">
        <v>434</v>
      </c>
      <c r="E71" s="17">
        <v>24</v>
      </c>
      <c r="F71" s="17">
        <f t="shared" si="6"/>
        <v>3</v>
      </c>
      <c r="G71" s="1">
        <f t="shared" si="0"/>
        <v>55.923333333333332</v>
      </c>
      <c r="H71" s="1">
        <f t="shared" si="1"/>
        <v>98.458735026921886</v>
      </c>
      <c r="I71" s="1">
        <f t="shared" si="2"/>
        <v>52.250147157190632</v>
      </c>
      <c r="J71" s="1">
        <f t="shared" si="3"/>
        <v>15.993311036789297</v>
      </c>
      <c r="K71" s="17" t="str">
        <f t="shared" si="4"/>
        <v/>
      </c>
      <c r="L71" s="17" t="str">
        <f t="shared" si="5"/>
        <v/>
      </c>
    </row>
    <row r="72" spans="1:12">
      <c r="A72" s="17">
        <v>63</v>
      </c>
      <c r="B72" s="17">
        <v>2</v>
      </c>
      <c r="C72" s="17">
        <v>13</v>
      </c>
      <c r="D72" s="17" t="s">
        <v>435</v>
      </c>
      <c r="E72" s="17">
        <v>29</v>
      </c>
      <c r="F72" s="17">
        <f t="shared" si="6"/>
        <v>5</v>
      </c>
      <c r="G72" s="1">
        <f t="shared" si="0"/>
        <v>55.923333333333332</v>
      </c>
      <c r="H72" s="1">
        <f t="shared" si="1"/>
        <v>98.458735026921886</v>
      </c>
      <c r="I72" s="1">
        <f t="shared" si="2"/>
        <v>52.250147157190632</v>
      </c>
      <c r="J72" s="1">
        <f t="shared" si="3"/>
        <v>15.993311036789297</v>
      </c>
      <c r="K72" s="17" t="str">
        <f t="shared" si="4"/>
        <v/>
      </c>
      <c r="L72" s="17" t="str">
        <f t="shared" si="5"/>
        <v/>
      </c>
    </row>
    <row r="73" spans="1:12">
      <c r="A73" s="17">
        <v>64</v>
      </c>
      <c r="B73" s="17">
        <v>2</v>
      </c>
      <c r="C73" s="17">
        <v>12</v>
      </c>
      <c r="D73" s="17" t="s">
        <v>436</v>
      </c>
      <c r="E73" s="17">
        <v>22</v>
      </c>
      <c r="F73" s="17">
        <f t="shared" si="6"/>
        <v>7</v>
      </c>
      <c r="G73" s="1">
        <f t="shared" si="0"/>
        <v>55.923333333333332</v>
      </c>
      <c r="H73" s="1">
        <f t="shared" si="1"/>
        <v>98.458735026921886</v>
      </c>
      <c r="I73" s="1">
        <f t="shared" si="2"/>
        <v>52.250147157190632</v>
      </c>
      <c r="J73" s="1">
        <f t="shared" si="3"/>
        <v>15.993311036789297</v>
      </c>
      <c r="K73" s="17" t="str">
        <f t="shared" si="4"/>
        <v/>
      </c>
      <c r="L73" s="17" t="str">
        <f t="shared" si="5"/>
        <v/>
      </c>
    </row>
    <row r="74" spans="1:12">
      <c r="A74" s="17">
        <v>65</v>
      </c>
      <c r="B74" s="17">
        <v>2</v>
      </c>
      <c r="C74" s="17">
        <v>11</v>
      </c>
      <c r="D74" s="17" t="s">
        <v>437</v>
      </c>
      <c r="E74" s="17">
        <v>24</v>
      </c>
      <c r="F74" s="17">
        <f t="shared" si="6"/>
        <v>2</v>
      </c>
      <c r="G74" s="1">
        <f t="shared" ref="G74:G137" si="7">$Q$3</f>
        <v>55.923333333333332</v>
      </c>
      <c r="H74" s="1">
        <f t="shared" ref="H74:H137" si="8">$Q$6</f>
        <v>98.458735026921886</v>
      </c>
      <c r="I74" s="1">
        <f t="shared" ref="I74:I137" si="9">$Q$7</f>
        <v>52.250147157190632</v>
      </c>
      <c r="J74" s="1">
        <f t="shared" ref="J74:J137" si="10">$Q$4</f>
        <v>15.993311036789297</v>
      </c>
      <c r="K74" s="17" t="str">
        <f t="shared" ref="K74:K137" si="11">IF(E74&gt;$Q$6,"OOC","" )</f>
        <v/>
      </c>
      <c r="L74" s="17" t="str">
        <f t="shared" ref="L74:L137" si="12">IF(E74&gt;$B$3,"OOS","" )</f>
        <v/>
      </c>
    </row>
    <row r="75" spans="1:12">
      <c r="A75" s="17">
        <v>66</v>
      </c>
      <c r="B75" s="17">
        <v>2</v>
      </c>
      <c r="C75" s="17">
        <v>10</v>
      </c>
      <c r="D75" s="17" t="s">
        <v>438</v>
      </c>
      <c r="E75" s="17">
        <v>39</v>
      </c>
      <c r="F75" s="17">
        <f t="shared" ref="F75:F138" si="13">ABS(E75-E74)</f>
        <v>15</v>
      </c>
      <c r="G75" s="1">
        <f t="shared" si="7"/>
        <v>55.923333333333332</v>
      </c>
      <c r="H75" s="1">
        <f t="shared" si="8"/>
        <v>98.458735026921886</v>
      </c>
      <c r="I75" s="1">
        <f t="shared" si="9"/>
        <v>52.250147157190632</v>
      </c>
      <c r="J75" s="1">
        <f t="shared" si="10"/>
        <v>15.993311036789297</v>
      </c>
      <c r="K75" s="17" t="str">
        <f t="shared" si="11"/>
        <v/>
      </c>
      <c r="L75" s="17" t="str">
        <f t="shared" si="12"/>
        <v/>
      </c>
    </row>
    <row r="76" spans="1:12">
      <c r="A76" s="17">
        <v>67</v>
      </c>
      <c r="B76" s="17">
        <v>2</v>
      </c>
      <c r="C76" s="17">
        <v>9</v>
      </c>
      <c r="D76" s="17" t="s">
        <v>439</v>
      </c>
      <c r="E76" s="17">
        <v>40</v>
      </c>
      <c r="F76" s="17">
        <f t="shared" si="13"/>
        <v>1</v>
      </c>
      <c r="G76" s="1">
        <f t="shared" si="7"/>
        <v>55.923333333333332</v>
      </c>
      <c r="H76" s="1">
        <f t="shared" si="8"/>
        <v>98.458735026921886</v>
      </c>
      <c r="I76" s="1">
        <f t="shared" si="9"/>
        <v>52.250147157190632</v>
      </c>
      <c r="J76" s="1">
        <f t="shared" si="10"/>
        <v>15.993311036789297</v>
      </c>
      <c r="K76" s="17" t="str">
        <f t="shared" si="11"/>
        <v/>
      </c>
      <c r="L76" s="17" t="str">
        <f t="shared" si="12"/>
        <v/>
      </c>
    </row>
    <row r="77" spans="1:12">
      <c r="A77" s="17">
        <v>68</v>
      </c>
      <c r="B77" s="17">
        <v>2</v>
      </c>
      <c r="C77" s="17">
        <v>8</v>
      </c>
      <c r="D77" s="17" t="s">
        <v>440</v>
      </c>
      <c r="E77" s="17">
        <v>63</v>
      </c>
      <c r="F77" s="17">
        <f t="shared" si="13"/>
        <v>23</v>
      </c>
      <c r="G77" s="1">
        <f t="shared" si="7"/>
        <v>55.923333333333332</v>
      </c>
      <c r="H77" s="1">
        <f t="shared" si="8"/>
        <v>98.458735026921886</v>
      </c>
      <c r="I77" s="1">
        <f t="shared" si="9"/>
        <v>52.250147157190632</v>
      </c>
      <c r="J77" s="1">
        <f t="shared" si="10"/>
        <v>15.993311036789297</v>
      </c>
      <c r="K77" s="17" t="str">
        <f t="shared" si="11"/>
        <v/>
      </c>
      <c r="L77" s="17" t="str">
        <f t="shared" si="12"/>
        <v/>
      </c>
    </row>
    <row r="78" spans="1:12">
      <c r="A78" s="17">
        <v>69</v>
      </c>
      <c r="B78" s="17">
        <v>2</v>
      </c>
      <c r="C78" s="17">
        <v>7</v>
      </c>
      <c r="D78" s="17" t="s">
        <v>441</v>
      </c>
      <c r="E78" s="17">
        <v>33</v>
      </c>
      <c r="F78" s="17">
        <f t="shared" si="13"/>
        <v>30</v>
      </c>
      <c r="G78" s="1">
        <f t="shared" si="7"/>
        <v>55.923333333333332</v>
      </c>
      <c r="H78" s="1">
        <f t="shared" si="8"/>
        <v>98.458735026921886</v>
      </c>
      <c r="I78" s="1">
        <f t="shared" si="9"/>
        <v>52.250147157190632</v>
      </c>
      <c r="J78" s="1">
        <f t="shared" si="10"/>
        <v>15.993311036789297</v>
      </c>
      <c r="K78" s="17" t="str">
        <f t="shared" si="11"/>
        <v/>
      </c>
      <c r="L78" s="17" t="str">
        <f t="shared" si="12"/>
        <v/>
      </c>
    </row>
    <row r="79" spans="1:12">
      <c r="A79" s="17">
        <v>70</v>
      </c>
      <c r="B79" s="17">
        <v>2</v>
      </c>
      <c r="C79" s="17">
        <v>6</v>
      </c>
      <c r="D79" s="17" t="s">
        <v>442</v>
      </c>
      <c r="E79" s="17">
        <v>50</v>
      </c>
      <c r="F79" s="17">
        <f t="shared" si="13"/>
        <v>17</v>
      </c>
      <c r="G79" s="1">
        <f t="shared" si="7"/>
        <v>55.923333333333332</v>
      </c>
      <c r="H79" s="1">
        <f t="shared" si="8"/>
        <v>98.458735026921886</v>
      </c>
      <c r="I79" s="1">
        <f t="shared" si="9"/>
        <v>52.250147157190632</v>
      </c>
      <c r="J79" s="1">
        <f t="shared" si="10"/>
        <v>15.993311036789297</v>
      </c>
      <c r="K79" s="17" t="str">
        <f t="shared" si="11"/>
        <v/>
      </c>
      <c r="L79" s="17" t="str">
        <f t="shared" si="12"/>
        <v/>
      </c>
    </row>
    <row r="80" spans="1:12">
      <c r="A80" s="17">
        <v>71</v>
      </c>
      <c r="B80" s="17">
        <v>2</v>
      </c>
      <c r="C80" s="17">
        <v>5</v>
      </c>
      <c r="D80" s="17" t="s">
        <v>443</v>
      </c>
      <c r="E80" s="17">
        <v>55</v>
      </c>
      <c r="F80" s="17">
        <f t="shared" si="13"/>
        <v>5</v>
      </c>
      <c r="G80" s="1">
        <f t="shared" si="7"/>
        <v>55.923333333333332</v>
      </c>
      <c r="H80" s="1">
        <f t="shared" si="8"/>
        <v>98.458735026921886</v>
      </c>
      <c r="I80" s="1">
        <f t="shared" si="9"/>
        <v>52.250147157190632</v>
      </c>
      <c r="J80" s="1">
        <f t="shared" si="10"/>
        <v>15.993311036789297</v>
      </c>
      <c r="K80" s="17" t="str">
        <f t="shared" si="11"/>
        <v/>
      </c>
      <c r="L80" s="17" t="str">
        <f t="shared" si="12"/>
        <v/>
      </c>
    </row>
    <row r="81" spans="1:12">
      <c r="A81" s="17">
        <v>72</v>
      </c>
      <c r="B81" s="17">
        <v>2</v>
      </c>
      <c r="C81" s="17">
        <v>4</v>
      </c>
      <c r="D81" s="17" t="s">
        <v>444</v>
      </c>
      <c r="E81" s="17">
        <v>85</v>
      </c>
      <c r="F81" s="17">
        <f t="shared" si="13"/>
        <v>30</v>
      </c>
      <c r="G81" s="1">
        <f t="shared" si="7"/>
        <v>55.923333333333332</v>
      </c>
      <c r="H81" s="1">
        <f t="shared" si="8"/>
        <v>98.458735026921886</v>
      </c>
      <c r="I81" s="1">
        <f t="shared" si="9"/>
        <v>52.250147157190632</v>
      </c>
      <c r="J81" s="1">
        <f t="shared" si="10"/>
        <v>15.993311036789297</v>
      </c>
      <c r="K81" s="17" t="str">
        <f t="shared" si="11"/>
        <v/>
      </c>
      <c r="L81" s="17" t="str">
        <f t="shared" si="12"/>
        <v/>
      </c>
    </row>
    <row r="82" spans="1:12">
      <c r="A82" s="17">
        <v>73</v>
      </c>
      <c r="B82" s="17">
        <v>2</v>
      </c>
      <c r="C82" s="17">
        <v>3</v>
      </c>
      <c r="D82" s="17" t="s">
        <v>445</v>
      </c>
      <c r="E82" s="17">
        <v>67</v>
      </c>
      <c r="F82" s="17">
        <f t="shared" si="13"/>
        <v>18</v>
      </c>
      <c r="G82" s="1">
        <f t="shared" si="7"/>
        <v>55.923333333333332</v>
      </c>
      <c r="H82" s="1">
        <f t="shared" si="8"/>
        <v>98.458735026921886</v>
      </c>
      <c r="I82" s="1">
        <f t="shared" si="9"/>
        <v>52.250147157190632</v>
      </c>
      <c r="J82" s="1">
        <f t="shared" si="10"/>
        <v>15.993311036789297</v>
      </c>
      <c r="K82" s="17" t="str">
        <f t="shared" si="11"/>
        <v/>
      </c>
      <c r="L82" s="17" t="str">
        <f t="shared" si="12"/>
        <v/>
      </c>
    </row>
    <row r="83" spans="1:12">
      <c r="A83" s="17">
        <v>74</v>
      </c>
      <c r="B83" s="17">
        <v>2</v>
      </c>
      <c r="C83" s="17">
        <v>2</v>
      </c>
      <c r="D83" s="17" t="s">
        <v>446</v>
      </c>
      <c r="E83" s="17">
        <v>56</v>
      </c>
      <c r="F83" s="17">
        <f t="shared" si="13"/>
        <v>11</v>
      </c>
      <c r="G83" s="1">
        <f t="shared" si="7"/>
        <v>55.923333333333332</v>
      </c>
      <c r="H83" s="1">
        <f t="shared" si="8"/>
        <v>98.458735026921886</v>
      </c>
      <c r="I83" s="1">
        <f t="shared" si="9"/>
        <v>52.250147157190632</v>
      </c>
      <c r="J83" s="1">
        <f t="shared" si="10"/>
        <v>15.993311036789297</v>
      </c>
      <c r="K83" s="17" t="str">
        <f t="shared" si="11"/>
        <v/>
      </c>
      <c r="L83" s="17" t="str">
        <f t="shared" si="12"/>
        <v/>
      </c>
    </row>
    <row r="84" spans="1:12">
      <c r="A84" s="17">
        <v>75</v>
      </c>
      <c r="B84" s="17">
        <v>2</v>
      </c>
      <c r="C84" s="17">
        <v>1</v>
      </c>
      <c r="D84" s="17" t="s">
        <v>447</v>
      </c>
      <c r="E84" s="17">
        <v>61</v>
      </c>
      <c r="F84" s="17">
        <f t="shared" si="13"/>
        <v>5</v>
      </c>
      <c r="G84" s="1">
        <f t="shared" si="7"/>
        <v>55.923333333333332</v>
      </c>
      <c r="H84" s="1">
        <f t="shared" si="8"/>
        <v>98.458735026921886</v>
      </c>
      <c r="I84" s="1">
        <f t="shared" si="9"/>
        <v>52.250147157190632</v>
      </c>
      <c r="J84" s="1">
        <f t="shared" si="10"/>
        <v>15.993311036789297</v>
      </c>
      <c r="K84" s="17" t="str">
        <f t="shared" si="11"/>
        <v/>
      </c>
      <c r="L84" s="17" t="str">
        <f t="shared" si="12"/>
        <v/>
      </c>
    </row>
    <row r="85" spans="1:12">
      <c r="A85" s="17">
        <v>76</v>
      </c>
      <c r="B85" s="17">
        <v>2</v>
      </c>
      <c r="C85" s="17">
        <v>25</v>
      </c>
      <c r="D85" s="17" t="s">
        <v>448</v>
      </c>
      <c r="E85" s="17">
        <v>60</v>
      </c>
      <c r="F85" s="17">
        <f t="shared" si="13"/>
        <v>1</v>
      </c>
      <c r="G85" s="1">
        <f t="shared" si="7"/>
        <v>55.923333333333332</v>
      </c>
      <c r="H85" s="1">
        <f t="shared" si="8"/>
        <v>98.458735026921886</v>
      </c>
      <c r="I85" s="1">
        <f t="shared" si="9"/>
        <v>52.250147157190632</v>
      </c>
      <c r="J85" s="1">
        <f t="shared" si="10"/>
        <v>15.993311036789297</v>
      </c>
      <c r="K85" s="17" t="str">
        <f t="shared" si="11"/>
        <v/>
      </c>
      <c r="L85" s="17" t="str">
        <f t="shared" si="12"/>
        <v/>
      </c>
    </row>
    <row r="86" spans="1:12">
      <c r="A86" s="17">
        <v>77</v>
      </c>
      <c r="B86" s="17">
        <v>2</v>
      </c>
      <c r="C86" s="17">
        <v>24</v>
      </c>
      <c r="D86" s="17" t="s">
        <v>449</v>
      </c>
      <c r="E86" s="17">
        <v>62</v>
      </c>
      <c r="F86" s="17">
        <f t="shared" si="13"/>
        <v>2</v>
      </c>
      <c r="G86" s="1">
        <f t="shared" si="7"/>
        <v>55.923333333333332</v>
      </c>
      <c r="H86" s="1">
        <f t="shared" si="8"/>
        <v>98.458735026921886</v>
      </c>
      <c r="I86" s="1">
        <f t="shared" si="9"/>
        <v>52.250147157190632</v>
      </c>
      <c r="J86" s="1">
        <f t="shared" si="10"/>
        <v>15.993311036789297</v>
      </c>
      <c r="K86" s="17" t="str">
        <f t="shared" si="11"/>
        <v/>
      </c>
      <c r="L86" s="17" t="str">
        <f t="shared" si="12"/>
        <v/>
      </c>
    </row>
    <row r="87" spans="1:12">
      <c r="A87" s="17">
        <v>78</v>
      </c>
      <c r="B87" s="17">
        <v>2</v>
      </c>
      <c r="C87" s="17">
        <v>23</v>
      </c>
      <c r="D87" s="17" t="s">
        <v>450</v>
      </c>
      <c r="E87" s="17">
        <v>55</v>
      </c>
      <c r="F87" s="17">
        <f t="shared" si="13"/>
        <v>7</v>
      </c>
      <c r="G87" s="1">
        <f t="shared" si="7"/>
        <v>55.923333333333332</v>
      </c>
      <c r="H87" s="1">
        <f t="shared" si="8"/>
        <v>98.458735026921886</v>
      </c>
      <c r="I87" s="1">
        <f t="shared" si="9"/>
        <v>52.250147157190632</v>
      </c>
      <c r="J87" s="1">
        <f t="shared" si="10"/>
        <v>15.993311036789297</v>
      </c>
      <c r="K87" s="17" t="str">
        <f t="shared" si="11"/>
        <v/>
      </c>
      <c r="L87" s="17" t="str">
        <f t="shared" si="12"/>
        <v/>
      </c>
    </row>
    <row r="88" spans="1:12">
      <c r="A88" s="17">
        <v>79</v>
      </c>
      <c r="B88" s="17">
        <v>2</v>
      </c>
      <c r="C88" s="17">
        <v>22</v>
      </c>
      <c r="D88" s="17" t="s">
        <v>451</v>
      </c>
      <c r="E88" s="17">
        <v>57</v>
      </c>
      <c r="F88" s="17">
        <f t="shared" si="13"/>
        <v>2</v>
      </c>
      <c r="G88" s="1">
        <f t="shared" si="7"/>
        <v>55.923333333333332</v>
      </c>
      <c r="H88" s="1">
        <f t="shared" si="8"/>
        <v>98.458735026921886</v>
      </c>
      <c r="I88" s="1">
        <f t="shared" si="9"/>
        <v>52.250147157190632</v>
      </c>
      <c r="J88" s="1">
        <f t="shared" si="10"/>
        <v>15.993311036789297</v>
      </c>
      <c r="K88" s="17" t="str">
        <f t="shared" si="11"/>
        <v/>
      </c>
      <c r="L88" s="17" t="str">
        <f t="shared" si="12"/>
        <v/>
      </c>
    </row>
    <row r="89" spans="1:12">
      <c r="A89" s="17">
        <v>80</v>
      </c>
      <c r="B89" s="17">
        <v>2</v>
      </c>
      <c r="C89" s="17">
        <v>21</v>
      </c>
      <c r="D89" s="17" t="s">
        <v>452</v>
      </c>
      <c r="E89" s="17">
        <v>52</v>
      </c>
      <c r="F89" s="17">
        <f t="shared" si="13"/>
        <v>5</v>
      </c>
      <c r="G89" s="1">
        <f t="shared" si="7"/>
        <v>55.923333333333332</v>
      </c>
      <c r="H89" s="1">
        <f t="shared" si="8"/>
        <v>98.458735026921886</v>
      </c>
      <c r="I89" s="1">
        <f t="shared" si="9"/>
        <v>52.250147157190632</v>
      </c>
      <c r="J89" s="1">
        <f t="shared" si="10"/>
        <v>15.993311036789297</v>
      </c>
      <c r="K89" s="17" t="str">
        <f t="shared" si="11"/>
        <v/>
      </c>
      <c r="L89" s="17" t="str">
        <f t="shared" si="12"/>
        <v/>
      </c>
    </row>
    <row r="90" spans="1:12">
      <c r="A90" s="17">
        <v>81</v>
      </c>
      <c r="B90" s="17">
        <v>2</v>
      </c>
      <c r="C90" s="17">
        <v>20</v>
      </c>
      <c r="D90" s="17" t="s">
        <v>453</v>
      </c>
      <c r="E90" s="17">
        <v>60</v>
      </c>
      <c r="F90" s="17">
        <f t="shared" si="13"/>
        <v>8</v>
      </c>
      <c r="G90" s="1">
        <f t="shared" si="7"/>
        <v>55.923333333333332</v>
      </c>
      <c r="H90" s="1">
        <f t="shared" si="8"/>
        <v>98.458735026921886</v>
      </c>
      <c r="I90" s="1">
        <f t="shared" si="9"/>
        <v>52.250147157190632</v>
      </c>
      <c r="J90" s="1">
        <f t="shared" si="10"/>
        <v>15.993311036789297</v>
      </c>
      <c r="K90" s="17" t="str">
        <f t="shared" si="11"/>
        <v/>
      </c>
      <c r="L90" s="17" t="str">
        <f t="shared" si="12"/>
        <v/>
      </c>
    </row>
    <row r="91" spans="1:12">
      <c r="A91" s="17">
        <v>82</v>
      </c>
      <c r="B91" s="17">
        <v>2</v>
      </c>
      <c r="C91" s="17">
        <v>19</v>
      </c>
      <c r="D91" s="17" t="s">
        <v>454</v>
      </c>
      <c r="E91" s="17">
        <v>65</v>
      </c>
      <c r="F91" s="17">
        <f t="shared" si="13"/>
        <v>5</v>
      </c>
      <c r="G91" s="1">
        <f t="shared" si="7"/>
        <v>55.923333333333332</v>
      </c>
      <c r="H91" s="1">
        <f t="shared" si="8"/>
        <v>98.458735026921886</v>
      </c>
      <c r="I91" s="1">
        <f t="shared" si="9"/>
        <v>52.250147157190632</v>
      </c>
      <c r="J91" s="1">
        <f t="shared" si="10"/>
        <v>15.993311036789297</v>
      </c>
      <c r="K91" s="17" t="str">
        <f t="shared" si="11"/>
        <v/>
      </c>
      <c r="L91" s="17" t="str">
        <f t="shared" si="12"/>
        <v/>
      </c>
    </row>
    <row r="92" spans="1:12">
      <c r="A92" s="17">
        <v>83</v>
      </c>
      <c r="B92" s="17">
        <v>2</v>
      </c>
      <c r="C92" s="17">
        <v>18</v>
      </c>
      <c r="D92" s="17" t="s">
        <v>455</v>
      </c>
      <c r="E92" s="17">
        <v>65</v>
      </c>
      <c r="F92" s="17">
        <f t="shared" si="13"/>
        <v>0</v>
      </c>
      <c r="G92" s="1">
        <f t="shared" si="7"/>
        <v>55.923333333333332</v>
      </c>
      <c r="H92" s="1">
        <f t="shared" si="8"/>
        <v>98.458735026921886</v>
      </c>
      <c r="I92" s="1">
        <f t="shared" si="9"/>
        <v>52.250147157190632</v>
      </c>
      <c r="J92" s="1">
        <f t="shared" si="10"/>
        <v>15.993311036789297</v>
      </c>
      <c r="K92" s="17" t="str">
        <f t="shared" si="11"/>
        <v/>
      </c>
      <c r="L92" s="17" t="str">
        <f t="shared" si="12"/>
        <v/>
      </c>
    </row>
    <row r="93" spans="1:12">
      <c r="A93" s="17">
        <v>84</v>
      </c>
      <c r="B93" s="17">
        <v>2</v>
      </c>
      <c r="C93" s="17">
        <v>17</v>
      </c>
      <c r="D93" s="17" t="s">
        <v>456</v>
      </c>
      <c r="E93" s="17">
        <v>84</v>
      </c>
      <c r="F93" s="17">
        <f t="shared" si="13"/>
        <v>19</v>
      </c>
      <c r="G93" s="1">
        <f t="shared" si="7"/>
        <v>55.923333333333332</v>
      </c>
      <c r="H93" s="1">
        <f t="shared" si="8"/>
        <v>98.458735026921886</v>
      </c>
      <c r="I93" s="1">
        <f t="shared" si="9"/>
        <v>52.250147157190632</v>
      </c>
      <c r="J93" s="1">
        <f t="shared" si="10"/>
        <v>15.993311036789297</v>
      </c>
      <c r="K93" s="17" t="str">
        <f t="shared" si="11"/>
        <v/>
      </c>
      <c r="L93" s="17" t="str">
        <f t="shared" si="12"/>
        <v/>
      </c>
    </row>
    <row r="94" spans="1:12">
      <c r="A94" s="17">
        <v>85</v>
      </c>
      <c r="B94" s="17">
        <v>2</v>
      </c>
      <c r="C94" s="17">
        <v>16</v>
      </c>
      <c r="D94" s="17" t="s">
        <v>457</v>
      </c>
      <c r="E94" s="17">
        <v>100</v>
      </c>
      <c r="F94" s="17">
        <f t="shared" si="13"/>
        <v>16</v>
      </c>
      <c r="G94" s="1">
        <f t="shared" si="7"/>
        <v>55.923333333333332</v>
      </c>
      <c r="H94" s="1">
        <f t="shared" si="8"/>
        <v>98.458735026921886</v>
      </c>
      <c r="I94" s="1">
        <f t="shared" si="9"/>
        <v>52.250147157190632</v>
      </c>
      <c r="J94" s="1">
        <f t="shared" si="10"/>
        <v>15.993311036789297</v>
      </c>
      <c r="K94" s="17" t="str">
        <f t="shared" si="11"/>
        <v>OOC</v>
      </c>
      <c r="L94" s="17" t="str">
        <f t="shared" si="12"/>
        <v/>
      </c>
    </row>
    <row r="95" spans="1:12">
      <c r="A95" s="17">
        <v>86</v>
      </c>
      <c r="B95" s="17">
        <v>2</v>
      </c>
      <c r="C95" s="17">
        <v>15</v>
      </c>
      <c r="D95" s="17" t="s">
        <v>458</v>
      </c>
      <c r="E95" s="17">
        <v>78</v>
      </c>
      <c r="F95" s="17">
        <f t="shared" si="13"/>
        <v>22</v>
      </c>
      <c r="G95" s="1">
        <f t="shared" si="7"/>
        <v>55.923333333333332</v>
      </c>
      <c r="H95" s="1">
        <f t="shared" si="8"/>
        <v>98.458735026921886</v>
      </c>
      <c r="I95" s="1">
        <f t="shared" si="9"/>
        <v>52.250147157190632</v>
      </c>
      <c r="J95" s="1">
        <f t="shared" si="10"/>
        <v>15.993311036789297</v>
      </c>
      <c r="K95" s="17" t="str">
        <f t="shared" si="11"/>
        <v/>
      </c>
      <c r="L95" s="17" t="str">
        <f t="shared" si="12"/>
        <v/>
      </c>
    </row>
    <row r="96" spans="1:12">
      <c r="A96" s="17">
        <v>87</v>
      </c>
      <c r="B96" s="17">
        <v>2</v>
      </c>
      <c r="C96" s="17">
        <v>14</v>
      </c>
      <c r="D96" s="17" t="s">
        <v>459</v>
      </c>
      <c r="E96" s="17">
        <v>90</v>
      </c>
      <c r="F96" s="17">
        <f t="shared" si="13"/>
        <v>12</v>
      </c>
      <c r="G96" s="1">
        <f t="shared" si="7"/>
        <v>55.923333333333332</v>
      </c>
      <c r="H96" s="1">
        <f t="shared" si="8"/>
        <v>98.458735026921886</v>
      </c>
      <c r="I96" s="1">
        <f t="shared" si="9"/>
        <v>52.250147157190632</v>
      </c>
      <c r="J96" s="1">
        <f t="shared" si="10"/>
        <v>15.993311036789297</v>
      </c>
      <c r="K96" s="17" t="str">
        <f t="shared" si="11"/>
        <v/>
      </c>
      <c r="L96" s="17" t="str">
        <f t="shared" si="12"/>
        <v/>
      </c>
    </row>
    <row r="97" spans="1:12">
      <c r="A97" s="17">
        <v>88</v>
      </c>
      <c r="B97" s="17">
        <v>2</v>
      </c>
      <c r="C97" s="17">
        <v>13</v>
      </c>
      <c r="D97" s="17" t="s">
        <v>460</v>
      </c>
      <c r="E97" s="17">
        <v>110</v>
      </c>
      <c r="F97" s="17">
        <f t="shared" si="13"/>
        <v>20</v>
      </c>
      <c r="G97" s="1">
        <f t="shared" si="7"/>
        <v>55.923333333333332</v>
      </c>
      <c r="H97" s="1">
        <f t="shared" si="8"/>
        <v>98.458735026921886</v>
      </c>
      <c r="I97" s="1">
        <f t="shared" si="9"/>
        <v>52.250147157190632</v>
      </c>
      <c r="J97" s="1">
        <f t="shared" si="10"/>
        <v>15.993311036789297</v>
      </c>
      <c r="K97" s="17" t="str">
        <f t="shared" si="11"/>
        <v>OOC</v>
      </c>
      <c r="L97" s="17" t="str">
        <f t="shared" si="12"/>
        <v/>
      </c>
    </row>
    <row r="98" spans="1:12">
      <c r="A98" s="17">
        <v>89</v>
      </c>
      <c r="B98" s="17">
        <v>2</v>
      </c>
      <c r="C98" s="17">
        <v>12</v>
      </c>
      <c r="D98" s="17" t="s">
        <v>461</v>
      </c>
      <c r="E98" s="17">
        <v>32</v>
      </c>
      <c r="F98" s="17">
        <f t="shared" si="13"/>
        <v>78</v>
      </c>
      <c r="G98" s="1">
        <f t="shared" si="7"/>
        <v>55.923333333333332</v>
      </c>
      <c r="H98" s="1">
        <f t="shared" si="8"/>
        <v>98.458735026921886</v>
      </c>
      <c r="I98" s="1">
        <f t="shared" si="9"/>
        <v>52.250147157190632</v>
      </c>
      <c r="J98" s="1">
        <f t="shared" si="10"/>
        <v>15.993311036789297</v>
      </c>
      <c r="K98" s="17" t="str">
        <f t="shared" si="11"/>
        <v/>
      </c>
      <c r="L98" s="17" t="str">
        <f t="shared" si="12"/>
        <v/>
      </c>
    </row>
    <row r="99" spans="1:12">
      <c r="A99" s="17">
        <v>90</v>
      </c>
      <c r="B99" s="17">
        <v>2</v>
      </c>
      <c r="C99" s="17">
        <v>11</v>
      </c>
      <c r="D99" s="17" t="s">
        <v>462</v>
      </c>
      <c r="E99" s="17">
        <v>36</v>
      </c>
      <c r="F99" s="17">
        <f t="shared" si="13"/>
        <v>4</v>
      </c>
      <c r="G99" s="1">
        <f t="shared" si="7"/>
        <v>55.923333333333332</v>
      </c>
      <c r="H99" s="1">
        <f t="shared" si="8"/>
        <v>98.458735026921886</v>
      </c>
      <c r="I99" s="1">
        <f t="shared" si="9"/>
        <v>52.250147157190632</v>
      </c>
      <c r="J99" s="1">
        <f t="shared" si="10"/>
        <v>15.993311036789297</v>
      </c>
      <c r="K99" s="17" t="str">
        <f t="shared" si="11"/>
        <v/>
      </c>
      <c r="L99" s="17" t="str">
        <f t="shared" si="12"/>
        <v/>
      </c>
    </row>
    <row r="100" spans="1:12">
      <c r="A100" s="17">
        <v>91</v>
      </c>
      <c r="B100" s="17">
        <v>2</v>
      </c>
      <c r="C100" s="17">
        <v>10</v>
      </c>
      <c r="D100" s="17" t="s">
        <v>463</v>
      </c>
      <c r="E100" s="17">
        <v>60</v>
      </c>
      <c r="F100" s="17">
        <f t="shared" si="13"/>
        <v>24</v>
      </c>
      <c r="G100" s="1">
        <f t="shared" si="7"/>
        <v>55.923333333333332</v>
      </c>
      <c r="H100" s="1">
        <f t="shared" si="8"/>
        <v>98.458735026921886</v>
      </c>
      <c r="I100" s="1">
        <f t="shared" si="9"/>
        <v>52.250147157190632</v>
      </c>
      <c r="J100" s="1">
        <f t="shared" si="10"/>
        <v>15.993311036789297</v>
      </c>
      <c r="K100" s="17" t="str">
        <f t="shared" si="11"/>
        <v/>
      </c>
      <c r="L100" s="17" t="str">
        <f t="shared" si="12"/>
        <v/>
      </c>
    </row>
    <row r="101" spans="1:12">
      <c r="A101" s="17">
        <v>92</v>
      </c>
      <c r="B101" s="17">
        <v>2</v>
      </c>
      <c r="C101" s="17">
        <v>9</v>
      </c>
      <c r="D101" s="17" t="s">
        <v>464</v>
      </c>
      <c r="E101" s="17">
        <v>41</v>
      </c>
      <c r="F101" s="17">
        <f t="shared" si="13"/>
        <v>19</v>
      </c>
      <c r="G101" s="1">
        <f t="shared" si="7"/>
        <v>55.923333333333332</v>
      </c>
      <c r="H101" s="1">
        <f t="shared" si="8"/>
        <v>98.458735026921886</v>
      </c>
      <c r="I101" s="1">
        <f t="shared" si="9"/>
        <v>52.250147157190632</v>
      </c>
      <c r="J101" s="1">
        <f t="shared" si="10"/>
        <v>15.993311036789297</v>
      </c>
      <c r="K101" s="17" t="str">
        <f t="shared" si="11"/>
        <v/>
      </c>
      <c r="L101" s="17" t="str">
        <f t="shared" si="12"/>
        <v/>
      </c>
    </row>
    <row r="102" spans="1:12">
      <c r="A102" s="17">
        <v>93</v>
      </c>
      <c r="B102" s="17">
        <v>2</v>
      </c>
      <c r="C102" s="17">
        <v>8</v>
      </c>
      <c r="D102" s="17" t="s">
        <v>465</v>
      </c>
      <c r="E102" s="17">
        <v>31</v>
      </c>
      <c r="F102" s="17">
        <f t="shared" si="13"/>
        <v>10</v>
      </c>
      <c r="G102" s="1">
        <f t="shared" si="7"/>
        <v>55.923333333333332</v>
      </c>
      <c r="H102" s="1">
        <f t="shared" si="8"/>
        <v>98.458735026921886</v>
      </c>
      <c r="I102" s="1">
        <f t="shared" si="9"/>
        <v>52.250147157190632</v>
      </c>
      <c r="J102" s="1">
        <f t="shared" si="10"/>
        <v>15.993311036789297</v>
      </c>
      <c r="K102" s="17" t="str">
        <f t="shared" si="11"/>
        <v/>
      </c>
      <c r="L102" s="17" t="str">
        <f t="shared" si="12"/>
        <v/>
      </c>
    </row>
    <row r="103" spans="1:12">
      <c r="A103" s="17">
        <v>94</v>
      </c>
      <c r="B103" s="17">
        <v>2</v>
      </c>
      <c r="C103" s="17">
        <v>7</v>
      </c>
      <c r="D103" s="17" t="s">
        <v>466</v>
      </c>
      <c r="E103" s="17">
        <v>46</v>
      </c>
      <c r="F103" s="17">
        <f t="shared" si="13"/>
        <v>15</v>
      </c>
      <c r="G103" s="1">
        <f t="shared" si="7"/>
        <v>55.923333333333332</v>
      </c>
      <c r="H103" s="1">
        <f t="shared" si="8"/>
        <v>98.458735026921886</v>
      </c>
      <c r="I103" s="1">
        <f t="shared" si="9"/>
        <v>52.250147157190632</v>
      </c>
      <c r="J103" s="1">
        <f t="shared" si="10"/>
        <v>15.993311036789297</v>
      </c>
      <c r="K103" s="17" t="str">
        <f t="shared" si="11"/>
        <v/>
      </c>
      <c r="L103" s="17" t="str">
        <f t="shared" si="12"/>
        <v/>
      </c>
    </row>
    <row r="104" spans="1:12">
      <c r="A104" s="17">
        <v>95</v>
      </c>
      <c r="B104" s="17">
        <v>2</v>
      </c>
      <c r="C104" s="17">
        <v>6</v>
      </c>
      <c r="D104" s="17" t="s">
        <v>467</v>
      </c>
      <c r="E104" s="17">
        <v>56</v>
      </c>
      <c r="F104" s="17">
        <f t="shared" si="13"/>
        <v>10</v>
      </c>
      <c r="G104" s="1">
        <f t="shared" si="7"/>
        <v>55.923333333333332</v>
      </c>
      <c r="H104" s="1">
        <f t="shared" si="8"/>
        <v>98.458735026921886</v>
      </c>
      <c r="I104" s="1">
        <f t="shared" si="9"/>
        <v>52.250147157190632</v>
      </c>
      <c r="J104" s="1">
        <f t="shared" si="10"/>
        <v>15.993311036789297</v>
      </c>
      <c r="K104" s="17" t="str">
        <f t="shared" si="11"/>
        <v/>
      </c>
      <c r="L104" s="17" t="str">
        <f t="shared" si="12"/>
        <v/>
      </c>
    </row>
    <row r="105" spans="1:12">
      <c r="A105" s="17">
        <v>96</v>
      </c>
      <c r="B105" s="17">
        <v>2</v>
      </c>
      <c r="C105" s="17">
        <v>5</v>
      </c>
      <c r="D105" s="17" t="s">
        <v>468</v>
      </c>
      <c r="E105" s="17">
        <v>63</v>
      </c>
      <c r="F105" s="17">
        <f t="shared" si="13"/>
        <v>7</v>
      </c>
      <c r="G105" s="1">
        <f t="shared" si="7"/>
        <v>55.923333333333332</v>
      </c>
      <c r="H105" s="1">
        <f t="shared" si="8"/>
        <v>98.458735026921886</v>
      </c>
      <c r="I105" s="1">
        <f t="shared" si="9"/>
        <v>52.250147157190632</v>
      </c>
      <c r="J105" s="1">
        <f t="shared" si="10"/>
        <v>15.993311036789297</v>
      </c>
      <c r="K105" s="17" t="str">
        <f t="shared" si="11"/>
        <v/>
      </c>
      <c r="L105" s="17" t="str">
        <f t="shared" si="12"/>
        <v/>
      </c>
    </row>
    <row r="106" spans="1:12">
      <c r="A106" s="17">
        <v>97</v>
      </c>
      <c r="B106" s="17">
        <v>2</v>
      </c>
      <c r="C106" s="17">
        <v>4</v>
      </c>
      <c r="D106" s="17" t="s">
        <v>469</v>
      </c>
      <c r="E106" s="17">
        <v>53</v>
      </c>
      <c r="F106" s="17">
        <f t="shared" si="13"/>
        <v>10</v>
      </c>
      <c r="G106" s="1">
        <f t="shared" si="7"/>
        <v>55.923333333333332</v>
      </c>
      <c r="H106" s="1">
        <f t="shared" si="8"/>
        <v>98.458735026921886</v>
      </c>
      <c r="I106" s="1">
        <f t="shared" si="9"/>
        <v>52.250147157190632</v>
      </c>
      <c r="J106" s="1">
        <f t="shared" si="10"/>
        <v>15.993311036789297</v>
      </c>
      <c r="K106" s="17" t="str">
        <f t="shared" si="11"/>
        <v/>
      </c>
      <c r="L106" s="17" t="str">
        <f t="shared" si="12"/>
        <v/>
      </c>
    </row>
    <row r="107" spans="1:12">
      <c r="A107" s="17">
        <v>98</v>
      </c>
      <c r="B107" s="17">
        <v>2</v>
      </c>
      <c r="C107" s="17">
        <v>3</v>
      </c>
      <c r="D107" s="17" t="s">
        <v>470</v>
      </c>
      <c r="E107" s="17">
        <v>46</v>
      </c>
      <c r="F107" s="17">
        <f t="shared" si="13"/>
        <v>7</v>
      </c>
      <c r="G107" s="1">
        <f t="shared" si="7"/>
        <v>55.923333333333332</v>
      </c>
      <c r="H107" s="1">
        <f t="shared" si="8"/>
        <v>98.458735026921886</v>
      </c>
      <c r="I107" s="1">
        <f t="shared" si="9"/>
        <v>52.250147157190632</v>
      </c>
      <c r="J107" s="1">
        <f t="shared" si="10"/>
        <v>15.993311036789297</v>
      </c>
      <c r="K107" s="17" t="str">
        <f t="shared" si="11"/>
        <v/>
      </c>
      <c r="L107" s="17" t="str">
        <f t="shared" si="12"/>
        <v/>
      </c>
    </row>
    <row r="108" spans="1:12">
      <c r="A108" s="17">
        <v>99</v>
      </c>
      <c r="B108" s="17">
        <v>2</v>
      </c>
      <c r="C108" s="17">
        <v>2</v>
      </c>
      <c r="D108" s="17" t="s">
        <v>471</v>
      </c>
      <c r="E108" s="17">
        <v>59</v>
      </c>
      <c r="F108" s="17">
        <f t="shared" si="13"/>
        <v>13</v>
      </c>
      <c r="G108" s="1">
        <f t="shared" si="7"/>
        <v>55.923333333333332</v>
      </c>
      <c r="H108" s="1">
        <f t="shared" si="8"/>
        <v>98.458735026921886</v>
      </c>
      <c r="I108" s="1">
        <f t="shared" si="9"/>
        <v>52.250147157190632</v>
      </c>
      <c r="J108" s="1">
        <f t="shared" si="10"/>
        <v>15.993311036789297</v>
      </c>
      <c r="K108" s="17" t="str">
        <f t="shared" si="11"/>
        <v/>
      </c>
      <c r="L108" s="17" t="str">
        <f t="shared" si="12"/>
        <v/>
      </c>
    </row>
    <row r="109" spans="1:12">
      <c r="A109" s="17">
        <v>100</v>
      </c>
      <c r="B109" s="17">
        <v>2</v>
      </c>
      <c r="C109" s="17">
        <v>1</v>
      </c>
      <c r="D109" s="17" t="s">
        <v>472</v>
      </c>
      <c r="E109" s="17">
        <v>52</v>
      </c>
      <c r="F109" s="17">
        <f t="shared" si="13"/>
        <v>7</v>
      </c>
      <c r="G109" s="1">
        <f t="shared" si="7"/>
        <v>55.923333333333332</v>
      </c>
      <c r="H109" s="1">
        <f t="shared" si="8"/>
        <v>98.458735026921886</v>
      </c>
      <c r="I109" s="1">
        <f t="shared" si="9"/>
        <v>52.250147157190632</v>
      </c>
      <c r="J109" s="1">
        <f t="shared" si="10"/>
        <v>15.993311036789297</v>
      </c>
      <c r="K109" s="17" t="str">
        <f t="shared" si="11"/>
        <v/>
      </c>
      <c r="L109" s="17" t="str">
        <f t="shared" si="12"/>
        <v/>
      </c>
    </row>
    <row r="110" spans="1:12">
      <c r="A110" s="17">
        <v>101</v>
      </c>
      <c r="B110" s="17">
        <v>3</v>
      </c>
      <c r="C110" s="17">
        <v>25</v>
      </c>
      <c r="D110" s="17" t="s">
        <v>473</v>
      </c>
      <c r="E110" s="17">
        <v>63</v>
      </c>
      <c r="F110" s="17">
        <f t="shared" si="13"/>
        <v>11</v>
      </c>
      <c r="G110" s="1">
        <f t="shared" si="7"/>
        <v>55.923333333333332</v>
      </c>
      <c r="H110" s="1">
        <f t="shared" si="8"/>
        <v>98.458735026921886</v>
      </c>
      <c r="I110" s="1">
        <f t="shared" si="9"/>
        <v>52.250147157190632</v>
      </c>
      <c r="J110" s="1">
        <f t="shared" si="10"/>
        <v>15.993311036789297</v>
      </c>
      <c r="K110" s="17" t="str">
        <f t="shared" si="11"/>
        <v/>
      </c>
      <c r="L110" s="17" t="str">
        <f t="shared" si="12"/>
        <v/>
      </c>
    </row>
    <row r="111" spans="1:12">
      <c r="A111" s="17">
        <v>102</v>
      </c>
      <c r="B111" s="17">
        <v>3</v>
      </c>
      <c r="C111" s="17">
        <v>24</v>
      </c>
      <c r="D111" s="17" t="s">
        <v>474</v>
      </c>
      <c r="E111" s="17">
        <v>73</v>
      </c>
      <c r="F111" s="17">
        <f t="shared" si="13"/>
        <v>10</v>
      </c>
      <c r="G111" s="1">
        <f t="shared" si="7"/>
        <v>55.923333333333332</v>
      </c>
      <c r="H111" s="1">
        <f t="shared" si="8"/>
        <v>98.458735026921886</v>
      </c>
      <c r="I111" s="1">
        <f t="shared" si="9"/>
        <v>52.250147157190632</v>
      </c>
      <c r="J111" s="1">
        <f t="shared" si="10"/>
        <v>15.993311036789297</v>
      </c>
      <c r="K111" s="17" t="str">
        <f t="shared" si="11"/>
        <v/>
      </c>
      <c r="L111" s="17" t="str">
        <f t="shared" si="12"/>
        <v/>
      </c>
    </row>
    <row r="112" spans="1:12">
      <c r="A112" s="17">
        <v>103</v>
      </c>
      <c r="B112" s="17">
        <v>3</v>
      </c>
      <c r="C112" s="17">
        <v>23</v>
      </c>
      <c r="D112" s="17" t="s">
        <v>475</v>
      </c>
      <c r="E112" s="17">
        <v>67</v>
      </c>
      <c r="F112" s="17">
        <f t="shared" si="13"/>
        <v>6</v>
      </c>
      <c r="G112" s="1">
        <f t="shared" si="7"/>
        <v>55.923333333333332</v>
      </c>
      <c r="H112" s="1">
        <f t="shared" si="8"/>
        <v>98.458735026921886</v>
      </c>
      <c r="I112" s="1">
        <f t="shared" si="9"/>
        <v>52.250147157190632</v>
      </c>
      <c r="J112" s="1">
        <f t="shared" si="10"/>
        <v>15.993311036789297</v>
      </c>
      <c r="K112" s="17" t="str">
        <f t="shared" si="11"/>
        <v/>
      </c>
      <c r="L112" s="17" t="str">
        <f t="shared" si="12"/>
        <v/>
      </c>
    </row>
    <row r="113" spans="1:12">
      <c r="A113" s="17">
        <v>104</v>
      </c>
      <c r="B113" s="17">
        <v>3</v>
      </c>
      <c r="C113" s="17">
        <v>22</v>
      </c>
      <c r="D113" s="17" t="s">
        <v>476</v>
      </c>
      <c r="E113" s="17">
        <v>47</v>
      </c>
      <c r="F113" s="17">
        <f t="shared" si="13"/>
        <v>20</v>
      </c>
      <c r="G113" s="1">
        <f t="shared" si="7"/>
        <v>55.923333333333332</v>
      </c>
      <c r="H113" s="1">
        <f t="shared" si="8"/>
        <v>98.458735026921886</v>
      </c>
      <c r="I113" s="1">
        <f t="shared" si="9"/>
        <v>52.250147157190632</v>
      </c>
      <c r="J113" s="1">
        <f t="shared" si="10"/>
        <v>15.993311036789297</v>
      </c>
      <c r="K113" s="17" t="str">
        <f t="shared" si="11"/>
        <v/>
      </c>
      <c r="L113" s="17" t="str">
        <f t="shared" si="12"/>
        <v/>
      </c>
    </row>
    <row r="114" spans="1:12">
      <c r="A114" s="17">
        <v>105</v>
      </c>
      <c r="B114" s="17">
        <v>3</v>
      </c>
      <c r="C114" s="17">
        <v>21</v>
      </c>
      <c r="D114" s="17" t="s">
        <v>477</v>
      </c>
      <c r="E114" s="17">
        <v>75</v>
      </c>
      <c r="F114" s="17">
        <f t="shared" si="13"/>
        <v>28</v>
      </c>
      <c r="G114" s="1">
        <f t="shared" si="7"/>
        <v>55.923333333333332</v>
      </c>
      <c r="H114" s="1">
        <f t="shared" si="8"/>
        <v>98.458735026921886</v>
      </c>
      <c r="I114" s="1">
        <f t="shared" si="9"/>
        <v>52.250147157190632</v>
      </c>
      <c r="J114" s="1">
        <f t="shared" si="10"/>
        <v>15.993311036789297</v>
      </c>
      <c r="K114" s="17" t="str">
        <f t="shared" si="11"/>
        <v/>
      </c>
      <c r="L114" s="17" t="str">
        <f t="shared" si="12"/>
        <v/>
      </c>
    </row>
    <row r="115" spans="1:12">
      <c r="A115" s="17">
        <v>106</v>
      </c>
      <c r="B115" s="17">
        <v>3</v>
      </c>
      <c r="C115" s="17">
        <v>20</v>
      </c>
      <c r="D115" s="17" t="s">
        <v>478</v>
      </c>
      <c r="E115" s="17">
        <v>86</v>
      </c>
      <c r="F115" s="17">
        <f t="shared" si="13"/>
        <v>11</v>
      </c>
      <c r="G115" s="1">
        <f t="shared" si="7"/>
        <v>55.923333333333332</v>
      </c>
      <c r="H115" s="1">
        <f t="shared" si="8"/>
        <v>98.458735026921886</v>
      </c>
      <c r="I115" s="1">
        <f t="shared" si="9"/>
        <v>52.250147157190632</v>
      </c>
      <c r="J115" s="1">
        <f t="shared" si="10"/>
        <v>15.993311036789297</v>
      </c>
      <c r="K115" s="17" t="str">
        <f t="shared" si="11"/>
        <v/>
      </c>
      <c r="L115" s="17" t="str">
        <f t="shared" si="12"/>
        <v/>
      </c>
    </row>
    <row r="116" spans="1:12">
      <c r="A116" s="17">
        <v>107</v>
      </c>
      <c r="B116" s="17">
        <v>3</v>
      </c>
      <c r="C116" s="17">
        <v>19</v>
      </c>
      <c r="D116" s="17" t="s">
        <v>479</v>
      </c>
      <c r="E116" s="17">
        <v>14</v>
      </c>
      <c r="F116" s="17">
        <f t="shared" si="13"/>
        <v>72</v>
      </c>
      <c r="G116" s="1">
        <f t="shared" si="7"/>
        <v>55.923333333333332</v>
      </c>
      <c r="H116" s="1">
        <f t="shared" si="8"/>
        <v>98.458735026921886</v>
      </c>
      <c r="I116" s="1">
        <f t="shared" si="9"/>
        <v>52.250147157190632</v>
      </c>
      <c r="J116" s="1">
        <f t="shared" si="10"/>
        <v>15.993311036789297</v>
      </c>
      <c r="K116" s="17" t="str">
        <f t="shared" si="11"/>
        <v/>
      </c>
      <c r="L116" s="17" t="str">
        <f t="shared" si="12"/>
        <v/>
      </c>
    </row>
    <row r="117" spans="1:12">
      <c r="A117" s="17">
        <v>108</v>
      </c>
      <c r="B117" s="17">
        <v>3</v>
      </c>
      <c r="C117" s="17">
        <v>18</v>
      </c>
      <c r="D117" s="17" t="s">
        <v>480</v>
      </c>
      <c r="E117" s="17">
        <v>19</v>
      </c>
      <c r="F117" s="17">
        <f t="shared" si="13"/>
        <v>5</v>
      </c>
      <c r="G117" s="1">
        <f t="shared" si="7"/>
        <v>55.923333333333332</v>
      </c>
      <c r="H117" s="1">
        <f t="shared" si="8"/>
        <v>98.458735026921886</v>
      </c>
      <c r="I117" s="1">
        <f t="shared" si="9"/>
        <v>52.250147157190632</v>
      </c>
      <c r="J117" s="1">
        <f t="shared" si="10"/>
        <v>15.993311036789297</v>
      </c>
      <c r="K117" s="17" t="str">
        <f t="shared" si="11"/>
        <v/>
      </c>
      <c r="L117" s="17" t="str">
        <f t="shared" si="12"/>
        <v/>
      </c>
    </row>
    <row r="118" spans="1:12">
      <c r="A118" s="17">
        <v>109</v>
      </c>
      <c r="B118" s="17">
        <v>3</v>
      </c>
      <c r="C118" s="17">
        <v>17</v>
      </c>
      <c r="D118" s="17" t="s">
        <v>481</v>
      </c>
      <c r="E118" s="17">
        <v>28</v>
      </c>
      <c r="F118" s="17">
        <f t="shared" si="13"/>
        <v>9</v>
      </c>
      <c r="G118" s="1">
        <f t="shared" si="7"/>
        <v>55.923333333333332</v>
      </c>
      <c r="H118" s="1">
        <f t="shared" si="8"/>
        <v>98.458735026921886</v>
      </c>
      <c r="I118" s="1">
        <f t="shared" si="9"/>
        <v>52.250147157190632</v>
      </c>
      <c r="J118" s="1">
        <f t="shared" si="10"/>
        <v>15.993311036789297</v>
      </c>
      <c r="K118" s="17" t="str">
        <f t="shared" si="11"/>
        <v/>
      </c>
      <c r="L118" s="17" t="str">
        <f t="shared" si="12"/>
        <v/>
      </c>
    </row>
    <row r="119" spans="1:12">
      <c r="A119" s="17">
        <v>110</v>
      </c>
      <c r="B119" s="17">
        <v>3</v>
      </c>
      <c r="C119" s="17">
        <v>16</v>
      </c>
      <c r="D119" s="17" t="s">
        <v>482</v>
      </c>
      <c r="E119" s="17">
        <v>23</v>
      </c>
      <c r="F119" s="17">
        <f t="shared" si="13"/>
        <v>5</v>
      </c>
      <c r="G119" s="1">
        <f t="shared" si="7"/>
        <v>55.923333333333332</v>
      </c>
      <c r="H119" s="1">
        <f t="shared" si="8"/>
        <v>98.458735026921886</v>
      </c>
      <c r="I119" s="1">
        <f t="shared" si="9"/>
        <v>52.250147157190632</v>
      </c>
      <c r="J119" s="1">
        <f t="shared" si="10"/>
        <v>15.993311036789297</v>
      </c>
      <c r="K119" s="17" t="str">
        <f t="shared" si="11"/>
        <v/>
      </c>
      <c r="L119" s="17" t="str">
        <f t="shared" si="12"/>
        <v/>
      </c>
    </row>
    <row r="120" spans="1:12">
      <c r="A120" s="17">
        <v>111</v>
      </c>
      <c r="B120" s="17">
        <v>3</v>
      </c>
      <c r="C120" s="17">
        <v>15</v>
      </c>
      <c r="D120" s="17" t="s">
        <v>483</v>
      </c>
      <c r="E120" s="17">
        <v>31</v>
      </c>
      <c r="F120" s="17">
        <f t="shared" si="13"/>
        <v>8</v>
      </c>
      <c r="G120" s="1">
        <f t="shared" si="7"/>
        <v>55.923333333333332</v>
      </c>
      <c r="H120" s="1">
        <f t="shared" si="8"/>
        <v>98.458735026921886</v>
      </c>
      <c r="I120" s="1">
        <f t="shared" si="9"/>
        <v>52.250147157190632</v>
      </c>
      <c r="J120" s="1">
        <f t="shared" si="10"/>
        <v>15.993311036789297</v>
      </c>
      <c r="K120" s="17" t="str">
        <f t="shared" si="11"/>
        <v/>
      </c>
      <c r="L120" s="17" t="str">
        <f t="shared" si="12"/>
        <v/>
      </c>
    </row>
    <row r="121" spans="1:12">
      <c r="A121" s="17">
        <v>112</v>
      </c>
      <c r="B121" s="17">
        <v>3</v>
      </c>
      <c r="C121" s="17">
        <v>14</v>
      </c>
      <c r="D121" s="17" t="s">
        <v>484</v>
      </c>
      <c r="E121" s="17">
        <v>38</v>
      </c>
      <c r="F121" s="17">
        <f t="shared" si="13"/>
        <v>7</v>
      </c>
      <c r="G121" s="1">
        <f t="shared" si="7"/>
        <v>55.923333333333332</v>
      </c>
      <c r="H121" s="1">
        <f t="shared" si="8"/>
        <v>98.458735026921886</v>
      </c>
      <c r="I121" s="1">
        <f t="shared" si="9"/>
        <v>52.250147157190632</v>
      </c>
      <c r="J121" s="1">
        <f t="shared" si="10"/>
        <v>15.993311036789297</v>
      </c>
      <c r="K121" s="17" t="str">
        <f t="shared" si="11"/>
        <v/>
      </c>
      <c r="L121" s="17" t="str">
        <f t="shared" si="12"/>
        <v/>
      </c>
    </row>
    <row r="122" spans="1:12">
      <c r="A122" s="17">
        <v>113</v>
      </c>
      <c r="B122" s="17">
        <v>3</v>
      </c>
      <c r="C122" s="17">
        <v>13</v>
      </c>
      <c r="D122" s="17" t="s">
        <v>485</v>
      </c>
      <c r="E122" s="17">
        <v>34</v>
      </c>
      <c r="F122" s="17">
        <f t="shared" si="13"/>
        <v>4</v>
      </c>
      <c r="G122" s="1">
        <f t="shared" si="7"/>
        <v>55.923333333333332</v>
      </c>
      <c r="H122" s="1">
        <f t="shared" si="8"/>
        <v>98.458735026921886</v>
      </c>
      <c r="I122" s="1">
        <f t="shared" si="9"/>
        <v>52.250147157190632</v>
      </c>
      <c r="J122" s="1">
        <f t="shared" si="10"/>
        <v>15.993311036789297</v>
      </c>
      <c r="K122" s="17" t="str">
        <f t="shared" si="11"/>
        <v/>
      </c>
      <c r="L122" s="17" t="str">
        <f t="shared" si="12"/>
        <v/>
      </c>
    </row>
    <row r="123" spans="1:12">
      <c r="A123" s="17">
        <v>114</v>
      </c>
      <c r="B123" s="17">
        <v>3</v>
      </c>
      <c r="C123" s="17">
        <v>12</v>
      </c>
      <c r="D123" s="17" t="s">
        <v>486</v>
      </c>
      <c r="E123" s="17">
        <v>54</v>
      </c>
      <c r="F123" s="17">
        <f t="shared" si="13"/>
        <v>20</v>
      </c>
      <c r="G123" s="1">
        <f t="shared" si="7"/>
        <v>55.923333333333332</v>
      </c>
      <c r="H123" s="1">
        <f t="shared" si="8"/>
        <v>98.458735026921886</v>
      </c>
      <c r="I123" s="1">
        <f t="shared" si="9"/>
        <v>52.250147157190632</v>
      </c>
      <c r="J123" s="1">
        <f t="shared" si="10"/>
        <v>15.993311036789297</v>
      </c>
      <c r="K123" s="17" t="str">
        <f t="shared" si="11"/>
        <v/>
      </c>
      <c r="L123" s="17" t="str">
        <f t="shared" si="12"/>
        <v/>
      </c>
    </row>
    <row r="124" spans="1:12">
      <c r="A124" s="17">
        <v>115</v>
      </c>
      <c r="B124" s="17">
        <v>3</v>
      </c>
      <c r="C124" s="17">
        <v>11</v>
      </c>
      <c r="D124" s="17" t="s">
        <v>487</v>
      </c>
      <c r="E124" s="17">
        <v>68</v>
      </c>
      <c r="F124" s="17">
        <f t="shared" si="13"/>
        <v>14</v>
      </c>
      <c r="G124" s="1">
        <f t="shared" si="7"/>
        <v>55.923333333333332</v>
      </c>
      <c r="H124" s="1">
        <f t="shared" si="8"/>
        <v>98.458735026921886</v>
      </c>
      <c r="I124" s="1">
        <f t="shared" si="9"/>
        <v>52.250147157190632</v>
      </c>
      <c r="J124" s="1">
        <f t="shared" si="10"/>
        <v>15.993311036789297</v>
      </c>
      <c r="K124" s="17" t="str">
        <f t="shared" si="11"/>
        <v/>
      </c>
      <c r="L124" s="17" t="str">
        <f t="shared" si="12"/>
        <v/>
      </c>
    </row>
    <row r="125" spans="1:12">
      <c r="A125" s="17">
        <v>116</v>
      </c>
      <c r="B125" s="17">
        <v>3</v>
      </c>
      <c r="C125" s="17">
        <v>10</v>
      </c>
      <c r="D125" s="17" t="s">
        <v>488</v>
      </c>
      <c r="E125" s="17">
        <v>47</v>
      </c>
      <c r="F125" s="17">
        <f t="shared" si="13"/>
        <v>21</v>
      </c>
      <c r="G125" s="1">
        <f t="shared" si="7"/>
        <v>55.923333333333332</v>
      </c>
      <c r="H125" s="1">
        <f t="shared" si="8"/>
        <v>98.458735026921886</v>
      </c>
      <c r="I125" s="1">
        <f t="shared" si="9"/>
        <v>52.250147157190632</v>
      </c>
      <c r="J125" s="1">
        <f t="shared" si="10"/>
        <v>15.993311036789297</v>
      </c>
      <c r="K125" s="17" t="str">
        <f t="shared" si="11"/>
        <v/>
      </c>
      <c r="L125" s="17" t="str">
        <f t="shared" si="12"/>
        <v/>
      </c>
    </row>
    <row r="126" spans="1:12">
      <c r="A126" s="17">
        <v>117</v>
      </c>
      <c r="B126" s="17">
        <v>3</v>
      </c>
      <c r="C126" s="17">
        <v>9</v>
      </c>
      <c r="D126" s="17" t="s">
        <v>489</v>
      </c>
      <c r="E126" s="17">
        <v>39</v>
      </c>
      <c r="F126" s="17">
        <f t="shared" si="13"/>
        <v>8</v>
      </c>
      <c r="G126" s="1">
        <f t="shared" si="7"/>
        <v>55.923333333333332</v>
      </c>
      <c r="H126" s="1">
        <f t="shared" si="8"/>
        <v>98.458735026921886</v>
      </c>
      <c r="I126" s="1">
        <f t="shared" si="9"/>
        <v>52.250147157190632</v>
      </c>
      <c r="J126" s="1">
        <f t="shared" si="10"/>
        <v>15.993311036789297</v>
      </c>
      <c r="K126" s="17" t="str">
        <f t="shared" si="11"/>
        <v/>
      </c>
      <c r="L126" s="17" t="str">
        <f t="shared" si="12"/>
        <v/>
      </c>
    </row>
    <row r="127" spans="1:12">
      <c r="A127" s="17">
        <v>118</v>
      </c>
      <c r="B127" s="17">
        <v>3</v>
      </c>
      <c r="C127" s="17">
        <v>8</v>
      </c>
      <c r="D127" s="17" t="s">
        <v>490</v>
      </c>
      <c r="E127" s="17">
        <v>48</v>
      </c>
      <c r="F127" s="17">
        <f t="shared" si="13"/>
        <v>9</v>
      </c>
      <c r="G127" s="1">
        <f t="shared" si="7"/>
        <v>55.923333333333332</v>
      </c>
      <c r="H127" s="1">
        <f t="shared" si="8"/>
        <v>98.458735026921886</v>
      </c>
      <c r="I127" s="1">
        <f t="shared" si="9"/>
        <v>52.250147157190632</v>
      </c>
      <c r="J127" s="1">
        <f t="shared" si="10"/>
        <v>15.993311036789297</v>
      </c>
      <c r="K127" s="17" t="str">
        <f t="shared" si="11"/>
        <v/>
      </c>
      <c r="L127" s="17" t="str">
        <f t="shared" si="12"/>
        <v/>
      </c>
    </row>
    <row r="128" spans="1:12">
      <c r="A128" s="17">
        <v>119</v>
      </c>
      <c r="B128" s="17">
        <v>3</v>
      </c>
      <c r="C128" s="17">
        <v>7</v>
      </c>
      <c r="D128" s="17" t="s">
        <v>491</v>
      </c>
      <c r="E128" s="17">
        <v>75</v>
      </c>
      <c r="F128" s="17">
        <f t="shared" si="13"/>
        <v>27</v>
      </c>
      <c r="G128" s="1">
        <f t="shared" si="7"/>
        <v>55.923333333333332</v>
      </c>
      <c r="H128" s="1">
        <f t="shared" si="8"/>
        <v>98.458735026921886</v>
      </c>
      <c r="I128" s="1">
        <f t="shared" si="9"/>
        <v>52.250147157190632</v>
      </c>
      <c r="J128" s="1">
        <f t="shared" si="10"/>
        <v>15.993311036789297</v>
      </c>
      <c r="K128" s="17" t="str">
        <f t="shared" si="11"/>
        <v/>
      </c>
      <c r="L128" s="17" t="str">
        <f t="shared" si="12"/>
        <v/>
      </c>
    </row>
    <row r="129" spans="1:12">
      <c r="A129" s="17">
        <v>120</v>
      </c>
      <c r="B129" s="17">
        <v>3</v>
      </c>
      <c r="C129" s="17">
        <v>6</v>
      </c>
      <c r="D129" s="17" t="s">
        <v>492</v>
      </c>
      <c r="E129" s="17">
        <v>72</v>
      </c>
      <c r="F129" s="17">
        <f t="shared" si="13"/>
        <v>3</v>
      </c>
      <c r="G129" s="1">
        <f t="shared" si="7"/>
        <v>55.923333333333332</v>
      </c>
      <c r="H129" s="1">
        <f t="shared" si="8"/>
        <v>98.458735026921886</v>
      </c>
      <c r="I129" s="1">
        <f t="shared" si="9"/>
        <v>52.250147157190632</v>
      </c>
      <c r="J129" s="1">
        <f t="shared" si="10"/>
        <v>15.993311036789297</v>
      </c>
      <c r="K129" s="17" t="str">
        <f t="shared" si="11"/>
        <v/>
      </c>
      <c r="L129" s="17" t="str">
        <f t="shared" si="12"/>
        <v/>
      </c>
    </row>
    <row r="130" spans="1:12">
      <c r="A130" s="17">
        <v>121</v>
      </c>
      <c r="B130" s="17">
        <v>3</v>
      </c>
      <c r="C130" s="17">
        <v>5</v>
      </c>
      <c r="D130" s="17" t="s">
        <v>493</v>
      </c>
      <c r="E130" s="17">
        <v>68</v>
      </c>
      <c r="F130" s="17">
        <f t="shared" si="13"/>
        <v>4</v>
      </c>
      <c r="G130" s="1">
        <f t="shared" si="7"/>
        <v>55.923333333333332</v>
      </c>
      <c r="H130" s="1">
        <f t="shared" si="8"/>
        <v>98.458735026921886</v>
      </c>
      <c r="I130" s="1">
        <f t="shared" si="9"/>
        <v>52.250147157190632</v>
      </c>
      <c r="J130" s="1">
        <f t="shared" si="10"/>
        <v>15.993311036789297</v>
      </c>
      <c r="K130" s="17" t="str">
        <f t="shared" si="11"/>
        <v/>
      </c>
      <c r="L130" s="17" t="str">
        <f t="shared" si="12"/>
        <v/>
      </c>
    </row>
    <row r="131" spans="1:12">
      <c r="A131" s="17">
        <v>122</v>
      </c>
      <c r="B131" s="17">
        <v>3</v>
      </c>
      <c r="C131" s="17">
        <v>4</v>
      </c>
      <c r="D131" s="17" t="s">
        <v>494</v>
      </c>
      <c r="E131" s="17">
        <v>61</v>
      </c>
      <c r="F131" s="17">
        <f t="shared" si="13"/>
        <v>7</v>
      </c>
      <c r="G131" s="1">
        <f t="shared" si="7"/>
        <v>55.923333333333332</v>
      </c>
      <c r="H131" s="1">
        <f t="shared" si="8"/>
        <v>98.458735026921886</v>
      </c>
      <c r="I131" s="1">
        <f t="shared" si="9"/>
        <v>52.250147157190632</v>
      </c>
      <c r="J131" s="1">
        <f t="shared" si="10"/>
        <v>15.993311036789297</v>
      </c>
      <c r="K131" s="17" t="str">
        <f t="shared" si="11"/>
        <v/>
      </c>
      <c r="L131" s="17" t="str">
        <f t="shared" si="12"/>
        <v/>
      </c>
    </row>
    <row r="132" spans="1:12">
      <c r="A132" s="17">
        <v>123</v>
      </c>
      <c r="B132" s="17">
        <v>3</v>
      </c>
      <c r="C132" s="17">
        <v>3</v>
      </c>
      <c r="D132" s="17" t="s">
        <v>495</v>
      </c>
      <c r="E132" s="17">
        <v>69</v>
      </c>
      <c r="F132" s="17">
        <f t="shared" si="13"/>
        <v>8</v>
      </c>
      <c r="G132" s="1">
        <f t="shared" si="7"/>
        <v>55.923333333333332</v>
      </c>
      <c r="H132" s="1">
        <f t="shared" si="8"/>
        <v>98.458735026921886</v>
      </c>
      <c r="I132" s="1">
        <f t="shared" si="9"/>
        <v>52.250147157190632</v>
      </c>
      <c r="J132" s="1">
        <f t="shared" si="10"/>
        <v>15.993311036789297</v>
      </c>
      <c r="K132" s="17" t="str">
        <f t="shared" si="11"/>
        <v/>
      </c>
      <c r="L132" s="17" t="str">
        <f t="shared" si="12"/>
        <v/>
      </c>
    </row>
    <row r="133" spans="1:12">
      <c r="A133" s="17">
        <v>124</v>
      </c>
      <c r="B133" s="17">
        <v>3</v>
      </c>
      <c r="C133" s="17">
        <v>2</v>
      </c>
      <c r="D133" s="17" t="s">
        <v>496</v>
      </c>
      <c r="E133" s="17">
        <v>67</v>
      </c>
      <c r="F133" s="17">
        <f t="shared" si="13"/>
        <v>2</v>
      </c>
      <c r="G133" s="1">
        <f t="shared" si="7"/>
        <v>55.923333333333332</v>
      </c>
      <c r="H133" s="1">
        <f t="shared" si="8"/>
        <v>98.458735026921886</v>
      </c>
      <c r="I133" s="1">
        <f t="shared" si="9"/>
        <v>52.250147157190632</v>
      </c>
      <c r="J133" s="1">
        <f t="shared" si="10"/>
        <v>15.993311036789297</v>
      </c>
      <c r="K133" s="17" t="str">
        <f t="shared" si="11"/>
        <v/>
      </c>
      <c r="L133" s="17" t="str">
        <f t="shared" si="12"/>
        <v/>
      </c>
    </row>
    <row r="134" spans="1:12">
      <c r="A134" s="17">
        <v>125</v>
      </c>
      <c r="B134" s="17">
        <v>3</v>
      </c>
      <c r="C134" s="17">
        <v>1</v>
      </c>
      <c r="D134" s="17" t="s">
        <v>497</v>
      </c>
      <c r="E134" s="17">
        <v>61</v>
      </c>
      <c r="F134" s="17">
        <f t="shared" si="13"/>
        <v>6</v>
      </c>
      <c r="G134" s="1">
        <f t="shared" si="7"/>
        <v>55.923333333333332</v>
      </c>
      <c r="H134" s="1">
        <f t="shared" si="8"/>
        <v>98.458735026921886</v>
      </c>
      <c r="I134" s="1">
        <f t="shared" si="9"/>
        <v>52.250147157190632</v>
      </c>
      <c r="J134" s="1">
        <f t="shared" si="10"/>
        <v>15.993311036789297</v>
      </c>
      <c r="K134" s="17" t="str">
        <f t="shared" si="11"/>
        <v/>
      </c>
      <c r="L134" s="17" t="str">
        <f t="shared" si="12"/>
        <v/>
      </c>
    </row>
    <row r="135" spans="1:12">
      <c r="A135" s="17">
        <v>126</v>
      </c>
      <c r="B135" s="17">
        <v>3</v>
      </c>
      <c r="C135" s="17">
        <v>25</v>
      </c>
      <c r="D135" s="17" t="s">
        <v>498</v>
      </c>
      <c r="E135" s="17">
        <v>53</v>
      </c>
      <c r="F135" s="17">
        <f t="shared" si="13"/>
        <v>8</v>
      </c>
      <c r="G135" s="1">
        <f t="shared" si="7"/>
        <v>55.923333333333332</v>
      </c>
      <c r="H135" s="1">
        <f t="shared" si="8"/>
        <v>98.458735026921886</v>
      </c>
      <c r="I135" s="1">
        <f t="shared" si="9"/>
        <v>52.250147157190632</v>
      </c>
      <c r="J135" s="1">
        <f t="shared" si="10"/>
        <v>15.993311036789297</v>
      </c>
      <c r="K135" s="17" t="str">
        <f t="shared" si="11"/>
        <v/>
      </c>
      <c r="L135" s="17" t="str">
        <f t="shared" si="12"/>
        <v/>
      </c>
    </row>
    <row r="136" spans="1:12">
      <c r="A136" s="17">
        <v>127</v>
      </c>
      <c r="B136" s="17">
        <v>3</v>
      </c>
      <c r="C136" s="17">
        <v>24</v>
      </c>
      <c r="D136" s="17" t="s">
        <v>499</v>
      </c>
      <c r="E136" s="17">
        <v>50</v>
      </c>
      <c r="F136" s="17">
        <f t="shared" si="13"/>
        <v>3</v>
      </c>
      <c r="G136" s="1">
        <f t="shared" si="7"/>
        <v>55.923333333333332</v>
      </c>
      <c r="H136" s="1">
        <f t="shared" si="8"/>
        <v>98.458735026921886</v>
      </c>
      <c r="I136" s="1">
        <f t="shared" si="9"/>
        <v>52.250147157190632</v>
      </c>
      <c r="J136" s="1">
        <f t="shared" si="10"/>
        <v>15.993311036789297</v>
      </c>
      <c r="K136" s="17" t="str">
        <f t="shared" si="11"/>
        <v/>
      </c>
      <c r="L136" s="17" t="str">
        <f t="shared" si="12"/>
        <v/>
      </c>
    </row>
    <row r="137" spans="1:12">
      <c r="A137" s="17">
        <v>128</v>
      </c>
      <c r="B137" s="17">
        <v>3</v>
      </c>
      <c r="C137" s="17">
        <v>23</v>
      </c>
      <c r="D137" s="17" t="s">
        <v>500</v>
      </c>
      <c r="E137" s="17">
        <v>96</v>
      </c>
      <c r="F137" s="17">
        <f t="shared" si="13"/>
        <v>46</v>
      </c>
      <c r="G137" s="1">
        <f t="shared" si="7"/>
        <v>55.923333333333332</v>
      </c>
      <c r="H137" s="1">
        <f t="shared" si="8"/>
        <v>98.458735026921886</v>
      </c>
      <c r="I137" s="1">
        <f t="shared" si="9"/>
        <v>52.250147157190632</v>
      </c>
      <c r="J137" s="1">
        <f t="shared" si="10"/>
        <v>15.993311036789297</v>
      </c>
      <c r="K137" s="17" t="str">
        <f t="shared" si="11"/>
        <v/>
      </c>
      <c r="L137" s="17" t="str">
        <f t="shared" si="12"/>
        <v/>
      </c>
    </row>
    <row r="138" spans="1:12">
      <c r="A138" s="17">
        <v>129</v>
      </c>
      <c r="B138" s="17">
        <v>3</v>
      </c>
      <c r="C138" s="17">
        <v>22</v>
      </c>
      <c r="D138" s="17" t="s">
        <v>501</v>
      </c>
      <c r="E138" s="17">
        <v>79</v>
      </c>
      <c r="F138" s="17">
        <f t="shared" si="13"/>
        <v>17</v>
      </c>
      <c r="G138" s="1">
        <f t="shared" ref="G138:G201" si="14">$Q$3</f>
        <v>55.923333333333332</v>
      </c>
      <c r="H138" s="1">
        <f t="shared" ref="H138:H201" si="15">$Q$6</f>
        <v>98.458735026921886</v>
      </c>
      <c r="I138" s="1">
        <f t="shared" ref="I138:I201" si="16">$Q$7</f>
        <v>52.250147157190632</v>
      </c>
      <c r="J138" s="1">
        <f t="shared" ref="J138:J201" si="17">$Q$4</f>
        <v>15.993311036789297</v>
      </c>
      <c r="K138" s="17" t="str">
        <f t="shared" ref="K138:K201" si="18">IF(E138&gt;$Q$6,"OOC","" )</f>
        <v/>
      </c>
      <c r="L138" s="17" t="str">
        <f t="shared" ref="L138:L201" si="19">IF(E138&gt;$B$3,"OOS","" )</f>
        <v/>
      </c>
    </row>
    <row r="139" spans="1:12">
      <c r="A139" s="17">
        <v>130</v>
      </c>
      <c r="B139" s="17">
        <v>3</v>
      </c>
      <c r="C139" s="17">
        <v>21</v>
      </c>
      <c r="D139" s="17" t="s">
        <v>502</v>
      </c>
      <c r="E139" s="17">
        <v>81</v>
      </c>
      <c r="F139" s="17">
        <f t="shared" ref="F139:F202" si="20">ABS(E139-E138)</f>
        <v>2</v>
      </c>
      <c r="G139" s="1">
        <f t="shared" si="14"/>
        <v>55.923333333333332</v>
      </c>
      <c r="H139" s="1">
        <f t="shared" si="15"/>
        <v>98.458735026921886</v>
      </c>
      <c r="I139" s="1">
        <f t="shared" si="16"/>
        <v>52.250147157190632</v>
      </c>
      <c r="J139" s="1">
        <f t="shared" si="17"/>
        <v>15.993311036789297</v>
      </c>
      <c r="K139" s="17" t="str">
        <f t="shared" si="18"/>
        <v/>
      </c>
      <c r="L139" s="17" t="str">
        <f t="shared" si="19"/>
        <v/>
      </c>
    </row>
    <row r="140" spans="1:12">
      <c r="A140" s="17">
        <v>131</v>
      </c>
      <c r="B140" s="17">
        <v>3</v>
      </c>
      <c r="C140" s="17">
        <v>20</v>
      </c>
      <c r="D140" s="17" t="s">
        <v>503</v>
      </c>
      <c r="E140" s="17">
        <v>73</v>
      </c>
      <c r="F140" s="17">
        <f t="shared" si="20"/>
        <v>8</v>
      </c>
      <c r="G140" s="1">
        <f t="shared" si="14"/>
        <v>55.923333333333332</v>
      </c>
      <c r="H140" s="1">
        <f t="shared" si="15"/>
        <v>98.458735026921886</v>
      </c>
      <c r="I140" s="1">
        <f t="shared" si="16"/>
        <v>52.250147157190632</v>
      </c>
      <c r="J140" s="1">
        <f t="shared" si="17"/>
        <v>15.993311036789297</v>
      </c>
      <c r="K140" s="17" t="str">
        <f t="shared" si="18"/>
        <v/>
      </c>
      <c r="L140" s="17" t="str">
        <f t="shared" si="19"/>
        <v/>
      </c>
    </row>
    <row r="141" spans="1:12">
      <c r="A141" s="17">
        <v>132</v>
      </c>
      <c r="B141" s="17">
        <v>3</v>
      </c>
      <c r="C141" s="17">
        <v>19</v>
      </c>
      <c r="D141" s="17" t="s">
        <v>504</v>
      </c>
      <c r="E141" s="17">
        <v>72</v>
      </c>
      <c r="F141" s="17">
        <f t="shared" si="20"/>
        <v>1</v>
      </c>
      <c r="G141" s="1">
        <f t="shared" si="14"/>
        <v>55.923333333333332</v>
      </c>
      <c r="H141" s="1">
        <f t="shared" si="15"/>
        <v>98.458735026921886</v>
      </c>
      <c r="I141" s="1">
        <f t="shared" si="16"/>
        <v>52.250147157190632</v>
      </c>
      <c r="J141" s="1">
        <f t="shared" si="17"/>
        <v>15.993311036789297</v>
      </c>
      <c r="K141" s="17" t="str">
        <f t="shared" si="18"/>
        <v/>
      </c>
      <c r="L141" s="17" t="str">
        <f t="shared" si="19"/>
        <v/>
      </c>
    </row>
    <row r="142" spans="1:12">
      <c r="A142" s="17">
        <v>133</v>
      </c>
      <c r="B142" s="17">
        <v>3</v>
      </c>
      <c r="C142" s="17">
        <v>18</v>
      </c>
      <c r="D142" s="17" t="s">
        <v>505</v>
      </c>
      <c r="E142" s="17">
        <v>72</v>
      </c>
      <c r="F142" s="17">
        <f t="shared" si="20"/>
        <v>0</v>
      </c>
      <c r="G142" s="1">
        <f t="shared" si="14"/>
        <v>55.923333333333332</v>
      </c>
      <c r="H142" s="1">
        <f t="shared" si="15"/>
        <v>98.458735026921886</v>
      </c>
      <c r="I142" s="1">
        <f t="shared" si="16"/>
        <v>52.250147157190632</v>
      </c>
      <c r="J142" s="1">
        <f t="shared" si="17"/>
        <v>15.993311036789297</v>
      </c>
      <c r="K142" s="17" t="str">
        <f t="shared" si="18"/>
        <v/>
      </c>
      <c r="L142" s="17" t="str">
        <f t="shared" si="19"/>
        <v/>
      </c>
    </row>
    <row r="143" spans="1:12">
      <c r="A143" s="17">
        <v>134</v>
      </c>
      <c r="B143" s="17">
        <v>3</v>
      </c>
      <c r="C143" s="17">
        <v>17</v>
      </c>
      <c r="D143" s="17" t="s">
        <v>506</v>
      </c>
      <c r="E143" s="17">
        <v>108</v>
      </c>
      <c r="F143" s="17">
        <f t="shared" si="20"/>
        <v>36</v>
      </c>
      <c r="G143" s="1">
        <f t="shared" si="14"/>
        <v>55.923333333333332</v>
      </c>
      <c r="H143" s="1">
        <f t="shared" si="15"/>
        <v>98.458735026921886</v>
      </c>
      <c r="I143" s="1">
        <f t="shared" si="16"/>
        <v>52.250147157190632</v>
      </c>
      <c r="J143" s="1">
        <f t="shared" si="17"/>
        <v>15.993311036789297</v>
      </c>
      <c r="K143" s="17" t="str">
        <f t="shared" si="18"/>
        <v>OOC</v>
      </c>
      <c r="L143" s="17" t="str">
        <f t="shared" si="19"/>
        <v/>
      </c>
    </row>
    <row r="144" spans="1:12">
      <c r="A144" s="17">
        <v>135</v>
      </c>
      <c r="B144" s="17">
        <v>3</v>
      </c>
      <c r="C144" s="17">
        <v>16</v>
      </c>
      <c r="D144" s="17" t="s">
        <v>507</v>
      </c>
      <c r="E144" s="17">
        <v>120</v>
      </c>
      <c r="F144" s="17">
        <f t="shared" si="20"/>
        <v>12</v>
      </c>
      <c r="G144" s="1">
        <f t="shared" si="14"/>
        <v>55.923333333333332</v>
      </c>
      <c r="H144" s="1">
        <f t="shared" si="15"/>
        <v>98.458735026921886</v>
      </c>
      <c r="I144" s="1">
        <f t="shared" si="16"/>
        <v>52.250147157190632</v>
      </c>
      <c r="J144" s="1">
        <f t="shared" si="17"/>
        <v>15.993311036789297</v>
      </c>
      <c r="K144" s="17" t="str">
        <f t="shared" si="18"/>
        <v>OOC</v>
      </c>
      <c r="L144" s="17" t="str">
        <f t="shared" si="19"/>
        <v/>
      </c>
    </row>
    <row r="145" spans="1:12">
      <c r="A145" s="17">
        <v>136</v>
      </c>
      <c r="B145" s="17">
        <v>3</v>
      </c>
      <c r="C145" s="17">
        <v>15</v>
      </c>
      <c r="D145" s="17" t="s">
        <v>508</v>
      </c>
      <c r="E145" s="17">
        <v>27</v>
      </c>
      <c r="F145" s="17">
        <f t="shared" si="20"/>
        <v>93</v>
      </c>
      <c r="G145" s="1">
        <f t="shared" si="14"/>
        <v>55.923333333333332</v>
      </c>
      <c r="H145" s="1">
        <f t="shared" si="15"/>
        <v>98.458735026921886</v>
      </c>
      <c r="I145" s="1">
        <f t="shared" si="16"/>
        <v>52.250147157190632</v>
      </c>
      <c r="J145" s="1">
        <f t="shared" si="17"/>
        <v>15.993311036789297</v>
      </c>
      <c r="K145" s="17" t="str">
        <f t="shared" si="18"/>
        <v/>
      </c>
      <c r="L145" s="17" t="str">
        <f t="shared" si="19"/>
        <v/>
      </c>
    </row>
    <row r="146" spans="1:12">
      <c r="A146" s="17">
        <v>137</v>
      </c>
      <c r="B146" s="17">
        <v>3</v>
      </c>
      <c r="C146" s="17">
        <v>14</v>
      </c>
      <c r="D146" s="17" t="s">
        <v>509</v>
      </c>
      <c r="E146" s="17">
        <v>24</v>
      </c>
      <c r="F146" s="17">
        <f t="shared" si="20"/>
        <v>3</v>
      </c>
      <c r="G146" s="1">
        <f t="shared" si="14"/>
        <v>55.923333333333332</v>
      </c>
      <c r="H146" s="1">
        <f t="shared" si="15"/>
        <v>98.458735026921886</v>
      </c>
      <c r="I146" s="1">
        <f t="shared" si="16"/>
        <v>52.250147157190632</v>
      </c>
      <c r="J146" s="1">
        <f t="shared" si="17"/>
        <v>15.993311036789297</v>
      </c>
      <c r="K146" s="17" t="str">
        <f t="shared" si="18"/>
        <v/>
      </c>
      <c r="L146" s="17" t="str">
        <f t="shared" si="19"/>
        <v/>
      </c>
    </row>
    <row r="147" spans="1:12">
      <c r="A147" s="17">
        <v>138</v>
      </c>
      <c r="B147" s="17">
        <v>3</v>
      </c>
      <c r="C147" s="17">
        <v>13</v>
      </c>
      <c r="D147" s="17" t="s">
        <v>510</v>
      </c>
      <c r="E147" s="17">
        <v>41</v>
      </c>
      <c r="F147" s="17">
        <f t="shared" si="20"/>
        <v>17</v>
      </c>
      <c r="G147" s="1">
        <f t="shared" si="14"/>
        <v>55.923333333333332</v>
      </c>
      <c r="H147" s="1">
        <f t="shared" si="15"/>
        <v>98.458735026921886</v>
      </c>
      <c r="I147" s="1">
        <f t="shared" si="16"/>
        <v>52.250147157190632</v>
      </c>
      <c r="J147" s="1">
        <f t="shared" si="17"/>
        <v>15.993311036789297</v>
      </c>
      <c r="K147" s="17" t="str">
        <f t="shared" si="18"/>
        <v/>
      </c>
      <c r="L147" s="17" t="str">
        <f t="shared" si="19"/>
        <v/>
      </c>
    </row>
    <row r="148" spans="1:12">
      <c r="A148" s="17">
        <v>139</v>
      </c>
      <c r="B148" s="17">
        <v>3</v>
      </c>
      <c r="C148" s="17">
        <v>12</v>
      </c>
      <c r="D148" s="17" t="s">
        <v>511</v>
      </c>
      <c r="E148" s="17">
        <v>28</v>
      </c>
      <c r="F148" s="17">
        <f t="shared" si="20"/>
        <v>13</v>
      </c>
      <c r="G148" s="1">
        <f t="shared" si="14"/>
        <v>55.923333333333332</v>
      </c>
      <c r="H148" s="1">
        <f t="shared" si="15"/>
        <v>98.458735026921886</v>
      </c>
      <c r="I148" s="1">
        <f t="shared" si="16"/>
        <v>52.250147157190632</v>
      </c>
      <c r="J148" s="1">
        <f t="shared" si="17"/>
        <v>15.993311036789297</v>
      </c>
      <c r="K148" s="17" t="str">
        <f t="shared" si="18"/>
        <v/>
      </c>
      <c r="L148" s="17" t="str">
        <f t="shared" si="19"/>
        <v/>
      </c>
    </row>
    <row r="149" spans="1:12">
      <c r="A149" s="17">
        <v>140</v>
      </c>
      <c r="B149" s="17">
        <v>3</v>
      </c>
      <c r="C149" s="17">
        <v>11</v>
      </c>
      <c r="D149" s="17" t="s">
        <v>512</v>
      </c>
      <c r="E149" s="17">
        <v>45</v>
      </c>
      <c r="F149" s="17">
        <f t="shared" si="20"/>
        <v>17</v>
      </c>
      <c r="G149" s="1">
        <f t="shared" si="14"/>
        <v>55.923333333333332</v>
      </c>
      <c r="H149" s="1">
        <f t="shared" si="15"/>
        <v>98.458735026921886</v>
      </c>
      <c r="I149" s="1">
        <f t="shared" si="16"/>
        <v>52.250147157190632</v>
      </c>
      <c r="J149" s="1">
        <f t="shared" si="17"/>
        <v>15.993311036789297</v>
      </c>
      <c r="K149" s="17" t="str">
        <f t="shared" si="18"/>
        <v/>
      </c>
      <c r="L149" s="17" t="str">
        <f t="shared" si="19"/>
        <v/>
      </c>
    </row>
    <row r="150" spans="1:12">
      <c r="A150" s="17">
        <v>141</v>
      </c>
      <c r="B150" s="17">
        <v>3</v>
      </c>
      <c r="C150" s="17">
        <v>10</v>
      </c>
      <c r="D150" s="17" t="s">
        <v>513</v>
      </c>
      <c r="E150" s="17">
        <v>52</v>
      </c>
      <c r="F150" s="17">
        <f t="shared" si="20"/>
        <v>7</v>
      </c>
      <c r="G150" s="1">
        <f t="shared" si="14"/>
        <v>55.923333333333332</v>
      </c>
      <c r="H150" s="1">
        <f t="shared" si="15"/>
        <v>98.458735026921886</v>
      </c>
      <c r="I150" s="1">
        <f t="shared" si="16"/>
        <v>52.250147157190632</v>
      </c>
      <c r="J150" s="1">
        <f t="shared" si="17"/>
        <v>15.993311036789297</v>
      </c>
      <c r="K150" s="17" t="str">
        <f t="shared" si="18"/>
        <v/>
      </c>
      <c r="L150" s="17" t="str">
        <f t="shared" si="19"/>
        <v/>
      </c>
    </row>
    <row r="151" spans="1:12">
      <c r="A151" s="17">
        <v>142</v>
      </c>
      <c r="B151" s="17">
        <v>3</v>
      </c>
      <c r="C151" s="17">
        <v>9</v>
      </c>
      <c r="D151" s="17" t="s">
        <v>514</v>
      </c>
      <c r="E151" s="17">
        <v>52</v>
      </c>
      <c r="F151" s="17">
        <f t="shared" si="20"/>
        <v>0</v>
      </c>
      <c r="G151" s="1">
        <f t="shared" si="14"/>
        <v>55.923333333333332</v>
      </c>
      <c r="H151" s="1">
        <f t="shared" si="15"/>
        <v>98.458735026921886</v>
      </c>
      <c r="I151" s="1">
        <f t="shared" si="16"/>
        <v>52.250147157190632</v>
      </c>
      <c r="J151" s="1">
        <f t="shared" si="17"/>
        <v>15.993311036789297</v>
      </c>
      <c r="K151" s="17" t="str">
        <f t="shared" si="18"/>
        <v/>
      </c>
      <c r="L151" s="17" t="str">
        <f t="shared" si="19"/>
        <v/>
      </c>
    </row>
    <row r="152" spans="1:12">
      <c r="A152" s="17">
        <v>143</v>
      </c>
      <c r="B152" s="17">
        <v>3</v>
      </c>
      <c r="C152" s="17">
        <v>8</v>
      </c>
      <c r="D152" s="17" t="s">
        <v>515</v>
      </c>
      <c r="E152" s="17">
        <v>65</v>
      </c>
      <c r="F152" s="17">
        <f t="shared" si="20"/>
        <v>13</v>
      </c>
      <c r="G152" s="1">
        <f t="shared" si="14"/>
        <v>55.923333333333332</v>
      </c>
      <c r="H152" s="1">
        <f t="shared" si="15"/>
        <v>98.458735026921886</v>
      </c>
      <c r="I152" s="1">
        <f t="shared" si="16"/>
        <v>52.250147157190632</v>
      </c>
      <c r="J152" s="1">
        <f t="shared" si="17"/>
        <v>15.993311036789297</v>
      </c>
      <c r="K152" s="17" t="str">
        <f t="shared" si="18"/>
        <v/>
      </c>
      <c r="L152" s="17" t="str">
        <f t="shared" si="19"/>
        <v/>
      </c>
    </row>
    <row r="153" spans="1:12">
      <c r="A153" s="17">
        <v>144</v>
      </c>
      <c r="B153" s="17">
        <v>3</v>
      </c>
      <c r="C153" s="17">
        <v>7</v>
      </c>
      <c r="D153" s="17" t="s">
        <v>516</v>
      </c>
      <c r="E153" s="17">
        <v>39</v>
      </c>
      <c r="F153" s="17">
        <f t="shared" si="20"/>
        <v>26</v>
      </c>
      <c r="G153" s="1">
        <f t="shared" si="14"/>
        <v>55.923333333333332</v>
      </c>
      <c r="H153" s="1">
        <f t="shared" si="15"/>
        <v>98.458735026921886</v>
      </c>
      <c r="I153" s="1">
        <f t="shared" si="16"/>
        <v>52.250147157190632</v>
      </c>
      <c r="J153" s="1">
        <f t="shared" si="17"/>
        <v>15.993311036789297</v>
      </c>
      <c r="K153" s="17" t="str">
        <f t="shared" si="18"/>
        <v/>
      </c>
      <c r="L153" s="17" t="str">
        <f t="shared" si="19"/>
        <v/>
      </c>
    </row>
    <row r="154" spans="1:12">
      <c r="A154" s="17">
        <v>145</v>
      </c>
      <c r="B154" s="17">
        <v>3</v>
      </c>
      <c r="C154" s="17">
        <v>6</v>
      </c>
      <c r="D154" s="17" t="s">
        <v>517</v>
      </c>
      <c r="E154" s="17">
        <v>52</v>
      </c>
      <c r="F154" s="17">
        <f t="shared" si="20"/>
        <v>13</v>
      </c>
      <c r="G154" s="1">
        <f t="shared" si="14"/>
        <v>55.923333333333332</v>
      </c>
      <c r="H154" s="1">
        <f t="shared" si="15"/>
        <v>98.458735026921886</v>
      </c>
      <c r="I154" s="1">
        <f t="shared" si="16"/>
        <v>52.250147157190632</v>
      </c>
      <c r="J154" s="1">
        <f t="shared" si="17"/>
        <v>15.993311036789297</v>
      </c>
      <c r="K154" s="17" t="str">
        <f t="shared" si="18"/>
        <v/>
      </c>
      <c r="L154" s="17" t="str">
        <f t="shared" si="19"/>
        <v/>
      </c>
    </row>
    <row r="155" spans="1:12">
      <c r="A155" s="17">
        <v>146</v>
      </c>
      <c r="B155" s="17">
        <v>3</v>
      </c>
      <c r="C155" s="17">
        <v>5</v>
      </c>
      <c r="D155" s="17" t="s">
        <v>518</v>
      </c>
      <c r="E155" s="17">
        <v>33</v>
      </c>
      <c r="F155" s="17">
        <f t="shared" si="20"/>
        <v>19</v>
      </c>
      <c r="G155" s="1">
        <f t="shared" si="14"/>
        <v>55.923333333333332</v>
      </c>
      <c r="H155" s="1">
        <f t="shared" si="15"/>
        <v>98.458735026921886</v>
      </c>
      <c r="I155" s="1">
        <f t="shared" si="16"/>
        <v>52.250147157190632</v>
      </c>
      <c r="J155" s="1">
        <f t="shared" si="17"/>
        <v>15.993311036789297</v>
      </c>
      <c r="K155" s="17" t="str">
        <f t="shared" si="18"/>
        <v/>
      </c>
      <c r="L155" s="17" t="str">
        <f t="shared" si="19"/>
        <v/>
      </c>
    </row>
    <row r="156" spans="1:12">
      <c r="A156" s="17">
        <v>147</v>
      </c>
      <c r="B156" s="17">
        <v>3</v>
      </c>
      <c r="C156" s="17">
        <v>4</v>
      </c>
      <c r="D156" s="17" t="s">
        <v>519</v>
      </c>
      <c r="E156" s="17">
        <v>41</v>
      </c>
      <c r="F156" s="17">
        <f t="shared" si="20"/>
        <v>8</v>
      </c>
      <c r="G156" s="1">
        <f t="shared" si="14"/>
        <v>55.923333333333332</v>
      </c>
      <c r="H156" s="1">
        <f t="shared" si="15"/>
        <v>98.458735026921886</v>
      </c>
      <c r="I156" s="1">
        <f t="shared" si="16"/>
        <v>52.250147157190632</v>
      </c>
      <c r="J156" s="1">
        <f t="shared" si="17"/>
        <v>15.993311036789297</v>
      </c>
      <c r="K156" s="17" t="str">
        <f t="shared" si="18"/>
        <v/>
      </c>
      <c r="L156" s="17" t="str">
        <f t="shared" si="19"/>
        <v/>
      </c>
    </row>
    <row r="157" spans="1:12">
      <c r="A157" s="17">
        <v>148</v>
      </c>
      <c r="B157" s="17">
        <v>3</v>
      </c>
      <c r="C157" s="17">
        <v>3</v>
      </c>
      <c r="D157" s="17" t="s">
        <v>520</v>
      </c>
      <c r="E157" s="17">
        <v>49</v>
      </c>
      <c r="F157" s="17">
        <f t="shared" si="20"/>
        <v>8</v>
      </c>
      <c r="G157" s="1">
        <f t="shared" si="14"/>
        <v>55.923333333333332</v>
      </c>
      <c r="H157" s="1">
        <f t="shared" si="15"/>
        <v>98.458735026921886</v>
      </c>
      <c r="I157" s="1">
        <f t="shared" si="16"/>
        <v>52.250147157190632</v>
      </c>
      <c r="J157" s="1">
        <f t="shared" si="17"/>
        <v>15.993311036789297</v>
      </c>
      <c r="K157" s="17" t="str">
        <f t="shared" si="18"/>
        <v/>
      </c>
      <c r="L157" s="17" t="str">
        <f t="shared" si="19"/>
        <v/>
      </c>
    </row>
    <row r="158" spans="1:12">
      <c r="A158" s="17">
        <v>149</v>
      </c>
      <c r="B158" s="17">
        <v>3</v>
      </c>
      <c r="C158" s="17">
        <v>2</v>
      </c>
      <c r="D158" s="17" t="s">
        <v>521</v>
      </c>
      <c r="E158" s="17">
        <v>75</v>
      </c>
      <c r="F158" s="17">
        <f t="shared" si="20"/>
        <v>26</v>
      </c>
      <c r="G158" s="1">
        <f t="shared" si="14"/>
        <v>55.923333333333332</v>
      </c>
      <c r="H158" s="1">
        <f t="shared" si="15"/>
        <v>98.458735026921886</v>
      </c>
      <c r="I158" s="1">
        <f t="shared" si="16"/>
        <v>52.250147157190632</v>
      </c>
      <c r="J158" s="1">
        <f t="shared" si="17"/>
        <v>15.993311036789297</v>
      </c>
      <c r="K158" s="17" t="str">
        <f t="shared" si="18"/>
        <v/>
      </c>
      <c r="L158" s="17" t="str">
        <f t="shared" si="19"/>
        <v/>
      </c>
    </row>
    <row r="159" spans="1:12">
      <c r="A159" s="17">
        <v>150</v>
      </c>
      <c r="B159" s="17">
        <v>3</v>
      </c>
      <c r="C159" s="17">
        <v>1</v>
      </c>
      <c r="D159" s="17" t="s">
        <v>522</v>
      </c>
      <c r="E159" s="17">
        <v>55</v>
      </c>
      <c r="F159" s="17">
        <f t="shared" si="20"/>
        <v>20</v>
      </c>
      <c r="G159" s="1">
        <f t="shared" si="14"/>
        <v>55.923333333333332</v>
      </c>
      <c r="H159" s="1">
        <f t="shared" si="15"/>
        <v>98.458735026921886</v>
      </c>
      <c r="I159" s="1">
        <f t="shared" si="16"/>
        <v>52.250147157190632</v>
      </c>
      <c r="J159" s="1">
        <f t="shared" si="17"/>
        <v>15.993311036789297</v>
      </c>
      <c r="K159" s="17" t="str">
        <f t="shared" si="18"/>
        <v/>
      </c>
      <c r="L159" s="17" t="str">
        <f t="shared" si="19"/>
        <v/>
      </c>
    </row>
    <row r="160" spans="1:12">
      <c r="A160" s="17">
        <v>151</v>
      </c>
      <c r="B160" s="17">
        <v>4</v>
      </c>
      <c r="C160" s="17">
        <v>25</v>
      </c>
      <c r="D160" s="17" t="s">
        <v>523</v>
      </c>
      <c r="E160" s="17">
        <v>12</v>
      </c>
      <c r="F160" s="17">
        <f t="shared" si="20"/>
        <v>43</v>
      </c>
      <c r="G160" s="1">
        <f t="shared" si="14"/>
        <v>55.923333333333332</v>
      </c>
      <c r="H160" s="1">
        <f t="shared" si="15"/>
        <v>98.458735026921886</v>
      </c>
      <c r="I160" s="1">
        <f t="shared" si="16"/>
        <v>52.250147157190632</v>
      </c>
      <c r="J160" s="1">
        <f t="shared" si="17"/>
        <v>15.993311036789297</v>
      </c>
      <c r="K160" s="17" t="str">
        <f t="shared" si="18"/>
        <v/>
      </c>
      <c r="L160" s="17" t="str">
        <f t="shared" si="19"/>
        <v/>
      </c>
    </row>
    <row r="161" spans="1:12">
      <c r="A161" s="17">
        <v>152</v>
      </c>
      <c r="B161" s="17">
        <v>4</v>
      </c>
      <c r="C161" s="17">
        <v>24</v>
      </c>
      <c r="D161" s="17" t="s">
        <v>524</v>
      </c>
      <c r="E161" s="17">
        <v>90</v>
      </c>
      <c r="F161" s="17">
        <f t="shared" si="20"/>
        <v>78</v>
      </c>
      <c r="G161" s="1">
        <f t="shared" si="14"/>
        <v>55.923333333333332</v>
      </c>
      <c r="H161" s="1">
        <f t="shared" si="15"/>
        <v>98.458735026921886</v>
      </c>
      <c r="I161" s="1">
        <f t="shared" si="16"/>
        <v>52.250147157190632</v>
      </c>
      <c r="J161" s="1">
        <f t="shared" si="17"/>
        <v>15.993311036789297</v>
      </c>
      <c r="K161" s="17" t="str">
        <f t="shared" si="18"/>
        <v/>
      </c>
      <c r="L161" s="17" t="str">
        <f t="shared" si="19"/>
        <v/>
      </c>
    </row>
    <row r="162" spans="1:12">
      <c r="A162" s="17">
        <v>153</v>
      </c>
      <c r="B162" s="17">
        <v>4</v>
      </c>
      <c r="C162" s="17">
        <v>23</v>
      </c>
      <c r="D162" s="17" t="s">
        <v>525</v>
      </c>
      <c r="E162" s="17">
        <v>17</v>
      </c>
      <c r="F162" s="17">
        <f t="shared" si="20"/>
        <v>73</v>
      </c>
      <c r="G162" s="1">
        <f t="shared" si="14"/>
        <v>55.923333333333332</v>
      </c>
      <c r="H162" s="1">
        <f t="shared" si="15"/>
        <v>98.458735026921886</v>
      </c>
      <c r="I162" s="1">
        <f t="shared" si="16"/>
        <v>52.250147157190632</v>
      </c>
      <c r="J162" s="1">
        <f t="shared" si="17"/>
        <v>15.993311036789297</v>
      </c>
      <c r="K162" s="17" t="str">
        <f t="shared" si="18"/>
        <v/>
      </c>
      <c r="L162" s="17" t="str">
        <f t="shared" si="19"/>
        <v/>
      </c>
    </row>
    <row r="163" spans="1:12">
      <c r="A163" s="17">
        <v>154</v>
      </c>
      <c r="B163" s="17">
        <v>4</v>
      </c>
      <c r="C163" s="17">
        <v>22</v>
      </c>
      <c r="D163" s="17" t="s">
        <v>526</v>
      </c>
      <c r="E163" s="17">
        <v>19</v>
      </c>
      <c r="F163" s="17">
        <f t="shared" si="20"/>
        <v>2</v>
      </c>
      <c r="G163" s="1">
        <f t="shared" si="14"/>
        <v>55.923333333333332</v>
      </c>
      <c r="H163" s="1">
        <f t="shared" si="15"/>
        <v>98.458735026921886</v>
      </c>
      <c r="I163" s="1">
        <f t="shared" si="16"/>
        <v>52.250147157190632</v>
      </c>
      <c r="J163" s="1">
        <f t="shared" si="17"/>
        <v>15.993311036789297</v>
      </c>
      <c r="K163" s="17" t="str">
        <f t="shared" si="18"/>
        <v/>
      </c>
      <c r="L163" s="17" t="str">
        <f t="shared" si="19"/>
        <v/>
      </c>
    </row>
    <row r="164" spans="1:12">
      <c r="A164" s="17">
        <v>155</v>
      </c>
      <c r="B164" s="17">
        <v>4</v>
      </c>
      <c r="C164" s="17">
        <v>21</v>
      </c>
      <c r="D164" s="17" t="s">
        <v>527</v>
      </c>
      <c r="E164" s="17">
        <v>51</v>
      </c>
      <c r="F164" s="17">
        <f t="shared" si="20"/>
        <v>32</v>
      </c>
      <c r="G164" s="1">
        <f t="shared" si="14"/>
        <v>55.923333333333332</v>
      </c>
      <c r="H164" s="1">
        <f t="shared" si="15"/>
        <v>98.458735026921886</v>
      </c>
      <c r="I164" s="1">
        <f t="shared" si="16"/>
        <v>52.250147157190632</v>
      </c>
      <c r="J164" s="1">
        <f t="shared" si="17"/>
        <v>15.993311036789297</v>
      </c>
      <c r="K164" s="17" t="str">
        <f t="shared" si="18"/>
        <v/>
      </c>
      <c r="L164" s="17" t="str">
        <f t="shared" si="19"/>
        <v/>
      </c>
    </row>
    <row r="165" spans="1:12">
      <c r="A165" s="17">
        <v>156</v>
      </c>
      <c r="B165" s="17">
        <v>4</v>
      </c>
      <c r="C165" s="17">
        <v>20</v>
      </c>
      <c r="D165" s="17" t="s">
        <v>528</v>
      </c>
      <c r="E165" s="17">
        <v>16</v>
      </c>
      <c r="F165" s="17">
        <f t="shared" si="20"/>
        <v>35</v>
      </c>
      <c r="G165" s="1">
        <f t="shared" si="14"/>
        <v>55.923333333333332</v>
      </c>
      <c r="H165" s="1">
        <f t="shared" si="15"/>
        <v>98.458735026921886</v>
      </c>
      <c r="I165" s="1">
        <f t="shared" si="16"/>
        <v>52.250147157190632</v>
      </c>
      <c r="J165" s="1">
        <f t="shared" si="17"/>
        <v>15.993311036789297</v>
      </c>
      <c r="K165" s="17" t="str">
        <f t="shared" si="18"/>
        <v/>
      </c>
      <c r="L165" s="17" t="str">
        <f t="shared" si="19"/>
        <v/>
      </c>
    </row>
    <row r="166" spans="1:12">
      <c r="A166" s="17">
        <v>157</v>
      </c>
      <c r="B166" s="17">
        <v>4</v>
      </c>
      <c r="C166" s="17">
        <v>19</v>
      </c>
      <c r="D166" s="17" t="s">
        <v>529</v>
      </c>
      <c r="E166" s="17">
        <v>28</v>
      </c>
      <c r="F166" s="17">
        <f t="shared" si="20"/>
        <v>12</v>
      </c>
      <c r="G166" s="1">
        <f t="shared" si="14"/>
        <v>55.923333333333332</v>
      </c>
      <c r="H166" s="1">
        <f t="shared" si="15"/>
        <v>98.458735026921886</v>
      </c>
      <c r="I166" s="1">
        <f t="shared" si="16"/>
        <v>52.250147157190632</v>
      </c>
      <c r="J166" s="1">
        <f t="shared" si="17"/>
        <v>15.993311036789297</v>
      </c>
      <c r="K166" s="17" t="str">
        <f t="shared" si="18"/>
        <v/>
      </c>
      <c r="L166" s="17" t="str">
        <f t="shared" si="19"/>
        <v/>
      </c>
    </row>
    <row r="167" spans="1:12">
      <c r="A167" s="17">
        <v>158</v>
      </c>
      <c r="B167" s="17">
        <v>4</v>
      </c>
      <c r="C167" s="17">
        <v>18</v>
      </c>
      <c r="D167" s="17" t="s">
        <v>530</v>
      </c>
      <c r="E167" s="17">
        <v>32</v>
      </c>
      <c r="F167" s="17">
        <f t="shared" si="20"/>
        <v>4</v>
      </c>
      <c r="G167" s="1">
        <f t="shared" si="14"/>
        <v>55.923333333333332</v>
      </c>
      <c r="H167" s="1">
        <f t="shared" si="15"/>
        <v>98.458735026921886</v>
      </c>
      <c r="I167" s="1">
        <f t="shared" si="16"/>
        <v>52.250147157190632</v>
      </c>
      <c r="J167" s="1">
        <f t="shared" si="17"/>
        <v>15.993311036789297</v>
      </c>
      <c r="K167" s="17" t="str">
        <f t="shared" si="18"/>
        <v/>
      </c>
      <c r="L167" s="17" t="str">
        <f t="shared" si="19"/>
        <v/>
      </c>
    </row>
    <row r="168" spans="1:12">
      <c r="A168" s="17">
        <v>159</v>
      </c>
      <c r="B168" s="17">
        <v>4</v>
      </c>
      <c r="C168" s="17">
        <v>17</v>
      </c>
      <c r="D168" s="17" t="s">
        <v>531</v>
      </c>
      <c r="E168" s="17">
        <v>16</v>
      </c>
      <c r="F168" s="17">
        <f t="shared" si="20"/>
        <v>16</v>
      </c>
      <c r="G168" s="1">
        <f t="shared" si="14"/>
        <v>55.923333333333332</v>
      </c>
      <c r="H168" s="1">
        <f t="shared" si="15"/>
        <v>98.458735026921886</v>
      </c>
      <c r="I168" s="1">
        <f t="shared" si="16"/>
        <v>52.250147157190632</v>
      </c>
      <c r="J168" s="1">
        <f t="shared" si="17"/>
        <v>15.993311036789297</v>
      </c>
      <c r="K168" s="17" t="str">
        <f t="shared" si="18"/>
        <v/>
      </c>
      <c r="L168" s="17" t="str">
        <f t="shared" si="19"/>
        <v/>
      </c>
    </row>
    <row r="169" spans="1:12">
      <c r="A169" s="17">
        <v>160</v>
      </c>
      <c r="B169" s="17">
        <v>4</v>
      </c>
      <c r="C169" s="17">
        <v>16</v>
      </c>
      <c r="D169" s="17" t="s">
        <v>532</v>
      </c>
      <c r="E169" s="17">
        <v>25</v>
      </c>
      <c r="F169" s="17">
        <f t="shared" si="20"/>
        <v>9</v>
      </c>
      <c r="G169" s="1">
        <f t="shared" si="14"/>
        <v>55.923333333333332</v>
      </c>
      <c r="H169" s="1">
        <f t="shared" si="15"/>
        <v>98.458735026921886</v>
      </c>
      <c r="I169" s="1">
        <f t="shared" si="16"/>
        <v>52.250147157190632</v>
      </c>
      <c r="J169" s="1">
        <f t="shared" si="17"/>
        <v>15.993311036789297</v>
      </c>
      <c r="K169" s="17" t="str">
        <f t="shared" si="18"/>
        <v/>
      </c>
      <c r="L169" s="17" t="str">
        <f t="shared" si="19"/>
        <v/>
      </c>
    </row>
    <row r="170" spans="1:12">
      <c r="A170" s="17">
        <v>161</v>
      </c>
      <c r="B170" s="17">
        <v>4</v>
      </c>
      <c r="C170" s="17">
        <v>15</v>
      </c>
      <c r="D170" s="17" t="s">
        <v>533</v>
      </c>
      <c r="E170" s="17">
        <v>23</v>
      </c>
      <c r="F170" s="17">
        <f t="shared" si="20"/>
        <v>2</v>
      </c>
      <c r="G170" s="1">
        <f t="shared" si="14"/>
        <v>55.923333333333332</v>
      </c>
      <c r="H170" s="1">
        <f t="shared" si="15"/>
        <v>98.458735026921886</v>
      </c>
      <c r="I170" s="1">
        <f t="shared" si="16"/>
        <v>52.250147157190632</v>
      </c>
      <c r="J170" s="1">
        <f t="shared" si="17"/>
        <v>15.993311036789297</v>
      </c>
      <c r="K170" s="17" t="str">
        <f t="shared" si="18"/>
        <v/>
      </c>
      <c r="L170" s="17" t="str">
        <f t="shared" si="19"/>
        <v/>
      </c>
    </row>
    <row r="171" spans="1:12">
      <c r="A171" s="17">
        <v>162</v>
      </c>
      <c r="B171" s="17">
        <v>4</v>
      </c>
      <c r="C171" s="17">
        <v>14</v>
      </c>
      <c r="D171" s="17" t="s">
        <v>534</v>
      </c>
      <c r="E171" s="17">
        <v>37</v>
      </c>
      <c r="F171" s="17">
        <f t="shared" si="20"/>
        <v>14</v>
      </c>
      <c r="G171" s="1">
        <f t="shared" si="14"/>
        <v>55.923333333333332</v>
      </c>
      <c r="H171" s="1">
        <f t="shared" si="15"/>
        <v>98.458735026921886</v>
      </c>
      <c r="I171" s="1">
        <f t="shared" si="16"/>
        <v>52.250147157190632</v>
      </c>
      <c r="J171" s="1">
        <f t="shared" si="17"/>
        <v>15.993311036789297</v>
      </c>
      <c r="K171" s="17" t="str">
        <f t="shared" si="18"/>
        <v/>
      </c>
      <c r="L171" s="17" t="str">
        <f t="shared" si="19"/>
        <v/>
      </c>
    </row>
    <row r="172" spans="1:12">
      <c r="A172" s="17">
        <v>163</v>
      </c>
      <c r="B172" s="17">
        <v>4</v>
      </c>
      <c r="C172" s="17">
        <v>13</v>
      </c>
      <c r="D172" s="17" t="s">
        <v>535</v>
      </c>
      <c r="E172" s="17">
        <v>43</v>
      </c>
      <c r="F172" s="17">
        <f t="shared" si="20"/>
        <v>6</v>
      </c>
      <c r="G172" s="1">
        <f t="shared" si="14"/>
        <v>55.923333333333332</v>
      </c>
      <c r="H172" s="1">
        <f t="shared" si="15"/>
        <v>98.458735026921886</v>
      </c>
      <c r="I172" s="1">
        <f t="shared" si="16"/>
        <v>52.250147157190632</v>
      </c>
      <c r="J172" s="1">
        <f t="shared" si="17"/>
        <v>15.993311036789297</v>
      </c>
      <c r="K172" s="17" t="str">
        <f t="shared" si="18"/>
        <v/>
      </c>
      <c r="L172" s="17" t="str">
        <f t="shared" si="19"/>
        <v/>
      </c>
    </row>
    <row r="173" spans="1:12">
      <c r="A173" s="17">
        <v>164</v>
      </c>
      <c r="B173" s="17">
        <v>4</v>
      </c>
      <c r="C173" s="17">
        <v>12</v>
      </c>
      <c r="D173" s="17" t="s">
        <v>536</v>
      </c>
      <c r="E173" s="17">
        <v>32</v>
      </c>
      <c r="F173" s="17">
        <f t="shared" si="20"/>
        <v>11</v>
      </c>
      <c r="G173" s="1">
        <f t="shared" si="14"/>
        <v>55.923333333333332</v>
      </c>
      <c r="H173" s="1">
        <f t="shared" si="15"/>
        <v>98.458735026921886</v>
      </c>
      <c r="I173" s="1">
        <f t="shared" si="16"/>
        <v>52.250147157190632</v>
      </c>
      <c r="J173" s="1">
        <f t="shared" si="17"/>
        <v>15.993311036789297</v>
      </c>
      <c r="K173" s="17" t="str">
        <f t="shared" si="18"/>
        <v/>
      </c>
      <c r="L173" s="17" t="str">
        <f t="shared" si="19"/>
        <v/>
      </c>
    </row>
    <row r="174" spans="1:12">
      <c r="A174" s="17">
        <v>165</v>
      </c>
      <c r="B174" s="17">
        <v>4</v>
      </c>
      <c r="C174" s="17">
        <v>11</v>
      </c>
      <c r="D174" s="17" t="s">
        <v>537</v>
      </c>
      <c r="E174" s="17">
        <v>37</v>
      </c>
      <c r="F174" s="17">
        <f t="shared" si="20"/>
        <v>5</v>
      </c>
      <c r="G174" s="1">
        <f t="shared" si="14"/>
        <v>55.923333333333332</v>
      </c>
      <c r="H174" s="1">
        <f t="shared" si="15"/>
        <v>98.458735026921886</v>
      </c>
      <c r="I174" s="1">
        <f t="shared" si="16"/>
        <v>52.250147157190632</v>
      </c>
      <c r="J174" s="1">
        <f t="shared" si="17"/>
        <v>15.993311036789297</v>
      </c>
      <c r="K174" s="17" t="str">
        <f t="shared" si="18"/>
        <v/>
      </c>
      <c r="L174" s="17" t="str">
        <f t="shared" si="19"/>
        <v/>
      </c>
    </row>
    <row r="175" spans="1:12">
      <c r="A175" s="17">
        <v>166</v>
      </c>
      <c r="B175" s="17">
        <v>4</v>
      </c>
      <c r="C175" s="17">
        <v>10</v>
      </c>
      <c r="D175" s="17" t="s">
        <v>538</v>
      </c>
      <c r="E175" s="17">
        <v>34</v>
      </c>
      <c r="F175" s="17">
        <f t="shared" si="20"/>
        <v>3</v>
      </c>
      <c r="G175" s="1">
        <f t="shared" si="14"/>
        <v>55.923333333333332</v>
      </c>
      <c r="H175" s="1">
        <f t="shared" si="15"/>
        <v>98.458735026921886</v>
      </c>
      <c r="I175" s="1">
        <f t="shared" si="16"/>
        <v>52.250147157190632</v>
      </c>
      <c r="J175" s="1">
        <f t="shared" si="17"/>
        <v>15.993311036789297</v>
      </c>
      <c r="K175" s="17" t="str">
        <f t="shared" si="18"/>
        <v/>
      </c>
      <c r="L175" s="17" t="str">
        <f t="shared" si="19"/>
        <v/>
      </c>
    </row>
    <row r="176" spans="1:12">
      <c r="A176" s="17">
        <v>167</v>
      </c>
      <c r="B176" s="17">
        <v>4</v>
      </c>
      <c r="C176" s="17">
        <v>9</v>
      </c>
      <c r="D176" s="17" t="s">
        <v>539</v>
      </c>
      <c r="E176" s="17">
        <v>43</v>
      </c>
      <c r="F176" s="17">
        <f t="shared" si="20"/>
        <v>9</v>
      </c>
      <c r="G176" s="1">
        <f t="shared" si="14"/>
        <v>55.923333333333332</v>
      </c>
      <c r="H176" s="1">
        <f t="shared" si="15"/>
        <v>98.458735026921886</v>
      </c>
      <c r="I176" s="1">
        <f t="shared" si="16"/>
        <v>52.250147157190632</v>
      </c>
      <c r="J176" s="1">
        <f t="shared" si="17"/>
        <v>15.993311036789297</v>
      </c>
      <c r="K176" s="17" t="str">
        <f t="shared" si="18"/>
        <v/>
      </c>
      <c r="L176" s="17" t="str">
        <f t="shared" si="19"/>
        <v/>
      </c>
    </row>
    <row r="177" spans="1:12">
      <c r="A177" s="17">
        <v>168</v>
      </c>
      <c r="B177" s="17">
        <v>4</v>
      </c>
      <c r="C177" s="17">
        <v>8</v>
      </c>
      <c r="D177" s="17" t="s">
        <v>540</v>
      </c>
      <c r="E177" s="17">
        <v>43</v>
      </c>
      <c r="F177" s="17">
        <f t="shared" si="20"/>
        <v>0</v>
      </c>
      <c r="G177" s="1">
        <f t="shared" si="14"/>
        <v>55.923333333333332</v>
      </c>
      <c r="H177" s="1">
        <f t="shared" si="15"/>
        <v>98.458735026921886</v>
      </c>
      <c r="I177" s="1">
        <f t="shared" si="16"/>
        <v>52.250147157190632</v>
      </c>
      <c r="J177" s="1">
        <f t="shared" si="17"/>
        <v>15.993311036789297</v>
      </c>
      <c r="K177" s="17" t="str">
        <f t="shared" si="18"/>
        <v/>
      </c>
      <c r="L177" s="17" t="str">
        <f t="shared" si="19"/>
        <v/>
      </c>
    </row>
    <row r="178" spans="1:12">
      <c r="A178" s="17">
        <v>169</v>
      </c>
      <c r="B178" s="17">
        <v>4</v>
      </c>
      <c r="C178" s="17">
        <v>7</v>
      </c>
      <c r="D178" s="17" t="s">
        <v>541</v>
      </c>
      <c r="E178" s="17">
        <v>63</v>
      </c>
      <c r="F178" s="17">
        <f t="shared" si="20"/>
        <v>20</v>
      </c>
      <c r="G178" s="1">
        <f t="shared" si="14"/>
        <v>55.923333333333332</v>
      </c>
      <c r="H178" s="1">
        <f t="shared" si="15"/>
        <v>98.458735026921886</v>
      </c>
      <c r="I178" s="1">
        <f t="shared" si="16"/>
        <v>52.250147157190632</v>
      </c>
      <c r="J178" s="1">
        <f t="shared" si="17"/>
        <v>15.993311036789297</v>
      </c>
      <c r="K178" s="17" t="str">
        <f t="shared" si="18"/>
        <v/>
      </c>
      <c r="L178" s="17" t="str">
        <f t="shared" si="19"/>
        <v/>
      </c>
    </row>
    <row r="179" spans="1:12">
      <c r="A179" s="17">
        <v>170</v>
      </c>
      <c r="B179" s="17">
        <v>4</v>
      </c>
      <c r="C179" s="17">
        <v>6</v>
      </c>
      <c r="D179" s="17" t="s">
        <v>542</v>
      </c>
      <c r="E179" s="17">
        <v>31</v>
      </c>
      <c r="F179" s="17">
        <f t="shared" si="20"/>
        <v>32</v>
      </c>
      <c r="G179" s="1">
        <f t="shared" si="14"/>
        <v>55.923333333333332</v>
      </c>
      <c r="H179" s="1">
        <f t="shared" si="15"/>
        <v>98.458735026921886</v>
      </c>
      <c r="I179" s="1">
        <f t="shared" si="16"/>
        <v>52.250147157190632</v>
      </c>
      <c r="J179" s="1">
        <f t="shared" si="17"/>
        <v>15.993311036789297</v>
      </c>
      <c r="K179" s="17" t="str">
        <f t="shared" si="18"/>
        <v/>
      </c>
      <c r="L179" s="17" t="str">
        <f t="shared" si="19"/>
        <v/>
      </c>
    </row>
    <row r="180" spans="1:12">
      <c r="A180" s="17">
        <v>171</v>
      </c>
      <c r="B180" s="17">
        <v>4</v>
      </c>
      <c r="C180" s="17">
        <v>5</v>
      </c>
      <c r="D180" s="17" t="s">
        <v>543</v>
      </c>
      <c r="E180" s="17">
        <v>38</v>
      </c>
      <c r="F180" s="17">
        <f t="shared" si="20"/>
        <v>7</v>
      </c>
      <c r="G180" s="1">
        <f t="shared" si="14"/>
        <v>55.923333333333332</v>
      </c>
      <c r="H180" s="1">
        <f t="shared" si="15"/>
        <v>98.458735026921886</v>
      </c>
      <c r="I180" s="1">
        <f t="shared" si="16"/>
        <v>52.250147157190632</v>
      </c>
      <c r="J180" s="1">
        <f t="shared" si="17"/>
        <v>15.993311036789297</v>
      </c>
      <c r="K180" s="17" t="str">
        <f t="shared" si="18"/>
        <v/>
      </c>
      <c r="L180" s="17" t="str">
        <f t="shared" si="19"/>
        <v/>
      </c>
    </row>
    <row r="181" spans="1:12">
      <c r="A181" s="17">
        <v>172</v>
      </c>
      <c r="B181" s="17">
        <v>4</v>
      </c>
      <c r="C181" s="17">
        <v>4</v>
      </c>
      <c r="D181" s="17" t="s">
        <v>544</v>
      </c>
      <c r="E181" s="17">
        <v>53</v>
      </c>
      <c r="F181" s="17">
        <f t="shared" si="20"/>
        <v>15</v>
      </c>
      <c r="G181" s="1">
        <f t="shared" si="14"/>
        <v>55.923333333333332</v>
      </c>
      <c r="H181" s="1">
        <f t="shared" si="15"/>
        <v>98.458735026921886</v>
      </c>
      <c r="I181" s="1">
        <f t="shared" si="16"/>
        <v>52.250147157190632</v>
      </c>
      <c r="J181" s="1">
        <f t="shared" si="17"/>
        <v>15.993311036789297</v>
      </c>
      <c r="K181" s="17" t="str">
        <f t="shared" si="18"/>
        <v/>
      </c>
      <c r="L181" s="17" t="str">
        <f t="shared" si="19"/>
        <v/>
      </c>
    </row>
    <row r="182" spans="1:12">
      <c r="A182" s="17">
        <v>173</v>
      </c>
      <c r="B182" s="17">
        <v>4</v>
      </c>
      <c r="C182" s="17">
        <v>3</v>
      </c>
      <c r="D182" s="17" t="s">
        <v>545</v>
      </c>
      <c r="E182" s="17">
        <v>50</v>
      </c>
      <c r="F182" s="17">
        <f t="shared" si="20"/>
        <v>3</v>
      </c>
      <c r="G182" s="1">
        <f t="shared" si="14"/>
        <v>55.923333333333332</v>
      </c>
      <c r="H182" s="1">
        <f t="shared" si="15"/>
        <v>98.458735026921886</v>
      </c>
      <c r="I182" s="1">
        <f t="shared" si="16"/>
        <v>52.250147157190632</v>
      </c>
      <c r="J182" s="1">
        <f t="shared" si="17"/>
        <v>15.993311036789297</v>
      </c>
      <c r="K182" s="17" t="str">
        <f t="shared" si="18"/>
        <v/>
      </c>
      <c r="L182" s="17" t="str">
        <f t="shared" si="19"/>
        <v/>
      </c>
    </row>
    <row r="183" spans="1:12">
      <c r="A183" s="17">
        <v>174</v>
      </c>
      <c r="B183" s="17">
        <v>4</v>
      </c>
      <c r="C183" s="17">
        <v>2</v>
      </c>
      <c r="D183" s="17" t="s">
        <v>546</v>
      </c>
      <c r="E183" s="17">
        <v>32</v>
      </c>
      <c r="F183" s="17">
        <f t="shared" si="20"/>
        <v>18</v>
      </c>
      <c r="G183" s="1">
        <f t="shared" si="14"/>
        <v>55.923333333333332</v>
      </c>
      <c r="H183" s="1">
        <f t="shared" si="15"/>
        <v>98.458735026921886</v>
      </c>
      <c r="I183" s="1">
        <f t="shared" si="16"/>
        <v>52.250147157190632</v>
      </c>
      <c r="J183" s="1">
        <f t="shared" si="17"/>
        <v>15.993311036789297</v>
      </c>
      <c r="K183" s="17" t="str">
        <f t="shared" si="18"/>
        <v/>
      </c>
      <c r="L183" s="17" t="str">
        <f t="shared" si="19"/>
        <v/>
      </c>
    </row>
    <row r="184" spans="1:12">
      <c r="A184" s="17">
        <v>175</v>
      </c>
      <c r="B184" s="17">
        <v>4</v>
      </c>
      <c r="C184" s="17">
        <v>1</v>
      </c>
      <c r="D184" s="17" t="s">
        <v>547</v>
      </c>
      <c r="E184" s="17">
        <v>34</v>
      </c>
      <c r="F184" s="17">
        <f t="shared" si="20"/>
        <v>2</v>
      </c>
      <c r="G184" s="1">
        <f t="shared" si="14"/>
        <v>55.923333333333332</v>
      </c>
      <c r="H184" s="1">
        <f t="shared" si="15"/>
        <v>98.458735026921886</v>
      </c>
      <c r="I184" s="1">
        <f t="shared" si="16"/>
        <v>52.250147157190632</v>
      </c>
      <c r="J184" s="1">
        <f t="shared" si="17"/>
        <v>15.993311036789297</v>
      </c>
      <c r="K184" s="17" t="str">
        <f t="shared" si="18"/>
        <v/>
      </c>
      <c r="L184" s="17" t="str">
        <f t="shared" si="19"/>
        <v/>
      </c>
    </row>
    <row r="185" spans="1:12">
      <c r="A185" s="17">
        <v>176</v>
      </c>
      <c r="B185" s="17">
        <v>4</v>
      </c>
      <c r="C185" s="17">
        <v>25</v>
      </c>
      <c r="D185" s="17" t="s">
        <v>548</v>
      </c>
      <c r="E185" s="17">
        <v>83</v>
      </c>
      <c r="F185" s="17">
        <f t="shared" si="20"/>
        <v>49</v>
      </c>
      <c r="G185" s="1">
        <f t="shared" si="14"/>
        <v>55.923333333333332</v>
      </c>
      <c r="H185" s="1">
        <f t="shared" si="15"/>
        <v>98.458735026921886</v>
      </c>
      <c r="I185" s="1">
        <f t="shared" si="16"/>
        <v>52.250147157190632</v>
      </c>
      <c r="J185" s="1">
        <f t="shared" si="17"/>
        <v>15.993311036789297</v>
      </c>
      <c r="K185" s="17" t="str">
        <f t="shared" si="18"/>
        <v/>
      </c>
      <c r="L185" s="17" t="str">
        <f t="shared" si="19"/>
        <v/>
      </c>
    </row>
    <row r="186" spans="1:12">
      <c r="A186" s="17">
        <v>177</v>
      </c>
      <c r="B186" s="17">
        <v>4</v>
      </c>
      <c r="C186" s="17">
        <v>24</v>
      </c>
      <c r="D186" s="17" t="s">
        <v>549</v>
      </c>
      <c r="E186" s="17">
        <v>76</v>
      </c>
      <c r="F186" s="17">
        <f t="shared" si="20"/>
        <v>7</v>
      </c>
      <c r="G186" s="1">
        <f t="shared" si="14"/>
        <v>55.923333333333332</v>
      </c>
      <c r="H186" s="1">
        <f t="shared" si="15"/>
        <v>98.458735026921886</v>
      </c>
      <c r="I186" s="1">
        <f t="shared" si="16"/>
        <v>52.250147157190632</v>
      </c>
      <c r="J186" s="1">
        <f t="shared" si="17"/>
        <v>15.993311036789297</v>
      </c>
      <c r="K186" s="17" t="str">
        <f t="shared" si="18"/>
        <v/>
      </c>
      <c r="L186" s="17" t="str">
        <f t="shared" si="19"/>
        <v/>
      </c>
    </row>
    <row r="187" spans="1:12">
      <c r="A187" s="17">
        <v>178</v>
      </c>
      <c r="B187" s="17">
        <v>4</v>
      </c>
      <c r="C187" s="17">
        <v>23</v>
      </c>
      <c r="D187" s="17" t="s">
        <v>550</v>
      </c>
      <c r="E187" s="17">
        <v>78</v>
      </c>
      <c r="F187" s="17">
        <f t="shared" si="20"/>
        <v>2</v>
      </c>
      <c r="G187" s="1">
        <f t="shared" si="14"/>
        <v>55.923333333333332</v>
      </c>
      <c r="H187" s="1">
        <f t="shared" si="15"/>
        <v>98.458735026921886</v>
      </c>
      <c r="I187" s="1">
        <f t="shared" si="16"/>
        <v>52.250147157190632</v>
      </c>
      <c r="J187" s="1">
        <f t="shared" si="17"/>
        <v>15.993311036789297</v>
      </c>
      <c r="K187" s="17" t="str">
        <f t="shared" si="18"/>
        <v/>
      </c>
      <c r="L187" s="17" t="str">
        <f t="shared" si="19"/>
        <v/>
      </c>
    </row>
    <row r="188" spans="1:12">
      <c r="A188" s="17">
        <v>179</v>
      </c>
      <c r="B188" s="17">
        <v>4</v>
      </c>
      <c r="C188" s="17">
        <v>22</v>
      </c>
      <c r="D188" s="17" t="s">
        <v>551</v>
      </c>
      <c r="E188" s="17">
        <v>94</v>
      </c>
      <c r="F188" s="17">
        <f t="shared" si="20"/>
        <v>16</v>
      </c>
      <c r="G188" s="1">
        <f t="shared" si="14"/>
        <v>55.923333333333332</v>
      </c>
      <c r="H188" s="1">
        <f t="shared" si="15"/>
        <v>98.458735026921886</v>
      </c>
      <c r="I188" s="1">
        <f t="shared" si="16"/>
        <v>52.250147157190632</v>
      </c>
      <c r="J188" s="1">
        <f t="shared" si="17"/>
        <v>15.993311036789297</v>
      </c>
      <c r="K188" s="17" t="str">
        <f t="shared" si="18"/>
        <v/>
      </c>
      <c r="L188" s="17" t="str">
        <f t="shared" si="19"/>
        <v/>
      </c>
    </row>
    <row r="189" spans="1:12">
      <c r="A189" s="17">
        <v>180</v>
      </c>
      <c r="B189" s="17">
        <v>4</v>
      </c>
      <c r="C189" s="17">
        <v>21</v>
      </c>
      <c r="D189" s="17" t="s">
        <v>552</v>
      </c>
      <c r="E189" s="17">
        <v>109</v>
      </c>
      <c r="F189" s="17">
        <f t="shared" si="20"/>
        <v>15</v>
      </c>
      <c r="G189" s="1">
        <f t="shared" si="14"/>
        <v>55.923333333333332</v>
      </c>
      <c r="H189" s="1">
        <f t="shared" si="15"/>
        <v>98.458735026921886</v>
      </c>
      <c r="I189" s="1">
        <f t="shared" si="16"/>
        <v>52.250147157190632</v>
      </c>
      <c r="J189" s="1">
        <f t="shared" si="17"/>
        <v>15.993311036789297</v>
      </c>
      <c r="K189" s="17" t="str">
        <f t="shared" si="18"/>
        <v>OOC</v>
      </c>
      <c r="L189" s="17" t="str">
        <f t="shared" si="19"/>
        <v/>
      </c>
    </row>
    <row r="190" spans="1:12">
      <c r="A190" s="17">
        <v>181</v>
      </c>
      <c r="B190" s="17">
        <v>4</v>
      </c>
      <c r="C190" s="17">
        <v>20</v>
      </c>
      <c r="D190" s="17" t="s">
        <v>553</v>
      </c>
      <c r="E190" s="17">
        <v>28</v>
      </c>
      <c r="F190" s="17">
        <f t="shared" si="20"/>
        <v>81</v>
      </c>
      <c r="G190" s="1">
        <f t="shared" si="14"/>
        <v>55.923333333333332</v>
      </c>
      <c r="H190" s="1">
        <f t="shared" si="15"/>
        <v>98.458735026921886</v>
      </c>
      <c r="I190" s="1">
        <f t="shared" si="16"/>
        <v>52.250147157190632</v>
      </c>
      <c r="J190" s="1">
        <f t="shared" si="17"/>
        <v>15.993311036789297</v>
      </c>
      <c r="K190" s="17" t="str">
        <f t="shared" si="18"/>
        <v/>
      </c>
      <c r="L190" s="17" t="str">
        <f t="shared" si="19"/>
        <v/>
      </c>
    </row>
    <row r="191" spans="1:12">
      <c r="A191" s="17">
        <v>182</v>
      </c>
      <c r="B191" s="17">
        <v>4</v>
      </c>
      <c r="C191" s="17">
        <v>19</v>
      </c>
      <c r="D191" s="17" t="s">
        <v>554</v>
      </c>
      <c r="E191" s="17">
        <v>29</v>
      </c>
      <c r="F191" s="17">
        <f t="shared" si="20"/>
        <v>1</v>
      </c>
      <c r="G191" s="1">
        <f t="shared" si="14"/>
        <v>55.923333333333332</v>
      </c>
      <c r="H191" s="1">
        <f t="shared" si="15"/>
        <v>98.458735026921886</v>
      </c>
      <c r="I191" s="1">
        <f t="shared" si="16"/>
        <v>52.250147157190632</v>
      </c>
      <c r="J191" s="1">
        <f t="shared" si="17"/>
        <v>15.993311036789297</v>
      </c>
      <c r="K191" s="17" t="str">
        <f t="shared" si="18"/>
        <v/>
      </c>
      <c r="L191" s="17" t="str">
        <f t="shared" si="19"/>
        <v/>
      </c>
    </row>
    <row r="192" spans="1:12">
      <c r="A192" s="17">
        <v>183</v>
      </c>
      <c r="B192" s="17">
        <v>4</v>
      </c>
      <c r="C192" s="17">
        <v>18</v>
      </c>
      <c r="D192" s="17" t="s">
        <v>555</v>
      </c>
      <c r="E192" s="17">
        <v>45</v>
      </c>
      <c r="F192" s="17">
        <f t="shared" si="20"/>
        <v>16</v>
      </c>
      <c r="G192" s="1">
        <f t="shared" si="14"/>
        <v>55.923333333333332</v>
      </c>
      <c r="H192" s="1">
        <f t="shared" si="15"/>
        <v>98.458735026921886</v>
      </c>
      <c r="I192" s="1">
        <f t="shared" si="16"/>
        <v>52.250147157190632</v>
      </c>
      <c r="J192" s="1">
        <f t="shared" si="17"/>
        <v>15.993311036789297</v>
      </c>
      <c r="K192" s="17" t="str">
        <f t="shared" si="18"/>
        <v/>
      </c>
      <c r="L192" s="17" t="str">
        <f t="shared" si="19"/>
        <v/>
      </c>
    </row>
    <row r="193" spans="1:12">
      <c r="A193" s="17">
        <v>184</v>
      </c>
      <c r="B193" s="17">
        <v>4</v>
      </c>
      <c r="C193" s="17">
        <v>17</v>
      </c>
      <c r="D193" s="17" t="s">
        <v>556</v>
      </c>
      <c r="E193" s="17">
        <v>42</v>
      </c>
      <c r="F193" s="17">
        <f t="shared" si="20"/>
        <v>3</v>
      </c>
      <c r="G193" s="1">
        <f t="shared" si="14"/>
        <v>55.923333333333332</v>
      </c>
      <c r="H193" s="1">
        <f t="shared" si="15"/>
        <v>98.458735026921886</v>
      </c>
      <c r="I193" s="1">
        <f t="shared" si="16"/>
        <v>52.250147157190632</v>
      </c>
      <c r="J193" s="1">
        <f t="shared" si="17"/>
        <v>15.993311036789297</v>
      </c>
      <c r="K193" s="17" t="str">
        <f t="shared" si="18"/>
        <v/>
      </c>
      <c r="L193" s="17" t="str">
        <f t="shared" si="19"/>
        <v/>
      </c>
    </row>
    <row r="194" spans="1:12">
      <c r="A194" s="17">
        <v>185</v>
      </c>
      <c r="B194" s="17">
        <v>4</v>
      </c>
      <c r="C194" s="17">
        <v>16</v>
      </c>
      <c r="D194" s="17" t="s">
        <v>557</v>
      </c>
      <c r="E194" s="17">
        <v>19</v>
      </c>
      <c r="F194" s="17">
        <f t="shared" si="20"/>
        <v>23</v>
      </c>
      <c r="G194" s="1">
        <f t="shared" si="14"/>
        <v>55.923333333333332</v>
      </c>
      <c r="H194" s="1">
        <f t="shared" si="15"/>
        <v>98.458735026921886</v>
      </c>
      <c r="I194" s="1">
        <f t="shared" si="16"/>
        <v>52.250147157190632</v>
      </c>
      <c r="J194" s="1">
        <f t="shared" si="17"/>
        <v>15.993311036789297</v>
      </c>
      <c r="K194" s="17" t="str">
        <f t="shared" si="18"/>
        <v/>
      </c>
      <c r="L194" s="17" t="str">
        <f t="shared" si="19"/>
        <v/>
      </c>
    </row>
    <row r="195" spans="1:12">
      <c r="A195" s="17">
        <v>186</v>
      </c>
      <c r="B195" s="17">
        <v>4</v>
      </c>
      <c r="C195" s="17">
        <v>15</v>
      </c>
      <c r="D195" s="17" t="s">
        <v>558</v>
      </c>
      <c r="E195" s="17">
        <v>36</v>
      </c>
      <c r="F195" s="17">
        <f t="shared" si="20"/>
        <v>17</v>
      </c>
      <c r="G195" s="1">
        <f t="shared" si="14"/>
        <v>55.923333333333332</v>
      </c>
      <c r="H195" s="1">
        <f t="shared" si="15"/>
        <v>98.458735026921886</v>
      </c>
      <c r="I195" s="1">
        <f t="shared" si="16"/>
        <v>52.250147157190632</v>
      </c>
      <c r="J195" s="1">
        <f t="shared" si="17"/>
        <v>15.993311036789297</v>
      </c>
      <c r="K195" s="17" t="str">
        <f t="shared" si="18"/>
        <v/>
      </c>
      <c r="L195" s="17" t="str">
        <f t="shared" si="19"/>
        <v/>
      </c>
    </row>
    <row r="196" spans="1:12">
      <c r="A196" s="17">
        <v>187</v>
      </c>
      <c r="B196" s="17">
        <v>4</v>
      </c>
      <c r="C196" s="17">
        <v>14</v>
      </c>
      <c r="D196" s="17" t="s">
        <v>559</v>
      </c>
      <c r="E196" s="17">
        <v>21</v>
      </c>
      <c r="F196" s="17">
        <f t="shared" si="20"/>
        <v>15</v>
      </c>
      <c r="G196" s="1">
        <f t="shared" si="14"/>
        <v>55.923333333333332</v>
      </c>
      <c r="H196" s="1">
        <f t="shared" si="15"/>
        <v>98.458735026921886</v>
      </c>
      <c r="I196" s="1">
        <f t="shared" si="16"/>
        <v>52.250147157190632</v>
      </c>
      <c r="J196" s="1">
        <f t="shared" si="17"/>
        <v>15.993311036789297</v>
      </c>
      <c r="K196" s="17" t="str">
        <f t="shared" si="18"/>
        <v/>
      </c>
      <c r="L196" s="17" t="str">
        <f t="shared" si="19"/>
        <v/>
      </c>
    </row>
    <row r="197" spans="1:12">
      <c r="A197" s="17">
        <v>188</v>
      </c>
      <c r="B197" s="17">
        <v>4</v>
      </c>
      <c r="C197" s="17">
        <v>13</v>
      </c>
      <c r="D197" s="17" t="s">
        <v>560</v>
      </c>
      <c r="E197" s="17">
        <v>34</v>
      </c>
      <c r="F197" s="17">
        <f t="shared" si="20"/>
        <v>13</v>
      </c>
      <c r="G197" s="1">
        <f t="shared" si="14"/>
        <v>55.923333333333332</v>
      </c>
      <c r="H197" s="1">
        <f t="shared" si="15"/>
        <v>98.458735026921886</v>
      </c>
      <c r="I197" s="1">
        <f t="shared" si="16"/>
        <v>52.250147157190632</v>
      </c>
      <c r="J197" s="1">
        <f t="shared" si="17"/>
        <v>15.993311036789297</v>
      </c>
      <c r="K197" s="17" t="str">
        <f t="shared" si="18"/>
        <v/>
      </c>
      <c r="L197" s="17" t="str">
        <f t="shared" si="19"/>
        <v/>
      </c>
    </row>
    <row r="198" spans="1:12">
      <c r="A198" s="17">
        <v>189</v>
      </c>
      <c r="B198" s="17">
        <v>4</v>
      </c>
      <c r="C198" s="17">
        <v>12</v>
      </c>
      <c r="D198" s="17" t="s">
        <v>561</v>
      </c>
      <c r="E198" s="17">
        <v>43</v>
      </c>
      <c r="F198" s="17">
        <f t="shared" si="20"/>
        <v>9</v>
      </c>
      <c r="G198" s="1">
        <f t="shared" si="14"/>
        <v>55.923333333333332</v>
      </c>
      <c r="H198" s="1">
        <f t="shared" si="15"/>
        <v>98.458735026921886</v>
      </c>
      <c r="I198" s="1">
        <f t="shared" si="16"/>
        <v>52.250147157190632</v>
      </c>
      <c r="J198" s="1">
        <f t="shared" si="17"/>
        <v>15.993311036789297</v>
      </c>
      <c r="K198" s="17" t="str">
        <f t="shared" si="18"/>
        <v/>
      </c>
      <c r="L198" s="17" t="str">
        <f t="shared" si="19"/>
        <v/>
      </c>
    </row>
    <row r="199" spans="1:12">
      <c r="A199" s="17">
        <v>190</v>
      </c>
      <c r="B199" s="17">
        <v>4</v>
      </c>
      <c r="C199" s="17">
        <v>11</v>
      </c>
      <c r="D199" s="17" t="s">
        <v>562</v>
      </c>
      <c r="E199" s="17">
        <v>41</v>
      </c>
      <c r="F199" s="17">
        <f t="shared" si="20"/>
        <v>2</v>
      </c>
      <c r="G199" s="1">
        <f t="shared" si="14"/>
        <v>55.923333333333332</v>
      </c>
      <c r="H199" s="1">
        <f t="shared" si="15"/>
        <v>98.458735026921886</v>
      </c>
      <c r="I199" s="1">
        <f t="shared" si="16"/>
        <v>52.250147157190632</v>
      </c>
      <c r="J199" s="1">
        <f t="shared" si="17"/>
        <v>15.993311036789297</v>
      </c>
      <c r="K199" s="17" t="str">
        <f t="shared" si="18"/>
        <v/>
      </c>
      <c r="L199" s="17" t="str">
        <f t="shared" si="19"/>
        <v/>
      </c>
    </row>
    <row r="200" spans="1:12">
      <c r="A200" s="17">
        <v>191</v>
      </c>
      <c r="B200" s="17">
        <v>4</v>
      </c>
      <c r="C200" s="17">
        <v>10</v>
      </c>
      <c r="D200" s="17" t="s">
        <v>563</v>
      </c>
      <c r="E200" s="17">
        <v>31</v>
      </c>
      <c r="F200" s="17">
        <f t="shared" si="20"/>
        <v>10</v>
      </c>
      <c r="G200" s="1">
        <f t="shared" si="14"/>
        <v>55.923333333333332</v>
      </c>
      <c r="H200" s="1">
        <f t="shared" si="15"/>
        <v>98.458735026921886</v>
      </c>
      <c r="I200" s="1">
        <f t="shared" si="16"/>
        <v>52.250147157190632</v>
      </c>
      <c r="J200" s="1">
        <f t="shared" si="17"/>
        <v>15.993311036789297</v>
      </c>
      <c r="K200" s="17" t="str">
        <f t="shared" si="18"/>
        <v/>
      </c>
      <c r="L200" s="17" t="str">
        <f t="shared" si="19"/>
        <v/>
      </c>
    </row>
    <row r="201" spans="1:12">
      <c r="A201" s="17">
        <v>192</v>
      </c>
      <c r="B201" s="17">
        <v>4</v>
      </c>
      <c r="C201" s="17">
        <v>9</v>
      </c>
      <c r="D201" s="17" t="s">
        <v>564</v>
      </c>
      <c r="E201" s="17">
        <v>37</v>
      </c>
      <c r="F201" s="17">
        <f t="shared" si="20"/>
        <v>6</v>
      </c>
      <c r="G201" s="1">
        <f t="shared" si="14"/>
        <v>55.923333333333332</v>
      </c>
      <c r="H201" s="1">
        <f t="shared" si="15"/>
        <v>98.458735026921886</v>
      </c>
      <c r="I201" s="1">
        <f t="shared" si="16"/>
        <v>52.250147157190632</v>
      </c>
      <c r="J201" s="1">
        <f t="shared" si="17"/>
        <v>15.993311036789297</v>
      </c>
      <c r="K201" s="17" t="str">
        <f t="shared" si="18"/>
        <v/>
      </c>
      <c r="L201" s="17" t="str">
        <f t="shared" si="19"/>
        <v/>
      </c>
    </row>
    <row r="202" spans="1:12">
      <c r="A202" s="17">
        <v>193</v>
      </c>
      <c r="B202" s="17">
        <v>4</v>
      </c>
      <c r="C202" s="17">
        <v>8</v>
      </c>
      <c r="D202" s="17" t="s">
        <v>565</v>
      </c>
      <c r="E202" s="17">
        <v>42</v>
      </c>
      <c r="F202" s="17">
        <f t="shared" si="20"/>
        <v>5</v>
      </c>
      <c r="G202" s="1">
        <f t="shared" ref="G202:G265" si="21">$Q$3</f>
        <v>55.923333333333332</v>
      </c>
      <c r="H202" s="1">
        <f t="shared" ref="H202:H265" si="22">$Q$6</f>
        <v>98.458735026921886</v>
      </c>
      <c r="I202" s="1">
        <f t="shared" ref="I202:I265" si="23">$Q$7</f>
        <v>52.250147157190632</v>
      </c>
      <c r="J202" s="1">
        <f t="shared" ref="J202:J265" si="24">$Q$4</f>
        <v>15.993311036789297</v>
      </c>
      <c r="K202" s="17" t="str">
        <f t="shared" ref="K202:K265" si="25">IF(E202&gt;$Q$6,"OOC","" )</f>
        <v/>
      </c>
      <c r="L202" s="17" t="str">
        <f t="shared" ref="L202:L265" si="26">IF(E202&gt;$B$3,"OOS","" )</f>
        <v/>
      </c>
    </row>
    <row r="203" spans="1:12">
      <c r="A203" s="17">
        <v>194</v>
      </c>
      <c r="B203" s="17">
        <v>4</v>
      </c>
      <c r="C203" s="17">
        <v>7</v>
      </c>
      <c r="D203" s="17" t="s">
        <v>566</v>
      </c>
      <c r="E203" s="17">
        <v>43</v>
      </c>
      <c r="F203" s="17">
        <f t="shared" ref="F203:F266" si="27">ABS(E203-E202)</f>
        <v>1</v>
      </c>
      <c r="G203" s="1">
        <f t="shared" si="21"/>
        <v>55.923333333333332</v>
      </c>
      <c r="H203" s="1">
        <f t="shared" si="22"/>
        <v>98.458735026921886</v>
      </c>
      <c r="I203" s="1">
        <f t="shared" si="23"/>
        <v>52.250147157190632</v>
      </c>
      <c r="J203" s="1">
        <f t="shared" si="24"/>
        <v>15.993311036789297</v>
      </c>
      <c r="K203" s="17" t="str">
        <f t="shared" si="25"/>
        <v/>
      </c>
      <c r="L203" s="17" t="str">
        <f t="shared" si="26"/>
        <v/>
      </c>
    </row>
    <row r="204" spans="1:12">
      <c r="A204" s="17">
        <v>195</v>
      </c>
      <c r="B204" s="17">
        <v>4</v>
      </c>
      <c r="C204" s="17">
        <v>6</v>
      </c>
      <c r="D204" s="17" t="s">
        <v>567</v>
      </c>
      <c r="E204" s="17">
        <v>46</v>
      </c>
      <c r="F204" s="17">
        <f t="shared" si="27"/>
        <v>3</v>
      </c>
      <c r="G204" s="1">
        <f t="shared" si="21"/>
        <v>55.923333333333332</v>
      </c>
      <c r="H204" s="1">
        <f t="shared" si="22"/>
        <v>98.458735026921886</v>
      </c>
      <c r="I204" s="1">
        <f t="shared" si="23"/>
        <v>52.250147157190632</v>
      </c>
      <c r="J204" s="1">
        <f t="shared" si="24"/>
        <v>15.993311036789297</v>
      </c>
      <c r="K204" s="17" t="str">
        <f t="shared" si="25"/>
        <v/>
      </c>
      <c r="L204" s="17" t="str">
        <f t="shared" si="26"/>
        <v/>
      </c>
    </row>
    <row r="205" spans="1:12">
      <c r="A205" s="17">
        <v>196</v>
      </c>
      <c r="B205" s="17">
        <v>4</v>
      </c>
      <c r="C205" s="17">
        <v>5</v>
      </c>
      <c r="D205" s="17" t="s">
        <v>568</v>
      </c>
      <c r="E205" s="17">
        <v>52</v>
      </c>
      <c r="F205" s="17">
        <f t="shared" si="27"/>
        <v>6</v>
      </c>
      <c r="G205" s="1">
        <f t="shared" si="21"/>
        <v>55.923333333333332</v>
      </c>
      <c r="H205" s="1">
        <f t="shared" si="22"/>
        <v>98.458735026921886</v>
      </c>
      <c r="I205" s="1">
        <f t="shared" si="23"/>
        <v>52.250147157190632</v>
      </c>
      <c r="J205" s="1">
        <f t="shared" si="24"/>
        <v>15.993311036789297</v>
      </c>
      <c r="K205" s="17" t="str">
        <f t="shared" si="25"/>
        <v/>
      </c>
      <c r="L205" s="17" t="str">
        <f t="shared" si="26"/>
        <v/>
      </c>
    </row>
    <row r="206" spans="1:12">
      <c r="A206" s="17">
        <v>197</v>
      </c>
      <c r="B206" s="17">
        <v>4</v>
      </c>
      <c r="C206" s="17">
        <v>4</v>
      </c>
      <c r="D206" s="17" t="s">
        <v>569</v>
      </c>
      <c r="E206" s="17">
        <v>55</v>
      </c>
      <c r="F206" s="17">
        <f t="shared" si="27"/>
        <v>3</v>
      </c>
      <c r="G206" s="1">
        <f t="shared" si="21"/>
        <v>55.923333333333332</v>
      </c>
      <c r="H206" s="1">
        <f t="shared" si="22"/>
        <v>98.458735026921886</v>
      </c>
      <c r="I206" s="1">
        <f t="shared" si="23"/>
        <v>52.250147157190632</v>
      </c>
      <c r="J206" s="1">
        <f t="shared" si="24"/>
        <v>15.993311036789297</v>
      </c>
      <c r="K206" s="17" t="str">
        <f t="shared" si="25"/>
        <v/>
      </c>
      <c r="L206" s="17" t="str">
        <f t="shared" si="26"/>
        <v/>
      </c>
    </row>
    <row r="207" spans="1:12">
      <c r="A207" s="17">
        <v>198</v>
      </c>
      <c r="B207" s="17">
        <v>4</v>
      </c>
      <c r="C207" s="17">
        <v>3</v>
      </c>
      <c r="D207" s="17" t="s">
        <v>570</v>
      </c>
      <c r="E207" s="17">
        <v>58</v>
      </c>
      <c r="F207" s="17">
        <f t="shared" si="27"/>
        <v>3</v>
      </c>
      <c r="G207" s="1">
        <f t="shared" si="21"/>
        <v>55.923333333333332</v>
      </c>
      <c r="H207" s="1">
        <f t="shared" si="22"/>
        <v>98.458735026921886</v>
      </c>
      <c r="I207" s="1">
        <f t="shared" si="23"/>
        <v>52.250147157190632</v>
      </c>
      <c r="J207" s="1">
        <f t="shared" si="24"/>
        <v>15.993311036789297</v>
      </c>
      <c r="K207" s="17" t="str">
        <f t="shared" si="25"/>
        <v/>
      </c>
      <c r="L207" s="17" t="str">
        <f t="shared" si="26"/>
        <v/>
      </c>
    </row>
    <row r="208" spans="1:12">
      <c r="A208" s="17">
        <v>199</v>
      </c>
      <c r="B208" s="17">
        <v>4</v>
      </c>
      <c r="C208" s="17">
        <v>2</v>
      </c>
      <c r="D208" s="17" t="s">
        <v>571</v>
      </c>
      <c r="E208" s="17">
        <v>65</v>
      </c>
      <c r="F208" s="17">
        <f t="shared" si="27"/>
        <v>7</v>
      </c>
      <c r="G208" s="1">
        <f t="shared" si="21"/>
        <v>55.923333333333332</v>
      </c>
      <c r="H208" s="1">
        <f t="shared" si="22"/>
        <v>98.458735026921886</v>
      </c>
      <c r="I208" s="1">
        <f t="shared" si="23"/>
        <v>52.250147157190632</v>
      </c>
      <c r="J208" s="1">
        <f t="shared" si="24"/>
        <v>15.993311036789297</v>
      </c>
      <c r="K208" s="17" t="str">
        <f t="shared" si="25"/>
        <v/>
      </c>
      <c r="L208" s="17" t="str">
        <f t="shared" si="26"/>
        <v/>
      </c>
    </row>
    <row r="209" spans="1:12">
      <c r="A209" s="17">
        <v>200</v>
      </c>
      <c r="B209" s="17">
        <v>4</v>
      </c>
      <c r="C209" s="17">
        <v>1</v>
      </c>
      <c r="D209" s="17" t="s">
        <v>572</v>
      </c>
      <c r="E209" s="17">
        <v>66</v>
      </c>
      <c r="F209" s="17">
        <f t="shared" si="27"/>
        <v>1</v>
      </c>
      <c r="G209" s="1">
        <f t="shared" si="21"/>
        <v>55.923333333333332</v>
      </c>
      <c r="H209" s="1">
        <f t="shared" si="22"/>
        <v>98.458735026921886</v>
      </c>
      <c r="I209" s="1">
        <f t="shared" si="23"/>
        <v>52.250147157190632</v>
      </c>
      <c r="J209" s="1">
        <f t="shared" si="24"/>
        <v>15.993311036789297</v>
      </c>
      <c r="K209" s="17" t="str">
        <f t="shared" si="25"/>
        <v/>
      </c>
      <c r="L209" s="17" t="str">
        <f t="shared" si="26"/>
        <v/>
      </c>
    </row>
    <row r="210" spans="1:12">
      <c r="A210" s="17">
        <v>201</v>
      </c>
      <c r="B210" s="17">
        <v>5</v>
      </c>
      <c r="C210" s="17">
        <v>25</v>
      </c>
      <c r="D210" s="17" t="s">
        <v>573</v>
      </c>
      <c r="E210" s="17">
        <v>63</v>
      </c>
      <c r="F210" s="17">
        <f t="shared" si="27"/>
        <v>3</v>
      </c>
      <c r="G210" s="1">
        <f t="shared" si="21"/>
        <v>55.923333333333332</v>
      </c>
      <c r="H210" s="1">
        <f t="shared" si="22"/>
        <v>98.458735026921886</v>
      </c>
      <c r="I210" s="1">
        <f t="shared" si="23"/>
        <v>52.250147157190632</v>
      </c>
      <c r="J210" s="1">
        <f t="shared" si="24"/>
        <v>15.993311036789297</v>
      </c>
      <c r="K210" s="17" t="str">
        <f t="shared" si="25"/>
        <v/>
      </c>
      <c r="L210" s="17" t="str">
        <f t="shared" si="26"/>
        <v/>
      </c>
    </row>
    <row r="211" spans="1:12">
      <c r="A211" s="17">
        <v>202</v>
      </c>
      <c r="B211" s="17">
        <v>5</v>
      </c>
      <c r="C211" s="17">
        <v>24</v>
      </c>
      <c r="D211" s="17" t="s">
        <v>574</v>
      </c>
      <c r="E211" s="17">
        <v>25</v>
      </c>
      <c r="F211" s="17">
        <f t="shared" si="27"/>
        <v>38</v>
      </c>
      <c r="G211" s="1">
        <f t="shared" si="21"/>
        <v>55.923333333333332</v>
      </c>
      <c r="H211" s="1">
        <f t="shared" si="22"/>
        <v>98.458735026921886</v>
      </c>
      <c r="I211" s="1">
        <f t="shared" si="23"/>
        <v>52.250147157190632</v>
      </c>
      <c r="J211" s="1">
        <f t="shared" si="24"/>
        <v>15.993311036789297</v>
      </c>
      <c r="K211" s="17" t="str">
        <f t="shared" si="25"/>
        <v/>
      </c>
      <c r="L211" s="17" t="str">
        <f t="shared" si="26"/>
        <v/>
      </c>
    </row>
    <row r="212" spans="1:12">
      <c r="A212" s="17">
        <v>203</v>
      </c>
      <c r="B212" s="17">
        <v>5</v>
      </c>
      <c r="C212" s="17">
        <v>23</v>
      </c>
      <c r="D212" s="17" t="s">
        <v>575</v>
      </c>
      <c r="E212" s="17">
        <v>20</v>
      </c>
      <c r="F212" s="17">
        <f t="shared" si="27"/>
        <v>5</v>
      </c>
      <c r="G212" s="1">
        <f t="shared" si="21"/>
        <v>55.923333333333332</v>
      </c>
      <c r="H212" s="1">
        <f t="shared" si="22"/>
        <v>98.458735026921886</v>
      </c>
      <c r="I212" s="1">
        <f t="shared" si="23"/>
        <v>52.250147157190632</v>
      </c>
      <c r="J212" s="1">
        <f t="shared" si="24"/>
        <v>15.993311036789297</v>
      </c>
      <c r="K212" s="17" t="str">
        <f t="shared" si="25"/>
        <v/>
      </c>
      <c r="L212" s="17" t="str">
        <f t="shared" si="26"/>
        <v/>
      </c>
    </row>
    <row r="213" spans="1:12">
      <c r="A213" s="17">
        <v>204</v>
      </c>
      <c r="B213" s="17">
        <v>5</v>
      </c>
      <c r="C213" s="17">
        <v>22</v>
      </c>
      <c r="D213" s="17" t="s">
        <v>576</v>
      </c>
      <c r="E213" s="17">
        <v>32</v>
      </c>
      <c r="F213" s="17">
        <f t="shared" si="27"/>
        <v>12</v>
      </c>
      <c r="G213" s="1">
        <f t="shared" si="21"/>
        <v>55.923333333333332</v>
      </c>
      <c r="H213" s="1">
        <f t="shared" si="22"/>
        <v>98.458735026921886</v>
      </c>
      <c r="I213" s="1">
        <f t="shared" si="23"/>
        <v>52.250147157190632</v>
      </c>
      <c r="J213" s="1">
        <f t="shared" si="24"/>
        <v>15.993311036789297</v>
      </c>
      <c r="K213" s="17" t="str">
        <f t="shared" si="25"/>
        <v/>
      </c>
      <c r="L213" s="17" t="str">
        <f t="shared" si="26"/>
        <v/>
      </c>
    </row>
    <row r="214" spans="1:12">
      <c r="A214" s="17">
        <v>205</v>
      </c>
      <c r="B214" s="17">
        <v>5</v>
      </c>
      <c r="C214" s="17">
        <v>21</v>
      </c>
      <c r="D214" s="17" t="s">
        <v>577</v>
      </c>
      <c r="E214" s="17">
        <v>33</v>
      </c>
      <c r="F214" s="17">
        <f t="shared" si="27"/>
        <v>1</v>
      </c>
      <c r="G214" s="1">
        <f t="shared" si="21"/>
        <v>55.923333333333332</v>
      </c>
      <c r="H214" s="1">
        <f t="shared" si="22"/>
        <v>98.458735026921886</v>
      </c>
      <c r="I214" s="1">
        <f t="shared" si="23"/>
        <v>52.250147157190632</v>
      </c>
      <c r="J214" s="1">
        <f t="shared" si="24"/>
        <v>15.993311036789297</v>
      </c>
      <c r="K214" s="17" t="str">
        <f t="shared" si="25"/>
        <v/>
      </c>
      <c r="L214" s="17" t="str">
        <f t="shared" si="26"/>
        <v/>
      </c>
    </row>
    <row r="215" spans="1:12">
      <c r="A215" s="17">
        <v>206</v>
      </c>
      <c r="B215" s="17">
        <v>5</v>
      </c>
      <c r="C215" s="17">
        <v>20</v>
      </c>
      <c r="D215" s="17" t="s">
        <v>578</v>
      </c>
      <c r="E215" s="17">
        <v>29</v>
      </c>
      <c r="F215" s="17">
        <f t="shared" si="27"/>
        <v>4</v>
      </c>
      <c r="G215" s="1">
        <f t="shared" si="21"/>
        <v>55.923333333333332</v>
      </c>
      <c r="H215" s="1">
        <f t="shared" si="22"/>
        <v>98.458735026921886</v>
      </c>
      <c r="I215" s="1">
        <f t="shared" si="23"/>
        <v>52.250147157190632</v>
      </c>
      <c r="J215" s="1">
        <f t="shared" si="24"/>
        <v>15.993311036789297</v>
      </c>
      <c r="K215" s="17" t="str">
        <f t="shared" si="25"/>
        <v/>
      </c>
      <c r="L215" s="17" t="str">
        <f t="shared" si="26"/>
        <v/>
      </c>
    </row>
    <row r="216" spans="1:12">
      <c r="A216" s="17">
        <v>207</v>
      </c>
      <c r="B216" s="17">
        <v>5</v>
      </c>
      <c r="C216" s="17">
        <v>19</v>
      </c>
      <c r="D216" s="17" t="s">
        <v>579</v>
      </c>
      <c r="E216" s="17">
        <v>21</v>
      </c>
      <c r="F216" s="17">
        <f t="shared" si="27"/>
        <v>8</v>
      </c>
      <c r="G216" s="1">
        <f t="shared" si="21"/>
        <v>55.923333333333332</v>
      </c>
      <c r="H216" s="1">
        <f t="shared" si="22"/>
        <v>98.458735026921886</v>
      </c>
      <c r="I216" s="1">
        <f t="shared" si="23"/>
        <v>52.250147157190632</v>
      </c>
      <c r="J216" s="1">
        <f t="shared" si="24"/>
        <v>15.993311036789297</v>
      </c>
      <c r="K216" s="17" t="str">
        <f t="shared" si="25"/>
        <v/>
      </c>
      <c r="L216" s="17" t="str">
        <f t="shared" si="26"/>
        <v/>
      </c>
    </row>
    <row r="217" spans="1:12">
      <c r="A217" s="17">
        <v>208</v>
      </c>
      <c r="B217" s="17">
        <v>5</v>
      </c>
      <c r="C217" s="17">
        <v>18</v>
      </c>
      <c r="D217" s="17" t="s">
        <v>580</v>
      </c>
      <c r="E217" s="17">
        <v>52</v>
      </c>
      <c r="F217" s="17">
        <f t="shared" si="27"/>
        <v>31</v>
      </c>
      <c r="G217" s="1">
        <f t="shared" si="21"/>
        <v>55.923333333333332</v>
      </c>
      <c r="H217" s="1">
        <f t="shared" si="22"/>
        <v>98.458735026921886</v>
      </c>
      <c r="I217" s="1">
        <f t="shared" si="23"/>
        <v>52.250147157190632</v>
      </c>
      <c r="J217" s="1">
        <f t="shared" si="24"/>
        <v>15.993311036789297</v>
      </c>
      <c r="K217" s="17" t="str">
        <f t="shared" si="25"/>
        <v/>
      </c>
      <c r="L217" s="17" t="str">
        <f t="shared" si="26"/>
        <v/>
      </c>
    </row>
    <row r="218" spans="1:12">
      <c r="A218" s="17">
        <v>209</v>
      </c>
      <c r="B218" s="17">
        <v>5</v>
      </c>
      <c r="C218" s="17">
        <v>17</v>
      </c>
      <c r="D218" s="17" t="s">
        <v>581</v>
      </c>
      <c r="E218" s="17">
        <v>26</v>
      </c>
      <c r="F218" s="17">
        <f t="shared" si="27"/>
        <v>26</v>
      </c>
      <c r="G218" s="1">
        <f t="shared" si="21"/>
        <v>55.923333333333332</v>
      </c>
      <c r="H218" s="1">
        <f t="shared" si="22"/>
        <v>98.458735026921886</v>
      </c>
      <c r="I218" s="1">
        <f t="shared" si="23"/>
        <v>52.250147157190632</v>
      </c>
      <c r="J218" s="1">
        <f t="shared" si="24"/>
        <v>15.993311036789297</v>
      </c>
      <c r="K218" s="17" t="str">
        <f t="shared" si="25"/>
        <v/>
      </c>
      <c r="L218" s="17" t="str">
        <f t="shared" si="26"/>
        <v/>
      </c>
    </row>
    <row r="219" spans="1:12">
      <c r="A219" s="17">
        <v>210</v>
      </c>
      <c r="B219" s="17">
        <v>5</v>
      </c>
      <c r="C219" s="17">
        <v>16</v>
      </c>
      <c r="D219" s="17" t="s">
        <v>582</v>
      </c>
      <c r="E219" s="17">
        <v>20</v>
      </c>
      <c r="F219" s="17">
        <f t="shared" si="27"/>
        <v>6</v>
      </c>
      <c r="G219" s="1">
        <f t="shared" si="21"/>
        <v>55.923333333333332</v>
      </c>
      <c r="H219" s="1">
        <f t="shared" si="22"/>
        <v>98.458735026921886</v>
      </c>
      <c r="I219" s="1">
        <f t="shared" si="23"/>
        <v>52.250147157190632</v>
      </c>
      <c r="J219" s="1">
        <f t="shared" si="24"/>
        <v>15.993311036789297</v>
      </c>
      <c r="K219" s="17" t="str">
        <f t="shared" si="25"/>
        <v/>
      </c>
      <c r="L219" s="17" t="str">
        <f t="shared" si="26"/>
        <v/>
      </c>
    </row>
    <row r="220" spans="1:12">
      <c r="A220" s="17">
        <v>211</v>
      </c>
      <c r="B220" s="17">
        <v>5</v>
      </c>
      <c r="C220" s="17">
        <v>15</v>
      </c>
      <c r="D220" s="17" t="s">
        <v>583</v>
      </c>
      <c r="E220" s="17">
        <v>34</v>
      </c>
      <c r="F220" s="17">
        <f t="shared" si="27"/>
        <v>14</v>
      </c>
      <c r="G220" s="1">
        <f t="shared" si="21"/>
        <v>55.923333333333332</v>
      </c>
      <c r="H220" s="1">
        <f t="shared" si="22"/>
        <v>98.458735026921886</v>
      </c>
      <c r="I220" s="1">
        <f t="shared" si="23"/>
        <v>52.250147157190632</v>
      </c>
      <c r="J220" s="1">
        <f t="shared" si="24"/>
        <v>15.993311036789297</v>
      </c>
      <c r="K220" s="17" t="str">
        <f t="shared" si="25"/>
        <v/>
      </c>
      <c r="L220" s="17" t="str">
        <f t="shared" si="26"/>
        <v/>
      </c>
    </row>
    <row r="221" spans="1:12">
      <c r="A221" s="17">
        <v>212</v>
      </c>
      <c r="B221" s="17">
        <v>5</v>
      </c>
      <c r="C221" s="17">
        <v>14</v>
      </c>
      <c r="D221" s="17" t="s">
        <v>584</v>
      </c>
      <c r="E221" s="17">
        <v>30</v>
      </c>
      <c r="F221" s="17">
        <f t="shared" si="27"/>
        <v>4</v>
      </c>
      <c r="G221" s="1">
        <f t="shared" si="21"/>
        <v>55.923333333333332</v>
      </c>
      <c r="H221" s="1">
        <f t="shared" si="22"/>
        <v>98.458735026921886</v>
      </c>
      <c r="I221" s="1">
        <f t="shared" si="23"/>
        <v>52.250147157190632</v>
      </c>
      <c r="J221" s="1">
        <f t="shared" si="24"/>
        <v>15.993311036789297</v>
      </c>
      <c r="K221" s="17" t="str">
        <f t="shared" si="25"/>
        <v/>
      </c>
      <c r="L221" s="17" t="str">
        <f t="shared" si="26"/>
        <v/>
      </c>
    </row>
    <row r="222" spans="1:12">
      <c r="A222" s="17">
        <v>213</v>
      </c>
      <c r="B222" s="17">
        <v>5</v>
      </c>
      <c r="C222" s="17">
        <v>13</v>
      </c>
      <c r="D222" s="17" t="s">
        <v>585</v>
      </c>
      <c r="E222" s="17">
        <v>30</v>
      </c>
      <c r="F222" s="17">
        <f t="shared" si="27"/>
        <v>0</v>
      </c>
      <c r="G222" s="1">
        <f t="shared" si="21"/>
        <v>55.923333333333332</v>
      </c>
      <c r="H222" s="1">
        <f t="shared" si="22"/>
        <v>98.458735026921886</v>
      </c>
      <c r="I222" s="1">
        <f t="shared" si="23"/>
        <v>52.250147157190632</v>
      </c>
      <c r="J222" s="1">
        <f t="shared" si="24"/>
        <v>15.993311036789297</v>
      </c>
      <c r="K222" s="17" t="str">
        <f t="shared" si="25"/>
        <v/>
      </c>
      <c r="L222" s="17" t="str">
        <f t="shared" si="26"/>
        <v/>
      </c>
    </row>
    <row r="223" spans="1:12">
      <c r="A223" s="17">
        <v>214</v>
      </c>
      <c r="B223" s="17">
        <v>5</v>
      </c>
      <c r="C223" s="17">
        <v>12</v>
      </c>
      <c r="D223" s="17" t="s">
        <v>586</v>
      </c>
      <c r="E223" s="17">
        <v>15</v>
      </c>
      <c r="F223" s="17">
        <f t="shared" si="27"/>
        <v>15</v>
      </c>
      <c r="G223" s="1">
        <f t="shared" si="21"/>
        <v>55.923333333333332</v>
      </c>
      <c r="H223" s="1">
        <f t="shared" si="22"/>
        <v>98.458735026921886</v>
      </c>
      <c r="I223" s="1">
        <f t="shared" si="23"/>
        <v>52.250147157190632</v>
      </c>
      <c r="J223" s="1">
        <f t="shared" si="24"/>
        <v>15.993311036789297</v>
      </c>
      <c r="K223" s="17" t="str">
        <f t="shared" si="25"/>
        <v/>
      </c>
      <c r="L223" s="17" t="str">
        <f t="shared" si="26"/>
        <v/>
      </c>
    </row>
    <row r="224" spans="1:12">
      <c r="A224" s="17">
        <v>215</v>
      </c>
      <c r="B224" s="17">
        <v>5</v>
      </c>
      <c r="C224" s="17">
        <v>11</v>
      </c>
      <c r="D224" s="17" t="s">
        <v>587</v>
      </c>
      <c r="E224" s="17">
        <v>25</v>
      </c>
      <c r="F224" s="17">
        <f t="shared" si="27"/>
        <v>10</v>
      </c>
      <c r="G224" s="1">
        <f t="shared" si="21"/>
        <v>55.923333333333332</v>
      </c>
      <c r="H224" s="1">
        <f t="shared" si="22"/>
        <v>98.458735026921886</v>
      </c>
      <c r="I224" s="1">
        <f t="shared" si="23"/>
        <v>52.250147157190632</v>
      </c>
      <c r="J224" s="1">
        <f t="shared" si="24"/>
        <v>15.993311036789297</v>
      </c>
      <c r="K224" s="17" t="str">
        <f t="shared" si="25"/>
        <v/>
      </c>
      <c r="L224" s="17" t="str">
        <f t="shared" si="26"/>
        <v/>
      </c>
    </row>
    <row r="225" spans="1:12">
      <c r="A225" s="17">
        <v>216</v>
      </c>
      <c r="B225" s="17">
        <v>5</v>
      </c>
      <c r="C225" s="17">
        <v>10</v>
      </c>
      <c r="D225" s="17" t="s">
        <v>588</v>
      </c>
      <c r="E225" s="17">
        <v>33</v>
      </c>
      <c r="F225" s="17">
        <f t="shared" si="27"/>
        <v>8</v>
      </c>
      <c r="G225" s="1">
        <f t="shared" si="21"/>
        <v>55.923333333333332</v>
      </c>
      <c r="H225" s="1">
        <f t="shared" si="22"/>
        <v>98.458735026921886</v>
      </c>
      <c r="I225" s="1">
        <f t="shared" si="23"/>
        <v>52.250147157190632</v>
      </c>
      <c r="J225" s="1">
        <f t="shared" si="24"/>
        <v>15.993311036789297</v>
      </c>
      <c r="K225" s="17" t="str">
        <f t="shared" si="25"/>
        <v/>
      </c>
      <c r="L225" s="17" t="str">
        <f t="shared" si="26"/>
        <v/>
      </c>
    </row>
    <row r="226" spans="1:12">
      <c r="A226" s="17">
        <v>217</v>
      </c>
      <c r="B226" s="17">
        <v>5</v>
      </c>
      <c r="C226" s="17">
        <v>9</v>
      </c>
      <c r="D226" s="17" t="s">
        <v>589</v>
      </c>
      <c r="E226" s="17">
        <v>26</v>
      </c>
      <c r="F226" s="17">
        <f t="shared" si="27"/>
        <v>7</v>
      </c>
      <c r="G226" s="1">
        <f t="shared" si="21"/>
        <v>55.923333333333332</v>
      </c>
      <c r="H226" s="1">
        <f t="shared" si="22"/>
        <v>98.458735026921886</v>
      </c>
      <c r="I226" s="1">
        <f t="shared" si="23"/>
        <v>52.250147157190632</v>
      </c>
      <c r="J226" s="1">
        <f t="shared" si="24"/>
        <v>15.993311036789297</v>
      </c>
      <c r="K226" s="17" t="str">
        <f t="shared" si="25"/>
        <v/>
      </c>
      <c r="L226" s="17" t="str">
        <f t="shared" si="26"/>
        <v/>
      </c>
    </row>
    <row r="227" spans="1:12">
      <c r="A227" s="17">
        <v>218</v>
      </c>
      <c r="B227" s="17">
        <v>5</v>
      </c>
      <c r="C227" s="17">
        <v>8</v>
      </c>
      <c r="D227" s="17" t="s">
        <v>590</v>
      </c>
      <c r="E227" s="17">
        <v>30</v>
      </c>
      <c r="F227" s="17">
        <f t="shared" si="27"/>
        <v>4</v>
      </c>
      <c r="G227" s="1">
        <f t="shared" si="21"/>
        <v>55.923333333333332</v>
      </c>
      <c r="H227" s="1">
        <f t="shared" si="22"/>
        <v>98.458735026921886</v>
      </c>
      <c r="I227" s="1">
        <f t="shared" si="23"/>
        <v>52.250147157190632</v>
      </c>
      <c r="J227" s="1">
        <f t="shared" si="24"/>
        <v>15.993311036789297</v>
      </c>
      <c r="K227" s="17" t="str">
        <f t="shared" si="25"/>
        <v/>
      </c>
      <c r="L227" s="17" t="str">
        <f t="shared" si="26"/>
        <v/>
      </c>
    </row>
    <row r="228" spans="1:12">
      <c r="A228" s="17">
        <v>219</v>
      </c>
      <c r="B228" s="17">
        <v>5</v>
      </c>
      <c r="C228" s="17">
        <v>7</v>
      </c>
      <c r="D228" s="17" t="s">
        <v>591</v>
      </c>
      <c r="E228" s="17">
        <v>41</v>
      </c>
      <c r="F228" s="17">
        <f t="shared" si="27"/>
        <v>11</v>
      </c>
      <c r="G228" s="1">
        <f t="shared" si="21"/>
        <v>55.923333333333332</v>
      </c>
      <c r="H228" s="1">
        <f t="shared" si="22"/>
        <v>98.458735026921886</v>
      </c>
      <c r="I228" s="1">
        <f t="shared" si="23"/>
        <v>52.250147157190632</v>
      </c>
      <c r="J228" s="1">
        <f t="shared" si="24"/>
        <v>15.993311036789297</v>
      </c>
      <c r="K228" s="17" t="str">
        <f t="shared" si="25"/>
        <v/>
      </c>
      <c r="L228" s="17" t="str">
        <f t="shared" si="26"/>
        <v/>
      </c>
    </row>
    <row r="229" spans="1:12">
      <c r="A229" s="17">
        <v>220</v>
      </c>
      <c r="B229" s="17">
        <v>5</v>
      </c>
      <c r="C229" s="17">
        <v>6</v>
      </c>
      <c r="D229" s="17" t="s">
        <v>592</v>
      </c>
      <c r="E229" s="17">
        <v>19</v>
      </c>
      <c r="F229" s="17">
        <f t="shared" si="27"/>
        <v>22</v>
      </c>
      <c r="G229" s="1">
        <f t="shared" si="21"/>
        <v>55.923333333333332</v>
      </c>
      <c r="H229" s="1">
        <f t="shared" si="22"/>
        <v>98.458735026921886</v>
      </c>
      <c r="I229" s="1">
        <f t="shared" si="23"/>
        <v>52.250147157190632</v>
      </c>
      <c r="J229" s="1">
        <f t="shared" si="24"/>
        <v>15.993311036789297</v>
      </c>
      <c r="K229" s="17" t="str">
        <f t="shared" si="25"/>
        <v/>
      </c>
      <c r="L229" s="17" t="str">
        <f t="shared" si="26"/>
        <v/>
      </c>
    </row>
    <row r="230" spans="1:12">
      <c r="A230" s="17">
        <v>221</v>
      </c>
      <c r="B230" s="17">
        <v>5</v>
      </c>
      <c r="C230" s="17">
        <v>5</v>
      </c>
      <c r="D230" s="17" t="s">
        <v>593</v>
      </c>
      <c r="E230" s="17">
        <v>31</v>
      </c>
      <c r="F230" s="17">
        <f t="shared" si="27"/>
        <v>12</v>
      </c>
      <c r="G230" s="1">
        <f t="shared" si="21"/>
        <v>55.923333333333332</v>
      </c>
      <c r="H230" s="1">
        <f t="shared" si="22"/>
        <v>98.458735026921886</v>
      </c>
      <c r="I230" s="1">
        <f t="shared" si="23"/>
        <v>52.250147157190632</v>
      </c>
      <c r="J230" s="1">
        <f t="shared" si="24"/>
        <v>15.993311036789297</v>
      </c>
      <c r="K230" s="17" t="str">
        <f t="shared" si="25"/>
        <v/>
      </c>
      <c r="L230" s="17" t="str">
        <f t="shared" si="26"/>
        <v/>
      </c>
    </row>
    <row r="231" spans="1:12">
      <c r="A231" s="17">
        <v>222</v>
      </c>
      <c r="B231" s="17">
        <v>5</v>
      </c>
      <c r="C231" s="17">
        <v>4</v>
      </c>
      <c r="D231" s="17" t="s">
        <v>594</v>
      </c>
      <c r="E231" s="17">
        <v>31</v>
      </c>
      <c r="F231" s="17">
        <f t="shared" si="27"/>
        <v>0</v>
      </c>
      <c r="G231" s="1">
        <f t="shared" si="21"/>
        <v>55.923333333333332</v>
      </c>
      <c r="H231" s="1">
        <f t="shared" si="22"/>
        <v>98.458735026921886</v>
      </c>
      <c r="I231" s="1">
        <f t="shared" si="23"/>
        <v>52.250147157190632</v>
      </c>
      <c r="J231" s="1">
        <f t="shared" si="24"/>
        <v>15.993311036789297</v>
      </c>
      <c r="K231" s="17" t="str">
        <f t="shared" si="25"/>
        <v/>
      </c>
      <c r="L231" s="17" t="str">
        <f t="shared" si="26"/>
        <v/>
      </c>
    </row>
    <row r="232" spans="1:12">
      <c r="A232" s="17">
        <v>223</v>
      </c>
      <c r="B232" s="17">
        <v>5</v>
      </c>
      <c r="C232" s="17">
        <v>3</v>
      </c>
      <c r="D232" s="17" t="s">
        <v>595</v>
      </c>
      <c r="E232" s="17">
        <v>41</v>
      </c>
      <c r="F232" s="17">
        <f t="shared" si="27"/>
        <v>10</v>
      </c>
      <c r="G232" s="1">
        <f t="shared" si="21"/>
        <v>55.923333333333332</v>
      </c>
      <c r="H232" s="1">
        <f t="shared" si="22"/>
        <v>98.458735026921886</v>
      </c>
      <c r="I232" s="1">
        <f t="shared" si="23"/>
        <v>52.250147157190632</v>
      </c>
      <c r="J232" s="1">
        <f t="shared" si="24"/>
        <v>15.993311036789297</v>
      </c>
      <c r="K232" s="17" t="str">
        <f t="shared" si="25"/>
        <v/>
      </c>
      <c r="L232" s="17" t="str">
        <f t="shared" si="26"/>
        <v/>
      </c>
    </row>
    <row r="233" spans="1:12">
      <c r="A233" s="17">
        <v>224</v>
      </c>
      <c r="B233" s="17">
        <v>5</v>
      </c>
      <c r="C233" s="17">
        <v>2</v>
      </c>
      <c r="D233" s="17" t="s">
        <v>596</v>
      </c>
      <c r="E233" s="17">
        <v>47</v>
      </c>
      <c r="F233" s="17">
        <f t="shared" si="27"/>
        <v>6</v>
      </c>
      <c r="G233" s="1">
        <f t="shared" si="21"/>
        <v>55.923333333333332</v>
      </c>
      <c r="H233" s="1">
        <f t="shared" si="22"/>
        <v>98.458735026921886</v>
      </c>
      <c r="I233" s="1">
        <f t="shared" si="23"/>
        <v>52.250147157190632</v>
      </c>
      <c r="J233" s="1">
        <f t="shared" si="24"/>
        <v>15.993311036789297</v>
      </c>
      <c r="K233" s="17" t="str">
        <f t="shared" si="25"/>
        <v/>
      </c>
      <c r="L233" s="17" t="str">
        <f t="shared" si="26"/>
        <v/>
      </c>
    </row>
    <row r="234" spans="1:12">
      <c r="A234" s="17">
        <v>225</v>
      </c>
      <c r="B234" s="17">
        <v>5</v>
      </c>
      <c r="C234" s="17">
        <v>1</v>
      </c>
      <c r="D234" s="17" t="s">
        <v>597</v>
      </c>
      <c r="E234" s="17">
        <v>47</v>
      </c>
      <c r="F234" s="17">
        <f t="shared" si="27"/>
        <v>0</v>
      </c>
      <c r="G234" s="1">
        <f t="shared" si="21"/>
        <v>55.923333333333332</v>
      </c>
      <c r="H234" s="1">
        <f t="shared" si="22"/>
        <v>98.458735026921886</v>
      </c>
      <c r="I234" s="1">
        <f t="shared" si="23"/>
        <v>52.250147157190632</v>
      </c>
      <c r="J234" s="1">
        <f t="shared" si="24"/>
        <v>15.993311036789297</v>
      </c>
      <c r="K234" s="17" t="str">
        <f t="shared" si="25"/>
        <v/>
      </c>
      <c r="L234" s="17" t="str">
        <f t="shared" si="26"/>
        <v/>
      </c>
    </row>
    <row r="235" spans="1:12">
      <c r="A235" s="17">
        <v>226</v>
      </c>
      <c r="B235" s="17">
        <v>5</v>
      </c>
      <c r="C235" s="17">
        <v>25</v>
      </c>
      <c r="D235" s="17" t="s">
        <v>598</v>
      </c>
      <c r="E235" s="17">
        <v>94</v>
      </c>
      <c r="F235" s="17">
        <f t="shared" si="27"/>
        <v>47</v>
      </c>
      <c r="G235" s="1">
        <f t="shared" si="21"/>
        <v>55.923333333333332</v>
      </c>
      <c r="H235" s="1">
        <f t="shared" si="22"/>
        <v>98.458735026921886</v>
      </c>
      <c r="I235" s="1">
        <f t="shared" si="23"/>
        <v>52.250147157190632</v>
      </c>
      <c r="J235" s="1">
        <f t="shared" si="24"/>
        <v>15.993311036789297</v>
      </c>
      <c r="K235" s="17" t="str">
        <f t="shared" si="25"/>
        <v/>
      </c>
      <c r="L235" s="17" t="str">
        <f t="shared" si="26"/>
        <v/>
      </c>
    </row>
    <row r="236" spans="1:12">
      <c r="A236" s="17">
        <v>227</v>
      </c>
      <c r="B236" s="17">
        <v>5</v>
      </c>
      <c r="C236" s="17">
        <v>24</v>
      </c>
      <c r="D236" s="17" t="s">
        <v>599</v>
      </c>
      <c r="E236" s="17">
        <v>83</v>
      </c>
      <c r="F236" s="17">
        <f t="shared" si="27"/>
        <v>11</v>
      </c>
      <c r="G236" s="1">
        <f t="shared" si="21"/>
        <v>55.923333333333332</v>
      </c>
      <c r="H236" s="1">
        <f t="shared" si="22"/>
        <v>98.458735026921886</v>
      </c>
      <c r="I236" s="1">
        <f t="shared" si="23"/>
        <v>52.250147157190632</v>
      </c>
      <c r="J236" s="1">
        <f t="shared" si="24"/>
        <v>15.993311036789297</v>
      </c>
      <c r="K236" s="17" t="str">
        <f t="shared" si="25"/>
        <v/>
      </c>
      <c r="L236" s="17" t="str">
        <f t="shared" si="26"/>
        <v/>
      </c>
    </row>
    <row r="237" spans="1:12">
      <c r="A237" s="17">
        <v>228</v>
      </c>
      <c r="B237" s="17">
        <v>5</v>
      </c>
      <c r="C237" s="17">
        <v>23</v>
      </c>
      <c r="D237" s="17" t="s">
        <v>600</v>
      </c>
      <c r="E237" s="17">
        <v>97</v>
      </c>
      <c r="F237" s="17">
        <f t="shared" si="27"/>
        <v>14</v>
      </c>
      <c r="G237" s="1">
        <f t="shared" si="21"/>
        <v>55.923333333333332</v>
      </c>
      <c r="H237" s="1">
        <f t="shared" si="22"/>
        <v>98.458735026921886</v>
      </c>
      <c r="I237" s="1">
        <f t="shared" si="23"/>
        <v>52.250147157190632</v>
      </c>
      <c r="J237" s="1">
        <f t="shared" si="24"/>
        <v>15.993311036789297</v>
      </c>
      <c r="K237" s="17" t="str">
        <f t="shared" si="25"/>
        <v/>
      </c>
      <c r="L237" s="17" t="str">
        <f t="shared" si="26"/>
        <v/>
      </c>
    </row>
    <row r="238" spans="1:12">
      <c r="A238" s="17">
        <v>229</v>
      </c>
      <c r="B238" s="17">
        <v>5</v>
      </c>
      <c r="C238" s="17">
        <v>22</v>
      </c>
      <c r="D238" s="17" t="s">
        <v>601</v>
      </c>
      <c r="E238" s="17">
        <v>57</v>
      </c>
      <c r="F238" s="17">
        <f t="shared" si="27"/>
        <v>40</v>
      </c>
      <c r="G238" s="1">
        <f t="shared" si="21"/>
        <v>55.923333333333332</v>
      </c>
      <c r="H238" s="1">
        <f t="shared" si="22"/>
        <v>98.458735026921886</v>
      </c>
      <c r="I238" s="1">
        <f t="shared" si="23"/>
        <v>52.250147157190632</v>
      </c>
      <c r="J238" s="1">
        <f t="shared" si="24"/>
        <v>15.993311036789297</v>
      </c>
      <c r="K238" s="17" t="str">
        <f t="shared" si="25"/>
        <v/>
      </c>
      <c r="L238" s="17" t="str">
        <f t="shared" si="26"/>
        <v/>
      </c>
    </row>
    <row r="239" spans="1:12">
      <c r="A239" s="17">
        <v>230</v>
      </c>
      <c r="B239" s="17">
        <v>5</v>
      </c>
      <c r="C239" s="17">
        <v>21</v>
      </c>
      <c r="D239" s="17" t="s">
        <v>602</v>
      </c>
      <c r="E239" s="17">
        <v>54</v>
      </c>
      <c r="F239" s="17">
        <f t="shared" si="27"/>
        <v>3</v>
      </c>
      <c r="G239" s="1">
        <f t="shared" si="21"/>
        <v>55.923333333333332</v>
      </c>
      <c r="H239" s="1">
        <f t="shared" si="22"/>
        <v>98.458735026921886</v>
      </c>
      <c r="I239" s="1">
        <f t="shared" si="23"/>
        <v>52.250147157190632</v>
      </c>
      <c r="J239" s="1">
        <f t="shared" si="24"/>
        <v>15.993311036789297</v>
      </c>
      <c r="K239" s="17" t="str">
        <f t="shared" si="25"/>
        <v/>
      </c>
      <c r="L239" s="17" t="str">
        <f t="shared" si="26"/>
        <v/>
      </c>
    </row>
    <row r="240" spans="1:12">
      <c r="A240" s="17">
        <v>231</v>
      </c>
      <c r="B240" s="17">
        <v>5</v>
      </c>
      <c r="C240" s="17">
        <v>20</v>
      </c>
      <c r="D240" s="17" t="s">
        <v>603</v>
      </c>
      <c r="E240" s="17">
        <v>41</v>
      </c>
      <c r="F240" s="17">
        <f t="shared" si="27"/>
        <v>13</v>
      </c>
      <c r="G240" s="1">
        <f t="shared" si="21"/>
        <v>55.923333333333332</v>
      </c>
      <c r="H240" s="1">
        <f t="shared" si="22"/>
        <v>98.458735026921886</v>
      </c>
      <c r="I240" s="1">
        <f t="shared" si="23"/>
        <v>52.250147157190632</v>
      </c>
      <c r="J240" s="1">
        <f t="shared" si="24"/>
        <v>15.993311036789297</v>
      </c>
      <c r="K240" s="17" t="str">
        <f t="shared" si="25"/>
        <v/>
      </c>
      <c r="L240" s="17" t="str">
        <f t="shared" si="26"/>
        <v/>
      </c>
    </row>
    <row r="241" spans="1:12">
      <c r="A241" s="17">
        <v>232</v>
      </c>
      <c r="B241" s="17">
        <v>5</v>
      </c>
      <c r="C241" s="17">
        <v>19</v>
      </c>
      <c r="D241" s="17" t="s">
        <v>604</v>
      </c>
      <c r="E241" s="17">
        <v>54</v>
      </c>
      <c r="F241" s="17">
        <f t="shared" si="27"/>
        <v>13</v>
      </c>
      <c r="G241" s="1">
        <f t="shared" si="21"/>
        <v>55.923333333333332</v>
      </c>
      <c r="H241" s="1">
        <f t="shared" si="22"/>
        <v>98.458735026921886</v>
      </c>
      <c r="I241" s="1">
        <f t="shared" si="23"/>
        <v>52.250147157190632</v>
      </c>
      <c r="J241" s="1">
        <f t="shared" si="24"/>
        <v>15.993311036789297</v>
      </c>
      <c r="K241" s="17" t="str">
        <f t="shared" si="25"/>
        <v/>
      </c>
      <c r="L241" s="17" t="str">
        <f t="shared" si="26"/>
        <v/>
      </c>
    </row>
    <row r="242" spans="1:12">
      <c r="A242" s="17">
        <v>233</v>
      </c>
      <c r="B242" s="17">
        <v>5</v>
      </c>
      <c r="C242" s="17">
        <v>18</v>
      </c>
      <c r="D242" s="17" t="s">
        <v>605</v>
      </c>
      <c r="E242" s="17">
        <v>46</v>
      </c>
      <c r="F242" s="17">
        <f t="shared" si="27"/>
        <v>8</v>
      </c>
      <c r="G242" s="1">
        <f t="shared" si="21"/>
        <v>55.923333333333332</v>
      </c>
      <c r="H242" s="1">
        <f t="shared" si="22"/>
        <v>98.458735026921886</v>
      </c>
      <c r="I242" s="1">
        <f t="shared" si="23"/>
        <v>52.250147157190632</v>
      </c>
      <c r="J242" s="1">
        <f t="shared" si="24"/>
        <v>15.993311036789297</v>
      </c>
      <c r="K242" s="17" t="str">
        <f t="shared" si="25"/>
        <v/>
      </c>
      <c r="L242" s="17" t="str">
        <f t="shared" si="26"/>
        <v/>
      </c>
    </row>
    <row r="243" spans="1:12">
      <c r="A243" s="17">
        <v>234</v>
      </c>
      <c r="B243" s="17">
        <v>5</v>
      </c>
      <c r="C243" s="17">
        <v>17</v>
      </c>
      <c r="D243" s="17" t="s">
        <v>606</v>
      </c>
      <c r="E243" s="17">
        <v>56</v>
      </c>
      <c r="F243" s="17">
        <f t="shared" si="27"/>
        <v>10</v>
      </c>
      <c r="G243" s="1">
        <f t="shared" si="21"/>
        <v>55.923333333333332</v>
      </c>
      <c r="H243" s="1">
        <f t="shared" si="22"/>
        <v>98.458735026921886</v>
      </c>
      <c r="I243" s="1">
        <f t="shared" si="23"/>
        <v>52.250147157190632</v>
      </c>
      <c r="J243" s="1">
        <f t="shared" si="24"/>
        <v>15.993311036789297</v>
      </c>
      <c r="K243" s="17" t="str">
        <f t="shared" si="25"/>
        <v/>
      </c>
      <c r="L243" s="17" t="str">
        <f t="shared" si="26"/>
        <v/>
      </c>
    </row>
    <row r="244" spans="1:12">
      <c r="A244" s="17">
        <v>235</v>
      </c>
      <c r="B244" s="17">
        <v>5</v>
      </c>
      <c r="C244" s="17">
        <v>16</v>
      </c>
      <c r="D244" s="17" t="s">
        <v>607</v>
      </c>
      <c r="E244" s="17">
        <v>64</v>
      </c>
      <c r="F244" s="17">
        <f t="shared" si="27"/>
        <v>8</v>
      </c>
      <c r="G244" s="1">
        <f t="shared" si="21"/>
        <v>55.923333333333332</v>
      </c>
      <c r="H244" s="1">
        <f t="shared" si="22"/>
        <v>98.458735026921886</v>
      </c>
      <c r="I244" s="1">
        <f t="shared" si="23"/>
        <v>52.250147157190632</v>
      </c>
      <c r="J244" s="1">
        <f t="shared" si="24"/>
        <v>15.993311036789297</v>
      </c>
      <c r="K244" s="17" t="str">
        <f t="shared" si="25"/>
        <v/>
      </c>
      <c r="L244" s="17" t="str">
        <f t="shared" si="26"/>
        <v/>
      </c>
    </row>
    <row r="245" spans="1:12">
      <c r="A245" s="17">
        <v>236</v>
      </c>
      <c r="B245" s="17">
        <v>5</v>
      </c>
      <c r="C245" s="17">
        <v>15</v>
      </c>
      <c r="D245" s="17" t="s">
        <v>608</v>
      </c>
      <c r="E245" s="17">
        <v>77</v>
      </c>
      <c r="F245" s="17">
        <f t="shared" si="27"/>
        <v>13</v>
      </c>
      <c r="G245" s="1">
        <f t="shared" si="21"/>
        <v>55.923333333333332</v>
      </c>
      <c r="H245" s="1">
        <f t="shared" si="22"/>
        <v>98.458735026921886</v>
      </c>
      <c r="I245" s="1">
        <f t="shared" si="23"/>
        <v>52.250147157190632</v>
      </c>
      <c r="J245" s="1">
        <f t="shared" si="24"/>
        <v>15.993311036789297</v>
      </c>
      <c r="K245" s="17" t="str">
        <f t="shared" si="25"/>
        <v/>
      </c>
      <c r="L245" s="17" t="str">
        <f t="shared" si="26"/>
        <v/>
      </c>
    </row>
    <row r="246" spans="1:12">
      <c r="A246" s="17">
        <v>237</v>
      </c>
      <c r="B246" s="17">
        <v>5</v>
      </c>
      <c r="C246" s="17">
        <v>14</v>
      </c>
      <c r="D246" s="17" t="s">
        <v>609</v>
      </c>
      <c r="E246" s="17">
        <v>51</v>
      </c>
      <c r="F246" s="17">
        <f t="shared" si="27"/>
        <v>26</v>
      </c>
      <c r="G246" s="1">
        <f t="shared" si="21"/>
        <v>55.923333333333332</v>
      </c>
      <c r="H246" s="1">
        <f t="shared" si="22"/>
        <v>98.458735026921886</v>
      </c>
      <c r="I246" s="1">
        <f t="shared" si="23"/>
        <v>52.250147157190632</v>
      </c>
      <c r="J246" s="1">
        <f t="shared" si="24"/>
        <v>15.993311036789297</v>
      </c>
      <c r="K246" s="17" t="str">
        <f t="shared" si="25"/>
        <v/>
      </c>
      <c r="L246" s="17" t="str">
        <f t="shared" si="26"/>
        <v/>
      </c>
    </row>
    <row r="247" spans="1:12">
      <c r="A247" s="17">
        <v>238</v>
      </c>
      <c r="B247" s="17">
        <v>5</v>
      </c>
      <c r="C247" s="17">
        <v>13</v>
      </c>
      <c r="D247" s="17" t="s">
        <v>610</v>
      </c>
      <c r="E247" s="17">
        <v>63</v>
      </c>
      <c r="F247" s="17">
        <f t="shared" si="27"/>
        <v>12</v>
      </c>
      <c r="G247" s="1">
        <f t="shared" si="21"/>
        <v>55.923333333333332</v>
      </c>
      <c r="H247" s="1">
        <f t="shared" si="22"/>
        <v>98.458735026921886</v>
      </c>
      <c r="I247" s="1">
        <f t="shared" si="23"/>
        <v>52.250147157190632</v>
      </c>
      <c r="J247" s="1">
        <f t="shared" si="24"/>
        <v>15.993311036789297</v>
      </c>
      <c r="K247" s="17" t="str">
        <f t="shared" si="25"/>
        <v/>
      </c>
      <c r="L247" s="17" t="str">
        <f t="shared" si="26"/>
        <v/>
      </c>
    </row>
    <row r="248" spans="1:12">
      <c r="A248" s="17">
        <v>239</v>
      </c>
      <c r="B248" s="17">
        <v>5</v>
      </c>
      <c r="C248" s="17">
        <v>12</v>
      </c>
      <c r="D248" s="17" t="s">
        <v>611</v>
      </c>
      <c r="E248" s="17">
        <v>91</v>
      </c>
      <c r="F248" s="17">
        <f t="shared" si="27"/>
        <v>28</v>
      </c>
      <c r="G248" s="1">
        <f t="shared" si="21"/>
        <v>55.923333333333332</v>
      </c>
      <c r="H248" s="1">
        <f t="shared" si="22"/>
        <v>98.458735026921886</v>
      </c>
      <c r="I248" s="1">
        <f t="shared" si="23"/>
        <v>52.250147157190632</v>
      </c>
      <c r="J248" s="1">
        <f t="shared" si="24"/>
        <v>15.993311036789297</v>
      </c>
      <c r="K248" s="17" t="str">
        <f t="shared" si="25"/>
        <v/>
      </c>
      <c r="L248" s="17" t="str">
        <f t="shared" si="26"/>
        <v/>
      </c>
    </row>
    <row r="249" spans="1:12">
      <c r="A249" s="17">
        <v>240</v>
      </c>
      <c r="B249" s="17">
        <v>5</v>
      </c>
      <c r="C249" s="17">
        <v>11</v>
      </c>
      <c r="D249" s="17" t="s">
        <v>612</v>
      </c>
      <c r="E249" s="17">
        <v>105</v>
      </c>
      <c r="F249" s="17">
        <f t="shared" si="27"/>
        <v>14</v>
      </c>
      <c r="G249" s="1">
        <f t="shared" si="21"/>
        <v>55.923333333333332</v>
      </c>
      <c r="H249" s="1">
        <f t="shared" si="22"/>
        <v>98.458735026921886</v>
      </c>
      <c r="I249" s="1">
        <f t="shared" si="23"/>
        <v>52.250147157190632</v>
      </c>
      <c r="J249" s="1">
        <f t="shared" si="24"/>
        <v>15.993311036789297</v>
      </c>
      <c r="K249" s="17" t="str">
        <f t="shared" si="25"/>
        <v>OOC</v>
      </c>
      <c r="L249" s="17" t="str">
        <f t="shared" si="26"/>
        <v/>
      </c>
    </row>
    <row r="250" spans="1:12">
      <c r="A250" s="17">
        <v>241</v>
      </c>
      <c r="B250" s="17">
        <v>5</v>
      </c>
      <c r="C250" s="17">
        <v>10</v>
      </c>
      <c r="D250" s="17" t="s">
        <v>613</v>
      </c>
      <c r="E250" s="17">
        <v>89</v>
      </c>
      <c r="F250" s="17">
        <f t="shared" si="27"/>
        <v>16</v>
      </c>
      <c r="G250" s="1">
        <f t="shared" si="21"/>
        <v>55.923333333333332</v>
      </c>
      <c r="H250" s="1">
        <f t="shared" si="22"/>
        <v>98.458735026921886</v>
      </c>
      <c r="I250" s="1">
        <f t="shared" si="23"/>
        <v>52.250147157190632</v>
      </c>
      <c r="J250" s="1">
        <f t="shared" si="24"/>
        <v>15.993311036789297</v>
      </c>
      <c r="K250" s="17" t="str">
        <f t="shared" si="25"/>
        <v/>
      </c>
      <c r="L250" s="17" t="str">
        <f t="shared" si="26"/>
        <v/>
      </c>
    </row>
    <row r="251" spans="1:12">
      <c r="A251" s="17">
        <v>242</v>
      </c>
      <c r="B251" s="17">
        <v>5</v>
      </c>
      <c r="C251" s="17">
        <v>9</v>
      </c>
      <c r="D251" s="17" t="s">
        <v>614</v>
      </c>
      <c r="E251" s="17">
        <v>115</v>
      </c>
      <c r="F251" s="17">
        <f t="shared" si="27"/>
        <v>26</v>
      </c>
      <c r="G251" s="1">
        <f t="shared" si="21"/>
        <v>55.923333333333332</v>
      </c>
      <c r="H251" s="1">
        <f t="shared" si="22"/>
        <v>98.458735026921886</v>
      </c>
      <c r="I251" s="1">
        <f t="shared" si="23"/>
        <v>52.250147157190632</v>
      </c>
      <c r="J251" s="1">
        <f t="shared" si="24"/>
        <v>15.993311036789297</v>
      </c>
      <c r="K251" s="17" t="str">
        <f t="shared" si="25"/>
        <v>OOC</v>
      </c>
      <c r="L251" s="17" t="str">
        <f t="shared" si="26"/>
        <v/>
      </c>
    </row>
    <row r="252" spans="1:12">
      <c r="A252" s="17">
        <v>243</v>
      </c>
      <c r="B252" s="17">
        <v>5</v>
      </c>
      <c r="C252" s="17">
        <v>8</v>
      </c>
      <c r="D252" s="17" t="s">
        <v>615</v>
      </c>
      <c r="E252" s="17">
        <v>134</v>
      </c>
      <c r="F252" s="17">
        <f t="shared" si="27"/>
        <v>19</v>
      </c>
      <c r="G252" s="1">
        <f t="shared" si="21"/>
        <v>55.923333333333332</v>
      </c>
      <c r="H252" s="1">
        <f t="shared" si="22"/>
        <v>98.458735026921886</v>
      </c>
      <c r="I252" s="1">
        <f t="shared" si="23"/>
        <v>52.250147157190632</v>
      </c>
      <c r="J252" s="1">
        <f t="shared" si="24"/>
        <v>15.993311036789297</v>
      </c>
      <c r="K252" s="17" t="str">
        <f t="shared" si="25"/>
        <v>OOC</v>
      </c>
      <c r="L252" s="17" t="str">
        <f t="shared" si="26"/>
        <v/>
      </c>
    </row>
    <row r="253" spans="1:12">
      <c r="A253" s="17">
        <v>244</v>
      </c>
      <c r="B253" s="17">
        <v>5</v>
      </c>
      <c r="C253" s="17">
        <v>7</v>
      </c>
      <c r="D253" s="17" t="s">
        <v>616</v>
      </c>
      <c r="E253" s="17">
        <v>99</v>
      </c>
      <c r="F253" s="17">
        <f t="shared" si="27"/>
        <v>35</v>
      </c>
      <c r="G253" s="1">
        <f t="shared" si="21"/>
        <v>55.923333333333332</v>
      </c>
      <c r="H253" s="1">
        <f t="shared" si="22"/>
        <v>98.458735026921886</v>
      </c>
      <c r="I253" s="1">
        <f t="shared" si="23"/>
        <v>52.250147157190632</v>
      </c>
      <c r="J253" s="1">
        <f t="shared" si="24"/>
        <v>15.993311036789297</v>
      </c>
      <c r="K253" s="17" t="str">
        <f t="shared" si="25"/>
        <v>OOC</v>
      </c>
      <c r="L253" s="17" t="str">
        <f t="shared" si="26"/>
        <v/>
      </c>
    </row>
    <row r="254" spans="1:12">
      <c r="A254" s="17">
        <v>245</v>
      </c>
      <c r="B254" s="17">
        <v>5</v>
      </c>
      <c r="C254" s="17">
        <v>6</v>
      </c>
      <c r="D254" s="17" t="s">
        <v>617</v>
      </c>
      <c r="E254" s="17">
        <v>85</v>
      </c>
      <c r="F254" s="17">
        <f t="shared" si="27"/>
        <v>14</v>
      </c>
      <c r="G254" s="1">
        <f t="shared" si="21"/>
        <v>55.923333333333332</v>
      </c>
      <c r="H254" s="1">
        <f t="shared" si="22"/>
        <v>98.458735026921886</v>
      </c>
      <c r="I254" s="1">
        <f t="shared" si="23"/>
        <v>52.250147157190632</v>
      </c>
      <c r="J254" s="1">
        <f t="shared" si="24"/>
        <v>15.993311036789297</v>
      </c>
      <c r="K254" s="17" t="str">
        <f t="shared" si="25"/>
        <v/>
      </c>
      <c r="L254" s="17" t="str">
        <f t="shared" si="26"/>
        <v/>
      </c>
    </row>
    <row r="255" spans="1:12">
      <c r="A255" s="17">
        <v>246</v>
      </c>
      <c r="B255" s="17">
        <v>5</v>
      </c>
      <c r="C255" s="17">
        <v>5</v>
      </c>
      <c r="D255" s="17" t="s">
        <v>618</v>
      </c>
      <c r="E255" s="17">
        <v>100</v>
      </c>
      <c r="F255" s="17">
        <f t="shared" si="27"/>
        <v>15</v>
      </c>
      <c r="G255" s="1">
        <f t="shared" si="21"/>
        <v>55.923333333333332</v>
      </c>
      <c r="H255" s="1">
        <f t="shared" si="22"/>
        <v>98.458735026921886</v>
      </c>
      <c r="I255" s="1">
        <f t="shared" si="23"/>
        <v>52.250147157190632</v>
      </c>
      <c r="J255" s="1">
        <f t="shared" si="24"/>
        <v>15.993311036789297</v>
      </c>
      <c r="K255" s="17" t="str">
        <f t="shared" si="25"/>
        <v>OOC</v>
      </c>
      <c r="L255" s="17" t="str">
        <f t="shared" si="26"/>
        <v/>
      </c>
    </row>
    <row r="256" spans="1:12">
      <c r="A256" s="17">
        <v>247</v>
      </c>
      <c r="B256" s="17">
        <v>5</v>
      </c>
      <c r="C256" s="17">
        <v>4</v>
      </c>
      <c r="D256" s="17" t="s">
        <v>619</v>
      </c>
      <c r="E256" s="17">
        <v>71</v>
      </c>
      <c r="F256" s="17">
        <f t="shared" si="27"/>
        <v>29</v>
      </c>
      <c r="G256" s="1">
        <f t="shared" si="21"/>
        <v>55.923333333333332</v>
      </c>
      <c r="H256" s="1">
        <f t="shared" si="22"/>
        <v>98.458735026921886</v>
      </c>
      <c r="I256" s="1">
        <f t="shared" si="23"/>
        <v>52.250147157190632</v>
      </c>
      <c r="J256" s="1">
        <f t="shared" si="24"/>
        <v>15.993311036789297</v>
      </c>
      <c r="K256" s="17" t="str">
        <f t="shared" si="25"/>
        <v/>
      </c>
      <c r="L256" s="17" t="str">
        <f t="shared" si="26"/>
        <v/>
      </c>
    </row>
    <row r="257" spans="1:12">
      <c r="A257" s="17">
        <v>248</v>
      </c>
      <c r="B257" s="17">
        <v>5</v>
      </c>
      <c r="C257" s="17">
        <v>3</v>
      </c>
      <c r="D257" s="17" t="s">
        <v>620</v>
      </c>
      <c r="E257" s="17">
        <v>120</v>
      </c>
      <c r="F257" s="17">
        <f t="shared" si="27"/>
        <v>49</v>
      </c>
      <c r="G257" s="1">
        <f t="shared" si="21"/>
        <v>55.923333333333332</v>
      </c>
      <c r="H257" s="1">
        <f t="shared" si="22"/>
        <v>98.458735026921886</v>
      </c>
      <c r="I257" s="1">
        <f t="shared" si="23"/>
        <v>52.250147157190632</v>
      </c>
      <c r="J257" s="1">
        <f t="shared" si="24"/>
        <v>15.993311036789297</v>
      </c>
      <c r="K257" s="17" t="str">
        <f t="shared" si="25"/>
        <v>OOC</v>
      </c>
      <c r="L257" s="17" t="str">
        <f t="shared" si="26"/>
        <v/>
      </c>
    </row>
    <row r="258" spans="1:12">
      <c r="A258" s="17">
        <v>249</v>
      </c>
      <c r="B258" s="17">
        <v>5</v>
      </c>
      <c r="C258" s="17">
        <v>2</v>
      </c>
      <c r="D258" s="17" t="s">
        <v>621</v>
      </c>
      <c r="E258" s="17">
        <v>94</v>
      </c>
      <c r="F258" s="17">
        <f t="shared" si="27"/>
        <v>26</v>
      </c>
      <c r="G258" s="1">
        <f t="shared" si="21"/>
        <v>55.923333333333332</v>
      </c>
      <c r="H258" s="1">
        <f t="shared" si="22"/>
        <v>98.458735026921886</v>
      </c>
      <c r="I258" s="1">
        <f t="shared" si="23"/>
        <v>52.250147157190632</v>
      </c>
      <c r="J258" s="1">
        <f t="shared" si="24"/>
        <v>15.993311036789297</v>
      </c>
      <c r="K258" s="17" t="str">
        <f t="shared" si="25"/>
        <v/>
      </c>
      <c r="L258" s="17" t="str">
        <f t="shared" si="26"/>
        <v/>
      </c>
    </row>
    <row r="259" spans="1:12">
      <c r="A259" s="17">
        <v>250</v>
      </c>
      <c r="B259" s="17">
        <v>5</v>
      </c>
      <c r="C259" s="17">
        <v>1</v>
      </c>
      <c r="D259" s="17" t="s">
        <v>622</v>
      </c>
      <c r="E259" s="17">
        <v>104</v>
      </c>
      <c r="F259" s="17">
        <f t="shared" si="27"/>
        <v>10</v>
      </c>
      <c r="G259" s="1">
        <f t="shared" si="21"/>
        <v>55.923333333333332</v>
      </c>
      <c r="H259" s="1">
        <f t="shared" si="22"/>
        <v>98.458735026921886</v>
      </c>
      <c r="I259" s="1">
        <f t="shared" si="23"/>
        <v>52.250147157190632</v>
      </c>
      <c r="J259" s="1">
        <f t="shared" si="24"/>
        <v>15.993311036789297</v>
      </c>
      <c r="K259" s="17" t="str">
        <f t="shared" si="25"/>
        <v>OOC</v>
      </c>
      <c r="L259" s="17" t="str">
        <f t="shared" si="26"/>
        <v/>
      </c>
    </row>
    <row r="260" spans="1:12">
      <c r="A260" s="17">
        <v>251</v>
      </c>
      <c r="B260" s="17">
        <v>6</v>
      </c>
      <c r="C260" s="17">
        <v>25</v>
      </c>
      <c r="D260" s="17" t="s">
        <v>623</v>
      </c>
      <c r="E260" s="17">
        <v>28</v>
      </c>
      <c r="F260" s="17">
        <f t="shared" si="27"/>
        <v>76</v>
      </c>
      <c r="G260" s="1">
        <f t="shared" si="21"/>
        <v>55.923333333333332</v>
      </c>
      <c r="H260" s="1">
        <f t="shared" si="22"/>
        <v>98.458735026921886</v>
      </c>
      <c r="I260" s="1">
        <f t="shared" si="23"/>
        <v>52.250147157190632</v>
      </c>
      <c r="J260" s="1">
        <f t="shared" si="24"/>
        <v>15.993311036789297</v>
      </c>
      <c r="K260" s="17" t="str">
        <f t="shared" si="25"/>
        <v/>
      </c>
      <c r="L260" s="17" t="str">
        <f t="shared" si="26"/>
        <v/>
      </c>
    </row>
    <row r="261" spans="1:12">
      <c r="A261" s="17">
        <v>252</v>
      </c>
      <c r="B261" s="17">
        <v>6</v>
      </c>
      <c r="C261" s="17">
        <v>24</v>
      </c>
      <c r="D261" s="17" t="s">
        <v>624</v>
      </c>
      <c r="E261" s="17">
        <v>42</v>
      </c>
      <c r="F261" s="17">
        <f t="shared" si="27"/>
        <v>14</v>
      </c>
      <c r="G261" s="1">
        <f t="shared" si="21"/>
        <v>55.923333333333332</v>
      </c>
      <c r="H261" s="1">
        <f t="shared" si="22"/>
        <v>98.458735026921886</v>
      </c>
      <c r="I261" s="1">
        <f t="shared" si="23"/>
        <v>52.250147157190632</v>
      </c>
      <c r="J261" s="1">
        <f t="shared" si="24"/>
        <v>15.993311036789297</v>
      </c>
      <c r="K261" s="17" t="str">
        <f t="shared" si="25"/>
        <v/>
      </c>
      <c r="L261" s="17" t="str">
        <f t="shared" si="26"/>
        <v/>
      </c>
    </row>
    <row r="262" spans="1:12">
      <c r="A262" s="17">
        <v>253</v>
      </c>
      <c r="B262" s="17">
        <v>6</v>
      </c>
      <c r="C262" s="17">
        <v>23</v>
      </c>
      <c r="D262" s="17" t="s">
        <v>625</v>
      </c>
      <c r="E262" s="17">
        <v>61</v>
      </c>
      <c r="F262" s="17">
        <f t="shared" si="27"/>
        <v>19</v>
      </c>
      <c r="G262" s="1">
        <f t="shared" si="21"/>
        <v>55.923333333333332</v>
      </c>
      <c r="H262" s="1">
        <f t="shared" si="22"/>
        <v>98.458735026921886</v>
      </c>
      <c r="I262" s="1">
        <f t="shared" si="23"/>
        <v>52.250147157190632</v>
      </c>
      <c r="J262" s="1">
        <f t="shared" si="24"/>
        <v>15.993311036789297</v>
      </c>
      <c r="K262" s="17" t="str">
        <f t="shared" si="25"/>
        <v/>
      </c>
      <c r="L262" s="17" t="str">
        <f t="shared" si="26"/>
        <v/>
      </c>
    </row>
    <row r="263" spans="1:12">
      <c r="A263" s="17">
        <v>254</v>
      </c>
      <c r="B263" s="17">
        <v>6</v>
      </c>
      <c r="C263" s="17">
        <v>22</v>
      </c>
      <c r="D263" s="17" t="s">
        <v>626</v>
      </c>
      <c r="E263" s="17">
        <v>56</v>
      </c>
      <c r="F263" s="17">
        <f t="shared" si="27"/>
        <v>5</v>
      </c>
      <c r="G263" s="1">
        <f t="shared" si="21"/>
        <v>55.923333333333332</v>
      </c>
      <c r="H263" s="1">
        <f t="shared" si="22"/>
        <v>98.458735026921886</v>
      </c>
      <c r="I263" s="1">
        <f t="shared" si="23"/>
        <v>52.250147157190632</v>
      </c>
      <c r="J263" s="1">
        <f t="shared" si="24"/>
        <v>15.993311036789297</v>
      </c>
      <c r="K263" s="17" t="str">
        <f t="shared" si="25"/>
        <v/>
      </c>
      <c r="L263" s="17" t="str">
        <f t="shared" si="26"/>
        <v/>
      </c>
    </row>
    <row r="264" spans="1:12">
      <c r="A264" s="17">
        <v>255</v>
      </c>
      <c r="B264" s="17">
        <v>6</v>
      </c>
      <c r="C264" s="17">
        <v>21</v>
      </c>
      <c r="D264" s="17" t="s">
        <v>627</v>
      </c>
      <c r="E264" s="17">
        <v>55</v>
      </c>
      <c r="F264" s="17">
        <f t="shared" si="27"/>
        <v>1</v>
      </c>
      <c r="G264" s="1">
        <f t="shared" si="21"/>
        <v>55.923333333333332</v>
      </c>
      <c r="H264" s="1">
        <f t="shared" si="22"/>
        <v>98.458735026921886</v>
      </c>
      <c r="I264" s="1">
        <f t="shared" si="23"/>
        <v>52.250147157190632</v>
      </c>
      <c r="J264" s="1">
        <f t="shared" si="24"/>
        <v>15.993311036789297</v>
      </c>
      <c r="K264" s="17" t="str">
        <f t="shared" si="25"/>
        <v/>
      </c>
      <c r="L264" s="17" t="str">
        <f t="shared" si="26"/>
        <v/>
      </c>
    </row>
    <row r="265" spans="1:12">
      <c r="A265" s="17">
        <v>256</v>
      </c>
      <c r="B265" s="17">
        <v>6</v>
      </c>
      <c r="C265" s="17">
        <v>20</v>
      </c>
      <c r="D265" s="17" t="s">
        <v>628</v>
      </c>
      <c r="E265" s="17">
        <v>57</v>
      </c>
      <c r="F265" s="17">
        <f t="shared" si="27"/>
        <v>2</v>
      </c>
      <c r="G265" s="1">
        <f t="shared" si="21"/>
        <v>55.923333333333332</v>
      </c>
      <c r="H265" s="1">
        <f t="shared" si="22"/>
        <v>98.458735026921886</v>
      </c>
      <c r="I265" s="1">
        <f t="shared" si="23"/>
        <v>52.250147157190632</v>
      </c>
      <c r="J265" s="1">
        <f t="shared" si="24"/>
        <v>15.993311036789297</v>
      </c>
      <c r="K265" s="17" t="str">
        <f t="shared" si="25"/>
        <v/>
      </c>
      <c r="L265" s="17" t="str">
        <f t="shared" si="26"/>
        <v/>
      </c>
    </row>
    <row r="266" spans="1:12">
      <c r="A266" s="17">
        <v>257</v>
      </c>
      <c r="B266" s="17">
        <v>6</v>
      </c>
      <c r="C266" s="17">
        <v>19</v>
      </c>
      <c r="D266" s="17" t="s">
        <v>629</v>
      </c>
      <c r="E266" s="17">
        <v>97</v>
      </c>
      <c r="F266" s="17">
        <f t="shared" si="27"/>
        <v>40</v>
      </c>
      <c r="G266" s="1">
        <f t="shared" ref="G266:G309" si="28">$Q$3</f>
        <v>55.923333333333332</v>
      </c>
      <c r="H266" s="1">
        <f t="shared" ref="H266:H309" si="29">$Q$6</f>
        <v>98.458735026921886</v>
      </c>
      <c r="I266" s="1">
        <f t="shared" ref="I266:I309" si="30">$Q$7</f>
        <v>52.250147157190632</v>
      </c>
      <c r="J266" s="1">
        <f t="shared" ref="J266:J309" si="31">$Q$4</f>
        <v>15.993311036789297</v>
      </c>
      <c r="K266" s="17" t="str">
        <f t="shared" ref="K266:K309" si="32">IF(E266&gt;$Q$6,"OOC","" )</f>
        <v/>
      </c>
      <c r="L266" s="17" t="str">
        <f t="shared" ref="L266:L309" si="33">IF(E266&gt;$B$3,"OOS","" )</f>
        <v/>
      </c>
    </row>
    <row r="267" spans="1:12">
      <c r="A267" s="17">
        <v>258</v>
      </c>
      <c r="B267" s="17">
        <v>6</v>
      </c>
      <c r="C267" s="17">
        <v>18</v>
      </c>
      <c r="D267" s="17" t="s">
        <v>630</v>
      </c>
      <c r="E267" s="17">
        <v>71</v>
      </c>
      <c r="F267" s="17">
        <f t="shared" ref="F267:F309" si="34">ABS(E267-E266)</f>
        <v>26</v>
      </c>
      <c r="G267" s="1">
        <f t="shared" si="28"/>
        <v>55.923333333333332</v>
      </c>
      <c r="H267" s="1">
        <f t="shared" si="29"/>
        <v>98.458735026921886</v>
      </c>
      <c r="I267" s="1">
        <f t="shared" si="30"/>
        <v>52.250147157190632</v>
      </c>
      <c r="J267" s="1">
        <f t="shared" si="31"/>
        <v>15.993311036789297</v>
      </c>
      <c r="K267" s="17" t="str">
        <f t="shared" si="32"/>
        <v/>
      </c>
      <c r="L267" s="17" t="str">
        <f t="shared" si="33"/>
        <v/>
      </c>
    </row>
    <row r="268" spans="1:12">
      <c r="A268" s="17">
        <v>259</v>
      </c>
      <c r="B268" s="17">
        <v>6</v>
      </c>
      <c r="C268" s="17">
        <v>17</v>
      </c>
      <c r="D268" s="17" t="s">
        <v>631</v>
      </c>
      <c r="E268" s="17">
        <v>44</v>
      </c>
      <c r="F268" s="17">
        <f t="shared" si="34"/>
        <v>27</v>
      </c>
      <c r="G268" s="1">
        <f t="shared" si="28"/>
        <v>55.923333333333332</v>
      </c>
      <c r="H268" s="1">
        <f t="shared" si="29"/>
        <v>98.458735026921886</v>
      </c>
      <c r="I268" s="1">
        <f t="shared" si="30"/>
        <v>52.250147157190632</v>
      </c>
      <c r="J268" s="1">
        <f t="shared" si="31"/>
        <v>15.993311036789297</v>
      </c>
      <c r="K268" s="17" t="str">
        <f t="shared" si="32"/>
        <v/>
      </c>
      <c r="L268" s="17" t="str">
        <f t="shared" si="33"/>
        <v/>
      </c>
    </row>
    <row r="269" spans="1:12">
      <c r="A269" s="17">
        <v>260</v>
      </c>
      <c r="B269" s="17">
        <v>6</v>
      </c>
      <c r="C269" s="17">
        <v>16</v>
      </c>
      <c r="D269" s="17" t="s">
        <v>632</v>
      </c>
      <c r="E269" s="17">
        <v>42</v>
      </c>
      <c r="F269" s="17">
        <f t="shared" si="34"/>
        <v>2</v>
      </c>
      <c r="G269" s="1">
        <f t="shared" si="28"/>
        <v>55.923333333333332</v>
      </c>
      <c r="H269" s="1">
        <f t="shared" si="29"/>
        <v>98.458735026921886</v>
      </c>
      <c r="I269" s="1">
        <f t="shared" si="30"/>
        <v>52.250147157190632</v>
      </c>
      <c r="J269" s="1">
        <f t="shared" si="31"/>
        <v>15.993311036789297</v>
      </c>
      <c r="K269" s="17" t="str">
        <f t="shared" si="32"/>
        <v/>
      </c>
      <c r="L269" s="17" t="str">
        <f t="shared" si="33"/>
        <v/>
      </c>
    </row>
    <row r="270" spans="1:12">
      <c r="A270" s="17">
        <v>261</v>
      </c>
      <c r="B270" s="17">
        <v>6</v>
      </c>
      <c r="C270" s="17">
        <v>15</v>
      </c>
      <c r="D270" s="17" t="s">
        <v>633</v>
      </c>
      <c r="E270" s="17">
        <v>50</v>
      </c>
      <c r="F270" s="17">
        <f t="shared" si="34"/>
        <v>8</v>
      </c>
      <c r="G270" s="1">
        <f t="shared" si="28"/>
        <v>55.923333333333332</v>
      </c>
      <c r="H270" s="1">
        <f t="shared" si="29"/>
        <v>98.458735026921886</v>
      </c>
      <c r="I270" s="1">
        <f t="shared" si="30"/>
        <v>52.250147157190632</v>
      </c>
      <c r="J270" s="1">
        <f t="shared" si="31"/>
        <v>15.993311036789297</v>
      </c>
      <c r="K270" s="17" t="str">
        <f t="shared" si="32"/>
        <v/>
      </c>
      <c r="L270" s="17" t="str">
        <f t="shared" si="33"/>
        <v/>
      </c>
    </row>
    <row r="271" spans="1:12">
      <c r="A271" s="17">
        <v>262</v>
      </c>
      <c r="B271" s="17">
        <v>6</v>
      </c>
      <c r="C271" s="17">
        <v>14</v>
      </c>
      <c r="D271" s="17" t="s">
        <v>634</v>
      </c>
      <c r="E271" s="17">
        <v>52</v>
      </c>
      <c r="F271" s="17">
        <f t="shared" si="34"/>
        <v>2</v>
      </c>
      <c r="G271" s="1">
        <f t="shared" si="28"/>
        <v>55.923333333333332</v>
      </c>
      <c r="H271" s="1">
        <f t="shared" si="29"/>
        <v>98.458735026921886</v>
      </c>
      <c r="I271" s="1">
        <f t="shared" si="30"/>
        <v>52.250147157190632</v>
      </c>
      <c r="J271" s="1">
        <f t="shared" si="31"/>
        <v>15.993311036789297</v>
      </c>
      <c r="K271" s="17" t="str">
        <f t="shared" si="32"/>
        <v/>
      </c>
      <c r="L271" s="17" t="str">
        <f t="shared" si="33"/>
        <v/>
      </c>
    </row>
    <row r="272" spans="1:12">
      <c r="A272" s="17">
        <v>263</v>
      </c>
      <c r="B272" s="17">
        <v>6</v>
      </c>
      <c r="C272" s="17">
        <v>13</v>
      </c>
      <c r="D272" s="17" t="s">
        <v>635</v>
      </c>
      <c r="E272" s="17">
        <v>57</v>
      </c>
      <c r="F272" s="17">
        <f t="shared" si="34"/>
        <v>5</v>
      </c>
      <c r="G272" s="1">
        <f t="shared" si="28"/>
        <v>55.923333333333332</v>
      </c>
      <c r="H272" s="1">
        <f t="shared" si="29"/>
        <v>98.458735026921886</v>
      </c>
      <c r="I272" s="1">
        <f t="shared" si="30"/>
        <v>52.250147157190632</v>
      </c>
      <c r="J272" s="1">
        <f t="shared" si="31"/>
        <v>15.993311036789297</v>
      </c>
      <c r="K272" s="17" t="str">
        <f t="shared" si="32"/>
        <v/>
      </c>
      <c r="L272" s="17" t="str">
        <f t="shared" si="33"/>
        <v/>
      </c>
    </row>
    <row r="273" spans="1:12">
      <c r="A273" s="17">
        <v>264</v>
      </c>
      <c r="B273" s="17">
        <v>6</v>
      </c>
      <c r="C273" s="17">
        <v>12</v>
      </c>
      <c r="D273" s="17" t="s">
        <v>636</v>
      </c>
      <c r="E273" s="17">
        <v>43</v>
      </c>
      <c r="F273" s="17">
        <f t="shared" si="34"/>
        <v>14</v>
      </c>
      <c r="G273" s="1">
        <f t="shared" si="28"/>
        <v>55.923333333333332</v>
      </c>
      <c r="H273" s="1">
        <f t="shared" si="29"/>
        <v>98.458735026921886</v>
      </c>
      <c r="I273" s="1">
        <f t="shared" si="30"/>
        <v>52.250147157190632</v>
      </c>
      <c r="J273" s="1">
        <f t="shared" si="31"/>
        <v>15.993311036789297</v>
      </c>
      <c r="K273" s="17" t="str">
        <f t="shared" si="32"/>
        <v/>
      </c>
      <c r="L273" s="17" t="str">
        <f t="shared" si="33"/>
        <v/>
      </c>
    </row>
    <row r="274" spans="1:12">
      <c r="A274" s="17">
        <v>265</v>
      </c>
      <c r="B274" s="17">
        <v>6</v>
      </c>
      <c r="C274" s="17">
        <v>11</v>
      </c>
      <c r="D274" s="17" t="s">
        <v>637</v>
      </c>
      <c r="E274" s="17">
        <v>69</v>
      </c>
      <c r="F274" s="17">
        <f t="shared" si="34"/>
        <v>26</v>
      </c>
      <c r="G274" s="1">
        <f t="shared" si="28"/>
        <v>55.923333333333332</v>
      </c>
      <c r="H274" s="1">
        <f t="shared" si="29"/>
        <v>98.458735026921886</v>
      </c>
      <c r="I274" s="1">
        <f t="shared" si="30"/>
        <v>52.250147157190632</v>
      </c>
      <c r="J274" s="1">
        <f t="shared" si="31"/>
        <v>15.993311036789297</v>
      </c>
      <c r="K274" s="17" t="str">
        <f t="shared" si="32"/>
        <v/>
      </c>
      <c r="L274" s="17" t="str">
        <f t="shared" si="33"/>
        <v/>
      </c>
    </row>
    <row r="275" spans="1:12">
      <c r="A275" s="17">
        <v>266</v>
      </c>
      <c r="B275" s="17">
        <v>6</v>
      </c>
      <c r="C275" s="17">
        <v>10</v>
      </c>
      <c r="D275" s="17" t="s">
        <v>638</v>
      </c>
      <c r="E275" s="17">
        <v>50</v>
      </c>
      <c r="F275" s="17">
        <f t="shared" si="34"/>
        <v>19</v>
      </c>
      <c r="G275" s="1">
        <f t="shared" si="28"/>
        <v>55.923333333333332</v>
      </c>
      <c r="H275" s="1">
        <f t="shared" si="29"/>
        <v>98.458735026921886</v>
      </c>
      <c r="I275" s="1">
        <f t="shared" si="30"/>
        <v>52.250147157190632</v>
      </c>
      <c r="J275" s="1">
        <f t="shared" si="31"/>
        <v>15.993311036789297</v>
      </c>
      <c r="K275" s="17" t="str">
        <f t="shared" si="32"/>
        <v/>
      </c>
      <c r="L275" s="17" t="str">
        <f t="shared" si="33"/>
        <v/>
      </c>
    </row>
    <row r="276" spans="1:12">
      <c r="A276" s="17">
        <v>267</v>
      </c>
      <c r="B276" s="17">
        <v>6</v>
      </c>
      <c r="C276" s="17">
        <v>9</v>
      </c>
      <c r="D276" s="17" t="s">
        <v>639</v>
      </c>
      <c r="E276" s="17">
        <v>73</v>
      </c>
      <c r="F276" s="17">
        <f t="shared" si="34"/>
        <v>23</v>
      </c>
      <c r="G276" s="1">
        <f t="shared" si="28"/>
        <v>55.923333333333332</v>
      </c>
      <c r="H276" s="1">
        <f t="shared" si="29"/>
        <v>98.458735026921886</v>
      </c>
      <c r="I276" s="1">
        <f t="shared" si="30"/>
        <v>52.250147157190632</v>
      </c>
      <c r="J276" s="1">
        <f t="shared" si="31"/>
        <v>15.993311036789297</v>
      </c>
      <c r="K276" s="17" t="str">
        <f t="shared" si="32"/>
        <v/>
      </c>
      <c r="L276" s="17" t="str">
        <f t="shared" si="33"/>
        <v/>
      </c>
    </row>
    <row r="277" spans="1:12">
      <c r="A277" s="17">
        <v>268</v>
      </c>
      <c r="B277" s="17">
        <v>6</v>
      </c>
      <c r="C277" s="17">
        <v>8</v>
      </c>
      <c r="D277" s="17" t="s">
        <v>640</v>
      </c>
      <c r="E277" s="17">
        <v>59</v>
      </c>
      <c r="F277" s="17">
        <f t="shared" si="34"/>
        <v>14</v>
      </c>
      <c r="G277" s="1">
        <f t="shared" si="28"/>
        <v>55.923333333333332</v>
      </c>
      <c r="H277" s="1">
        <f t="shared" si="29"/>
        <v>98.458735026921886</v>
      </c>
      <c r="I277" s="1">
        <f t="shared" si="30"/>
        <v>52.250147157190632</v>
      </c>
      <c r="J277" s="1">
        <f t="shared" si="31"/>
        <v>15.993311036789297</v>
      </c>
      <c r="K277" s="17" t="str">
        <f t="shared" si="32"/>
        <v/>
      </c>
      <c r="L277" s="17" t="str">
        <f t="shared" si="33"/>
        <v/>
      </c>
    </row>
    <row r="278" spans="1:12">
      <c r="A278" s="17">
        <v>269</v>
      </c>
      <c r="B278" s="17">
        <v>6</v>
      </c>
      <c r="C278" s="17">
        <v>7</v>
      </c>
      <c r="D278" s="17" t="s">
        <v>641</v>
      </c>
      <c r="E278" s="17">
        <v>50</v>
      </c>
      <c r="F278" s="17">
        <f t="shared" si="34"/>
        <v>9</v>
      </c>
      <c r="G278" s="1">
        <f t="shared" si="28"/>
        <v>55.923333333333332</v>
      </c>
      <c r="H278" s="1">
        <f t="shared" si="29"/>
        <v>98.458735026921886</v>
      </c>
      <c r="I278" s="1">
        <f t="shared" si="30"/>
        <v>52.250147157190632</v>
      </c>
      <c r="J278" s="1">
        <f t="shared" si="31"/>
        <v>15.993311036789297</v>
      </c>
      <c r="K278" s="17" t="str">
        <f t="shared" si="32"/>
        <v/>
      </c>
      <c r="L278" s="17" t="str">
        <f t="shared" si="33"/>
        <v/>
      </c>
    </row>
    <row r="279" spans="1:12">
      <c r="A279" s="17">
        <v>270</v>
      </c>
      <c r="B279" s="17">
        <v>6</v>
      </c>
      <c r="C279" s="17">
        <v>6</v>
      </c>
      <c r="D279" s="17" t="s">
        <v>642</v>
      </c>
      <c r="E279" s="17">
        <v>65</v>
      </c>
      <c r="F279" s="17">
        <f t="shared" si="34"/>
        <v>15</v>
      </c>
      <c r="G279" s="1">
        <f t="shared" si="28"/>
        <v>55.923333333333332</v>
      </c>
      <c r="H279" s="1">
        <f t="shared" si="29"/>
        <v>98.458735026921886</v>
      </c>
      <c r="I279" s="1">
        <f t="shared" si="30"/>
        <v>52.250147157190632</v>
      </c>
      <c r="J279" s="1">
        <f t="shared" si="31"/>
        <v>15.993311036789297</v>
      </c>
      <c r="K279" s="17" t="str">
        <f t="shared" si="32"/>
        <v/>
      </c>
      <c r="L279" s="17" t="str">
        <f t="shared" si="33"/>
        <v/>
      </c>
    </row>
    <row r="280" spans="1:12">
      <c r="A280" s="17">
        <v>271</v>
      </c>
      <c r="B280" s="17">
        <v>6</v>
      </c>
      <c r="C280" s="17">
        <v>5</v>
      </c>
      <c r="D280" s="17" t="s">
        <v>643</v>
      </c>
      <c r="E280" s="17">
        <v>89</v>
      </c>
      <c r="F280" s="17">
        <f t="shared" si="34"/>
        <v>24</v>
      </c>
      <c r="G280" s="1">
        <f t="shared" si="28"/>
        <v>55.923333333333332</v>
      </c>
      <c r="H280" s="1">
        <f t="shared" si="29"/>
        <v>98.458735026921886</v>
      </c>
      <c r="I280" s="1">
        <f t="shared" si="30"/>
        <v>52.250147157190632</v>
      </c>
      <c r="J280" s="1">
        <f t="shared" si="31"/>
        <v>15.993311036789297</v>
      </c>
      <c r="K280" s="17" t="str">
        <f t="shared" si="32"/>
        <v/>
      </c>
      <c r="L280" s="17" t="str">
        <f t="shared" si="33"/>
        <v/>
      </c>
    </row>
    <row r="281" spans="1:12">
      <c r="A281" s="17">
        <v>272</v>
      </c>
      <c r="B281" s="17">
        <v>6</v>
      </c>
      <c r="C281" s="17">
        <v>4</v>
      </c>
      <c r="D281" s="17" t="s">
        <v>644</v>
      </c>
      <c r="E281" s="17">
        <v>31</v>
      </c>
      <c r="F281" s="17">
        <f t="shared" si="34"/>
        <v>58</v>
      </c>
      <c r="G281" s="1">
        <f t="shared" si="28"/>
        <v>55.923333333333332</v>
      </c>
      <c r="H281" s="1">
        <f t="shared" si="29"/>
        <v>98.458735026921886</v>
      </c>
      <c r="I281" s="1">
        <f t="shared" si="30"/>
        <v>52.250147157190632</v>
      </c>
      <c r="J281" s="1">
        <f t="shared" si="31"/>
        <v>15.993311036789297</v>
      </c>
      <c r="K281" s="17" t="str">
        <f t="shared" si="32"/>
        <v/>
      </c>
      <c r="L281" s="17" t="str">
        <f t="shared" si="33"/>
        <v/>
      </c>
    </row>
    <row r="282" spans="1:12">
      <c r="A282" s="17">
        <v>273</v>
      </c>
      <c r="B282" s="17">
        <v>6</v>
      </c>
      <c r="C282" s="17">
        <v>3</v>
      </c>
      <c r="D282" s="17" t="s">
        <v>645</v>
      </c>
      <c r="E282" s="17">
        <v>36</v>
      </c>
      <c r="F282" s="17">
        <f t="shared" si="34"/>
        <v>5</v>
      </c>
      <c r="G282" s="1">
        <f t="shared" si="28"/>
        <v>55.923333333333332</v>
      </c>
      <c r="H282" s="1">
        <f t="shared" si="29"/>
        <v>98.458735026921886</v>
      </c>
      <c r="I282" s="1">
        <f t="shared" si="30"/>
        <v>52.250147157190632</v>
      </c>
      <c r="J282" s="1">
        <f t="shared" si="31"/>
        <v>15.993311036789297</v>
      </c>
      <c r="K282" s="17" t="str">
        <f t="shared" si="32"/>
        <v/>
      </c>
      <c r="L282" s="17" t="str">
        <f t="shared" si="33"/>
        <v/>
      </c>
    </row>
    <row r="283" spans="1:12">
      <c r="A283" s="17">
        <v>274</v>
      </c>
      <c r="B283" s="17">
        <v>6</v>
      </c>
      <c r="C283" s="17">
        <v>2</v>
      </c>
      <c r="D283" s="17" t="s">
        <v>646</v>
      </c>
      <c r="E283" s="17">
        <v>27</v>
      </c>
      <c r="F283" s="17">
        <f t="shared" si="34"/>
        <v>9</v>
      </c>
      <c r="G283" s="1">
        <f t="shared" si="28"/>
        <v>55.923333333333332</v>
      </c>
      <c r="H283" s="1">
        <f t="shared" si="29"/>
        <v>98.458735026921886</v>
      </c>
      <c r="I283" s="1">
        <f t="shared" si="30"/>
        <v>52.250147157190632</v>
      </c>
      <c r="J283" s="1">
        <f t="shared" si="31"/>
        <v>15.993311036789297</v>
      </c>
      <c r="K283" s="17" t="str">
        <f t="shared" si="32"/>
        <v/>
      </c>
      <c r="L283" s="17" t="str">
        <f t="shared" si="33"/>
        <v/>
      </c>
    </row>
    <row r="284" spans="1:12">
      <c r="A284" s="17">
        <v>275</v>
      </c>
      <c r="B284" s="17">
        <v>6</v>
      </c>
      <c r="C284" s="17">
        <v>1</v>
      </c>
      <c r="D284" s="17" t="s">
        <v>647</v>
      </c>
      <c r="E284" s="17">
        <v>34</v>
      </c>
      <c r="F284" s="17">
        <f t="shared" si="34"/>
        <v>7</v>
      </c>
      <c r="G284" s="1">
        <f t="shared" si="28"/>
        <v>55.923333333333332</v>
      </c>
      <c r="H284" s="1">
        <f t="shared" si="29"/>
        <v>98.458735026921886</v>
      </c>
      <c r="I284" s="1">
        <f t="shared" si="30"/>
        <v>52.250147157190632</v>
      </c>
      <c r="J284" s="1">
        <f t="shared" si="31"/>
        <v>15.993311036789297</v>
      </c>
      <c r="K284" s="17" t="str">
        <f t="shared" si="32"/>
        <v/>
      </c>
      <c r="L284" s="17" t="str">
        <f t="shared" si="33"/>
        <v/>
      </c>
    </row>
    <row r="285" spans="1:12">
      <c r="A285" s="17">
        <v>276</v>
      </c>
      <c r="B285" s="17">
        <v>6</v>
      </c>
      <c r="C285" s="17">
        <v>25</v>
      </c>
      <c r="D285" s="17" t="s">
        <v>648</v>
      </c>
      <c r="E285" s="17">
        <v>94</v>
      </c>
      <c r="F285" s="17">
        <f t="shared" si="34"/>
        <v>60</v>
      </c>
      <c r="G285" s="1">
        <f t="shared" si="28"/>
        <v>55.923333333333332</v>
      </c>
      <c r="H285" s="1">
        <f t="shared" si="29"/>
        <v>98.458735026921886</v>
      </c>
      <c r="I285" s="1">
        <f t="shared" si="30"/>
        <v>52.250147157190632</v>
      </c>
      <c r="J285" s="1">
        <f t="shared" si="31"/>
        <v>15.993311036789297</v>
      </c>
      <c r="K285" s="17" t="str">
        <f t="shared" si="32"/>
        <v/>
      </c>
      <c r="L285" s="17" t="str">
        <f t="shared" si="33"/>
        <v/>
      </c>
    </row>
    <row r="286" spans="1:12">
      <c r="A286" s="17">
        <v>277</v>
      </c>
      <c r="B286" s="17">
        <v>6</v>
      </c>
      <c r="C286" s="17">
        <v>24</v>
      </c>
      <c r="D286" s="17" t="s">
        <v>649</v>
      </c>
      <c r="E286" s="17">
        <v>63</v>
      </c>
      <c r="F286" s="17">
        <f t="shared" si="34"/>
        <v>31</v>
      </c>
      <c r="G286" s="1">
        <f t="shared" si="28"/>
        <v>55.923333333333332</v>
      </c>
      <c r="H286" s="1">
        <f t="shared" si="29"/>
        <v>98.458735026921886</v>
      </c>
      <c r="I286" s="1">
        <f t="shared" si="30"/>
        <v>52.250147157190632</v>
      </c>
      <c r="J286" s="1">
        <f t="shared" si="31"/>
        <v>15.993311036789297</v>
      </c>
      <c r="K286" s="17" t="str">
        <f t="shared" si="32"/>
        <v/>
      </c>
      <c r="L286" s="17" t="str">
        <f t="shared" si="33"/>
        <v/>
      </c>
    </row>
    <row r="287" spans="1:12">
      <c r="A287" s="17">
        <v>278</v>
      </c>
      <c r="B287" s="17">
        <v>6</v>
      </c>
      <c r="C287" s="17">
        <v>23</v>
      </c>
      <c r="D287" s="17" t="s">
        <v>650</v>
      </c>
      <c r="E287" s="17">
        <v>60</v>
      </c>
      <c r="F287" s="17">
        <f t="shared" si="34"/>
        <v>3</v>
      </c>
      <c r="G287" s="1">
        <f t="shared" si="28"/>
        <v>55.923333333333332</v>
      </c>
      <c r="H287" s="1">
        <f t="shared" si="29"/>
        <v>98.458735026921886</v>
      </c>
      <c r="I287" s="1">
        <f t="shared" si="30"/>
        <v>52.250147157190632</v>
      </c>
      <c r="J287" s="1">
        <f t="shared" si="31"/>
        <v>15.993311036789297</v>
      </c>
      <c r="K287" s="17" t="str">
        <f t="shared" si="32"/>
        <v/>
      </c>
      <c r="L287" s="17" t="str">
        <f t="shared" si="33"/>
        <v/>
      </c>
    </row>
    <row r="288" spans="1:12">
      <c r="A288" s="17">
        <v>279</v>
      </c>
      <c r="B288" s="17">
        <v>6</v>
      </c>
      <c r="C288" s="17">
        <v>22</v>
      </c>
      <c r="D288" s="17" t="s">
        <v>651</v>
      </c>
      <c r="E288" s="17">
        <v>105</v>
      </c>
      <c r="F288" s="17">
        <f t="shared" si="34"/>
        <v>45</v>
      </c>
      <c r="G288" s="1">
        <f t="shared" si="28"/>
        <v>55.923333333333332</v>
      </c>
      <c r="H288" s="1">
        <f t="shared" si="29"/>
        <v>98.458735026921886</v>
      </c>
      <c r="I288" s="1">
        <f t="shared" si="30"/>
        <v>52.250147157190632</v>
      </c>
      <c r="J288" s="1">
        <f t="shared" si="31"/>
        <v>15.993311036789297</v>
      </c>
      <c r="K288" s="17" t="str">
        <f t="shared" si="32"/>
        <v>OOC</v>
      </c>
      <c r="L288" s="17" t="str">
        <f t="shared" si="33"/>
        <v/>
      </c>
    </row>
    <row r="289" spans="1:12">
      <c r="A289" s="17">
        <v>280</v>
      </c>
      <c r="B289" s="17">
        <v>6</v>
      </c>
      <c r="C289" s="17">
        <v>21</v>
      </c>
      <c r="D289" s="17" t="s">
        <v>652</v>
      </c>
      <c r="E289" s="17">
        <v>80</v>
      </c>
      <c r="F289" s="17">
        <f t="shared" si="34"/>
        <v>25</v>
      </c>
      <c r="G289" s="1">
        <f t="shared" si="28"/>
        <v>55.923333333333332</v>
      </c>
      <c r="H289" s="1">
        <f t="shared" si="29"/>
        <v>98.458735026921886</v>
      </c>
      <c r="I289" s="1">
        <f t="shared" si="30"/>
        <v>52.250147157190632</v>
      </c>
      <c r="J289" s="1">
        <f t="shared" si="31"/>
        <v>15.993311036789297</v>
      </c>
      <c r="K289" s="17" t="str">
        <f t="shared" si="32"/>
        <v/>
      </c>
      <c r="L289" s="17" t="str">
        <f t="shared" si="33"/>
        <v/>
      </c>
    </row>
    <row r="290" spans="1:12">
      <c r="A290" s="17">
        <v>281</v>
      </c>
      <c r="B290" s="17">
        <v>6</v>
      </c>
      <c r="C290" s="17">
        <v>20</v>
      </c>
      <c r="D290" s="17" t="s">
        <v>653</v>
      </c>
      <c r="E290" s="17">
        <v>77</v>
      </c>
      <c r="F290" s="17">
        <f t="shared" si="34"/>
        <v>3</v>
      </c>
      <c r="G290" s="1">
        <f t="shared" si="28"/>
        <v>55.923333333333332</v>
      </c>
      <c r="H290" s="1">
        <f t="shared" si="29"/>
        <v>98.458735026921886</v>
      </c>
      <c r="I290" s="1">
        <f t="shared" si="30"/>
        <v>52.250147157190632</v>
      </c>
      <c r="J290" s="1">
        <f t="shared" si="31"/>
        <v>15.993311036789297</v>
      </c>
      <c r="K290" s="17" t="str">
        <f t="shared" si="32"/>
        <v/>
      </c>
      <c r="L290" s="17" t="str">
        <f t="shared" si="33"/>
        <v/>
      </c>
    </row>
    <row r="291" spans="1:12">
      <c r="A291" s="17">
        <v>282</v>
      </c>
      <c r="B291" s="17">
        <v>6</v>
      </c>
      <c r="C291" s="17">
        <v>19</v>
      </c>
      <c r="D291" s="17" t="s">
        <v>654</v>
      </c>
      <c r="E291" s="17">
        <v>88</v>
      </c>
      <c r="F291" s="17">
        <f t="shared" si="34"/>
        <v>11</v>
      </c>
      <c r="G291" s="1">
        <f t="shared" si="28"/>
        <v>55.923333333333332</v>
      </c>
      <c r="H291" s="1">
        <f t="shared" si="29"/>
        <v>98.458735026921886</v>
      </c>
      <c r="I291" s="1">
        <f t="shared" si="30"/>
        <v>52.250147157190632</v>
      </c>
      <c r="J291" s="1">
        <f t="shared" si="31"/>
        <v>15.993311036789297</v>
      </c>
      <c r="K291" s="17" t="str">
        <f t="shared" si="32"/>
        <v/>
      </c>
      <c r="L291" s="17" t="str">
        <f t="shared" si="33"/>
        <v/>
      </c>
    </row>
    <row r="292" spans="1:12">
      <c r="A292" s="17">
        <v>283</v>
      </c>
      <c r="B292" s="17">
        <v>6</v>
      </c>
      <c r="C292" s="17">
        <v>18</v>
      </c>
      <c r="D292" s="17" t="s">
        <v>655</v>
      </c>
      <c r="E292" s="17">
        <v>81</v>
      </c>
      <c r="F292" s="17">
        <f t="shared" si="34"/>
        <v>7</v>
      </c>
      <c r="G292" s="1">
        <f t="shared" si="28"/>
        <v>55.923333333333332</v>
      </c>
      <c r="H292" s="1">
        <f t="shared" si="29"/>
        <v>98.458735026921886</v>
      </c>
      <c r="I292" s="1">
        <f t="shared" si="30"/>
        <v>52.250147157190632</v>
      </c>
      <c r="J292" s="1">
        <f t="shared" si="31"/>
        <v>15.993311036789297</v>
      </c>
      <c r="K292" s="17" t="str">
        <f t="shared" si="32"/>
        <v/>
      </c>
      <c r="L292" s="17" t="str">
        <f t="shared" si="33"/>
        <v/>
      </c>
    </row>
    <row r="293" spans="1:12">
      <c r="A293" s="17">
        <v>284</v>
      </c>
      <c r="B293" s="17">
        <v>6</v>
      </c>
      <c r="C293" s="17">
        <v>17</v>
      </c>
      <c r="D293" s="17" t="s">
        <v>656</v>
      </c>
      <c r="E293" s="17">
        <v>79</v>
      </c>
      <c r="F293" s="17">
        <f t="shared" si="34"/>
        <v>2</v>
      </c>
      <c r="G293" s="1">
        <f t="shared" si="28"/>
        <v>55.923333333333332</v>
      </c>
      <c r="H293" s="1">
        <f t="shared" si="29"/>
        <v>98.458735026921886</v>
      </c>
      <c r="I293" s="1">
        <f t="shared" si="30"/>
        <v>52.250147157190632</v>
      </c>
      <c r="J293" s="1">
        <f t="shared" si="31"/>
        <v>15.993311036789297</v>
      </c>
      <c r="K293" s="17" t="str">
        <f t="shared" si="32"/>
        <v/>
      </c>
      <c r="L293" s="17" t="str">
        <f t="shared" si="33"/>
        <v/>
      </c>
    </row>
    <row r="294" spans="1:12">
      <c r="A294" s="17">
        <v>285</v>
      </c>
      <c r="B294" s="17">
        <v>6</v>
      </c>
      <c r="C294" s="17">
        <v>16</v>
      </c>
      <c r="D294" s="17" t="s">
        <v>657</v>
      </c>
      <c r="E294" s="17">
        <v>79</v>
      </c>
      <c r="F294" s="17">
        <f t="shared" si="34"/>
        <v>0</v>
      </c>
      <c r="G294" s="1">
        <f t="shared" si="28"/>
        <v>55.923333333333332</v>
      </c>
      <c r="H294" s="1">
        <f t="shared" si="29"/>
        <v>98.458735026921886</v>
      </c>
      <c r="I294" s="1">
        <f t="shared" si="30"/>
        <v>52.250147157190632</v>
      </c>
      <c r="J294" s="1">
        <f t="shared" si="31"/>
        <v>15.993311036789297</v>
      </c>
      <c r="K294" s="17" t="str">
        <f t="shared" si="32"/>
        <v/>
      </c>
      <c r="L294" s="17" t="str">
        <f t="shared" si="33"/>
        <v/>
      </c>
    </row>
    <row r="295" spans="1:12">
      <c r="A295" s="17">
        <v>286</v>
      </c>
      <c r="B295" s="17">
        <v>6</v>
      </c>
      <c r="C295" s="17">
        <v>15</v>
      </c>
      <c r="D295" s="17" t="s">
        <v>658</v>
      </c>
      <c r="E295" s="17">
        <v>87</v>
      </c>
      <c r="F295" s="17">
        <f t="shared" si="34"/>
        <v>8</v>
      </c>
      <c r="G295" s="1">
        <f t="shared" si="28"/>
        <v>55.923333333333332</v>
      </c>
      <c r="H295" s="1">
        <f t="shared" si="29"/>
        <v>98.458735026921886</v>
      </c>
      <c r="I295" s="1">
        <f t="shared" si="30"/>
        <v>52.250147157190632</v>
      </c>
      <c r="J295" s="1">
        <f t="shared" si="31"/>
        <v>15.993311036789297</v>
      </c>
      <c r="K295" s="17" t="str">
        <f t="shared" si="32"/>
        <v/>
      </c>
      <c r="L295" s="17" t="str">
        <f t="shared" si="33"/>
        <v/>
      </c>
    </row>
    <row r="296" spans="1:12">
      <c r="A296" s="17">
        <v>287</v>
      </c>
      <c r="B296" s="17">
        <v>6</v>
      </c>
      <c r="C296" s="17">
        <v>14</v>
      </c>
      <c r="D296" s="17" t="s">
        <v>659</v>
      </c>
      <c r="E296" s="17">
        <v>92</v>
      </c>
      <c r="F296" s="17">
        <f t="shared" si="34"/>
        <v>5</v>
      </c>
      <c r="G296" s="1">
        <f t="shared" si="28"/>
        <v>55.923333333333332</v>
      </c>
      <c r="H296" s="1">
        <f t="shared" si="29"/>
        <v>98.458735026921886</v>
      </c>
      <c r="I296" s="1">
        <f t="shared" si="30"/>
        <v>52.250147157190632</v>
      </c>
      <c r="J296" s="1">
        <f t="shared" si="31"/>
        <v>15.993311036789297</v>
      </c>
      <c r="K296" s="17" t="str">
        <f t="shared" si="32"/>
        <v/>
      </c>
      <c r="L296" s="17" t="str">
        <f t="shared" si="33"/>
        <v/>
      </c>
    </row>
    <row r="297" spans="1:12">
      <c r="A297" s="17">
        <v>288</v>
      </c>
      <c r="B297" s="17">
        <v>6</v>
      </c>
      <c r="C297" s="17">
        <v>13</v>
      </c>
      <c r="D297" s="17" t="s">
        <v>660</v>
      </c>
      <c r="E297" s="17">
        <v>74</v>
      </c>
      <c r="F297" s="17">
        <f t="shared" si="34"/>
        <v>18</v>
      </c>
      <c r="G297" s="1">
        <f t="shared" si="28"/>
        <v>55.923333333333332</v>
      </c>
      <c r="H297" s="1">
        <f t="shared" si="29"/>
        <v>98.458735026921886</v>
      </c>
      <c r="I297" s="1">
        <f t="shared" si="30"/>
        <v>52.250147157190632</v>
      </c>
      <c r="J297" s="1">
        <f t="shared" si="31"/>
        <v>15.993311036789297</v>
      </c>
      <c r="K297" s="17" t="str">
        <f t="shared" si="32"/>
        <v/>
      </c>
      <c r="L297" s="17" t="str">
        <f t="shared" si="33"/>
        <v/>
      </c>
    </row>
    <row r="298" spans="1:12">
      <c r="A298" s="17">
        <v>289</v>
      </c>
      <c r="B298" s="17">
        <v>6</v>
      </c>
      <c r="C298" s="17">
        <v>12</v>
      </c>
      <c r="D298" s="17" t="s">
        <v>661</v>
      </c>
      <c r="E298" s="17">
        <v>98</v>
      </c>
      <c r="F298" s="17">
        <f t="shared" si="34"/>
        <v>24</v>
      </c>
      <c r="G298" s="1">
        <f t="shared" si="28"/>
        <v>55.923333333333332</v>
      </c>
      <c r="H298" s="1">
        <f t="shared" si="29"/>
        <v>98.458735026921886</v>
      </c>
      <c r="I298" s="1">
        <f t="shared" si="30"/>
        <v>52.250147157190632</v>
      </c>
      <c r="J298" s="1">
        <f t="shared" si="31"/>
        <v>15.993311036789297</v>
      </c>
      <c r="K298" s="17" t="str">
        <f t="shared" si="32"/>
        <v/>
      </c>
      <c r="L298" s="17" t="str">
        <f t="shared" si="33"/>
        <v/>
      </c>
    </row>
    <row r="299" spans="1:12">
      <c r="A299" s="17">
        <v>290</v>
      </c>
      <c r="B299" s="17">
        <v>6</v>
      </c>
      <c r="C299" s="17">
        <v>11</v>
      </c>
      <c r="D299" s="17" t="s">
        <v>662</v>
      </c>
      <c r="E299" s="17">
        <v>97</v>
      </c>
      <c r="F299" s="17">
        <f t="shared" si="34"/>
        <v>1</v>
      </c>
      <c r="G299" s="1">
        <f t="shared" si="28"/>
        <v>55.923333333333332</v>
      </c>
      <c r="H299" s="1">
        <f t="shared" si="29"/>
        <v>98.458735026921886</v>
      </c>
      <c r="I299" s="1">
        <f t="shared" si="30"/>
        <v>52.250147157190632</v>
      </c>
      <c r="J299" s="1">
        <f t="shared" si="31"/>
        <v>15.993311036789297</v>
      </c>
      <c r="K299" s="17" t="str">
        <f t="shared" si="32"/>
        <v/>
      </c>
      <c r="L299" s="17" t="str">
        <f t="shared" si="33"/>
        <v/>
      </c>
    </row>
    <row r="300" spans="1:12">
      <c r="A300" s="17">
        <v>291</v>
      </c>
      <c r="B300" s="17">
        <v>6</v>
      </c>
      <c r="C300" s="17">
        <v>10</v>
      </c>
      <c r="D300" s="17" t="s">
        <v>663</v>
      </c>
      <c r="E300" s="17">
        <v>76</v>
      </c>
      <c r="F300" s="17">
        <f t="shared" si="34"/>
        <v>21</v>
      </c>
      <c r="G300" s="1">
        <f t="shared" si="28"/>
        <v>55.923333333333332</v>
      </c>
      <c r="H300" s="1">
        <f t="shared" si="29"/>
        <v>98.458735026921886</v>
      </c>
      <c r="I300" s="1">
        <f t="shared" si="30"/>
        <v>52.250147157190632</v>
      </c>
      <c r="J300" s="1">
        <f t="shared" si="31"/>
        <v>15.993311036789297</v>
      </c>
      <c r="K300" s="17" t="str">
        <f t="shared" si="32"/>
        <v/>
      </c>
      <c r="L300" s="17" t="str">
        <f t="shared" si="33"/>
        <v/>
      </c>
    </row>
    <row r="301" spans="1:12">
      <c r="A301" s="17">
        <v>292</v>
      </c>
      <c r="B301" s="17">
        <v>6</v>
      </c>
      <c r="C301" s="17">
        <v>9</v>
      </c>
      <c r="D301" s="17" t="s">
        <v>664</v>
      </c>
      <c r="E301" s="17">
        <v>104</v>
      </c>
      <c r="F301" s="17">
        <f t="shared" si="34"/>
        <v>28</v>
      </c>
      <c r="G301" s="1">
        <f t="shared" si="28"/>
        <v>55.923333333333332</v>
      </c>
      <c r="H301" s="1">
        <f t="shared" si="29"/>
        <v>98.458735026921886</v>
      </c>
      <c r="I301" s="1">
        <f t="shared" si="30"/>
        <v>52.250147157190632</v>
      </c>
      <c r="J301" s="1">
        <f t="shared" si="31"/>
        <v>15.993311036789297</v>
      </c>
      <c r="K301" s="17" t="str">
        <f t="shared" si="32"/>
        <v>OOC</v>
      </c>
      <c r="L301" s="17" t="str">
        <f t="shared" si="33"/>
        <v/>
      </c>
    </row>
    <row r="302" spans="1:12">
      <c r="A302" s="17">
        <v>293</v>
      </c>
      <c r="B302" s="17">
        <v>6</v>
      </c>
      <c r="C302" s="17">
        <v>8</v>
      </c>
      <c r="D302" s="17" t="s">
        <v>665</v>
      </c>
      <c r="E302" s="17">
        <v>163</v>
      </c>
      <c r="F302" s="17">
        <f t="shared" si="34"/>
        <v>59</v>
      </c>
      <c r="G302" s="1">
        <f t="shared" si="28"/>
        <v>55.923333333333332</v>
      </c>
      <c r="H302" s="1">
        <f t="shared" si="29"/>
        <v>98.458735026921886</v>
      </c>
      <c r="I302" s="1">
        <f t="shared" si="30"/>
        <v>52.250147157190632</v>
      </c>
      <c r="J302" s="1">
        <f t="shared" si="31"/>
        <v>15.993311036789297</v>
      </c>
      <c r="K302" s="17" t="str">
        <f t="shared" si="32"/>
        <v>OOC</v>
      </c>
      <c r="L302" s="17" t="str">
        <f t="shared" si="33"/>
        <v/>
      </c>
    </row>
    <row r="303" spans="1:12">
      <c r="A303" s="17">
        <v>294</v>
      </c>
      <c r="B303" s="17">
        <v>6</v>
      </c>
      <c r="C303" s="17">
        <v>7</v>
      </c>
      <c r="D303" s="17" t="s">
        <v>666</v>
      </c>
      <c r="E303" s="17">
        <v>141</v>
      </c>
      <c r="F303" s="17">
        <f t="shared" si="34"/>
        <v>22</v>
      </c>
      <c r="G303" s="1">
        <f t="shared" si="28"/>
        <v>55.923333333333332</v>
      </c>
      <c r="H303" s="1">
        <f t="shared" si="29"/>
        <v>98.458735026921886</v>
      </c>
      <c r="I303" s="1">
        <f t="shared" si="30"/>
        <v>52.250147157190632</v>
      </c>
      <c r="J303" s="1">
        <f t="shared" si="31"/>
        <v>15.993311036789297</v>
      </c>
      <c r="K303" s="17" t="str">
        <f t="shared" si="32"/>
        <v>OOC</v>
      </c>
      <c r="L303" s="17" t="str">
        <f t="shared" si="33"/>
        <v/>
      </c>
    </row>
    <row r="304" spans="1:12">
      <c r="A304" s="17">
        <v>295</v>
      </c>
      <c r="B304" s="17">
        <v>6</v>
      </c>
      <c r="C304" s="17">
        <v>6</v>
      </c>
      <c r="D304" s="17" t="s">
        <v>667</v>
      </c>
      <c r="E304" s="17">
        <v>138</v>
      </c>
      <c r="F304" s="17">
        <f t="shared" si="34"/>
        <v>3</v>
      </c>
      <c r="G304" s="1">
        <f t="shared" si="28"/>
        <v>55.923333333333332</v>
      </c>
      <c r="H304" s="1">
        <f t="shared" si="29"/>
        <v>98.458735026921886</v>
      </c>
      <c r="I304" s="1">
        <f t="shared" si="30"/>
        <v>52.250147157190632</v>
      </c>
      <c r="J304" s="1">
        <f t="shared" si="31"/>
        <v>15.993311036789297</v>
      </c>
      <c r="K304" s="17" t="str">
        <f t="shared" si="32"/>
        <v>OOC</v>
      </c>
      <c r="L304" s="17" t="str">
        <f t="shared" si="33"/>
        <v/>
      </c>
    </row>
    <row r="305" spans="1:12">
      <c r="A305" s="17">
        <v>296</v>
      </c>
      <c r="B305" s="17">
        <v>6</v>
      </c>
      <c r="C305" s="17">
        <v>5</v>
      </c>
      <c r="D305" s="17" t="s">
        <v>668</v>
      </c>
      <c r="E305" s="17">
        <v>147</v>
      </c>
      <c r="F305" s="17">
        <f t="shared" si="34"/>
        <v>9</v>
      </c>
      <c r="G305" s="1">
        <f t="shared" si="28"/>
        <v>55.923333333333332</v>
      </c>
      <c r="H305" s="1">
        <f t="shared" si="29"/>
        <v>98.458735026921886</v>
      </c>
      <c r="I305" s="1">
        <f t="shared" si="30"/>
        <v>52.250147157190632</v>
      </c>
      <c r="J305" s="1">
        <f t="shared" si="31"/>
        <v>15.993311036789297</v>
      </c>
      <c r="K305" s="17" t="str">
        <f t="shared" si="32"/>
        <v>OOC</v>
      </c>
      <c r="L305" s="17" t="str">
        <f t="shared" si="33"/>
        <v/>
      </c>
    </row>
    <row r="306" spans="1:12">
      <c r="A306" s="17">
        <v>297</v>
      </c>
      <c r="B306" s="17">
        <v>6</v>
      </c>
      <c r="C306" s="17">
        <v>4</v>
      </c>
      <c r="D306" s="17" t="s">
        <v>669</v>
      </c>
      <c r="E306" s="17">
        <v>177</v>
      </c>
      <c r="F306" s="17">
        <f t="shared" si="34"/>
        <v>30</v>
      </c>
      <c r="G306" s="1">
        <f t="shared" si="28"/>
        <v>55.923333333333332</v>
      </c>
      <c r="H306" s="1">
        <f t="shared" si="29"/>
        <v>98.458735026921886</v>
      </c>
      <c r="I306" s="1">
        <f t="shared" si="30"/>
        <v>52.250147157190632</v>
      </c>
      <c r="J306" s="1">
        <f t="shared" si="31"/>
        <v>15.993311036789297</v>
      </c>
      <c r="K306" s="17" t="str">
        <f t="shared" si="32"/>
        <v>OOC</v>
      </c>
      <c r="L306" s="17" t="str">
        <f t="shared" si="33"/>
        <v/>
      </c>
    </row>
    <row r="307" spans="1:12">
      <c r="A307" s="17">
        <v>298</v>
      </c>
      <c r="B307" s="17">
        <v>6</v>
      </c>
      <c r="C307" s="17">
        <v>3</v>
      </c>
      <c r="D307" s="17" t="s">
        <v>670</v>
      </c>
      <c r="E307" s="17">
        <v>209</v>
      </c>
      <c r="F307" s="17">
        <f t="shared" si="34"/>
        <v>32</v>
      </c>
      <c r="G307" s="1">
        <f t="shared" si="28"/>
        <v>55.923333333333332</v>
      </c>
      <c r="H307" s="1">
        <f t="shared" si="29"/>
        <v>98.458735026921886</v>
      </c>
      <c r="I307" s="1">
        <f t="shared" si="30"/>
        <v>52.250147157190632</v>
      </c>
      <c r="J307" s="1">
        <f t="shared" si="31"/>
        <v>15.993311036789297</v>
      </c>
      <c r="K307" s="17" t="str">
        <f t="shared" si="32"/>
        <v>OOC</v>
      </c>
      <c r="L307" s="17" t="str">
        <f t="shared" si="33"/>
        <v>OOS</v>
      </c>
    </row>
    <row r="308" spans="1:12">
      <c r="A308" s="17">
        <v>299</v>
      </c>
      <c r="B308" s="17">
        <v>6</v>
      </c>
      <c r="C308" s="17">
        <v>2</v>
      </c>
      <c r="D308" s="17" t="s">
        <v>671</v>
      </c>
      <c r="E308" s="17">
        <v>118</v>
      </c>
      <c r="F308" s="17">
        <f t="shared" si="34"/>
        <v>91</v>
      </c>
      <c r="G308" s="1">
        <f t="shared" si="28"/>
        <v>55.923333333333332</v>
      </c>
      <c r="H308" s="1">
        <f t="shared" si="29"/>
        <v>98.458735026921886</v>
      </c>
      <c r="I308" s="1">
        <f t="shared" si="30"/>
        <v>52.250147157190632</v>
      </c>
      <c r="J308" s="1">
        <f t="shared" si="31"/>
        <v>15.993311036789297</v>
      </c>
      <c r="K308" s="17" t="str">
        <f t="shared" si="32"/>
        <v>OOC</v>
      </c>
      <c r="L308" s="17" t="str">
        <f t="shared" si="33"/>
        <v/>
      </c>
    </row>
    <row r="309" spans="1:12">
      <c r="A309" s="17">
        <v>300</v>
      </c>
      <c r="B309" s="17">
        <v>6</v>
      </c>
      <c r="C309" s="17">
        <v>1</v>
      </c>
      <c r="D309" s="17" t="s">
        <v>672</v>
      </c>
      <c r="E309" s="17">
        <v>161</v>
      </c>
      <c r="F309" s="17">
        <f t="shared" si="34"/>
        <v>43</v>
      </c>
      <c r="G309" s="1">
        <f t="shared" si="28"/>
        <v>55.923333333333332</v>
      </c>
      <c r="H309" s="1">
        <f t="shared" si="29"/>
        <v>98.458735026921886</v>
      </c>
      <c r="I309" s="1">
        <f t="shared" si="30"/>
        <v>52.250147157190632</v>
      </c>
      <c r="J309" s="1">
        <f t="shared" si="31"/>
        <v>15.993311036789297</v>
      </c>
      <c r="K309" s="17" t="str">
        <f t="shared" si="32"/>
        <v>OOC</v>
      </c>
      <c r="L309" s="17" t="str">
        <f t="shared" si="33"/>
        <v/>
      </c>
    </row>
  </sheetData>
  <mergeCells count="6">
    <mergeCell ref="B5:D5"/>
    <mergeCell ref="A1:M1"/>
    <mergeCell ref="P1:Q1"/>
    <mergeCell ref="A2:D2"/>
    <mergeCell ref="B3:D3"/>
    <mergeCell ref="B4:D4"/>
  </mergeCells>
  <phoneticPr fontId="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6"/>
  <sheetViews>
    <sheetView showGridLines="0" workbookViewId="0">
      <pane ySplit="9" topLeftCell="A610" activePane="bottomLeft" state="frozen"/>
      <selection pane="bottomLeft" activeCell="F6" sqref="F6"/>
    </sheetView>
  </sheetViews>
  <sheetFormatPr defaultRowHeight="15.75"/>
  <cols>
    <col min="1" max="1" width="6" customWidth="1"/>
    <col min="2" max="2" width="8" customWidth="1"/>
    <col min="3" max="4" width="6" customWidth="1"/>
    <col min="5" max="5" width="16" customWidth="1"/>
    <col min="6" max="6" width="12" customWidth="1"/>
    <col min="7" max="13" width="10" customWidth="1"/>
    <col min="14" max="15" width="3" customWidth="1"/>
    <col min="16" max="21" width="16" customWidth="1"/>
  </cols>
  <sheetData>
    <row r="1" spans="1:21" ht="19.5">
      <c r="A1" s="71" t="s">
        <v>673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21" ht="15.75" customHeight="1">
      <c r="A2" s="73" t="s">
        <v>46</v>
      </c>
      <c r="B2" s="68"/>
      <c r="C2" s="68"/>
      <c r="D2" s="68"/>
      <c r="E2" s="59" t="s">
        <v>47</v>
      </c>
      <c r="F2" s="60"/>
      <c r="G2" s="60"/>
      <c r="H2" s="69"/>
    </row>
    <row r="3" spans="1:21" ht="110.25" customHeight="1">
      <c r="A3" s="30" t="s">
        <v>691</v>
      </c>
      <c r="B3" s="77">
        <v>695</v>
      </c>
      <c r="C3" s="65"/>
      <c r="D3" s="65"/>
      <c r="E3" s="25" t="s">
        <v>48</v>
      </c>
      <c r="F3" s="26">
        <f>COUNT(F10:F606)</f>
        <v>597</v>
      </c>
      <c r="G3" s="24" t="s">
        <v>70</v>
      </c>
      <c r="H3" s="2">
        <f>($B$4-F4)/(3*F6)</f>
        <v>1.46849781359248</v>
      </c>
    </row>
    <row r="4" spans="1:21" ht="15.75" customHeight="1">
      <c r="A4" s="7" t="s">
        <v>23</v>
      </c>
      <c r="B4" s="74">
        <v>705</v>
      </c>
      <c r="C4" s="75"/>
      <c r="D4" s="75"/>
      <c r="E4" s="24" t="s">
        <v>24</v>
      </c>
      <c r="F4" s="2">
        <f>AVERAGE(F10:F606)</f>
        <v>701.26350083752141</v>
      </c>
      <c r="G4" s="24" t="s">
        <v>690</v>
      </c>
      <c r="H4" s="2">
        <f>( F4- $B$3 )/(3*F6)</f>
        <v>2.4616457505729588</v>
      </c>
    </row>
    <row r="5" spans="1:21" ht="31.5">
      <c r="A5" s="7" t="s">
        <v>49</v>
      </c>
      <c r="B5" s="76">
        <v>1.1279999999999999</v>
      </c>
      <c r="C5" s="75"/>
      <c r="D5" s="75"/>
      <c r="E5" s="24" t="s">
        <v>53</v>
      </c>
      <c r="F5" s="2">
        <f>AVERAGE(G11:G606)</f>
        <v>0.95670805369127299</v>
      </c>
      <c r="G5" s="16" t="s">
        <v>692</v>
      </c>
      <c r="H5" s="29">
        <f>MIN(H3,H4)</f>
        <v>1.46849781359248</v>
      </c>
    </row>
    <row r="6" spans="1:21" ht="110.25" customHeight="1">
      <c r="A6" s="7" t="s">
        <v>52</v>
      </c>
      <c r="B6" s="76">
        <v>3.2669999999999999</v>
      </c>
      <c r="C6" s="75"/>
      <c r="D6" s="75"/>
      <c r="E6" s="24" t="s">
        <v>54</v>
      </c>
      <c r="F6" s="2">
        <f>F5/$B$5</f>
        <v>0.84814543766956829</v>
      </c>
      <c r="G6" s="62" t="s">
        <v>50</v>
      </c>
      <c r="H6" s="78" t="s">
        <v>51</v>
      </c>
      <c r="T6" s="28"/>
      <c r="U6" s="28"/>
    </row>
    <row r="7" spans="1:21">
      <c r="E7" s="24" t="s">
        <v>55</v>
      </c>
      <c r="F7" s="2">
        <f>F4+3*F6</f>
        <v>703.80793715053017</v>
      </c>
      <c r="G7" s="62"/>
      <c r="H7" s="78"/>
      <c r="T7" s="28"/>
      <c r="U7" s="28"/>
    </row>
    <row r="8" spans="1:21" ht="15.75" customHeight="1">
      <c r="E8" s="24" t="s">
        <v>56</v>
      </c>
      <c r="F8" s="2">
        <f>$B$6*F5</f>
        <v>3.1255652114093886</v>
      </c>
      <c r="G8" s="62"/>
      <c r="H8" s="78"/>
      <c r="T8" s="28"/>
      <c r="U8" s="28"/>
    </row>
    <row r="9" spans="1:21" ht="31.5">
      <c r="A9" s="10" t="s">
        <v>57</v>
      </c>
      <c r="B9" s="10" t="s">
        <v>58</v>
      </c>
      <c r="C9" s="10" t="s">
        <v>59</v>
      </c>
      <c r="D9" s="10" t="s">
        <v>60</v>
      </c>
      <c r="E9" s="10" t="s">
        <v>61</v>
      </c>
      <c r="F9" s="10" t="s">
        <v>62</v>
      </c>
      <c r="G9" s="10" t="s">
        <v>63</v>
      </c>
      <c r="H9" s="10" t="s">
        <v>64</v>
      </c>
      <c r="I9" s="10" t="s">
        <v>65</v>
      </c>
      <c r="J9" s="10" t="s">
        <v>66</v>
      </c>
      <c r="K9" s="10" t="s">
        <v>67</v>
      </c>
      <c r="L9" s="10" t="s">
        <v>68</v>
      </c>
      <c r="M9" s="10" t="s">
        <v>69</v>
      </c>
    </row>
    <row r="10" spans="1:21" ht="31.5">
      <c r="A10" s="3">
        <v>1</v>
      </c>
      <c r="B10" s="11" t="s">
        <v>71</v>
      </c>
      <c r="C10" s="3">
        <v>1</v>
      </c>
      <c r="D10" s="3">
        <v>25</v>
      </c>
      <c r="E10" s="11" t="s">
        <v>72</v>
      </c>
      <c r="F10" s="14">
        <v>701.13300000000004</v>
      </c>
      <c r="G10" s="14"/>
      <c r="H10" s="14">
        <f t="shared" ref="H10:H73" si="0">$F$4</f>
        <v>701.26350083752141</v>
      </c>
      <c r="I10" s="14">
        <f t="shared" ref="I10:I73" si="1">$F$7</f>
        <v>703.80793715053017</v>
      </c>
      <c r="J10" s="14">
        <f t="shared" ref="J10:J73" si="2">$F$8</f>
        <v>3.1255652114093886</v>
      </c>
      <c r="K10" s="14">
        <f t="shared" ref="K10:K73" si="3">$F$5</f>
        <v>0.95670805369127299</v>
      </c>
      <c r="L10" s="12" t="str">
        <f t="shared" ref="L10:L73" si="4">IF(F10&gt;$F$7,"OOC","" )</f>
        <v/>
      </c>
      <c r="M10" s="12" t="str">
        <f t="shared" ref="M10:M73" si="5">IF(F10&gt;$B$4,"OOS","" )</f>
        <v/>
      </c>
    </row>
    <row r="11" spans="1:21" ht="31.5">
      <c r="A11" s="3">
        <v>2</v>
      </c>
      <c r="B11" s="11" t="s">
        <v>71</v>
      </c>
      <c r="C11" s="3">
        <v>1</v>
      </c>
      <c r="D11" s="3">
        <v>24</v>
      </c>
      <c r="E11" s="11" t="s">
        <v>73</v>
      </c>
      <c r="F11" s="14">
        <v>702.01700000000005</v>
      </c>
      <c r="G11" s="14">
        <f t="shared" ref="G11:G74" si="6">ABS(F11-F10)</f>
        <v>0.88400000000001455</v>
      </c>
      <c r="H11" s="14">
        <f t="shared" si="0"/>
        <v>701.26350083752141</v>
      </c>
      <c r="I11" s="14">
        <f t="shared" si="1"/>
        <v>703.80793715053017</v>
      </c>
      <c r="J11" s="14">
        <f t="shared" si="2"/>
        <v>3.1255652114093886</v>
      </c>
      <c r="K11" s="14">
        <f t="shared" si="3"/>
        <v>0.95670805369127299</v>
      </c>
      <c r="L11" s="12" t="str">
        <f t="shared" si="4"/>
        <v/>
      </c>
      <c r="M11" s="12" t="str">
        <f t="shared" si="5"/>
        <v/>
      </c>
    </row>
    <row r="12" spans="1:21" ht="31.5">
      <c r="A12" s="3">
        <v>3</v>
      </c>
      <c r="B12" s="11" t="s">
        <v>71</v>
      </c>
      <c r="C12" s="3">
        <v>1</v>
      </c>
      <c r="D12" s="3">
        <v>23</v>
      </c>
      <c r="E12" s="11" t="s">
        <v>74</v>
      </c>
      <c r="F12" s="14">
        <v>701.52</v>
      </c>
      <c r="G12" s="14">
        <f t="shared" si="6"/>
        <v>0.49700000000007094</v>
      </c>
      <c r="H12" s="14">
        <f t="shared" si="0"/>
        <v>701.26350083752141</v>
      </c>
      <c r="I12" s="14">
        <f t="shared" si="1"/>
        <v>703.80793715053017</v>
      </c>
      <c r="J12" s="14">
        <f t="shared" si="2"/>
        <v>3.1255652114093886</v>
      </c>
      <c r="K12" s="14">
        <f t="shared" si="3"/>
        <v>0.95670805369127299</v>
      </c>
      <c r="L12" s="12" t="str">
        <f t="shared" si="4"/>
        <v/>
      </c>
      <c r="M12" s="12" t="str">
        <f t="shared" si="5"/>
        <v/>
      </c>
    </row>
    <row r="13" spans="1:21" ht="31.5">
      <c r="A13" s="3">
        <v>4</v>
      </c>
      <c r="B13" s="11" t="s">
        <v>71</v>
      </c>
      <c r="C13" s="3">
        <v>1</v>
      </c>
      <c r="D13" s="3">
        <v>22</v>
      </c>
      <c r="E13" s="11" t="s">
        <v>75</v>
      </c>
      <c r="F13" s="14">
        <v>702.60500000000002</v>
      </c>
      <c r="G13" s="14">
        <f t="shared" si="6"/>
        <v>1.0850000000000364</v>
      </c>
      <c r="H13" s="14">
        <f t="shared" si="0"/>
        <v>701.26350083752141</v>
      </c>
      <c r="I13" s="14">
        <f t="shared" si="1"/>
        <v>703.80793715053017</v>
      </c>
      <c r="J13" s="14">
        <f t="shared" si="2"/>
        <v>3.1255652114093886</v>
      </c>
      <c r="K13" s="14">
        <f t="shared" si="3"/>
        <v>0.95670805369127299</v>
      </c>
      <c r="L13" s="12" t="str">
        <f t="shared" si="4"/>
        <v/>
      </c>
      <c r="M13" s="12" t="str">
        <f t="shared" si="5"/>
        <v/>
      </c>
    </row>
    <row r="14" spans="1:21" ht="31.5">
      <c r="A14" s="3">
        <v>5</v>
      </c>
      <c r="B14" s="11" t="s">
        <v>71</v>
      </c>
      <c r="C14" s="3">
        <v>1</v>
      </c>
      <c r="D14" s="3">
        <v>21</v>
      </c>
      <c r="E14" s="11" t="s">
        <v>76</v>
      </c>
      <c r="F14" s="14">
        <v>700.69</v>
      </c>
      <c r="G14" s="14">
        <f t="shared" si="6"/>
        <v>1.9149999999999636</v>
      </c>
      <c r="H14" s="14">
        <f t="shared" si="0"/>
        <v>701.26350083752141</v>
      </c>
      <c r="I14" s="14">
        <f t="shared" si="1"/>
        <v>703.80793715053017</v>
      </c>
      <c r="J14" s="14">
        <f t="shared" si="2"/>
        <v>3.1255652114093886</v>
      </c>
      <c r="K14" s="14">
        <f t="shared" si="3"/>
        <v>0.95670805369127299</v>
      </c>
      <c r="L14" s="12" t="str">
        <f t="shared" si="4"/>
        <v/>
      </c>
      <c r="M14" s="12" t="str">
        <f t="shared" si="5"/>
        <v/>
      </c>
    </row>
    <row r="15" spans="1:21" ht="31.5">
      <c r="A15" s="3">
        <v>6</v>
      </c>
      <c r="B15" s="11" t="s">
        <v>71</v>
      </c>
      <c r="C15" s="3">
        <v>1</v>
      </c>
      <c r="D15" s="3">
        <v>20</v>
      </c>
      <c r="E15" s="11" t="s">
        <v>77</v>
      </c>
      <c r="F15" s="14">
        <v>702.31700000000001</v>
      </c>
      <c r="G15" s="14">
        <f t="shared" si="6"/>
        <v>1.6269999999999527</v>
      </c>
      <c r="H15" s="14">
        <f t="shared" si="0"/>
        <v>701.26350083752141</v>
      </c>
      <c r="I15" s="14">
        <f t="shared" si="1"/>
        <v>703.80793715053017</v>
      </c>
      <c r="J15" s="14">
        <f t="shared" si="2"/>
        <v>3.1255652114093886</v>
      </c>
      <c r="K15" s="14">
        <f t="shared" si="3"/>
        <v>0.95670805369127299</v>
      </c>
      <c r="L15" s="12" t="str">
        <f t="shared" si="4"/>
        <v/>
      </c>
      <c r="M15" s="12" t="str">
        <f t="shared" si="5"/>
        <v/>
      </c>
    </row>
    <row r="16" spans="1:21" ht="31.5">
      <c r="A16" s="3">
        <v>7</v>
      </c>
      <c r="B16" s="11" t="s">
        <v>71</v>
      </c>
      <c r="C16" s="3">
        <v>1</v>
      </c>
      <c r="D16" s="3">
        <v>19</v>
      </c>
      <c r="E16" s="11" t="s">
        <v>78</v>
      </c>
      <c r="F16" s="14">
        <v>702.18100000000004</v>
      </c>
      <c r="G16" s="14">
        <f t="shared" si="6"/>
        <v>0.13599999999996726</v>
      </c>
      <c r="H16" s="14">
        <f t="shared" si="0"/>
        <v>701.26350083752141</v>
      </c>
      <c r="I16" s="14">
        <f t="shared" si="1"/>
        <v>703.80793715053017</v>
      </c>
      <c r="J16" s="14">
        <f t="shared" si="2"/>
        <v>3.1255652114093886</v>
      </c>
      <c r="K16" s="14">
        <f t="shared" si="3"/>
        <v>0.95670805369127299</v>
      </c>
      <c r="L16" s="12" t="str">
        <f t="shared" si="4"/>
        <v/>
      </c>
      <c r="M16" s="12" t="str">
        <f t="shared" si="5"/>
        <v/>
      </c>
    </row>
    <row r="17" spans="1:13" ht="31.5">
      <c r="A17" s="3">
        <v>8</v>
      </c>
      <c r="B17" s="11" t="s">
        <v>71</v>
      </c>
      <c r="C17" s="3">
        <v>1</v>
      </c>
      <c r="D17" s="3">
        <v>18</v>
      </c>
      <c r="E17" s="11" t="s">
        <v>79</v>
      </c>
      <c r="F17" s="14">
        <v>702.471</v>
      </c>
      <c r="G17" s="14">
        <f t="shared" si="6"/>
        <v>0.28999999999996362</v>
      </c>
      <c r="H17" s="14">
        <f t="shared" si="0"/>
        <v>701.26350083752141</v>
      </c>
      <c r="I17" s="14">
        <f t="shared" si="1"/>
        <v>703.80793715053017</v>
      </c>
      <c r="J17" s="14">
        <f t="shared" si="2"/>
        <v>3.1255652114093886</v>
      </c>
      <c r="K17" s="14">
        <f t="shared" si="3"/>
        <v>0.95670805369127299</v>
      </c>
      <c r="L17" s="12" t="str">
        <f t="shared" si="4"/>
        <v/>
      </c>
      <c r="M17" s="12" t="str">
        <f t="shared" si="5"/>
        <v/>
      </c>
    </row>
    <row r="18" spans="1:13" ht="31.5">
      <c r="A18" s="3">
        <v>9</v>
      </c>
      <c r="B18" s="11" t="s">
        <v>71</v>
      </c>
      <c r="C18" s="3">
        <v>1</v>
      </c>
      <c r="D18" s="3">
        <v>17</v>
      </c>
      <c r="E18" s="11" t="s">
        <v>80</v>
      </c>
      <c r="F18" s="14">
        <v>702.06100000000004</v>
      </c>
      <c r="G18" s="14">
        <f t="shared" si="6"/>
        <v>0.40999999999996817</v>
      </c>
      <c r="H18" s="14">
        <f t="shared" si="0"/>
        <v>701.26350083752141</v>
      </c>
      <c r="I18" s="14">
        <f t="shared" si="1"/>
        <v>703.80793715053017</v>
      </c>
      <c r="J18" s="14">
        <f t="shared" si="2"/>
        <v>3.1255652114093886</v>
      </c>
      <c r="K18" s="14">
        <f t="shared" si="3"/>
        <v>0.95670805369127299</v>
      </c>
      <c r="L18" s="12" t="str">
        <f t="shared" si="4"/>
        <v/>
      </c>
      <c r="M18" s="12" t="str">
        <f t="shared" si="5"/>
        <v/>
      </c>
    </row>
    <row r="19" spans="1:13" ht="31.5">
      <c r="A19" s="3">
        <v>10</v>
      </c>
      <c r="B19" s="11" t="s">
        <v>71</v>
      </c>
      <c r="C19" s="3">
        <v>1</v>
      </c>
      <c r="D19" s="3">
        <v>16</v>
      </c>
      <c r="E19" s="11" t="s">
        <v>81</v>
      </c>
      <c r="F19" s="14">
        <v>702.64200000000005</v>
      </c>
      <c r="G19" s="14">
        <f t="shared" si="6"/>
        <v>0.58100000000001728</v>
      </c>
      <c r="H19" s="14">
        <f t="shared" si="0"/>
        <v>701.26350083752141</v>
      </c>
      <c r="I19" s="14">
        <f t="shared" si="1"/>
        <v>703.80793715053017</v>
      </c>
      <c r="J19" s="14">
        <f t="shared" si="2"/>
        <v>3.1255652114093886</v>
      </c>
      <c r="K19" s="14">
        <f t="shared" si="3"/>
        <v>0.95670805369127299</v>
      </c>
      <c r="L19" s="12" t="str">
        <f t="shared" si="4"/>
        <v/>
      </c>
      <c r="M19" s="12" t="str">
        <f t="shared" si="5"/>
        <v/>
      </c>
    </row>
    <row r="20" spans="1:13" ht="31.5">
      <c r="A20" s="3">
        <v>11</v>
      </c>
      <c r="B20" s="11" t="s">
        <v>71</v>
      </c>
      <c r="C20" s="3">
        <v>1</v>
      </c>
      <c r="D20" s="3">
        <v>15</v>
      </c>
      <c r="E20" s="11" t="s">
        <v>82</v>
      </c>
      <c r="F20" s="14">
        <v>701.79200000000003</v>
      </c>
      <c r="G20" s="14">
        <f t="shared" si="6"/>
        <v>0.85000000000002274</v>
      </c>
      <c r="H20" s="14">
        <f t="shared" si="0"/>
        <v>701.26350083752141</v>
      </c>
      <c r="I20" s="14">
        <f t="shared" si="1"/>
        <v>703.80793715053017</v>
      </c>
      <c r="J20" s="14">
        <f t="shared" si="2"/>
        <v>3.1255652114093886</v>
      </c>
      <c r="K20" s="14">
        <f t="shared" si="3"/>
        <v>0.95670805369127299</v>
      </c>
      <c r="L20" s="12" t="str">
        <f t="shared" si="4"/>
        <v/>
      </c>
      <c r="M20" s="12" t="str">
        <f t="shared" si="5"/>
        <v/>
      </c>
    </row>
    <row r="21" spans="1:13" ht="31.5">
      <c r="A21" s="3">
        <v>12</v>
      </c>
      <c r="B21" s="11" t="s">
        <v>71</v>
      </c>
      <c r="C21" s="3">
        <v>1</v>
      </c>
      <c r="D21" s="3">
        <v>14</v>
      </c>
      <c r="E21" s="11" t="s">
        <v>83</v>
      </c>
      <c r="F21" s="14">
        <v>701.70299999999997</v>
      </c>
      <c r="G21" s="14">
        <f t="shared" si="6"/>
        <v>8.9000000000055479E-2</v>
      </c>
      <c r="H21" s="14">
        <f t="shared" si="0"/>
        <v>701.26350083752141</v>
      </c>
      <c r="I21" s="14">
        <f t="shared" si="1"/>
        <v>703.80793715053017</v>
      </c>
      <c r="J21" s="14">
        <f t="shared" si="2"/>
        <v>3.1255652114093886</v>
      </c>
      <c r="K21" s="14">
        <f t="shared" si="3"/>
        <v>0.95670805369127299</v>
      </c>
      <c r="L21" s="12" t="str">
        <f t="shared" si="4"/>
        <v/>
      </c>
      <c r="M21" s="12" t="str">
        <f t="shared" si="5"/>
        <v/>
      </c>
    </row>
    <row r="22" spans="1:13" ht="31.5">
      <c r="A22" s="3">
        <v>13</v>
      </c>
      <c r="B22" s="11" t="s">
        <v>71</v>
      </c>
      <c r="C22" s="3">
        <v>1</v>
      </c>
      <c r="D22" s="3">
        <v>13</v>
      </c>
      <c r="E22" s="11" t="s">
        <v>84</v>
      </c>
      <c r="F22" s="14">
        <v>702.45299999999997</v>
      </c>
      <c r="G22" s="14">
        <f t="shared" si="6"/>
        <v>0.75</v>
      </c>
      <c r="H22" s="14">
        <f t="shared" si="0"/>
        <v>701.26350083752141</v>
      </c>
      <c r="I22" s="14">
        <f t="shared" si="1"/>
        <v>703.80793715053017</v>
      </c>
      <c r="J22" s="14">
        <f t="shared" si="2"/>
        <v>3.1255652114093886</v>
      </c>
      <c r="K22" s="14">
        <f t="shared" si="3"/>
        <v>0.95670805369127299</v>
      </c>
      <c r="L22" s="12" t="str">
        <f t="shared" si="4"/>
        <v/>
      </c>
      <c r="M22" s="12" t="str">
        <f t="shared" si="5"/>
        <v/>
      </c>
    </row>
    <row r="23" spans="1:13" ht="31.5">
      <c r="A23" s="3">
        <v>14</v>
      </c>
      <c r="B23" s="11" t="s">
        <v>71</v>
      </c>
      <c r="C23" s="3">
        <v>1</v>
      </c>
      <c r="D23" s="3">
        <v>12</v>
      </c>
      <c r="E23" s="11" t="s">
        <v>85</v>
      </c>
      <c r="F23" s="14">
        <v>704.29</v>
      </c>
      <c r="G23" s="14">
        <f t="shared" si="6"/>
        <v>1.8369999999999891</v>
      </c>
      <c r="H23" s="14">
        <f t="shared" si="0"/>
        <v>701.26350083752141</v>
      </c>
      <c r="I23" s="14">
        <f t="shared" si="1"/>
        <v>703.80793715053017</v>
      </c>
      <c r="J23" s="14">
        <f t="shared" si="2"/>
        <v>3.1255652114093886</v>
      </c>
      <c r="K23" s="14">
        <f t="shared" si="3"/>
        <v>0.95670805369127299</v>
      </c>
      <c r="L23" s="12" t="str">
        <f t="shared" si="4"/>
        <v>OOC</v>
      </c>
      <c r="M23" s="12" t="str">
        <f t="shared" si="5"/>
        <v/>
      </c>
    </row>
    <row r="24" spans="1:13" ht="31.5">
      <c r="A24" s="3">
        <v>15</v>
      </c>
      <c r="B24" s="11" t="s">
        <v>71</v>
      </c>
      <c r="C24" s="3">
        <v>1</v>
      </c>
      <c r="D24" s="3">
        <v>11</v>
      </c>
      <c r="E24" s="11" t="s">
        <v>86</v>
      </c>
      <c r="F24" s="14">
        <v>701.53200000000004</v>
      </c>
      <c r="G24" s="14">
        <f t="shared" si="6"/>
        <v>2.7579999999999245</v>
      </c>
      <c r="H24" s="14">
        <f t="shared" si="0"/>
        <v>701.26350083752141</v>
      </c>
      <c r="I24" s="14">
        <f t="shared" si="1"/>
        <v>703.80793715053017</v>
      </c>
      <c r="J24" s="14">
        <f t="shared" si="2"/>
        <v>3.1255652114093886</v>
      </c>
      <c r="K24" s="14">
        <f t="shared" si="3"/>
        <v>0.95670805369127299</v>
      </c>
      <c r="L24" s="12" t="str">
        <f t="shared" si="4"/>
        <v/>
      </c>
      <c r="M24" s="12" t="str">
        <f t="shared" si="5"/>
        <v/>
      </c>
    </row>
    <row r="25" spans="1:13" ht="31.5">
      <c r="A25" s="3">
        <v>16</v>
      </c>
      <c r="B25" s="11" t="s">
        <v>71</v>
      </c>
      <c r="C25" s="3">
        <v>1</v>
      </c>
      <c r="D25" s="3">
        <v>10</v>
      </c>
      <c r="E25" s="11" t="s">
        <v>87</v>
      </c>
      <c r="F25" s="14">
        <v>702.375</v>
      </c>
      <c r="G25" s="14">
        <f t="shared" si="6"/>
        <v>0.84299999999996089</v>
      </c>
      <c r="H25" s="14">
        <f t="shared" si="0"/>
        <v>701.26350083752141</v>
      </c>
      <c r="I25" s="14">
        <f t="shared" si="1"/>
        <v>703.80793715053017</v>
      </c>
      <c r="J25" s="14">
        <f t="shared" si="2"/>
        <v>3.1255652114093886</v>
      </c>
      <c r="K25" s="14">
        <f t="shared" si="3"/>
        <v>0.95670805369127299</v>
      </c>
      <c r="L25" s="12" t="str">
        <f t="shared" si="4"/>
        <v/>
      </c>
      <c r="M25" s="12" t="str">
        <f t="shared" si="5"/>
        <v/>
      </c>
    </row>
    <row r="26" spans="1:13" ht="31.5">
      <c r="A26" s="3">
        <v>17</v>
      </c>
      <c r="B26" s="11" t="s">
        <v>71</v>
      </c>
      <c r="C26" s="3">
        <v>1</v>
      </c>
      <c r="D26" s="3">
        <v>9</v>
      </c>
      <c r="E26" s="11" t="s">
        <v>88</v>
      </c>
      <c r="F26" s="14">
        <v>701.55499999999995</v>
      </c>
      <c r="G26" s="14">
        <f t="shared" si="6"/>
        <v>0.82000000000005002</v>
      </c>
      <c r="H26" s="14">
        <f t="shared" si="0"/>
        <v>701.26350083752141</v>
      </c>
      <c r="I26" s="14">
        <f t="shared" si="1"/>
        <v>703.80793715053017</v>
      </c>
      <c r="J26" s="14">
        <f t="shared" si="2"/>
        <v>3.1255652114093886</v>
      </c>
      <c r="K26" s="14">
        <f t="shared" si="3"/>
        <v>0.95670805369127299</v>
      </c>
      <c r="L26" s="12" t="str">
        <f t="shared" si="4"/>
        <v/>
      </c>
      <c r="M26" s="12" t="str">
        <f t="shared" si="5"/>
        <v/>
      </c>
    </row>
    <row r="27" spans="1:13" ht="31.5">
      <c r="A27" s="3">
        <v>18</v>
      </c>
      <c r="B27" s="11" t="s">
        <v>71</v>
      </c>
      <c r="C27" s="3">
        <v>1</v>
      </c>
      <c r="D27" s="3">
        <v>8</v>
      </c>
      <c r="E27" s="11" t="s">
        <v>89</v>
      </c>
      <c r="F27" s="14">
        <v>702.11</v>
      </c>
      <c r="G27" s="14">
        <f t="shared" si="6"/>
        <v>0.55500000000006366</v>
      </c>
      <c r="H27" s="14">
        <f t="shared" si="0"/>
        <v>701.26350083752141</v>
      </c>
      <c r="I27" s="14">
        <f t="shared" si="1"/>
        <v>703.80793715053017</v>
      </c>
      <c r="J27" s="14">
        <f t="shared" si="2"/>
        <v>3.1255652114093886</v>
      </c>
      <c r="K27" s="14">
        <f t="shared" si="3"/>
        <v>0.95670805369127299</v>
      </c>
      <c r="L27" s="12" t="str">
        <f t="shared" si="4"/>
        <v/>
      </c>
      <c r="M27" s="12" t="str">
        <f t="shared" si="5"/>
        <v/>
      </c>
    </row>
    <row r="28" spans="1:13" ht="31.5">
      <c r="A28" s="3">
        <v>19</v>
      </c>
      <c r="B28" s="11" t="s">
        <v>71</v>
      </c>
      <c r="C28" s="3">
        <v>1</v>
      </c>
      <c r="D28" s="3">
        <v>7</v>
      </c>
      <c r="E28" s="11" t="s">
        <v>90</v>
      </c>
      <c r="F28" s="14">
        <v>701.48199999999997</v>
      </c>
      <c r="G28" s="14">
        <f t="shared" si="6"/>
        <v>0.62800000000004275</v>
      </c>
      <c r="H28" s="14">
        <f t="shared" si="0"/>
        <v>701.26350083752141</v>
      </c>
      <c r="I28" s="14">
        <f t="shared" si="1"/>
        <v>703.80793715053017</v>
      </c>
      <c r="J28" s="14">
        <f t="shared" si="2"/>
        <v>3.1255652114093886</v>
      </c>
      <c r="K28" s="14">
        <f t="shared" si="3"/>
        <v>0.95670805369127299</v>
      </c>
      <c r="L28" s="12" t="str">
        <f t="shared" si="4"/>
        <v/>
      </c>
      <c r="M28" s="12" t="str">
        <f t="shared" si="5"/>
        <v/>
      </c>
    </row>
    <row r="29" spans="1:13" ht="31.5">
      <c r="A29" s="3">
        <v>21</v>
      </c>
      <c r="B29" s="11" t="s">
        <v>71</v>
      </c>
      <c r="C29" s="3">
        <v>1</v>
      </c>
      <c r="D29" s="3">
        <v>5</v>
      </c>
      <c r="E29" s="11" t="s">
        <v>92</v>
      </c>
      <c r="F29" s="14">
        <v>702.97900000000004</v>
      </c>
      <c r="G29" s="14">
        <f t="shared" si="6"/>
        <v>1.4970000000000709</v>
      </c>
      <c r="H29" s="14">
        <f t="shared" si="0"/>
        <v>701.26350083752141</v>
      </c>
      <c r="I29" s="14">
        <f t="shared" si="1"/>
        <v>703.80793715053017</v>
      </c>
      <c r="J29" s="14">
        <f t="shared" si="2"/>
        <v>3.1255652114093886</v>
      </c>
      <c r="K29" s="14">
        <f t="shared" si="3"/>
        <v>0.95670805369127299</v>
      </c>
      <c r="L29" s="12" t="str">
        <f t="shared" si="4"/>
        <v/>
      </c>
      <c r="M29" s="12" t="str">
        <f t="shared" si="5"/>
        <v/>
      </c>
    </row>
    <row r="30" spans="1:13" ht="31.5">
      <c r="A30" s="3">
        <v>22</v>
      </c>
      <c r="B30" s="11" t="s">
        <v>71</v>
      </c>
      <c r="C30" s="3">
        <v>1</v>
      </c>
      <c r="D30" s="3">
        <v>4</v>
      </c>
      <c r="E30" s="11" t="s">
        <v>93</v>
      </c>
      <c r="F30" s="14">
        <v>701.66099999999994</v>
      </c>
      <c r="G30" s="14">
        <f t="shared" si="6"/>
        <v>1.3180000000000973</v>
      </c>
      <c r="H30" s="14">
        <f t="shared" si="0"/>
        <v>701.26350083752141</v>
      </c>
      <c r="I30" s="14">
        <f t="shared" si="1"/>
        <v>703.80793715053017</v>
      </c>
      <c r="J30" s="14">
        <f t="shared" si="2"/>
        <v>3.1255652114093886</v>
      </c>
      <c r="K30" s="14">
        <f t="shared" si="3"/>
        <v>0.95670805369127299</v>
      </c>
      <c r="L30" s="12" t="str">
        <f t="shared" si="4"/>
        <v/>
      </c>
      <c r="M30" s="12" t="str">
        <f t="shared" si="5"/>
        <v/>
      </c>
    </row>
    <row r="31" spans="1:13" ht="31.5">
      <c r="A31" s="3">
        <v>23</v>
      </c>
      <c r="B31" s="11" t="s">
        <v>71</v>
      </c>
      <c r="C31" s="3">
        <v>1</v>
      </c>
      <c r="D31" s="3">
        <v>3</v>
      </c>
      <c r="E31" s="11" t="s">
        <v>94</v>
      </c>
      <c r="F31" s="14">
        <v>702.726</v>
      </c>
      <c r="G31" s="14">
        <f t="shared" si="6"/>
        <v>1.0650000000000546</v>
      </c>
      <c r="H31" s="14">
        <f t="shared" si="0"/>
        <v>701.26350083752141</v>
      </c>
      <c r="I31" s="14">
        <f t="shared" si="1"/>
        <v>703.80793715053017</v>
      </c>
      <c r="J31" s="14">
        <f t="shared" si="2"/>
        <v>3.1255652114093886</v>
      </c>
      <c r="K31" s="14">
        <f t="shared" si="3"/>
        <v>0.95670805369127299</v>
      </c>
      <c r="L31" s="12" t="str">
        <f t="shared" si="4"/>
        <v/>
      </c>
      <c r="M31" s="12" t="str">
        <f t="shared" si="5"/>
        <v/>
      </c>
    </row>
    <row r="32" spans="1:13" ht="31.5">
      <c r="A32" s="3">
        <v>24</v>
      </c>
      <c r="B32" s="11" t="s">
        <v>71</v>
      </c>
      <c r="C32" s="3">
        <v>1</v>
      </c>
      <c r="D32" s="3">
        <v>2</v>
      </c>
      <c r="E32" s="11" t="s">
        <v>95</v>
      </c>
      <c r="F32" s="14">
        <v>700.65700000000004</v>
      </c>
      <c r="G32" s="14">
        <f t="shared" si="6"/>
        <v>2.06899999999996</v>
      </c>
      <c r="H32" s="14">
        <f t="shared" si="0"/>
        <v>701.26350083752141</v>
      </c>
      <c r="I32" s="14">
        <f t="shared" si="1"/>
        <v>703.80793715053017</v>
      </c>
      <c r="J32" s="14">
        <f t="shared" si="2"/>
        <v>3.1255652114093886</v>
      </c>
      <c r="K32" s="14">
        <f t="shared" si="3"/>
        <v>0.95670805369127299</v>
      </c>
      <c r="L32" s="12" t="str">
        <f t="shared" si="4"/>
        <v/>
      </c>
      <c r="M32" s="12" t="str">
        <f t="shared" si="5"/>
        <v/>
      </c>
    </row>
    <row r="33" spans="1:13" ht="31.5">
      <c r="A33" s="3">
        <v>25</v>
      </c>
      <c r="B33" s="11" t="s">
        <v>71</v>
      </c>
      <c r="C33" s="3">
        <v>1</v>
      </c>
      <c r="D33" s="3">
        <v>1</v>
      </c>
      <c r="E33" s="11" t="s">
        <v>96</v>
      </c>
      <c r="F33" s="14">
        <v>702.29200000000003</v>
      </c>
      <c r="G33" s="14">
        <f t="shared" si="6"/>
        <v>1.6349999999999909</v>
      </c>
      <c r="H33" s="14">
        <f t="shared" si="0"/>
        <v>701.26350083752141</v>
      </c>
      <c r="I33" s="14">
        <f t="shared" si="1"/>
        <v>703.80793715053017</v>
      </c>
      <c r="J33" s="14">
        <f t="shared" si="2"/>
        <v>3.1255652114093886</v>
      </c>
      <c r="K33" s="14">
        <f t="shared" si="3"/>
        <v>0.95670805369127299</v>
      </c>
      <c r="L33" s="12" t="str">
        <f t="shared" si="4"/>
        <v/>
      </c>
      <c r="M33" s="12" t="str">
        <f t="shared" si="5"/>
        <v/>
      </c>
    </row>
    <row r="34" spans="1:13" ht="31.5">
      <c r="A34" s="3">
        <v>26</v>
      </c>
      <c r="B34" s="11" t="s">
        <v>71</v>
      </c>
      <c r="C34" s="3">
        <v>1</v>
      </c>
      <c r="D34" s="3">
        <v>25</v>
      </c>
      <c r="E34" s="11" t="s">
        <v>97</v>
      </c>
      <c r="F34" s="14">
        <v>700.31700000000001</v>
      </c>
      <c r="G34" s="14">
        <f t="shared" si="6"/>
        <v>1.9750000000000227</v>
      </c>
      <c r="H34" s="14">
        <f t="shared" si="0"/>
        <v>701.26350083752141</v>
      </c>
      <c r="I34" s="14">
        <f t="shared" si="1"/>
        <v>703.80793715053017</v>
      </c>
      <c r="J34" s="14">
        <f t="shared" si="2"/>
        <v>3.1255652114093886</v>
      </c>
      <c r="K34" s="14">
        <f t="shared" si="3"/>
        <v>0.95670805369127299</v>
      </c>
      <c r="L34" s="12" t="str">
        <f t="shared" si="4"/>
        <v/>
      </c>
      <c r="M34" s="12" t="str">
        <f t="shared" si="5"/>
        <v/>
      </c>
    </row>
    <row r="35" spans="1:13" ht="31.5">
      <c r="A35" s="3">
        <v>27</v>
      </c>
      <c r="B35" s="11" t="s">
        <v>71</v>
      </c>
      <c r="C35" s="3">
        <v>1</v>
      </c>
      <c r="D35" s="3">
        <v>24</v>
      </c>
      <c r="E35" s="11" t="s">
        <v>98</v>
      </c>
      <c r="F35" s="14">
        <v>700.06399999999996</v>
      </c>
      <c r="G35" s="14">
        <f t="shared" si="6"/>
        <v>0.25300000000004275</v>
      </c>
      <c r="H35" s="14">
        <f t="shared" si="0"/>
        <v>701.26350083752141</v>
      </c>
      <c r="I35" s="14">
        <f t="shared" si="1"/>
        <v>703.80793715053017</v>
      </c>
      <c r="J35" s="14">
        <f t="shared" si="2"/>
        <v>3.1255652114093886</v>
      </c>
      <c r="K35" s="14">
        <f t="shared" si="3"/>
        <v>0.95670805369127299</v>
      </c>
      <c r="L35" s="12" t="str">
        <f t="shared" si="4"/>
        <v/>
      </c>
      <c r="M35" s="12" t="str">
        <f t="shared" si="5"/>
        <v/>
      </c>
    </row>
    <row r="36" spans="1:13" ht="31.5">
      <c r="A36" s="3">
        <v>28</v>
      </c>
      <c r="B36" s="11" t="s">
        <v>71</v>
      </c>
      <c r="C36" s="3">
        <v>1</v>
      </c>
      <c r="D36" s="3">
        <v>23</v>
      </c>
      <c r="E36" s="11" t="s">
        <v>99</v>
      </c>
      <c r="F36" s="14">
        <v>700.50699999999995</v>
      </c>
      <c r="G36" s="14">
        <f t="shared" si="6"/>
        <v>0.44299999999998363</v>
      </c>
      <c r="H36" s="14">
        <f t="shared" si="0"/>
        <v>701.26350083752141</v>
      </c>
      <c r="I36" s="14">
        <f t="shared" si="1"/>
        <v>703.80793715053017</v>
      </c>
      <c r="J36" s="14">
        <f t="shared" si="2"/>
        <v>3.1255652114093886</v>
      </c>
      <c r="K36" s="14">
        <f t="shared" si="3"/>
        <v>0.95670805369127299</v>
      </c>
      <c r="L36" s="12" t="str">
        <f t="shared" si="4"/>
        <v/>
      </c>
      <c r="M36" s="12" t="str">
        <f t="shared" si="5"/>
        <v/>
      </c>
    </row>
    <row r="37" spans="1:13" ht="31.5">
      <c r="A37" s="3">
        <v>29</v>
      </c>
      <c r="B37" s="11" t="s">
        <v>71</v>
      </c>
      <c r="C37" s="3">
        <v>1</v>
      </c>
      <c r="D37" s="3">
        <v>22</v>
      </c>
      <c r="E37" s="11" t="s">
        <v>100</v>
      </c>
      <c r="F37" s="14">
        <v>700.90499999999997</v>
      </c>
      <c r="G37" s="14">
        <f t="shared" si="6"/>
        <v>0.39800000000002456</v>
      </c>
      <c r="H37" s="14">
        <f t="shared" si="0"/>
        <v>701.26350083752141</v>
      </c>
      <c r="I37" s="14">
        <f t="shared" si="1"/>
        <v>703.80793715053017</v>
      </c>
      <c r="J37" s="14">
        <f t="shared" si="2"/>
        <v>3.1255652114093886</v>
      </c>
      <c r="K37" s="14">
        <f t="shared" si="3"/>
        <v>0.95670805369127299</v>
      </c>
      <c r="L37" s="12" t="str">
        <f t="shared" si="4"/>
        <v/>
      </c>
      <c r="M37" s="12" t="str">
        <f t="shared" si="5"/>
        <v/>
      </c>
    </row>
    <row r="38" spans="1:13" ht="31.5">
      <c r="A38" s="3">
        <v>30</v>
      </c>
      <c r="B38" s="11" t="s">
        <v>71</v>
      </c>
      <c r="C38" s="3">
        <v>1</v>
      </c>
      <c r="D38" s="3">
        <v>21</v>
      </c>
      <c r="E38" s="11" t="s">
        <v>101</v>
      </c>
      <c r="F38" s="14">
        <v>699.89</v>
      </c>
      <c r="G38" s="14">
        <f t="shared" si="6"/>
        <v>1.0149999999999864</v>
      </c>
      <c r="H38" s="14">
        <f t="shared" si="0"/>
        <v>701.26350083752141</v>
      </c>
      <c r="I38" s="14">
        <f t="shared" si="1"/>
        <v>703.80793715053017</v>
      </c>
      <c r="J38" s="14">
        <f t="shared" si="2"/>
        <v>3.1255652114093886</v>
      </c>
      <c r="K38" s="14">
        <f t="shared" si="3"/>
        <v>0.95670805369127299</v>
      </c>
      <c r="L38" s="12" t="str">
        <f t="shared" si="4"/>
        <v/>
      </c>
      <c r="M38" s="12" t="str">
        <f t="shared" si="5"/>
        <v/>
      </c>
    </row>
    <row r="39" spans="1:13" ht="31.5">
      <c r="A39" s="3">
        <v>31</v>
      </c>
      <c r="B39" s="11" t="s">
        <v>71</v>
      </c>
      <c r="C39" s="3">
        <v>1</v>
      </c>
      <c r="D39" s="3">
        <v>20</v>
      </c>
      <c r="E39" s="11" t="s">
        <v>102</v>
      </c>
      <c r="F39" s="14">
        <v>700.00300000000004</v>
      </c>
      <c r="G39" s="14">
        <f t="shared" si="6"/>
        <v>0.11300000000005639</v>
      </c>
      <c r="H39" s="14">
        <f t="shared" si="0"/>
        <v>701.26350083752141</v>
      </c>
      <c r="I39" s="14">
        <f t="shared" si="1"/>
        <v>703.80793715053017</v>
      </c>
      <c r="J39" s="14">
        <f t="shared" si="2"/>
        <v>3.1255652114093886</v>
      </c>
      <c r="K39" s="14">
        <f t="shared" si="3"/>
        <v>0.95670805369127299</v>
      </c>
      <c r="L39" s="12" t="str">
        <f t="shared" si="4"/>
        <v/>
      </c>
      <c r="M39" s="12" t="str">
        <f t="shared" si="5"/>
        <v/>
      </c>
    </row>
    <row r="40" spans="1:13" ht="31.5">
      <c r="A40" s="3">
        <v>32</v>
      </c>
      <c r="B40" s="11" t="s">
        <v>71</v>
      </c>
      <c r="C40" s="3">
        <v>1</v>
      </c>
      <c r="D40" s="3">
        <v>19</v>
      </c>
      <c r="E40" s="11" t="s">
        <v>103</v>
      </c>
      <c r="F40" s="14">
        <v>700.29399999999998</v>
      </c>
      <c r="G40" s="14">
        <f t="shared" si="6"/>
        <v>0.29099999999993997</v>
      </c>
      <c r="H40" s="14">
        <f t="shared" si="0"/>
        <v>701.26350083752141</v>
      </c>
      <c r="I40" s="14">
        <f t="shared" si="1"/>
        <v>703.80793715053017</v>
      </c>
      <c r="J40" s="14">
        <f t="shared" si="2"/>
        <v>3.1255652114093886</v>
      </c>
      <c r="K40" s="14">
        <f t="shared" si="3"/>
        <v>0.95670805369127299</v>
      </c>
      <c r="L40" s="12" t="str">
        <f t="shared" si="4"/>
        <v/>
      </c>
      <c r="M40" s="12" t="str">
        <f t="shared" si="5"/>
        <v/>
      </c>
    </row>
    <row r="41" spans="1:13" ht="31.5">
      <c r="A41" s="3">
        <v>33</v>
      </c>
      <c r="B41" s="11" t="s">
        <v>71</v>
      </c>
      <c r="C41" s="3">
        <v>1</v>
      </c>
      <c r="D41" s="3">
        <v>18</v>
      </c>
      <c r="E41" s="11" t="s">
        <v>104</v>
      </c>
      <c r="F41" s="14">
        <v>700.81100000000004</v>
      </c>
      <c r="G41" s="14">
        <f t="shared" si="6"/>
        <v>0.51700000000005275</v>
      </c>
      <c r="H41" s="14">
        <f t="shared" si="0"/>
        <v>701.26350083752141</v>
      </c>
      <c r="I41" s="14">
        <f t="shared" si="1"/>
        <v>703.80793715053017</v>
      </c>
      <c r="J41" s="14">
        <f t="shared" si="2"/>
        <v>3.1255652114093886</v>
      </c>
      <c r="K41" s="14">
        <f t="shared" si="3"/>
        <v>0.95670805369127299</v>
      </c>
      <c r="L41" s="12" t="str">
        <f t="shared" si="4"/>
        <v/>
      </c>
      <c r="M41" s="12" t="str">
        <f t="shared" si="5"/>
        <v/>
      </c>
    </row>
    <row r="42" spans="1:13" ht="31.5">
      <c r="A42" s="3">
        <v>34</v>
      </c>
      <c r="B42" s="11" t="s">
        <v>71</v>
      </c>
      <c r="C42" s="3">
        <v>1</v>
      </c>
      <c r="D42" s="3">
        <v>17</v>
      </c>
      <c r="E42" s="11" t="s">
        <v>105</v>
      </c>
      <c r="F42" s="14">
        <v>700.06200000000001</v>
      </c>
      <c r="G42" s="14">
        <f t="shared" si="6"/>
        <v>0.74900000000002365</v>
      </c>
      <c r="H42" s="14">
        <f t="shared" si="0"/>
        <v>701.26350083752141</v>
      </c>
      <c r="I42" s="14">
        <f t="shared" si="1"/>
        <v>703.80793715053017</v>
      </c>
      <c r="J42" s="14">
        <f t="shared" si="2"/>
        <v>3.1255652114093886</v>
      </c>
      <c r="K42" s="14">
        <f t="shared" si="3"/>
        <v>0.95670805369127299</v>
      </c>
      <c r="L42" s="12" t="str">
        <f t="shared" si="4"/>
        <v/>
      </c>
      <c r="M42" s="12" t="str">
        <f t="shared" si="5"/>
        <v/>
      </c>
    </row>
    <row r="43" spans="1:13" ht="31.5">
      <c r="A43" s="3">
        <v>35</v>
      </c>
      <c r="B43" s="11" t="s">
        <v>71</v>
      </c>
      <c r="C43" s="3">
        <v>1</v>
      </c>
      <c r="D43" s="3">
        <v>16</v>
      </c>
      <c r="E43" s="11" t="s">
        <v>106</v>
      </c>
      <c r="F43" s="14">
        <v>701.46900000000005</v>
      </c>
      <c r="G43" s="14">
        <f t="shared" si="6"/>
        <v>1.4070000000000391</v>
      </c>
      <c r="H43" s="14">
        <f t="shared" si="0"/>
        <v>701.26350083752141</v>
      </c>
      <c r="I43" s="14">
        <f t="shared" si="1"/>
        <v>703.80793715053017</v>
      </c>
      <c r="J43" s="14">
        <f t="shared" si="2"/>
        <v>3.1255652114093886</v>
      </c>
      <c r="K43" s="14">
        <f t="shared" si="3"/>
        <v>0.95670805369127299</v>
      </c>
      <c r="L43" s="12" t="str">
        <f t="shared" si="4"/>
        <v/>
      </c>
      <c r="M43" s="12" t="str">
        <f t="shared" si="5"/>
        <v/>
      </c>
    </row>
    <row r="44" spans="1:13" ht="31.5">
      <c r="A44" s="3">
        <v>36</v>
      </c>
      <c r="B44" s="11" t="s">
        <v>71</v>
      </c>
      <c r="C44" s="3">
        <v>1</v>
      </c>
      <c r="D44" s="3">
        <v>15</v>
      </c>
      <c r="E44" s="11" t="s">
        <v>107</v>
      </c>
      <c r="F44" s="14">
        <v>701.33100000000002</v>
      </c>
      <c r="G44" s="14">
        <f t="shared" si="6"/>
        <v>0.13800000000003365</v>
      </c>
      <c r="H44" s="14">
        <f t="shared" si="0"/>
        <v>701.26350083752141</v>
      </c>
      <c r="I44" s="14">
        <f t="shared" si="1"/>
        <v>703.80793715053017</v>
      </c>
      <c r="J44" s="14">
        <f t="shared" si="2"/>
        <v>3.1255652114093886</v>
      </c>
      <c r="K44" s="14">
        <f t="shared" si="3"/>
        <v>0.95670805369127299</v>
      </c>
      <c r="L44" s="12" t="str">
        <f t="shared" si="4"/>
        <v/>
      </c>
      <c r="M44" s="12" t="str">
        <f t="shared" si="5"/>
        <v/>
      </c>
    </row>
    <row r="45" spans="1:13" ht="31.5">
      <c r="A45" s="3">
        <v>37</v>
      </c>
      <c r="B45" s="11" t="s">
        <v>71</v>
      </c>
      <c r="C45" s="3">
        <v>1</v>
      </c>
      <c r="D45" s="3">
        <v>14</v>
      </c>
      <c r="E45" s="11" t="s">
        <v>108</v>
      </c>
      <c r="F45" s="14">
        <v>700.89800000000002</v>
      </c>
      <c r="G45" s="14">
        <f t="shared" si="6"/>
        <v>0.43299999999999272</v>
      </c>
      <c r="H45" s="14">
        <f t="shared" si="0"/>
        <v>701.26350083752141</v>
      </c>
      <c r="I45" s="14">
        <f t="shared" si="1"/>
        <v>703.80793715053017</v>
      </c>
      <c r="J45" s="14">
        <f t="shared" si="2"/>
        <v>3.1255652114093886</v>
      </c>
      <c r="K45" s="14">
        <f t="shared" si="3"/>
        <v>0.95670805369127299</v>
      </c>
      <c r="L45" s="12" t="str">
        <f t="shared" si="4"/>
        <v/>
      </c>
      <c r="M45" s="12" t="str">
        <f t="shared" si="5"/>
        <v/>
      </c>
    </row>
    <row r="46" spans="1:13" ht="31.5">
      <c r="A46" s="3">
        <v>38</v>
      </c>
      <c r="B46" s="11" t="s">
        <v>71</v>
      </c>
      <c r="C46" s="3">
        <v>1</v>
      </c>
      <c r="D46" s="3">
        <v>13</v>
      </c>
      <c r="E46" s="11" t="s">
        <v>109</v>
      </c>
      <c r="F46" s="14">
        <v>700.79399999999998</v>
      </c>
      <c r="G46" s="14">
        <f t="shared" si="6"/>
        <v>0.10400000000004184</v>
      </c>
      <c r="H46" s="14">
        <f t="shared" si="0"/>
        <v>701.26350083752141</v>
      </c>
      <c r="I46" s="14">
        <f t="shared" si="1"/>
        <v>703.80793715053017</v>
      </c>
      <c r="J46" s="14">
        <f t="shared" si="2"/>
        <v>3.1255652114093886</v>
      </c>
      <c r="K46" s="14">
        <f t="shared" si="3"/>
        <v>0.95670805369127299</v>
      </c>
      <c r="L46" s="12" t="str">
        <f t="shared" si="4"/>
        <v/>
      </c>
      <c r="M46" s="12" t="str">
        <f t="shared" si="5"/>
        <v/>
      </c>
    </row>
    <row r="47" spans="1:13" ht="31.5">
      <c r="A47" s="3">
        <v>39</v>
      </c>
      <c r="B47" s="11" t="s">
        <v>71</v>
      </c>
      <c r="C47" s="3">
        <v>1</v>
      </c>
      <c r="D47" s="3">
        <v>12</v>
      </c>
      <c r="E47" s="11" t="s">
        <v>110</v>
      </c>
      <c r="F47" s="14">
        <v>702.32</v>
      </c>
      <c r="G47" s="14">
        <f t="shared" si="6"/>
        <v>1.5260000000000673</v>
      </c>
      <c r="H47" s="14">
        <f t="shared" si="0"/>
        <v>701.26350083752141</v>
      </c>
      <c r="I47" s="14">
        <f t="shared" si="1"/>
        <v>703.80793715053017</v>
      </c>
      <c r="J47" s="14">
        <f t="shared" si="2"/>
        <v>3.1255652114093886</v>
      </c>
      <c r="K47" s="14">
        <f t="shared" si="3"/>
        <v>0.95670805369127299</v>
      </c>
      <c r="L47" s="12" t="str">
        <f t="shared" si="4"/>
        <v/>
      </c>
      <c r="M47" s="12" t="str">
        <f t="shared" si="5"/>
        <v/>
      </c>
    </row>
    <row r="48" spans="1:13" ht="31.5">
      <c r="A48" s="3">
        <v>40</v>
      </c>
      <c r="B48" s="11" t="s">
        <v>71</v>
      </c>
      <c r="C48" s="3">
        <v>1</v>
      </c>
      <c r="D48" s="3">
        <v>11</v>
      </c>
      <c r="E48" s="11" t="s">
        <v>111</v>
      </c>
      <c r="F48" s="14">
        <v>700.74199999999996</v>
      </c>
      <c r="G48" s="14">
        <f t="shared" si="6"/>
        <v>1.5780000000000882</v>
      </c>
      <c r="H48" s="14">
        <f t="shared" si="0"/>
        <v>701.26350083752141</v>
      </c>
      <c r="I48" s="14">
        <f t="shared" si="1"/>
        <v>703.80793715053017</v>
      </c>
      <c r="J48" s="14">
        <f t="shared" si="2"/>
        <v>3.1255652114093886</v>
      </c>
      <c r="K48" s="14">
        <f t="shared" si="3"/>
        <v>0.95670805369127299</v>
      </c>
      <c r="L48" s="12" t="str">
        <f t="shared" si="4"/>
        <v/>
      </c>
      <c r="M48" s="12" t="str">
        <f t="shared" si="5"/>
        <v/>
      </c>
    </row>
    <row r="49" spans="1:17" ht="31.5">
      <c r="A49" s="3">
        <v>41</v>
      </c>
      <c r="B49" s="11" t="s">
        <v>71</v>
      </c>
      <c r="C49" s="3">
        <v>1</v>
      </c>
      <c r="D49" s="3">
        <v>10</v>
      </c>
      <c r="E49" s="11" t="s">
        <v>112</v>
      </c>
      <c r="F49" s="14">
        <v>701.16</v>
      </c>
      <c r="G49" s="14">
        <f t="shared" si="6"/>
        <v>0.41800000000000637</v>
      </c>
      <c r="H49" s="14">
        <f t="shared" si="0"/>
        <v>701.26350083752141</v>
      </c>
      <c r="I49" s="14">
        <f t="shared" si="1"/>
        <v>703.80793715053017</v>
      </c>
      <c r="J49" s="14">
        <f t="shared" si="2"/>
        <v>3.1255652114093886</v>
      </c>
      <c r="K49" s="14">
        <f t="shared" si="3"/>
        <v>0.95670805369127299</v>
      </c>
      <c r="L49" s="12" t="str">
        <f t="shared" si="4"/>
        <v/>
      </c>
      <c r="M49" s="12" t="str">
        <f t="shared" si="5"/>
        <v/>
      </c>
    </row>
    <row r="50" spans="1:17" ht="31.5">
      <c r="A50" s="3">
        <v>42</v>
      </c>
      <c r="B50" s="11" t="s">
        <v>71</v>
      </c>
      <c r="C50" s="3">
        <v>1</v>
      </c>
      <c r="D50" s="3">
        <v>9</v>
      </c>
      <c r="E50" s="11" t="s">
        <v>113</v>
      </c>
      <c r="F50" s="14">
        <v>700.71</v>
      </c>
      <c r="G50" s="14">
        <f t="shared" si="6"/>
        <v>0.44999999999993179</v>
      </c>
      <c r="H50" s="14">
        <f t="shared" si="0"/>
        <v>701.26350083752141</v>
      </c>
      <c r="I50" s="14">
        <f t="shared" si="1"/>
        <v>703.80793715053017</v>
      </c>
      <c r="J50" s="14">
        <f t="shared" si="2"/>
        <v>3.1255652114093886</v>
      </c>
      <c r="K50" s="14">
        <f t="shared" si="3"/>
        <v>0.95670805369127299</v>
      </c>
      <c r="L50" s="12" t="str">
        <f t="shared" si="4"/>
        <v/>
      </c>
      <c r="M50" s="12" t="str">
        <f t="shared" si="5"/>
        <v/>
      </c>
    </row>
    <row r="51" spans="1:17" ht="31.5">
      <c r="A51" s="3">
        <v>43</v>
      </c>
      <c r="B51" s="11" t="s">
        <v>71</v>
      </c>
      <c r="C51" s="3">
        <v>1</v>
      </c>
      <c r="D51" s="3">
        <v>8</v>
      </c>
      <c r="E51" s="11" t="s">
        <v>114</v>
      </c>
      <c r="F51" s="14">
        <v>700.14</v>
      </c>
      <c r="G51" s="14">
        <f t="shared" si="6"/>
        <v>0.57000000000005002</v>
      </c>
      <c r="H51" s="14">
        <f t="shared" si="0"/>
        <v>701.26350083752141</v>
      </c>
      <c r="I51" s="14">
        <f t="shared" si="1"/>
        <v>703.80793715053017</v>
      </c>
      <c r="J51" s="14">
        <f t="shared" si="2"/>
        <v>3.1255652114093886</v>
      </c>
      <c r="K51" s="14">
        <f t="shared" si="3"/>
        <v>0.95670805369127299</v>
      </c>
      <c r="L51" s="12" t="str">
        <f t="shared" si="4"/>
        <v/>
      </c>
      <c r="M51" s="12" t="str">
        <f t="shared" si="5"/>
        <v/>
      </c>
    </row>
    <row r="52" spans="1:17" ht="31.5">
      <c r="A52" s="3">
        <v>44</v>
      </c>
      <c r="B52" s="11" t="s">
        <v>71</v>
      </c>
      <c r="C52" s="3">
        <v>1</v>
      </c>
      <c r="D52" s="3">
        <v>7</v>
      </c>
      <c r="E52" s="11" t="s">
        <v>115</v>
      </c>
      <c r="F52" s="14">
        <v>702.11900000000003</v>
      </c>
      <c r="G52" s="14">
        <f t="shared" si="6"/>
        <v>1.9790000000000418</v>
      </c>
      <c r="H52" s="14">
        <f t="shared" si="0"/>
        <v>701.26350083752141</v>
      </c>
      <c r="I52" s="14">
        <f t="shared" si="1"/>
        <v>703.80793715053017</v>
      </c>
      <c r="J52" s="14">
        <f t="shared" si="2"/>
        <v>3.1255652114093886</v>
      </c>
      <c r="K52" s="14">
        <f t="shared" si="3"/>
        <v>0.95670805369127299</v>
      </c>
      <c r="L52" s="12" t="str">
        <f t="shared" si="4"/>
        <v/>
      </c>
      <c r="M52" s="12" t="str">
        <f t="shared" si="5"/>
        <v/>
      </c>
    </row>
    <row r="53" spans="1:17" ht="31.5">
      <c r="A53" s="3">
        <v>45</v>
      </c>
      <c r="B53" s="11" t="s">
        <v>71</v>
      </c>
      <c r="C53" s="3">
        <v>1</v>
      </c>
      <c r="D53" s="3">
        <v>6</v>
      </c>
      <c r="E53" s="11" t="s">
        <v>116</v>
      </c>
      <c r="F53" s="14">
        <v>702.29600000000005</v>
      </c>
      <c r="G53" s="14">
        <f t="shared" si="6"/>
        <v>0.17700000000002092</v>
      </c>
      <c r="H53" s="14">
        <f t="shared" si="0"/>
        <v>701.26350083752141</v>
      </c>
      <c r="I53" s="14">
        <f t="shared" si="1"/>
        <v>703.80793715053017</v>
      </c>
      <c r="J53" s="14">
        <f t="shared" si="2"/>
        <v>3.1255652114093886</v>
      </c>
      <c r="K53" s="14">
        <f t="shared" si="3"/>
        <v>0.95670805369127299</v>
      </c>
      <c r="L53" s="12" t="str">
        <f t="shared" si="4"/>
        <v/>
      </c>
      <c r="M53" s="12" t="str">
        <f t="shared" si="5"/>
        <v/>
      </c>
    </row>
    <row r="54" spans="1:17" ht="31.5">
      <c r="A54" s="3">
        <v>46</v>
      </c>
      <c r="B54" s="11" t="s">
        <v>71</v>
      </c>
      <c r="C54" s="3">
        <v>1</v>
      </c>
      <c r="D54" s="3">
        <v>5</v>
      </c>
      <c r="E54" s="11" t="s">
        <v>117</v>
      </c>
      <c r="F54" s="14">
        <v>700.73199999999997</v>
      </c>
      <c r="G54" s="14">
        <f t="shared" si="6"/>
        <v>1.5640000000000782</v>
      </c>
      <c r="H54" s="14">
        <f t="shared" si="0"/>
        <v>701.26350083752141</v>
      </c>
      <c r="I54" s="14">
        <f t="shared" si="1"/>
        <v>703.80793715053017</v>
      </c>
      <c r="J54" s="14">
        <f t="shared" si="2"/>
        <v>3.1255652114093886</v>
      </c>
      <c r="K54" s="14">
        <f t="shared" si="3"/>
        <v>0.95670805369127299</v>
      </c>
      <c r="L54" s="12" t="str">
        <f t="shared" si="4"/>
        <v/>
      </c>
      <c r="M54" s="12" t="str">
        <f t="shared" si="5"/>
        <v/>
      </c>
    </row>
    <row r="55" spans="1:17" ht="31.5">
      <c r="A55" s="3">
        <v>47</v>
      </c>
      <c r="B55" s="11" t="s">
        <v>71</v>
      </c>
      <c r="C55" s="3">
        <v>1</v>
      </c>
      <c r="D55" s="3">
        <v>4</v>
      </c>
      <c r="E55" s="11" t="s">
        <v>118</v>
      </c>
      <c r="F55" s="14">
        <v>700.64099999999996</v>
      </c>
      <c r="G55" s="14">
        <f t="shared" si="6"/>
        <v>9.1000000000008185E-2</v>
      </c>
      <c r="H55" s="14">
        <f t="shared" si="0"/>
        <v>701.26350083752141</v>
      </c>
      <c r="I55" s="14">
        <f t="shared" si="1"/>
        <v>703.80793715053017</v>
      </c>
      <c r="J55" s="14">
        <f t="shared" si="2"/>
        <v>3.1255652114093886</v>
      </c>
      <c r="K55" s="14">
        <f t="shared" si="3"/>
        <v>0.95670805369127299</v>
      </c>
      <c r="L55" s="12" t="str">
        <f t="shared" si="4"/>
        <v/>
      </c>
      <c r="M55" s="12" t="str">
        <f t="shared" si="5"/>
        <v/>
      </c>
      <c r="P55" s="7"/>
      <c r="Q55" s="14"/>
    </row>
    <row r="56" spans="1:17" ht="31.5">
      <c r="A56" s="3">
        <v>48</v>
      </c>
      <c r="B56" s="11" t="s">
        <v>71</v>
      </c>
      <c r="C56" s="3">
        <v>1</v>
      </c>
      <c r="D56" s="3">
        <v>3</v>
      </c>
      <c r="E56" s="11" t="s">
        <v>119</v>
      </c>
      <c r="F56" s="14">
        <v>700.77</v>
      </c>
      <c r="G56" s="14">
        <f t="shared" si="6"/>
        <v>0.1290000000000191</v>
      </c>
      <c r="H56" s="14">
        <f t="shared" si="0"/>
        <v>701.26350083752141</v>
      </c>
      <c r="I56" s="14">
        <f t="shared" si="1"/>
        <v>703.80793715053017</v>
      </c>
      <c r="J56" s="14">
        <f t="shared" si="2"/>
        <v>3.1255652114093886</v>
      </c>
      <c r="K56" s="14">
        <f t="shared" si="3"/>
        <v>0.95670805369127299</v>
      </c>
      <c r="L56" s="12" t="str">
        <f t="shared" si="4"/>
        <v/>
      </c>
      <c r="M56" s="12" t="str">
        <f t="shared" si="5"/>
        <v/>
      </c>
    </row>
    <row r="57" spans="1:17" ht="31.5">
      <c r="A57" s="3">
        <v>49</v>
      </c>
      <c r="B57" s="11" t="s">
        <v>71</v>
      </c>
      <c r="C57" s="3">
        <v>1</v>
      </c>
      <c r="D57" s="3">
        <v>2</v>
      </c>
      <c r="E57" s="11" t="s">
        <v>120</v>
      </c>
      <c r="F57" s="14">
        <v>700.48199999999997</v>
      </c>
      <c r="G57" s="14">
        <f t="shared" si="6"/>
        <v>0.28800000000001091</v>
      </c>
      <c r="H57" s="14">
        <f t="shared" si="0"/>
        <v>701.26350083752141</v>
      </c>
      <c r="I57" s="14">
        <f t="shared" si="1"/>
        <v>703.80793715053017</v>
      </c>
      <c r="J57" s="14">
        <f t="shared" si="2"/>
        <v>3.1255652114093886</v>
      </c>
      <c r="K57" s="14">
        <f t="shared" si="3"/>
        <v>0.95670805369127299</v>
      </c>
      <c r="L57" s="12" t="str">
        <f t="shared" si="4"/>
        <v/>
      </c>
      <c r="M57" s="12" t="str">
        <f t="shared" si="5"/>
        <v/>
      </c>
    </row>
    <row r="58" spans="1:17" ht="31.5">
      <c r="A58" s="3">
        <v>50</v>
      </c>
      <c r="B58" s="11" t="s">
        <v>71</v>
      </c>
      <c r="C58" s="3">
        <v>1</v>
      </c>
      <c r="D58" s="3">
        <v>1</v>
      </c>
      <c r="E58" s="11" t="s">
        <v>121</v>
      </c>
      <c r="F58" s="14">
        <v>701.96600000000001</v>
      </c>
      <c r="G58" s="14">
        <f t="shared" si="6"/>
        <v>1.4840000000000373</v>
      </c>
      <c r="H58" s="14">
        <f t="shared" si="0"/>
        <v>701.26350083752141</v>
      </c>
      <c r="I58" s="14">
        <f t="shared" si="1"/>
        <v>703.80793715053017</v>
      </c>
      <c r="J58" s="14">
        <f t="shared" si="2"/>
        <v>3.1255652114093886</v>
      </c>
      <c r="K58" s="14">
        <f t="shared" si="3"/>
        <v>0.95670805369127299</v>
      </c>
      <c r="L58" s="12" t="str">
        <f t="shared" si="4"/>
        <v/>
      </c>
      <c r="M58" s="12" t="str">
        <f t="shared" si="5"/>
        <v/>
      </c>
    </row>
    <row r="59" spans="1:17" ht="31.5">
      <c r="A59" s="3">
        <v>51</v>
      </c>
      <c r="B59" s="11" t="s">
        <v>71</v>
      </c>
      <c r="C59" s="3">
        <v>2</v>
      </c>
      <c r="D59" s="3">
        <v>25</v>
      </c>
      <c r="E59" s="11" t="s">
        <v>122</v>
      </c>
      <c r="F59" s="14">
        <v>702.35199999999998</v>
      </c>
      <c r="G59" s="14">
        <f t="shared" si="6"/>
        <v>0.38599999999996726</v>
      </c>
      <c r="H59" s="14">
        <f t="shared" si="0"/>
        <v>701.26350083752141</v>
      </c>
      <c r="I59" s="14">
        <f t="shared" si="1"/>
        <v>703.80793715053017</v>
      </c>
      <c r="J59" s="14">
        <f t="shared" si="2"/>
        <v>3.1255652114093886</v>
      </c>
      <c r="K59" s="14">
        <f t="shared" si="3"/>
        <v>0.95670805369127299</v>
      </c>
      <c r="L59" s="12" t="str">
        <f t="shared" si="4"/>
        <v/>
      </c>
      <c r="M59" s="12" t="str">
        <f t="shared" si="5"/>
        <v/>
      </c>
    </row>
    <row r="60" spans="1:17" ht="31.5">
      <c r="A60" s="3">
        <v>52</v>
      </c>
      <c r="B60" s="11" t="s">
        <v>71</v>
      </c>
      <c r="C60" s="3">
        <v>2</v>
      </c>
      <c r="D60" s="3">
        <v>24</v>
      </c>
      <c r="E60" s="11" t="s">
        <v>123</v>
      </c>
      <c r="F60" s="14">
        <v>700.39700000000005</v>
      </c>
      <c r="G60" s="14">
        <f t="shared" si="6"/>
        <v>1.9549999999999272</v>
      </c>
      <c r="H60" s="14">
        <f t="shared" si="0"/>
        <v>701.26350083752141</v>
      </c>
      <c r="I60" s="14">
        <f t="shared" si="1"/>
        <v>703.80793715053017</v>
      </c>
      <c r="J60" s="14">
        <f t="shared" si="2"/>
        <v>3.1255652114093886</v>
      </c>
      <c r="K60" s="14">
        <f t="shared" si="3"/>
        <v>0.95670805369127299</v>
      </c>
      <c r="L60" s="12" t="str">
        <f t="shared" si="4"/>
        <v/>
      </c>
      <c r="M60" s="12" t="str">
        <f t="shared" si="5"/>
        <v/>
      </c>
    </row>
    <row r="61" spans="1:17" ht="31.5">
      <c r="A61" s="3">
        <v>53</v>
      </c>
      <c r="B61" s="11" t="s">
        <v>71</v>
      </c>
      <c r="C61" s="3">
        <v>2</v>
      </c>
      <c r="D61" s="3">
        <v>23</v>
      </c>
      <c r="E61" s="11" t="s">
        <v>124</v>
      </c>
      <c r="F61" s="14">
        <v>702.48</v>
      </c>
      <c r="G61" s="14">
        <f t="shared" si="6"/>
        <v>2.08299999999997</v>
      </c>
      <c r="H61" s="14">
        <f t="shared" si="0"/>
        <v>701.26350083752141</v>
      </c>
      <c r="I61" s="14">
        <f t="shared" si="1"/>
        <v>703.80793715053017</v>
      </c>
      <c r="J61" s="14">
        <f t="shared" si="2"/>
        <v>3.1255652114093886</v>
      </c>
      <c r="K61" s="14">
        <f t="shared" si="3"/>
        <v>0.95670805369127299</v>
      </c>
      <c r="L61" s="12" t="str">
        <f t="shared" si="4"/>
        <v/>
      </c>
      <c r="M61" s="12" t="str">
        <f t="shared" si="5"/>
        <v/>
      </c>
    </row>
    <row r="62" spans="1:17" ht="31.5">
      <c r="A62" s="3">
        <v>54</v>
      </c>
      <c r="B62" s="11" t="s">
        <v>71</v>
      </c>
      <c r="C62" s="3">
        <v>2</v>
      </c>
      <c r="D62" s="3">
        <v>22</v>
      </c>
      <c r="E62" s="11" t="s">
        <v>125</v>
      </c>
      <c r="F62" s="14">
        <v>702.87199999999996</v>
      </c>
      <c r="G62" s="14">
        <f t="shared" si="6"/>
        <v>0.39199999999993906</v>
      </c>
      <c r="H62" s="14">
        <f t="shared" si="0"/>
        <v>701.26350083752141</v>
      </c>
      <c r="I62" s="14">
        <f t="shared" si="1"/>
        <v>703.80793715053017</v>
      </c>
      <c r="J62" s="14">
        <f t="shared" si="2"/>
        <v>3.1255652114093886</v>
      </c>
      <c r="K62" s="14">
        <f t="shared" si="3"/>
        <v>0.95670805369127299</v>
      </c>
      <c r="L62" s="12" t="str">
        <f t="shared" si="4"/>
        <v/>
      </c>
      <c r="M62" s="12" t="str">
        <f t="shared" si="5"/>
        <v/>
      </c>
    </row>
    <row r="63" spans="1:17" ht="31.5">
      <c r="A63" s="3">
        <v>55</v>
      </c>
      <c r="B63" s="11" t="s">
        <v>71</v>
      </c>
      <c r="C63" s="3">
        <v>2</v>
      </c>
      <c r="D63" s="3">
        <v>21</v>
      </c>
      <c r="E63" s="11" t="s">
        <v>126</v>
      </c>
      <c r="F63" s="14">
        <v>703.53700000000003</v>
      </c>
      <c r="G63" s="14">
        <f t="shared" si="6"/>
        <v>0.66500000000007731</v>
      </c>
      <c r="H63" s="14">
        <f t="shared" si="0"/>
        <v>701.26350083752141</v>
      </c>
      <c r="I63" s="14">
        <f t="shared" si="1"/>
        <v>703.80793715053017</v>
      </c>
      <c r="J63" s="14">
        <f t="shared" si="2"/>
        <v>3.1255652114093886</v>
      </c>
      <c r="K63" s="14">
        <f t="shared" si="3"/>
        <v>0.95670805369127299</v>
      </c>
      <c r="L63" s="12" t="str">
        <f t="shared" si="4"/>
        <v/>
      </c>
      <c r="M63" s="12" t="str">
        <f t="shared" si="5"/>
        <v/>
      </c>
    </row>
    <row r="64" spans="1:17" ht="31.5">
      <c r="A64" s="3">
        <v>56</v>
      </c>
      <c r="B64" s="11" t="s">
        <v>71</v>
      </c>
      <c r="C64" s="3">
        <v>2</v>
      </c>
      <c r="D64" s="3">
        <v>20</v>
      </c>
      <c r="E64" s="11" t="s">
        <v>127</v>
      </c>
      <c r="F64" s="14">
        <v>703.57500000000005</v>
      </c>
      <c r="G64" s="14">
        <f t="shared" si="6"/>
        <v>3.8000000000010914E-2</v>
      </c>
      <c r="H64" s="14">
        <f t="shared" si="0"/>
        <v>701.26350083752141</v>
      </c>
      <c r="I64" s="14">
        <f t="shared" si="1"/>
        <v>703.80793715053017</v>
      </c>
      <c r="J64" s="14">
        <f t="shared" si="2"/>
        <v>3.1255652114093886</v>
      </c>
      <c r="K64" s="14">
        <f t="shared" si="3"/>
        <v>0.95670805369127299</v>
      </c>
      <c r="L64" s="12" t="str">
        <f t="shared" si="4"/>
        <v/>
      </c>
      <c r="M64" s="12" t="str">
        <f t="shared" si="5"/>
        <v/>
      </c>
    </row>
    <row r="65" spans="1:13" ht="31.5">
      <c r="A65" s="3">
        <v>57</v>
      </c>
      <c r="B65" s="11" t="s">
        <v>71</v>
      </c>
      <c r="C65" s="3">
        <v>2</v>
      </c>
      <c r="D65" s="3">
        <v>19</v>
      </c>
      <c r="E65" s="11" t="s">
        <v>128</v>
      </c>
      <c r="F65" s="14">
        <v>700.62800000000004</v>
      </c>
      <c r="G65" s="14">
        <f t="shared" si="6"/>
        <v>2.9470000000000027</v>
      </c>
      <c r="H65" s="14">
        <f t="shared" si="0"/>
        <v>701.26350083752141</v>
      </c>
      <c r="I65" s="14">
        <f t="shared" si="1"/>
        <v>703.80793715053017</v>
      </c>
      <c r="J65" s="14">
        <f t="shared" si="2"/>
        <v>3.1255652114093886</v>
      </c>
      <c r="K65" s="14">
        <f t="shared" si="3"/>
        <v>0.95670805369127299</v>
      </c>
      <c r="L65" s="12" t="str">
        <f t="shared" si="4"/>
        <v/>
      </c>
      <c r="M65" s="12" t="str">
        <f t="shared" si="5"/>
        <v/>
      </c>
    </row>
    <row r="66" spans="1:13" ht="31.5">
      <c r="A66" s="3">
        <v>58</v>
      </c>
      <c r="B66" s="11" t="s">
        <v>71</v>
      </c>
      <c r="C66" s="3">
        <v>2</v>
      </c>
      <c r="D66" s="3">
        <v>18</v>
      </c>
      <c r="E66" s="11" t="s">
        <v>129</v>
      </c>
      <c r="F66" s="14">
        <v>701.47400000000005</v>
      </c>
      <c r="G66" s="14">
        <f t="shared" si="6"/>
        <v>0.84600000000000364</v>
      </c>
      <c r="H66" s="14">
        <f t="shared" si="0"/>
        <v>701.26350083752141</v>
      </c>
      <c r="I66" s="14">
        <f t="shared" si="1"/>
        <v>703.80793715053017</v>
      </c>
      <c r="J66" s="14">
        <f t="shared" si="2"/>
        <v>3.1255652114093886</v>
      </c>
      <c r="K66" s="14">
        <f t="shared" si="3"/>
        <v>0.95670805369127299</v>
      </c>
      <c r="L66" s="12" t="str">
        <f t="shared" si="4"/>
        <v/>
      </c>
      <c r="M66" s="12" t="str">
        <f t="shared" si="5"/>
        <v/>
      </c>
    </row>
    <row r="67" spans="1:13" ht="31.5">
      <c r="A67" s="3">
        <v>59</v>
      </c>
      <c r="B67" s="11" t="s">
        <v>71</v>
      </c>
      <c r="C67" s="3">
        <v>2</v>
      </c>
      <c r="D67" s="3">
        <v>17</v>
      </c>
      <c r="E67" s="11" t="s">
        <v>130</v>
      </c>
      <c r="F67" s="14">
        <v>703.125</v>
      </c>
      <c r="G67" s="14">
        <f t="shared" si="6"/>
        <v>1.6509999999999536</v>
      </c>
      <c r="H67" s="14">
        <f t="shared" si="0"/>
        <v>701.26350083752141</v>
      </c>
      <c r="I67" s="14">
        <f t="shared" si="1"/>
        <v>703.80793715053017</v>
      </c>
      <c r="J67" s="14">
        <f t="shared" si="2"/>
        <v>3.1255652114093886</v>
      </c>
      <c r="K67" s="14">
        <f t="shared" si="3"/>
        <v>0.95670805369127299</v>
      </c>
      <c r="L67" s="12" t="str">
        <f t="shared" si="4"/>
        <v/>
      </c>
      <c r="M67" s="12" t="str">
        <f t="shared" si="5"/>
        <v/>
      </c>
    </row>
    <row r="68" spans="1:13" ht="31.5">
      <c r="A68" s="3">
        <v>60</v>
      </c>
      <c r="B68" s="11" t="s">
        <v>71</v>
      </c>
      <c r="C68" s="3">
        <v>2</v>
      </c>
      <c r="D68" s="3">
        <v>16</v>
      </c>
      <c r="E68" s="11" t="s">
        <v>131</v>
      </c>
      <c r="F68" s="14">
        <v>701.42499999999995</v>
      </c>
      <c r="G68" s="14">
        <f t="shared" si="6"/>
        <v>1.7000000000000455</v>
      </c>
      <c r="H68" s="14">
        <f t="shared" si="0"/>
        <v>701.26350083752141</v>
      </c>
      <c r="I68" s="14">
        <f t="shared" si="1"/>
        <v>703.80793715053017</v>
      </c>
      <c r="J68" s="14">
        <f t="shared" si="2"/>
        <v>3.1255652114093886</v>
      </c>
      <c r="K68" s="14">
        <f t="shared" si="3"/>
        <v>0.95670805369127299</v>
      </c>
      <c r="L68" s="12" t="str">
        <f t="shared" si="4"/>
        <v/>
      </c>
      <c r="M68" s="12" t="str">
        <f t="shared" si="5"/>
        <v/>
      </c>
    </row>
    <row r="69" spans="1:13" ht="31.5">
      <c r="A69" s="3">
        <v>61</v>
      </c>
      <c r="B69" s="11" t="s">
        <v>71</v>
      </c>
      <c r="C69" s="3">
        <v>2</v>
      </c>
      <c r="D69" s="3">
        <v>15</v>
      </c>
      <c r="E69" s="11" t="s">
        <v>132</v>
      </c>
      <c r="F69" s="14">
        <v>702.64300000000003</v>
      </c>
      <c r="G69" s="14">
        <f t="shared" si="6"/>
        <v>1.2180000000000746</v>
      </c>
      <c r="H69" s="14">
        <f t="shared" si="0"/>
        <v>701.26350083752141</v>
      </c>
      <c r="I69" s="14">
        <f t="shared" si="1"/>
        <v>703.80793715053017</v>
      </c>
      <c r="J69" s="14">
        <f t="shared" si="2"/>
        <v>3.1255652114093886</v>
      </c>
      <c r="K69" s="14">
        <f t="shared" si="3"/>
        <v>0.95670805369127299</v>
      </c>
      <c r="L69" s="12" t="str">
        <f t="shared" si="4"/>
        <v/>
      </c>
      <c r="M69" s="12" t="str">
        <f t="shared" si="5"/>
        <v/>
      </c>
    </row>
    <row r="70" spans="1:13" ht="31.5">
      <c r="A70" s="3">
        <v>62</v>
      </c>
      <c r="B70" s="11" t="s">
        <v>71</v>
      </c>
      <c r="C70" s="3">
        <v>2</v>
      </c>
      <c r="D70" s="3">
        <v>14</v>
      </c>
      <c r="E70" s="11" t="s">
        <v>133</v>
      </c>
      <c r="F70" s="14">
        <v>702.07899999999995</v>
      </c>
      <c r="G70" s="14">
        <f t="shared" si="6"/>
        <v>0.56400000000007822</v>
      </c>
      <c r="H70" s="14">
        <f t="shared" si="0"/>
        <v>701.26350083752141</v>
      </c>
      <c r="I70" s="14">
        <f t="shared" si="1"/>
        <v>703.80793715053017</v>
      </c>
      <c r="J70" s="14">
        <f t="shared" si="2"/>
        <v>3.1255652114093886</v>
      </c>
      <c r="K70" s="14">
        <f t="shared" si="3"/>
        <v>0.95670805369127299</v>
      </c>
      <c r="L70" s="12" t="str">
        <f t="shared" si="4"/>
        <v/>
      </c>
      <c r="M70" s="12" t="str">
        <f t="shared" si="5"/>
        <v/>
      </c>
    </row>
    <row r="71" spans="1:13" ht="31.5">
      <c r="A71" s="3">
        <v>63</v>
      </c>
      <c r="B71" s="11" t="s">
        <v>71</v>
      </c>
      <c r="C71" s="3">
        <v>2</v>
      </c>
      <c r="D71" s="3">
        <v>13</v>
      </c>
      <c r="E71" s="11" t="s">
        <v>134</v>
      </c>
      <c r="F71" s="14">
        <v>701.07399999999996</v>
      </c>
      <c r="G71" s="14">
        <f t="shared" si="6"/>
        <v>1.0049999999999955</v>
      </c>
      <c r="H71" s="14">
        <f t="shared" si="0"/>
        <v>701.26350083752141</v>
      </c>
      <c r="I71" s="14">
        <f t="shared" si="1"/>
        <v>703.80793715053017</v>
      </c>
      <c r="J71" s="14">
        <f t="shared" si="2"/>
        <v>3.1255652114093886</v>
      </c>
      <c r="K71" s="14">
        <f t="shared" si="3"/>
        <v>0.95670805369127299</v>
      </c>
      <c r="L71" s="12" t="str">
        <f t="shared" si="4"/>
        <v/>
      </c>
      <c r="M71" s="12" t="str">
        <f t="shared" si="5"/>
        <v/>
      </c>
    </row>
    <row r="72" spans="1:13" ht="31.5">
      <c r="A72" s="3">
        <v>64</v>
      </c>
      <c r="B72" s="11" t="s">
        <v>71</v>
      </c>
      <c r="C72" s="3">
        <v>2</v>
      </c>
      <c r="D72" s="3">
        <v>12</v>
      </c>
      <c r="E72" s="11" t="s">
        <v>135</v>
      </c>
      <c r="F72" s="14">
        <v>701.56899999999996</v>
      </c>
      <c r="G72" s="14">
        <f t="shared" si="6"/>
        <v>0.49500000000000455</v>
      </c>
      <c r="H72" s="14">
        <f t="shared" si="0"/>
        <v>701.26350083752141</v>
      </c>
      <c r="I72" s="14">
        <f t="shared" si="1"/>
        <v>703.80793715053017</v>
      </c>
      <c r="J72" s="14">
        <f t="shared" si="2"/>
        <v>3.1255652114093886</v>
      </c>
      <c r="K72" s="14">
        <f t="shared" si="3"/>
        <v>0.95670805369127299</v>
      </c>
      <c r="L72" s="12" t="str">
        <f t="shared" si="4"/>
        <v/>
      </c>
      <c r="M72" s="12" t="str">
        <f t="shared" si="5"/>
        <v/>
      </c>
    </row>
    <row r="73" spans="1:13" ht="31.5">
      <c r="A73" s="3">
        <v>65</v>
      </c>
      <c r="B73" s="11" t="s">
        <v>71</v>
      </c>
      <c r="C73" s="3">
        <v>2</v>
      </c>
      <c r="D73" s="3">
        <v>11</v>
      </c>
      <c r="E73" s="11" t="s">
        <v>136</v>
      </c>
      <c r="F73" s="14">
        <v>703.54899999999998</v>
      </c>
      <c r="G73" s="14">
        <f t="shared" si="6"/>
        <v>1.9800000000000182</v>
      </c>
      <c r="H73" s="14">
        <f t="shared" si="0"/>
        <v>701.26350083752141</v>
      </c>
      <c r="I73" s="14">
        <f t="shared" si="1"/>
        <v>703.80793715053017</v>
      </c>
      <c r="J73" s="14">
        <f t="shared" si="2"/>
        <v>3.1255652114093886</v>
      </c>
      <c r="K73" s="14">
        <f t="shared" si="3"/>
        <v>0.95670805369127299</v>
      </c>
      <c r="L73" s="12" t="str">
        <f t="shared" si="4"/>
        <v/>
      </c>
      <c r="M73" s="12" t="str">
        <f t="shared" si="5"/>
        <v/>
      </c>
    </row>
    <row r="74" spans="1:13" ht="31.5">
      <c r="A74" s="3">
        <v>66</v>
      </c>
      <c r="B74" s="11" t="s">
        <v>71</v>
      </c>
      <c r="C74" s="3">
        <v>2</v>
      </c>
      <c r="D74" s="3">
        <v>10</v>
      </c>
      <c r="E74" s="11" t="s">
        <v>137</v>
      </c>
      <c r="F74" s="14">
        <v>703.048</v>
      </c>
      <c r="G74" s="14">
        <f t="shared" si="6"/>
        <v>0.50099999999997635</v>
      </c>
      <c r="H74" s="14">
        <f t="shared" ref="H74:H137" si="7">$F$4</f>
        <v>701.26350083752141</v>
      </c>
      <c r="I74" s="14">
        <f t="shared" ref="I74:I137" si="8">$F$7</f>
        <v>703.80793715053017</v>
      </c>
      <c r="J74" s="14">
        <f t="shared" ref="J74:J137" si="9">$F$8</f>
        <v>3.1255652114093886</v>
      </c>
      <c r="K74" s="14">
        <f t="shared" ref="K74:K137" si="10">$F$5</f>
        <v>0.95670805369127299</v>
      </c>
      <c r="L74" s="12" t="str">
        <f t="shared" ref="L74:L137" si="11">IF(F74&gt;$F$7,"OOC","" )</f>
        <v/>
      </c>
      <c r="M74" s="12" t="str">
        <f t="shared" ref="M74:M137" si="12">IF(F74&gt;$B$4,"OOS","" )</f>
        <v/>
      </c>
    </row>
    <row r="75" spans="1:13" ht="31.5">
      <c r="A75" s="3">
        <v>67</v>
      </c>
      <c r="B75" s="11" t="s">
        <v>71</v>
      </c>
      <c r="C75" s="3">
        <v>2</v>
      </c>
      <c r="D75" s="3">
        <v>9</v>
      </c>
      <c r="E75" s="11" t="s">
        <v>138</v>
      </c>
      <c r="F75" s="14">
        <v>702.71400000000006</v>
      </c>
      <c r="G75" s="14">
        <f t="shared" ref="G75:G138" si="13">ABS(F75-F74)</f>
        <v>0.33399999999994634</v>
      </c>
      <c r="H75" s="14">
        <f t="shared" si="7"/>
        <v>701.26350083752141</v>
      </c>
      <c r="I75" s="14">
        <f t="shared" si="8"/>
        <v>703.80793715053017</v>
      </c>
      <c r="J75" s="14">
        <f t="shared" si="9"/>
        <v>3.1255652114093886</v>
      </c>
      <c r="K75" s="14">
        <f t="shared" si="10"/>
        <v>0.95670805369127299</v>
      </c>
      <c r="L75" s="12" t="str">
        <f t="shared" si="11"/>
        <v/>
      </c>
      <c r="M75" s="12" t="str">
        <f t="shared" si="12"/>
        <v/>
      </c>
    </row>
    <row r="76" spans="1:13" ht="31.5">
      <c r="A76" s="3">
        <v>68</v>
      </c>
      <c r="B76" s="11" t="s">
        <v>71</v>
      </c>
      <c r="C76" s="3">
        <v>2</v>
      </c>
      <c r="D76" s="3">
        <v>8</v>
      </c>
      <c r="E76" s="11" t="s">
        <v>139</v>
      </c>
      <c r="F76" s="14">
        <v>701.18299999999999</v>
      </c>
      <c r="G76" s="14">
        <f t="shared" si="13"/>
        <v>1.5310000000000628</v>
      </c>
      <c r="H76" s="14">
        <f t="shared" si="7"/>
        <v>701.26350083752141</v>
      </c>
      <c r="I76" s="14">
        <f t="shared" si="8"/>
        <v>703.80793715053017</v>
      </c>
      <c r="J76" s="14">
        <f t="shared" si="9"/>
        <v>3.1255652114093886</v>
      </c>
      <c r="K76" s="14">
        <f t="shared" si="10"/>
        <v>0.95670805369127299</v>
      </c>
      <c r="L76" s="12" t="str">
        <f t="shared" si="11"/>
        <v/>
      </c>
      <c r="M76" s="12" t="str">
        <f t="shared" si="12"/>
        <v/>
      </c>
    </row>
    <row r="77" spans="1:13" ht="31.5">
      <c r="A77" s="3">
        <v>69</v>
      </c>
      <c r="B77" s="11" t="s">
        <v>71</v>
      </c>
      <c r="C77" s="3">
        <v>2</v>
      </c>
      <c r="D77" s="3">
        <v>7</v>
      </c>
      <c r="E77" s="11" t="s">
        <v>140</v>
      </c>
      <c r="F77" s="14">
        <v>700.98699999999997</v>
      </c>
      <c r="G77" s="14">
        <f t="shared" si="13"/>
        <v>0.19600000000002638</v>
      </c>
      <c r="H77" s="14">
        <f t="shared" si="7"/>
        <v>701.26350083752141</v>
      </c>
      <c r="I77" s="14">
        <f t="shared" si="8"/>
        <v>703.80793715053017</v>
      </c>
      <c r="J77" s="14">
        <f t="shared" si="9"/>
        <v>3.1255652114093886</v>
      </c>
      <c r="K77" s="14">
        <f t="shared" si="10"/>
        <v>0.95670805369127299</v>
      </c>
      <c r="L77" s="12" t="str">
        <f t="shared" si="11"/>
        <v/>
      </c>
      <c r="M77" s="12" t="str">
        <f t="shared" si="12"/>
        <v/>
      </c>
    </row>
    <row r="78" spans="1:13" ht="31.5">
      <c r="A78" s="3">
        <v>70</v>
      </c>
      <c r="B78" s="11" t="s">
        <v>71</v>
      </c>
      <c r="C78" s="3">
        <v>2</v>
      </c>
      <c r="D78" s="3">
        <v>6</v>
      </c>
      <c r="E78" s="11" t="s">
        <v>141</v>
      </c>
      <c r="F78" s="14">
        <v>704.69399999999996</v>
      </c>
      <c r="G78" s="14">
        <f t="shared" si="13"/>
        <v>3.7069999999999936</v>
      </c>
      <c r="H78" s="14">
        <f t="shared" si="7"/>
        <v>701.26350083752141</v>
      </c>
      <c r="I78" s="14">
        <f t="shared" si="8"/>
        <v>703.80793715053017</v>
      </c>
      <c r="J78" s="14">
        <f t="shared" si="9"/>
        <v>3.1255652114093886</v>
      </c>
      <c r="K78" s="14">
        <f t="shared" si="10"/>
        <v>0.95670805369127299</v>
      </c>
      <c r="L78" s="12" t="str">
        <f t="shared" si="11"/>
        <v>OOC</v>
      </c>
      <c r="M78" s="12" t="str">
        <f t="shared" si="12"/>
        <v/>
      </c>
    </row>
    <row r="79" spans="1:13" ht="31.5">
      <c r="A79" s="3">
        <v>71</v>
      </c>
      <c r="B79" s="11" t="s">
        <v>71</v>
      </c>
      <c r="C79" s="3">
        <v>2</v>
      </c>
      <c r="D79" s="3">
        <v>5</v>
      </c>
      <c r="E79" s="11" t="s">
        <v>142</v>
      </c>
      <c r="F79" s="14">
        <v>702.21299999999997</v>
      </c>
      <c r="G79" s="14">
        <f t="shared" si="13"/>
        <v>2.4809999999999945</v>
      </c>
      <c r="H79" s="14">
        <f t="shared" si="7"/>
        <v>701.26350083752141</v>
      </c>
      <c r="I79" s="14">
        <f t="shared" si="8"/>
        <v>703.80793715053017</v>
      </c>
      <c r="J79" s="14">
        <f t="shared" si="9"/>
        <v>3.1255652114093886</v>
      </c>
      <c r="K79" s="14">
        <f t="shared" si="10"/>
        <v>0.95670805369127299</v>
      </c>
      <c r="L79" s="12" t="str">
        <f t="shared" si="11"/>
        <v/>
      </c>
      <c r="M79" s="12" t="str">
        <f t="shared" si="12"/>
        <v/>
      </c>
    </row>
    <row r="80" spans="1:13" ht="31.5">
      <c r="A80" s="3">
        <v>72</v>
      </c>
      <c r="B80" s="11" t="s">
        <v>71</v>
      </c>
      <c r="C80" s="3">
        <v>2</v>
      </c>
      <c r="D80" s="3">
        <v>4</v>
      </c>
      <c r="E80" s="11" t="s">
        <v>143</v>
      </c>
      <c r="F80" s="14">
        <v>701.18299999999999</v>
      </c>
      <c r="G80" s="14">
        <f t="shared" si="13"/>
        <v>1.0299999999999727</v>
      </c>
      <c r="H80" s="14">
        <f t="shared" si="7"/>
        <v>701.26350083752141</v>
      </c>
      <c r="I80" s="14">
        <f t="shared" si="8"/>
        <v>703.80793715053017</v>
      </c>
      <c r="J80" s="14">
        <f t="shared" si="9"/>
        <v>3.1255652114093886</v>
      </c>
      <c r="K80" s="14">
        <f t="shared" si="10"/>
        <v>0.95670805369127299</v>
      </c>
      <c r="L80" s="12" t="str">
        <f t="shared" si="11"/>
        <v/>
      </c>
      <c r="M80" s="12" t="str">
        <f t="shared" si="12"/>
        <v/>
      </c>
    </row>
    <row r="81" spans="1:13" ht="31.5">
      <c r="A81" s="3">
        <v>73</v>
      </c>
      <c r="B81" s="11" t="s">
        <v>71</v>
      </c>
      <c r="C81" s="3">
        <v>2</v>
      </c>
      <c r="D81" s="3">
        <v>3</v>
      </c>
      <c r="E81" s="11" t="s">
        <v>144</v>
      </c>
      <c r="F81" s="14">
        <v>699.81299999999999</v>
      </c>
      <c r="G81" s="14">
        <f t="shared" si="13"/>
        <v>1.3700000000000045</v>
      </c>
      <c r="H81" s="14">
        <f t="shared" si="7"/>
        <v>701.26350083752141</v>
      </c>
      <c r="I81" s="14">
        <f t="shared" si="8"/>
        <v>703.80793715053017</v>
      </c>
      <c r="J81" s="14">
        <f t="shared" si="9"/>
        <v>3.1255652114093886</v>
      </c>
      <c r="K81" s="14">
        <f t="shared" si="10"/>
        <v>0.95670805369127299</v>
      </c>
      <c r="L81" s="12" t="str">
        <f t="shared" si="11"/>
        <v/>
      </c>
      <c r="M81" s="12" t="str">
        <f t="shared" si="12"/>
        <v/>
      </c>
    </row>
    <row r="82" spans="1:13" ht="31.5">
      <c r="A82" s="3">
        <v>74</v>
      </c>
      <c r="B82" s="11" t="s">
        <v>71</v>
      </c>
      <c r="C82" s="3">
        <v>2</v>
      </c>
      <c r="D82" s="3">
        <v>2</v>
      </c>
      <c r="E82" s="11" t="s">
        <v>145</v>
      </c>
      <c r="F82" s="14">
        <v>700.87099999999998</v>
      </c>
      <c r="G82" s="14">
        <f t="shared" si="13"/>
        <v>1.0579999999999927</v>
      </c>
      <c r="H82" s="14">
        <f t="shared" si="7"/>
        <v>701.26350083752141</v>
      </c>
      <c r="I82" s="14">
        <f t="shared" si="8"/>
        <v>703.80793715053017</v>
      </c>
      <c r="J82" s="14">
        <f t="shared" si="9"/>
        <v>3.1255652114093886</v>
      </c>
      <c r="K82" s="14">
        <f t="shared" si="10"/>
        <v>0.95670805369127299</v>
      </c>
      <c r="L82" s="12" t="str">
        <f t="shared" si="11"/>
        <v/>
      </c>
      <c r="M82" s="12" t="str">
        <f t="shared" si="12"/>
        <v/>
      </c>
    </row>
    <row r="83" spans="1:13" ht="31.5">
      <c r="A83" s="3">
        <v>75</v>
      </c>
      <c r="B83" s="11" t="s">
        <v>71</v>
      </c>
      <c r="C83" s="3">
        <v>2</v>
      </c>
      <c r="D83" s="3">
        <v>1</v>
      </c>
      <c r="E83" s="11" t="s">
        <v>146</v>
      </c>
      <c r="F83" s="14">
        <v>702.30499999999995</v>
      </c>
      <c r="G83" s="14">
        <f t="shared" si="13"/>
        <v>1.4339999999999691</v>
      </c>
      <c r="H83" s="14">
        <f t="shared" si="7"/>
        <v>701.26350083752141</v>
      </c>
      <c r="I83" s="14">
        <f t="shared" si="8"/>
        <v>703.80793715053017</v>
      </c>
      <c r="J83" s="14">
        <f t="shared" si="9"/>
        <v>3.1255652114093886</v>
      </c>
      <c r="K83" s="14">
        <f t="shared" si="10"/>
        <v>0.95670805369127299</v>
      </c>
      <c r="L83" s="12" t="str">
        <f t="shared" si="11"/>
        <v/>
      </c>
      <c r="M83" s="12" t="str">
        <f t="shared" si="12"/>
        <v/>
      </c>
    </row>
    <row r="84" spans="1:13" ht="31.5">
      <c r="A84" s="3">
        <v>76</v>
      </c>
      <c r="B84" s="11" t="s">
        <v>71</v>
      </c>
      <c r="C84" s="3">
        <v>2</v>
      </c>
      <c r="D84" s="3">
        <v>25</v>
      </c>
      <c r="E84" s="11" t="s">
        <v>147</v>
      </c>
      <c r="F84" s="14">
        <v>701.09400000000005</v>
      </c>
      <c r="G84" s="14">
        <f t="shared" si="13"/>
        <v>1.210999999999899</v>
      </c>
      <c r="H84" s="14">
        <f t="shared" si="7"/>
        <v>701.26350083752141</v>
      </c>
      <c r="I84" s="14">
        <f t="shared" si="8"/>
        <v>703.80793715053017</v>
      </c>
      <c r="J84" s="14">
        <f t="shared" si="9"/>
        <v>3.1255652114093886</v>
      </c>
      <c r="K84" s="14">
        <f t="shared" si="10"/>
        <v>0.95670805369127299</v>
      </c>
      <c r="L84" s="12" t="str">
        <f t="shared" si="11"/>
        <v/>
      </c>
      <c r="M84" s="12" t="str">
        <f t="shared" si="12"/>
        <v/>
      </c>
    </row>
    <row r="85" spans="1:13" ht="31.5">
      <c r="A85" s="3">
        <v>77</v>
      </c>
      <c r="B85" s="11" t="s">
        <v>71</v>
      </c>
      <c r="C85" s="3">
        <v>2</v>
      </c>
      <c r="D85" s="3">
        <v>24</v>
      </c>
      <c r="E85" s="11" t="s">
        <v>148</v>
      </c>
      <c r="F85" s="14">
        <v>700.16800000000001</v>
      </c>
      <c r="G85" s="14">
        <f t="shared" si="13"/>
        <v>0.92600000000004457</v>
      </c>
      <c r="H85" s="14">
        <f t="shared" si="7"/>
        <v>701.26350083752141</v>
      </c>
      <c r="I85" s="14">
        <f t="shared" si="8"/>
        <v>703.80793715053017</v>
      </c>
      <c r="J85" s="14">
        <f t="shared" si="9"/>
        <v>3.1255652114093886</v>
      </c>
      <c r="K85" s="14">
        <f t="shared" si="10"/>
        <v>0.95670805369127299</v>
      </c>
      <c r="L85" s="12" t="str">
        <f t="shared" si="11"/>
        <v/>
      </c>
      <c r="M85" s="12" t="str">
        <f t="shared" si="12"/>
        <v/>
      </c>
    </row>
    <row r="86" spans="1:13" ht="31.5">
      <c r="A86" s="3">
        <v>78</v>
      </c>
      <c r="B86" s="11" t="s">
        <v>71</v>
      </c>
      <c r="C86" s="3">
        <v>2</v>
      </c>
      <c r="D86" s="3">
        <v>23</v>
      </c>
      <c r="E86" s="11" t="s">
        <v>149</v>
      </c>
      <c r="F86" s="14">
        <v>700.43499999999995</v>
      </c>
      <c r="G86" s="14">
        <f t="shared" si="13"/>
        <v>0.26699999999993906</v>
      </c>
      <c r="H86" s="14">
        <f t="shared" si="7"/>
        <v>701.26350083752141</v>
      </c>
      <c r="I86" s="14">
        <f t="shared" si="8"/>
        <v>703.80793715053017</v>
      </c>
      <c r="J86" s="14">
        <f t="shared" si="9"/>
        <v>3.1255652114093886</v>
      </c>
      <c r="K86" s="14">
        <f t="shared" si="10"/>
        <v>0.95670805369127299</v>
      </c>
      <c r="L86" s="12" t="str">
        <f t="shared" si="11"/>
        <v/>
      </c>
      <c r="M86" s="12" t="str">
        <f t="shared" si="12"/>
        <v/>
      </c>
    </row>
    <row r="87" spans="1:13" ht="31.5">
      <c r="A87" s="3">
        <v>79</v>
      </c>
      <c r="B87" s="11" t="s">
        <v>71</v>
      </c>
      <c r="C87" s="3">
        <v>2</v>
      </c>
      <c r="D87" s="3">
        <v>22</v>
      </c>
      <c r="E87" s="11" t="s">
        <v>150</v>
      </c>
      <c r="F87" s="14">
        <v>700.18299999999999</v>
      </c>
      <c r="G87" s="14">
        <f t="shared" si="13"/>
        <v>0.25199999999995271</v>
      </c>
      <c r="H87" s="14">
        <f t="shared" si="7"/>
        <v>701.26350083752141</v>
      </c>
      <c r="I87" s="14">
        <f t="shared" si="8"/>
        <v>703.80793715053017</v>
      </c>
      <c r="J87" s="14">
        <f t="shared" si="9"/>
        <v>3.1255652114093886</v>
      </c>
      <c r="K87" s="14">
        <f t="shared" si="10"/>
        <v>0.95670805369127299</v>
      </c>
      <c r="L87" s="12" t="str">
        <f t="shared" si="11"/>
        <v/>
      </c>
      <c r="M87" s="12" t="str">
        <f t="shared" si="12"/>
        <v/>
      </c>
    </row>
    <row r="88" spans="1:13" ht="31.5">
      <c r="A88" s="3">
        <v>80</v>
      </c>
      <c r="B88" s="11" t="s">
        <v>71</v>
      </c>
      <c r="C88" s="3">
        <v>2</v>
      </c>
      <c r="D88" s="3">
        <v>21</v>
      </c>
      <c r="E88" s="11" t="s">
        <v>151</v>
      </c>
      <c r="F88" s="14">
        <v>701.15300000000002</v>
      </c>
      <c r="G88" s="14">
        <f t="shared" si="13"/>
        <v>0.97000000000002728</v>
      </c>
      <c r="H88" s="14">
        <f t="shared" si="7"/>
        <v>701.26350083752141</v>
      </c>
      <c r="I88" s="14">
        <f t="shared" si="8"/>
        <v>703.80793715053017</v>
      </c>
      <c r="J88" s="14">
        <f t="shared" si="9"/>
        <v>3.1255652114093886</v>
      </c>
      <c r="K88" s="14">
        <f t="shared" si="10"/>
        <v>0.95670805369127299</v>
      </c>
      <c r="L88" s="12" t="str">
        <f t="shared" si="11"/>
        <v/>
      </c>
      <c r="M88" s="12" t="str">
        <f t="shared" si="12"/>
        <v/>
      </c>
    </row>
    <row r="89" spans="1:13" ht="31.5">
      <c r="A89" s="3">
        <v>81</v>
      </c>
      <c r="B89" s="11" t="s">
        <v>71</v>
      </c>
      <c r="C89" s="3">
        <v>2</v>
      </c>
      <c r="D89" s="3">
        <v>20</v>
      </c>
      <c r="E89" s="11" t="s">
        <v>152</v>
      </c>
      <c r="F89" s="14">
        <v>701.1</v>
      </c>
      <c r="G89" s="14">
        <f t="shared" si="13"/>
        <v>5.2999999999997272E-2</v>
      </c>
      <c r="H89" s="14">
        <f t="shared" si="7"/>
        <v>701.26350083752141</v>
      </c>
      <c r="I89" s="14">
        <f t="shared" si="8"/>
        <v>703.80793715053017</v>
      </c>
      <c r="J89" s="14">
        <f t="shared" si="9"/>
        <v>3.1255652114093886</v>
      </c>
      <c r="K89" s="14">
        <f t="shared" si="10"/>
        <v>0.95670805369127299</v>
      </c>
      <c r="L89" s="12" t="str">
        <f t="shared" si="11"/>
        <v/>
      </c>
      <c r="M89" s="12" t="str">
        <f t="shared" si="12"/>
        <v/>
      </c>
    </row>
    <row r="90" spans="1:13" ht="31.5">
      <c r="A90" s="3">
        <v>82</v>
      </c>
      <c r="B90" s="11" t="s">
        <v>71</v>
      </c>
      <c r="C90" s="3">
        <v>2</v>
      </c>
      <c r="D90" s="3">
        <v>19</v>
      </c>
      <c r="E90" s="11" t="s">
        <v>153</v>
      </c>
      <c r="F90" s="14">
        <v>700.15899999999999</v>
      </c>
      <c r="G90" s="14">
        <f t="shared" si="13"/>
        <v>0.94100000000003092</v>
      </c>
      <c r="H90" s="14">
        <f t="shared" si="7"/>
        <v>701.26350083752141</v>
      </c>
      <c r="I90" s="14">
        <f t="shared" si="8"/>
        <v>703.80793715053017</v>
      </c>
      <c r="J90" s="14">
        <f t="shared" si="9"/>
        <v>3.1255652114093886</v>
      </c>
      <c r="K90" s="14">
        <f t="shared" si="10"/>
        <v>0.95670805369127299</v>
      </c>
      <c r="L90" s="12" t="str">
        <f t="shared" si="11"/>
        <v/>
      </c>
      <c r="M90" s="12" t="str">
        <f t="shared" si="12"/>
        <v/>
      </c>
    </row>
    <row r="91" spans="1:13" ht="31.5">
      <c r="A91" s="3">
        <v>83</v>
      </c>
      <c r="B91" s="11" t="s">
        <v>71</v>
      </c>
      <c r="C91" s="3">
        <v>2</v>
      </c>
      <c r="D91" s="3">
        <v>18</v>
      </c>
      <c r="E91" s="11" t="s">
        <v>154</v>
      </c>
      <c r="F91" s="14">
        <v>700.53</v>
      </c>
      <c r="G91" s="14">
        <f t="shared" si="13"/>
        <v>0.3709999999999809</v>
      </c>
      <c r="H91" s="14">
        <f t="shared" si="7"/>
        <v>701.26350083752141</v>
      </c>
      <c r="I91" s="14">
        <f t="shared" si="8"/>
        <v>703.80793715053017</v>
      </c>
      <c r="J91" s="14">
        <f t="shared" si="9"/>
        <v>3.1255652114093886</v>
      </c>
      <c r="K91" s="14">
        <f t="shared" si="10"/>
        <v>0.95670805369127299</v>
      </c>
      <c r="L91" s="12" t="str">
        <f t="shared" si="11"/>
        <v/>
      </c>
      <c r="M91" s="12" t="str">
        <f t="shared" si="12"/>
        <v/>
      </c>
    </row>
    <row r="92" spans="1:13" ht="31.5">
      <c r="A92" s="3">
        <v>84</v>
      </c>
      <c r="B92" s="11" t="s">
        <v>71</v>
      </c>
      <c r="C92" s="3">
        <v>2</v>
      </c>
      <c r="D92" s="3">
        <v>17</v>
      </c>
      <c r="E92" s="11" t="s">
        <v>155</v>
      </c>
      <c r="F92" s="14">
        <v>701.88699999999994</v>
      </c>
      <c r="G92" s="14">
        <f t="shared" si="13"/>
        <v>1.3569999999999709</v>
      </c>
      <c r="H92" s="14">
        <f t="shared" si="7"/>
        <v>701.26350083752141</v>
      </c>
      <c r="I92" s="14">
        <f t="shared" si="8"/>
        <v>703.80793715053017</v>
      </c>
      <c r="J92" s="14">
        <f t="shared" si="9"/>
        <v>3.1255652114093886</v>
      </c>
      <c r="K92" s="14">
        <f t="shared" si="10"/>
        <v>0.95670805369127299</v>
      </c>
      <c r="L92" s="12" t="str">
        <f t="shared" si="11"/>
        <v/>
      </c>
      <c r="M92" s="12" t="str">
        <f t="shared" si="12"/>
        <v/>
      </c>
    </row>
    <row r="93" spans="1:13" ht="31.5">
      <c r="A93" s="3">
        <v>85</v>
      </c>
      <c r="B93" s="11" t="s">
        <v>71</v>
      </c>
      <c r="C93" s="3">
        <v>2</v>
      </c>
      <c r="D93" s="3">
        <v>16</v>
      </c>
      <c r="E93" s="11" t="s">
        <v>156</v>
      </c>
      <c r="F93" s="14">
        <v>700.44</v>
      </c>
      <c r="G93" s="14">
        <f t="shared" si="13"/>
        <v>1.446999999999889</v>
      </c>
      <c r="H93" s="14">
        <f t="shared" si="7"/>
        <v>701.26350083752141</v>
      </c>
      <c r="I93" s="14">
        <f t="shared" si="8"/>
        <v>703.80793715053017</v>
      </c>
      <c r="J93" s="14">
        <f t="shared" si="9"/>
        <v>3.1255652114093886</v>
      </c>
      <c r="K93" s="14">
        <f t="shared" si="10"/>
        <v>0.95670805369127299</v>
      </c>
      <c r="L93" s="12" t="str">
        <f t="shared" si="11"/>
        <v/>
      </c>
      <c r="M93" s="12" t="str">
        <f t="shared" si="12"/>
        <v/>
      </c>
    </row>
    <row r="94" spans="1:13" ht="31.5">
      <c r="A94" s="3">
        <v>86</v>
      </c>
      <c r="B94" s="11" t="s">
        <v>71</v>
      </c>
      <c r="C94" s="3">
        <v>2</v>
      </c>
      <c r="D94" s="3">
        <v>15</v>
      </c>
      <c r="E94" s="11" t="s">
        <v>157</v>
      </c>
      <c r="F94" s="14">
        <v>701.08699999999999</v>
      </c>
      <c r="G94" s="14">
        <f t="shared" si="13"/>
        <v>0.64699999999993452</v>
      </c>
      <c r="H94" s="14">
        <f t="shared" si="7"/>
        <v>701.26350083752141</v>
      </c>
      <c r="I94" s="14">
        <f t="shared" si="8"/>
        <v>703.80793715053017</v>
      </c>
      <c r="J94" s="14">
        <f t="shared" si="9"/>
        <v>3.1255652114093886</v>
      </c>
      <c r="K94" s="14">
        <f t="shared" si="10"/>
        <v>0.95670805369127299</v>
      </c>
      <c r="L94" s="12" t="str">
        <f t="shared" si="11"/>
        <v/>
      </c>
      <c r="M94" s="12" t="str">
        <f t="shared" si="12"/>
        <v/>
      </c>
    </row>
    <row r="95" spans="1:13" ht="31.5">
      <c r="A95" s="3">
        <v>87</v>
      </c>
      <c r="B95" s="11" t="s">
        <v>71</v>
      </c>
      <c r="C95" s="3">
        <v>2</v>
      </c>
      <c r="D95" s="3">
        <v>14</v>
      </c>
      <c r="E95" s="11" t="s">
        <v>158</v>
      </c>
      <c r="F95" s="14">
        <v>700.12</v>
      </c>
      <c r="G95" s="14">
        <f t="shared" si="13"/>
        <v>0.96699999999998454</v>
      </c>
      <c r="H95" s="14">
        <f t="shared" si="7"/>
        <v>701.26350083752141</v>
      </c>
      <c r="I95" s="14">
        <f t="shared" si="8"/>
        <v>703.80793715053017</v>
      </c>
      <c r="J95" s="14">
        <f t="shared" si="9"/>
        <v>3.1255652114093886</v>
      </c>
      <c r="K95" s="14">
        <f t="shared" si="10"/>
        <v>0.95670805369127299</v>
      </c>
      <c r="L95" s="12" t="str">
        <f t="shared" si="11"/>
        <v/>
      </c>
      <c r="M95" s="12" t="str">
        <f t="shared" si="12"/>
        <v/>
      </c>
    </row>
    <row r="96" spans="1:13" ht="31.5">
      <c r="A96" s="3">
        <v>88</v>
      </c>
      <c r="B96" s="11" t="s">
        <v>71</v>
      </c>
      <c r="C96" s="3">
        <v>2</v>
      </c>
      <c r="D96" s="3">
        <v>13</v>
      </c>
      <c r="E96" s="11" t="s">
        <v>159</v>
      </c>
      <c r="F96" s="14">
        <v>700.10299999999995</v>
      </c>
      <c r="G96" s="14">
        <f t="shared" si="13"/>
        <v>1.7000000000052751E-2</v>
      </c>
      <c r="H96" s="14">
        <f t="shared" si="7"/>
        <v>701.26350083752141</v>
      </c>
      <c r="I96" s="14">
        <f t="shared" si="8"/>
        <v>703.80793715053017</v>
      </c>
      <c r="J96" s="14">
        <f t="shared" si="9"/>
        <v>3.1255652114093886</v>
      </c>
      <c r="K96" s="14">
        <f t="shared" si="10"/>
        <v>0.95670805369127299</v>
      </c>
      <c r="L96" s="12" t="str">
        <f t="shared" si="11"/>
        <v/>
      </c>
      <c r="M96" s="12" t="str">
        <f t="shared" si="12"/>
        <v/>
      </c>
    </row>
    <row r="97" spans="1:13" ht="31.5">
      <c r="A97" s="3">
        <v>89</v>
      </c>
      <c r="B97" s="11" t="s">
        <v>71</v>
      </c>
      <c r="C97" s="3">
        <v>2</v>
      </c>
      <c r="D97" s="3">
        <v>12</v>
      </c>
      <c r="E97" s="11" t="s">
        <v>160</v>
      </c>
      <c r="F97" s="14">
        <v>702.596</v>
      </c>
      <c r="G97" s="14">
        <f t="shared" si="13"/>
        <v>2.4930000000000518</v>
      </c>
      <c r="H97" s="14">
        <f t="shared" si="7"/>
        <v>701.26350083752141</v>
      </c>
      <c r="I97" s="14">
        <f t="shared" si="8"/>
        <v>703.80793715053017</v>
      </c>
      <c r="J97" s="14">
        <f t="shared" si="9"/>
        <v>3.1255652114093886</v>
      </c>
      <c r="K97" s="14">
        <f t="shared" si="10"/>
        <v>0.95670805369127299</v>
      </c>
      <c r="L97" s="12" t="str">
        <f t="shared" si="11"/>
        <v/>
      </c>
      <c r="M97" s="12" t="str">
        <f t="shared" si="12"/>
        <v/>
      </c>
    </row>
    <row r="98" spans="1:13" ht="31.5">
      <c r="A98" s="3">
        <v>90</v>
      </c>
      <c r="B98" s="11" t="s">
        <v>71</v>
      </c>
      <c r="C98" s="3">
        <v>2</v>
      </c>
      <c r="D98" s="3">
        <v>11</v>
      </c>
      <c r="E98" s="11" t="s">
        <v>161</v>
      </c>
      <c r="F98" s="14">
        <v>700.32100000000003</v>
      </c>
      <c r="G98" s="14">
        <f t="shared" si="13"/>
        <v>2.2749999999999773</v>
      </c>
      <c r="H98" s="14">
        <f t="shared" si="7"/>
        <v>701.26350083752141</v>
      </c>
      <c r="I98" s="14">
        <f t="shared" si="8"/>
        <v>703.80793715053017</v>
      </c>
      <c r="J98" s="14">
        <f t="shared" si="9"/>
        <v>3.1255652114093886</v>
      </c>
      <c r="K98" s="14">
        <f t="shared" si="10"/>
        <v>0.95670805369127299</v>
      </c>
      <c r="L98" s="12" t="str">
        <f t="shared" si="11"/>
        <v/>
      </c>
      <c r="M98" s="12" t="str">
        <f t="shared" si="12"/>
        <v/>
      </c>
    </row>
    <row r="99" spans="1:13" ht="31.5">
      <c r="A99" s="3">
        <v>91</v>
      </c>
      <c r="B99" s="11" t="s">
        <v>71</v>
      </c>
      <c r="C99" s="3">
        <v>2</v>
      </c>
      <c r="D99" s="3">
        <v>10</v>
      </c>
      <c r="E99" s="11" t="s">
        <v>162</v>
      </c>
      <c r="F99" s="14">
        <v>700.31799999999998</v>
      </c>
      <c r="G99" s="14">
        <f t="shared" si="13"/>
        <v>3.0000000000427463E-3</v>
      </c>
      <c r="H99" s="14">
        <f t="shared" si="7"/>
        <v>701.26350083752141</v>
      </c>
      <c r="I99" s="14">
        <f t="shared" si="8"/>
        <v>703.80793715053017</v>
      </c>
      <c r="J99" s="14">
        <f t="shared" si="9"/>
        <v>3.1255652114093886</v>
      </c>
      <c r="K99" s="14">
        <f t="shared" si="10"/>
        <v>0.95670805369127299</v>
      </c>
      <c r="L99" s="12" t="str">
        <f t="shared" si="11"/>
        <v/>
      </c>
      <c r="M99" s="12" t="str">
        <f t="shared" si="12"/>
        <v/>
      </c>
    </row>
    <row r="100" spans="1:13" ht="31.5">
      <c r="A100" s="3">
        <v>92</v>
      </c>
      <c r="B100" s="11" t="s">
        <v>71</v>
      </c>
      <c r="C100" s="3">
        <v>2</v>
      </c>
      <c r="D100" s="3">
        <v>9</v>
      </c>
      <c r="E100" s="11" t="s">
        <v>163</v>
      </c>
      <c r="F100" s="14">
        <v>699.86400000000003</v>
      </c>
      <c r="G100" s="14">
        <f t="shared" si="13"/>
        <v>0.45399999999995089</v>
      </c>
      <c r="H100" s="14">
        <f t="shared" si="7"/>
        <v>701.26350083752141</v>
      </c>
      <c r="I100" s="14">
        <f t="shared" si="8"/>
        <v>703.80793715053017</v>
      </c>
      <c r="J100" s="14">
        <f t="shared" si="9"/>
        <v>3.1255652114093886</v>
      </c>
      <c r="K100" s="14">
        <f t="shared" si="10"/>
        <v>0.95670805369127299</v>
      </c>
      <c r="L100" s="12" t="str">
        <f t="shared" si="11"/>
        <v/>
      </c>
      <c r="M100" s="12" t="str">
        <f t="shared" si="12"/>
        <v/>
      </c>
    </row>
    <row r="101" spans="1:13" ht="31.5">
      <c r="A101" s="3">
        <v>93</v>
      </c>
      <c r="B101" s="11" t="s">
        <v>71</v>
      </c>
      <c r="C101" s="3">
        <v>2</v>
      </c>
      <c r="D101" s="3">
        <v>8</v>
      </c>
      <c r="E101" s="11" t="s">
        <v>164</v>
      </c>
      <c r="F101" s="14">
        <v>700.19799999999998</v>
      </c>
      <c r="G101" s="14">
        <f t="shared" si="13"/>
        <v>0.33399999999994634</v>
      </c>
      <c r="H101" s="14">
        <f t="shared" si="7"/>
        <v>701.26350083752141</v>
      </c>
      <c r="I101" s="14">
        <f t="shared" si="8"/>
        <v>703.80793715053017</v>
      </c>
      <c r="J101" s="14">
        <f t="shared" si="9"/>
        <v>3.1255652114093886</v>
      </c>
      <c r="K101" s="14">
        <f t="shared" si="10"/>
        <v>0.95670805369127299</v>
      </c>
      <c r="L101" s="12" t="str">
        <f t="shared" si="11"/>
        <v/>
      </c>
      <c r="M101" s="12" t="str">
        <f t="shared" si="12"/>
        <v/>
      </c>
    </row>
    <row r="102" spans="1:13" ht="31.5">
      <c r="A102" s="3">
        <v>94</v>
      </c>
      <c r="B102" s="11" t="s">
        <v>71</v>
      </c>
      <c r="C102" s="3">
        <v>2</v>
      </c>
      <c r="D102" s="3">
        <v>7</v>
      </c>
      <c r="E102" s="11" t="s">
        <v>165</v>
      </c>
      <c r="F102" s="14">
        <v>701.09</v>
      </c>
      <c r="G102" s="14">
        <f t="shared" si="13"/>
        <v>0.89200000000005275</v>
      </c>
      <c r="H102" s="14">
        <f t="shared" si="7"/>
        <v>701.26350083752141</v>
      </c>
      <c r="I102" s="14">
        <f t="shared" si="8"/>
        <v>703.80793715053017</v>
      </c>
      <c r="J102" s="14">
        <f t="shared" si="9"/>
        <v>3.1255652114093886</v>
      </c>
      <c r="K102" s="14">
        <f t="shared" si="10"/>
        <v>0.95670805369127299</v>
      </c>
      <c r="L102" s="12" t="str">
        <f t="shared" si="11"/>
        <v/>
      </c>
      <c r="M102" s="12" t="str">
        <f t="shared" si="12"/>
        <v/>
      </c>
    </row>
    <row r="103" spans="1:13" ht="31.5">
      <c r="A103" s="3">
        <v>95</v>
      </c>
      <c r="B103" s="11" t="s">
        <v>71</v>
      </c>
      <c r="C103" s="3">
        <v>2</v>
      </c>
      <c r="D103" s="3">
        <v>6</v>
      </c>
      <c r="E103" s="11" t="s">
        <v>166</v>
      </c>
      <c r="F103" s="14">
        <v>702.21600000000001</v>
      </c>
      <c r="G103" s="14">
        <f t="shared" si="13"/>
        <v>1.1259999999999764</v>
      </c>
      <c r="H103" s="14">
        <f t="shared" si="7"/>
        <v>701.26350083752141</v>
      </c>
      <c r="I103" s="14">
        <f t="shared" si="8"/>
        <v>703.80793715053017</v>
      </c>
      <c r="J103" s="14">
        <f t="shared" si="9"/>
        <v>3.1255652114093886</v>
      </c>
      <c r="K103" s="14">
        <f t="shared" si="10"/>
        <v>0.95670805369127299</v>
      </c>
      <c r="L103" s="12" t="str">
        <f t="shared" si="11"/>
        <v/>
      </c>
      <c r="M103" s="12" t="str">
        <f t="shared" si="12"/>
        <v/>
      </c>
    </row>
    <row r="104" spans="1:13" ht="31.5">
      <c r="A104" s="3">
        <v>96</v>
      </c>
      <c r="B104" s="11" t="s">
        <v>71</v>
      </c>
      <c r="C104" s="3">
        <v>2</v>
      </c>
      <c r="D104" s="3">
        <v>5</v>
      </c>
      <c r="E104" s="11" t="s">
        <v>167</v>
      </c>
      <c r="F104" s="14">
        <v>700.66800000000001</v>
      </c>
      <c r="G104" s="14">
        <f t="shared" si="13"/>
        <v>1.5480000000000018</v>
      </c>
      <c r="H104" s="14">
        <f t="shared" si="7"/>
        <v>701.26350083752141</v>
      </c>
      <c r="I104" s="14">
        <f t="shared" si="8"/>
        <v>703.80793715053017</v>
      </c>
      <c r="J104" s="14">
        <f t="shared" si="9"/>
        <v>3.1255652114093886</v>
      </c>
      <c r="K104" s="14">
        <f t="shared" si="10"/>
        <v>0.95670805369127299</v>
      </c>
      <c r="L104" s="12" t="str">
        <f t="shared" si="11"/>
        <v/>
      </c>
      <c r="M104" s="12" t="str">
        <f t="shared" si="12"/>
        <v/>
      </c>
    </row>
    <row r="105" spans="1:13" ht="31.5">
      <c r="A105" s="3">
        <v>97</v>
      </c>
      <c r="B105" s="11" t="s">
        <v>71</v>
      </c>
      <c r="C105" s="3">
        <v>2</v>
      </c>
      <c r="D105" s="3">
        <v>4</v>
      </c>
      <c r="E105" s="11" t="s">
        <v>168</v>
      </c>
      <c r="F105" s="14">
        <v>701.24300000000005</v>
      </c>
      <c r="G105" s="14">
        <f t="shared" si="13"/>
        <v>0.57500000000004547</v>
      </c>
      <c r="H105" s="14">
        <f t="shared" si="7"/>
        <v>701.26350083752141</v>
      </c>
      <c r="I105" s="14">
        <f t="shared" si="8"/>
        <v>703.80793715053017</v>
      </c>
      <c r="J105" s="14">
        <f t="shared" si="9"/>
        <v>3.1255652114093886</v>
      </c>
      <c r="K105" s="14">
        <f t="shared" si="10"/>
        <v>0.95670805369127299</v>
      </c>
      <c r="L105" s="12" t="str">
        <f t="shared" si="11"/>
        <v/>
      </c>
      <c r="M105" s="12" t="str">
        <f t="shared" si="12"/>
        <v/>
      </c>
    </row>
    <row r="106" spans="1:13" ht="31.5">
      <c r="A106" s="3">
        <v>98</v>
      </c>
      <c r="B106" s="11" t="s">
        <v>71</v>
      </c>
      <c r="C106" s="3">
        <v>2</v>
      </c>
      <c r="D106" s="3">
        <v>3</v>
      </c>
      <c r="E106" s="11" t="s">
        <v>169</v>
      </c>
      <c r="F106" s="14">
        <v>702.04200000000003</v>
      </c>
      <c r="G106" s="14">
        <f t="shared" si="13"/>
        <v>0.79899999999997817</v>
      </c>
      <c r="H106" s="14">
        <f t="shared" si="7"/>
        <v>701.26350083752141</v>
      </c>
      <c r="I106" s="14">
        <f t="shared" si="8"/>
        <v>703.80793715053017</v>
      </c>
      <c r="J106" s="14">
        <f t="shared" si="9"/>
        <v>3.1255652114093886</v>
      </c>
      <c r="K106" s="14">
        <f t="shared" si="10"/>
        <v>0.95670805369127299</v>
      </c>
      <c r="L106" s="12" t="str">
        <f t="shared" si="11"/>
        <v/>
      </c>
      <c r="M106" s="12" t="str">
        <f t="shared" si="12"/>
        <v/>
      </c>
    </row>
    <row r="107" spans="1:13" ht="31.5">
      <c r="A107" s="3">
        <v>99</v>
      </c>
      <c r="B107" s="11" t="s">
        <v>71</v>
      </c>
      <c r="C107" s="3">
        <v>2</v>
      </c>
      <c r="D107" s="3">
        <v>2</v>
      </c>
      <c r="E107" s="11" t="s">
        <v>170</v>
      </c>
      <c r="F107" s="14">
        <v>700.75400000000002</v>
      </c>
      <c r="G107" s="14">
        <f t="shared" si="13"/>
        <v>1.2880000000000109</v>
      </c>
      <c r="H107" s="14">
        <f t="shared" si="7"/>
        <v>701.26350083752141</v>
      </c>
      <c r="I107" s="14">
        <f t="shared" si="8"/>
        <v>703.80793715053017</v>
      </c>
      <c r="J107" s="14">
        <f t="shared" si="9"/>
        <v>3.1255652114093886</v>
      </c>
      <c r="K107" s="14">
        <f t="shared" si="10"/>
        <v>0.95670805369127299</v>
      </c>
      <c r="L107" s="12" t="str">
        <f t="shared" si="11"/>
        <v/>
      </c>
      <c r="M107" s="12" t="str">
        <f t="shared" si="12"/>
        <v/>
      </c>
    </row>
    <row r="108" spans="1:13" ht="31.5">
      <c r="A108" s="3">
        <v>100</v>
      </c>
      <c r="B108" s="11" t="s">
        <v>71</v>
      </c>
      <c r="C108" s="3">
        <v>2</v>
      </c>
      <c r="D108" s="3">
        <v>1</v>
      </c>
      <c r="E108" s="11" t="s">
        <v>171</v>
      </c>
      <c r="F108" s="14">
        <v>702.64200000000005</v>
      </c>
      <c r="G108" s="14">
        <f t="shared" si="13"/>
        <v>1.8880000000000337</v>
      </c>
      <c r="H108" s="14">
        <f t="shared" si="7"/>
        <v>701.26350083752141</v>
      </c>
      <c r="I108" s="14">
        <f t="shared" si="8"/>
        <v>703.80793715053017</v>
      </c>
      <c r="J108" s="14">
        <f t="shared" si="9"/>
        <v>3.1255652114093886</v>
      </c>
      <c r="K108" s="14">
        <f t="shared" si="10"/>
        <v>0.95670805369127299</v>
      </c>
      <c r="L108" s="12" t="str">
        <f t="shared" si="11"/>
        <v/>
      </c>
      <c r="M108" s="12" t="str">
        <f t="shared" si="12"/>
        <v/>
      </c>
    </row>
    <row r="109" spans="1:13" ht="31.5">
      <c r="A109" s="3">
        <v>101</v>
      </c>
      <c r="B109" s="11" t="s">
        <v>71</v>
      </c>
      <c r="C109" s="3">
        <v>3</v>
      </c>
      <c r="D109" s="3">
        <v>25</v>
      </c>
      <c r="E109" s="11" t="s">
        <v>172</v>
      </c>
      <c r="F109" s="14">
        <v>701.61900000000003</v>
      </c>
      <c r="G109" s="14">
        <f t="shared" si="13"/>
        <v>1.0230000000000246</v>
      </c>
      <c r="H109" s="14">
        <f t="shared" si="7"/>
        <v>701.26350083752141</v>
      </c>
      <c r="I109" s="14">
        <f t="shared" si="8"/>
        <v>703.80793715053017</v>
      </c>
      <c r="J109" s="14">
        <f t="shared" si="9"/>
        <v>3.1255652114093886</v>
      </c>
      <c r="K109" s="14">
        <f t="shared" si="10"/>
        <v>0.95670805369127299</v>
      </c>
      <c r="L109" s="12" t="str">
        <f t="shared" si="11"/>
        <v/>
      </c>
      <c r="M109" s="12" t="str">
        <f t="shared" si="12"/>
        <v/>
      </c>
    </row>
    <row r="110" spans="1:13" ht="31.5">
      <c r="A110" s="3">
        <v>102</v>
      </c>
      <c r="B110" s="11" t="s">
        <v>71</v>
      </c>
      <c r="C110" s="3">
        <v>3</v>
      </c>
      <c r="D110" s="3">
        <v>24</v>
      </c>
      <c r="E110" s="11" t="s">
        <v>173</v>
      </c>
      <c r="F110" s="14">
        <v>701.38099999999997</v>
      </c>
      <c r="G110" s="14">
        <f t="shared" si="13"/>
        <v>0.23800000000005639</v>
      </c>
      <c r="H110" s="14">
        <f t="shared" si="7"/>
        <v>701.26350083752141</v>
      </c>
      <c r="I110" s="14">
        <f t="shared" si="8"/>
        <v>703.80793715053017</v>
      </c>
      <c r="J110" s="14">
        <f t="shared" si="9"/>
        <v>3.1255652114093886</v>
      </c>
      <c r="K110" s="14">
        <f t="shared" si="10"/>
        <v>0.95670805369127299</v>
      </c>
      <c r="L110" s="12" t="str">
        <f t="shared" si="11"/>
        <v/>
      </c>
      <c r="M110" s="12" t="str">
        <f t="shared" si="12"/>
        <v/>
      </c>
    </row>
    <row r="111" spans="1:13" ht="31.5">
      <c r="A111" s="3">
        <v>103</v>
      </c>
      <c r="B111" s="11" t="s">
        <v>71</v>
      </c>
      <c r="C111" s="3">
        <v>3</v>
      </c>
      <c r="D111" s="3">
        <v>23</v>
      </c>
      <c r="E111" s="11" t="s">
        <v>174</v>
      </c>
      <c r="F111" s="14">
        <v>702.67</v>
      </c>
      <c r="G111" s="14">
        <f t="shared" si="13"/>
        <v>1.2889999999999873</v>
      </c>
      <c r="H111" s="14">
        <f t="shared" si="7"/>
        <v>701.26350083752141</v>
      </c>
      <c r="I111" s="14">
        <f t="shared" si="8"/>
        <v>703.80793715053017</v>
      </c>
      <c r="J111" s="14">
        <f t="shared" si="9"/>
        <v>3.1255652114093886</v>
      </c>
      <c r="K111" s="14">
        <f t="shared" si="10"/>
        <v>0.95670805369127299</v>
      </c>
      <c r="L111" s="12" t="str">
        <f t="shared" si="11"/>
        <v/>
      </c>
      <c r="M111" s="12" t="str">
        <f t="shared" si="12"/>
        <v/>
      </c>
    </row>
    <row r="112" spans="1:13" ht="31.5">
      <c r="A112" s="3">
        <v>104</v>
      </c>
      <c r="B112" s="11" t="s">
        <v>71</v>
      </c>
      <c r="C112" s="3">
        <v>3</v>
      </c>
      <c r="D112" s="3">
        <v>22</v>
      </c>
      <c r="E112" s="11" t="s">
        <v>175</v>
      </c>
      <c r="F112" s="14">
        <v>702.572</v>
      </c>
      <c r="G112" s="14">
        <f t="shared" si="13"/>
        <v>9.7999999999956344E-2</v>
      </c>
      <c r="H112" s="14">
        <f t="shared" si="7"/>
        <v>701.26350083752141</v>
      </c>
      <c r="I112" s="14">
        <f t="shared" si="8"/>
        <v>703.80793715053017</v>
      </c>
      <c r="J112" s="14">
        <f t="shared" si="9"/>
        <v>3.1255652114093886</v>
      </c>
      <c r="K112" s="14">
        <f t="shared" si="10"/>
        <v>0.95670805369127299</v>
      </c>
      <c r="L112" s="12" t="str">
        <f t="shared" si="11"/>
        <v/>
      </c>
      <c r="M112" s="12" t="str">
        <f t="shared" si="12"/>
        <v/>
      </c>
    </row>
    <row r="113" spans="1:13" ht="31.5">
      <c r="A113" s="3">
        <v>105</v>
      </c>
      <c r="B113" s="11" t="s">
        <v>71</v>
      </c>
      <c r="C113" s="3">
        <v>3</v>
      </c>
      <c r="D113" s="3">
        <v>21</v>
      </c>
      <c r="E113" s="11" t="s">
        <v>176</v>
      </c>
      <c r="F113" s="14">
        <v>703.17</v>
      </c>
      <c r="G113" s="14">
        <f t="shared" si="13"/>
        <v>0.59799999999995634</v>
      </c>
      <c r="H113" s="14">
        <f t="shared" si="7"/>
        <v>701.26350083752141</v>
      </c>
      <c r="I113" s="14">
        <f t="shared" si="8"/>
        <v>703.80793715053017</v>
      </c>
      <c r="J113" s="14">
        <f t="shared" si="9"/>
        <v>3.1255652114093886</v>
      </c>
      <c r="K113" s="14">
        <f t="shared" si="10"/>
        <v>0.95670805369127299</v>
      </c>
      <c r="L113" s="12" t="str">
        <f t="shared" si="11"/>
        <v/>
      </c>
      <c r="M113" s="12" t="str">
        <f t="shared" si="12"/>
        <v/>
      </c>
    </row>
    <row r="114" spans="1:13" ht="31.5">
      <c r="A114" s="3">
        <v>106</v>
      </c>
      <c r="B114" s="11" t="s">
        <v>71</v>
      </c>
      <c r="C114" s="3">
        <v>3</v>
      </c>
      <c r="D114" s="3">
        <v>20</v>
      </c>
      <c r="E114" s="11" t="s">
        <v>177</v>
      </c>
      <c r="F114" s="14">
        <v>701.74699999999996</v>
      </c>
      <c r="G114" s="14">
        <f t="shared" si="13"/>
        <v>1.4230000000000018</v>
      </c>
      <c r="H114" s="14">
        <f t="shared" si="7"/>
        <v>701.26350083752141</v>
      </c>
      <c r="I114" s="14">
        <f t="shared" si="8"/>
        <v>703.80793715053017</v>
      </c>
      <c r="J114" s="14">
        <f t="shared" si="9"/>
        <v>3.1255652114093886</v>
      </c>
      <c r="K114" s="14">
        <f t="shared" si="10"/>
        <v>0.95670805369127299</v>
      </c>
      <c r="L114" s="12" t="str">
        <f t="shared" si="11"/>
        <v/>
      </c>
      <c r="M114" s="12" t="str">
        <f t="shared" si="12"/>
        <v/>
      </c>
    </row>
    <row r="115" spans="1:13" ht="31.5">
      <c r="A115" s="3">
        <v>107</v>
      </c>
      <c r="B115" s="11" t="s">
        <v>71</v>
      </c>
      <c r="C115" s="3">
        <v>3</v>
      </c>
      <c r="D115" s="3">
        <v>19</v>
      </c>
      <c r="E115" s="11" t="s">
        <v>178</v>
      </c>
      <c r="F115" s="14">
        <v>702.15899999999999</v>
      </c>
      <c r="G115" s="14">
        <f t="shared" si="13"/>
        <v>0.41200000000003456</v>
      </c>
      <c r="H115" s="14">
        <f t="shared" si="7"/>
        <v>701.26350083752141</v>
      </c>
      <c r="I115" s="14">
        <f t="shared" si="8"/>
        <v>703.80793715053017</v>
      </c>
      <c r="J115" s="14">
        <f t="shared" si="9"/>
        <v>3.1255652114093886</v>
      </c>
      <c r="K115" s="14">
        <f t="shared" si="10"/>
        <v>0.95670805369127299</v>
      </c>
      <c r="L115" s="12" t="str">
        <f t="shared" si="11"/>
        <v/>
      </c>
      <c r="M115" s="12" t="str">
        <f t="shared" si="12"/>
        <v/>
      </c>
    </row>
    <row r="116" spans="1:13" ht="31.5">
      <c r="A116" s="3">
        <v>108</v>
      </c>
      <c r="B116" s="11" t="s">
        <v>71</v>
      </c>
      <c r="C116" s="3">
        <v>3</v>
      </c>
      <c r="D116" s="3">
        <v>18</v>
      </c>
      <c r="E116" s="11" t="s">
        <v>179</v>
      </c>
      <c r="F116" s="14">
        <v>702.27599999999995</v>
      </c>
      <c r="G116" s="14">
        <f t="shared" si="13"/>
        <v>0.1169999999999618</v>
      </c>
      <c r="H116" s="14">
        <f t="shared" si="7"/>
        <v>701.26350083752141</v>
      </c>
      <c r="I116" s="14">
        <f t="shared" si="8"/>
        <v>703.80793715053017</v>
      </c>
      <c r="J116" s="14">
        <f t="shared" si="9"/>
        <v>3.1255652114093886</v>
      </c>
      <c r="K116" s="14">
        <f t="shared" si="10"/>
        <v>0.95670805369127299</v>
      </c>
      <c r="L116" s="12" t="str">
        <f t="shared" si="11"/>
        <v/>
      </c>
      <c r="M116" s="12" t="str">
        <f t="shared" si="12"/>
        <v/>
      </c>
    </row>
    <row r="117" spans="1:13" ht="31.5">
      <c r="A117" s="3">
        <v>109</v>
      </c>
      <c r="B117" s="11" t="s">
        <v>71</v>
      </c>
      <c r="C117" s="3">
        <v>3</v>
      </c>
      <c r="D117" s="3">
        <v>17</v>
      </c>
      <c r="E117" s="11" t="s">
        <v>180</v>
      </c>
      <c r="F117" s="14">
        <v>698.22500000000002</v>
      </c>
      <c r="G117" s="14">
        <f t="shared" si="13"/>
        <v>4.0509999999999309</v>
      </c>
      <c r="H117" s="14">
        <f t="shared" si="7"/>
        <v>701.26350083752141</v>
      </c>
      <c r="I117" s="14">
        <f t="shared" si="8"/>
        <v>703.80793715053017</v>
      </c>
      <c r="J117" s="14">
        <f t="shared" si="9"/>
        <v>3.1255652114093886</v>
      </c>
      <c r="K117" s="14">
        <f t="shared" si="10"/>
        <v>0.95670805369127299</v>
      </c>
      <c r="L117" s="12" t="str">
        <f t="shared" si="11"/>
        <v/>
      </c>
      <c r="M117" s="12" t="str">
        <f t="shared" si="12"/>
        <v/>
      </c>
    </row>
    <row r="118" spans="1:13" ht="31.5">
      <c r="A118" s="3">
        <v>110</v>
      </c>
      <c r="B118" s="11" t="s">
        <v>71</v>
      </c>
      <c r="C118" s="3">
        <v>3</v>
      </c>
      <c r="D118" s="3">
        <v>16</v>
      </c>
      <c r="E118" s="11" t="s">
        <v>181</v>
      </c>
      <c r="F118" s="14">
        <v>702.31200000000001</v>
      </c>
      <c r="G118" s="14">
        <f t="shared" si="13"/>
        <v>4.0869999999999891</v>
      </c>
      <c r="H118" s="14">
        <f t="shared" si="7"/>
        <v>701.26350083752141</v>
      </c>
      <c r="I118" s="14">
        <f t="shared" si="8"/>
        <v>703.80793715053017</v>
      </c>
      <c r="J118" s="14">
        <f t="shared" si="9"/>
        <v>3.1255652114093886</v>
      </c>
      <c r="K118" s="14">
        <f t="shared" si="10"/>
        <v>0.95670805369127299</v>
      </c>
      <c r="L118" s="12" t="str">
        <f t="shared" si="11"/>
        <v/>
      </c>
      <c r="M118" s="12" t="str">
        <f t="shared" si="12"/>
        <v/>
      </c>
    </row>
    <row r="119" spans="1:13" ht="31.5">
      <c r="A119" s="3">
        <v>111</v>
      </c>
      <c r="B119" s="11" t="s">
        <v>71</v>
      </c>
      <c r="C119" s="3">
        <v>3</v>
      </c>
      <c r="D119" s="3">
        <v>15</v>
      </c>
      <c r="E119" s="11" t="s">
        <v>182</v>
      </c>
      <c r="F119" s="14">
        <v>703.35400000000004</v>
      </c>
      <c r="G119" s="14">
        <f t="shared" si="13"/>
        <v>1.04200000000003</v>
      </c>
      <c r="H119" s="14">
        <f t="shared" si="7"/>
        <v>701.26350083752141</v>
      </c>
      <c r="I119" s="14">
        <f t="shared" si="8"/>
        <v>703.80793715053017</v>
      </c>
      <c r="J119" s="14">
        <f t="shared" si="9"/>
        <v>3.1255652114093886</v>
      </c>
      <c r="K119" s="14">
        <f t="shared" si="10"/>
        <v>0.95670805369127299</v>
      </c>
      <c r="L119" s="12" t="str">
        <f t="shared" si="11"/>
        <v/>
      </c>
      <c r="M119" s="12" t="str">
        <f t="shared" si="12"/>
        <v/>
      </c>
    </row>
    <row r="120" spans="1:13" ht="31.5">
      <c r="A120" s="3">
        <v>112</v>
      </c>
      <c r="B120" s="11" t="s">
        <v>71</v>
      </c>
      <c r="C120" s="3">
        <v>3</v>
      </c>
      <c r="D120" s="3">
        <v>14</v>
      </c>
      <c r="E120" s="11" t="s">
        <v>183</v>
      </c>
      <c r="F120" s="14">
        <v>702.14800000000002</v>
      </c>
      <c r="G120" s="14">
        <f t="shared" si="13"/>
        <v>1.2060000000000173</v>
      </c>
      <c r="H120" s="14">
        <f t="shared" si="7"/>
        <v>701.26350083752141</v>
      </c>
      <c r="I120" s="14">
        <f t="shared" si="8"/>
        <v>703.80793715053017</v>
      </c>
      <c r="J120" s="14">
        <f t="shared" si="9"/>
        <v>3.1255652114093886</v>
      </c>
      <c r="K120" s="14">
        <f t="shared" si="10"/>
        <v>0.95670805369127299</v>
      </c>
      <c r="L120" s="12" t="str">
        <f t="shared" si="11"/>
        <v/>
      </c>
      <c r="M120" s="12" t="str">
        <f t="shared" si="12"/>
        <v/>
      </c>
    </row>
    <row r="121" spans="1:13" ht="31.5">
      <c r="A121" s="3">
        <v>113</v>
      </c>
      <c r="B121" s="11" t="s">
        <v>71</v>
      </c>
      <c r="C121" s="3">
        <v>3</v>
      </c>
      <c r="D121" s="3">
        <v>13</v>
      </c>
      <c r="E121" s="11" t="s">
        <v>184</v>
      </c>
      <c r="F121" s="14">
        <v>701.80799999999999</v>
      </c>
      <c r="G121" s="14">
        <f t="shared" si="13"/>
        <v>0.34000000000003183</v>
      </c>
      <c r="H121" s="14">
        <f t="shared" si="7"/>
        <v>701.26350083752141</v>
      </c>
      <c r="I121" s="14">
        <f t="shared" si="8"/>
        <v>703.80793715053017</v>
      </c>
      <c r="J121" s="14">
        <f t="shared" si="9"/>
        <v>3.1255652114093886</v>
      </c>
      <c r="K121" s="14">
        <f t="shared" si="10"/>
        <v>0.95670805369127299</v>
      </c>
      <c r="L121" s="12" t="str">
        <f t="shared" si="11"/>
        <v/>
      </c>
      <c r="M121" s="12" t="str">
        <f t="shared" si="12"/>
        <v/>
      </c>
    </row>
    <row r="122" spans="1:13" ht="31.5">
      <c r="A122" s="3">
        <v>114</v>
      </c>
      <c r="B122" s="11" t="s">
        <v>71</v>
      </c>
      <c r="C122" s="3">
        <v>3</v>
      </c>
      <c r="D122" s="3">
        <v>12</v>
      </c>
      <c r="E122" s="11" t="s">
        <v>185</v>
      </c>
      <c r="F122" s="14">
        <v>700.57399999999996</v>
      </c>
      <c r="G122" s="14">
        <f t="shared" si="13"/>
        <v>1.2340000000000373</v>
      </c>
      <c r="H122" s="14">
        <f t="shared" si="7"/>
        <v>701.26350083752141</v>
      </c>
      <c r="I122" s="14">
        <f t="shared" si="8"/>
        <v>703.80793715053017</v>
      </c>
      <c r="J122" s="14">
        <f t="shared" si="9"/>
        <v>3.1255652114093886</v>
      </c>
      <c r="K122" s="14">
        <f t="shared" si="10"/>
        <v>0.95670805369127299</v>
      </c>
      <c r="L122" s="12" t="str">
        <f t="shared" si="11"/>
        <v/>
      </c>
      <c r="M122" s="12" t="str">
        <f t="shared" si="12"/>
        <v/>
      </c>
    </row>
    <row r="123" spans="1:13" ht="31.5">
      <c r="A123" s="3">
        <v>115</v>
      </c>
      <c r="B123" s="11" t="s">
        <v>71</v>
      </c>
      <c r="C123" s="3">
        <v>3</v>
      </c>
      <c r="D123" s="3">
        <v>11</v>
      </c>
      <c r="E123" s="11" t="s">
        <v>186</v>
      </c>
      <c r="F123" s="14">
        <v>700.03200000000004</v>
      </c>
      <c r="G123" s="14">
        <f t="shared" si="13"/>
        <v>0.54199999999991633</v>
      </c>
      <c r="H123" s="14">
        <f t="shared" si="7"/>
        <v>701.26350083752141</v>
      </c>
      <c r="I123" s="14">
        <f t="shared" si="8"/>
        <v>703.80793715053017</v>
      </c>
      <c r="J123" s="14">
        <f t="shared" si="9"/>
        <v>3.1255652114093886</v>
      </c>
      <c r="K123" s="14">
        <f t="shared" si="10"/>
        <v>0.95670805369127299</v>
      </c>
      <c r="L123" s="12" t="str">
        <f t="shared" si="11"/>
        <v/>
      </c>
      <c r="M123" s="12" t="str">
        <f t="shared" si="12"/>
        <v/>
      </c>
    </row>
    <row r="124" spans="1:13" ht="31.5">
      <c r="A124" s="3">
        <v>116</v>
      </c>
      <c r="B124" s="11" t="s">
        <v>71</v>
      </c>
      <c r="C124" s="3">
        <v>3</v>
      </c>
      <c r="D124" s="3">
        <v>10</v>
      </c>
      <c r="E124" s="11" t="s">
        <v>187</v>
      </c>
      <c r="F124" s="14">
        <v>703.14300000000003</v>
      </c>
      <c r="G124" s="14">
        <f t="shared" si="13"/>
        <v>3.11099999999999</v>
      </c>
      <c r="H124" s="14">
        <f t="shared" si="7"/>
        <v>701.26350083752141</v>
      </c>
      <c r="I124" s="14">
        <f t="shared" si="8"/>
        <v>703.80793715053017</v>
      </c>
      <c r="J124" s="14">
        <f t="shared" si="9"/>
        <v>3.1255652114093886</v>
      </c>
      <c r="K124" s="14">
        <f t="shared" si="10"/>
        <v>0.95670805369127299</v>
      </c>
      <c r="L124" s="12" t="str">
        <f t="shared" si="11"/>
        <v/>
      </c>
      <c r="M124" s="12" t="str">
        <f t="shared" si="12"/>
        <v/>
      </c>
    </row>
    <row r="125" spans="1:13" ht="31.5">
      <c r="A125" s="3">
        <v>117</v>
      </c>
      <c r="B125" s="11" t="s">
        <v>71</v>
      </c>
      <c r="C125" s="3">
        <v>3</v>
      </c>
      <c r="D125" s="3">
        <v>9</v>
      </c>
      <c r="E125" s="11" t="s">
        <v>188</v>
      </c>
      <c r="F125" s="14">
        <v>702.47900000000004</v>
      </c>
      <c r="G125" s="14">
        <f t="shared" si="13"/>
        <v>0.66399999999998727</v>
      </c>
      <c r="H125" s="14">
        <f t="shared" si="7"/>
        <v>701.26350083752141</v>
      </c>
      <c r="I125" s="14">
        <f t="shared" si="8"/>
        <v>703.80793715053017</v>
      </c>
      <c r="J125" s="14">
        <f t="shared" si="9"/>
        <v>3.1255652114093886</v>
      </c>
      <c r="K125" s="14">
        <f t="shared" si="10"/>
        <v>0.95670805369127299</v>
      </c>
      <c r="L125" s="12" t="str">
        <f t="shared" si="11"/>
        <v/>
      </c>
      <c r="M125" s="12" t="str">
        <f t="shared" si="12"/>
        <v/>
      </c>
    </row>
    <row r="126" spans="1:13" ht="31.5">
      <c r="A126" s="3">
        <v>118</v>
      </c>
      <c r="B126" s="11" t="s">
        <v>71</v>
      </c>
      <c r="C126" s="3">
        <v>3</v>
      </c>
      <c r="D126" s="3">
        <v>8</v>
      </c>
      <c r="E126" s="11" t="s">
        <v>189</v>
      </c>
      <c r="F126" s="14">
        <v>701.81100000000004</v>
      </c>
      <c r="G126" s="14">
        <f t="shared" si="13"/>
        <v>0.66800000000000637</v>
      </c>
      <c r="H126" s="14">
        <f t="shared" si="7"/>
        <v>701.26350083752141</v>
      </c>
      <c r="I126" s="14">
        <f t="shared" si="8"/>
        <v>703.80793715053017</v>
      </c>
      <c r="J126" s="14">
        <f t="shared" si="9"/>
        <v>3.1255652114093886</v>
      </c>
      <c r="K126" s="14">
        <f t="shared" si="10"/>
        <v>0.95670805369127299</v>
      </c>
      <c r="L126" s="12" t="str">
        <f t="shared" si="11"/>
        <v/>
      </c>
      <c r="M126" s="12" t="str">
        <f t="shared" si="12"/>
        <v/>
      </c>
    </row>
    <row r="127" spans="1:13" ht="31.5">
      <c r="A127" s="3">
        <v>119</v>
      </c>
      <c r="B127" s="11" t="s">
        <v>71</v>
      </c>
      <c r="C127" s="3">
        <v>3</v>
      </c>
      <c r="D127" s="3">
        <v>7</v>
      </c>
      <c r="E127" s="11" t="s">
        <v>190</v>
      </c>
      <c r="F127" s="14">
        <v>701.43499999999995</v>
      </c>
      <c r="G127" s="14">
        <f t="shared" si="13"/>
        <v>0.37600000000009004</v>
      </c>
      <c r="H127" s="14">
        <f t="shared" si="7"/>
        <v>701.26350083752141</v>
      </c>
      <c r="I127" s="14">
        <f t="shared" si="8"/>
        <v>703.80793715053017</v>
      </c>
      <c r="J127" s="14">
        <f t="shared" si="9"/>
        <v>3.1255652114093886</v>
      </c>
      <c r="K127" s="14">
        <f t="shared" si="10"/>
        <v>0.95670805369127299</v>
      </c>
      <c r="L127" s="12" t="str">
        <f t="shared" si="11"/>
        <v/>
      </c>
      <c r="M127" s="12" t="str">
        <f t="shared" si="12"/>
        <v/>
      </c>
    </row>
    <row r="128" spans="1:13" ht="31.5">
      <c r="A128" s="3">
        <v>120</v>
      </c>
      <c r="B128" s="11" t="s">
        <v>71</v>
      </c>
      <c r="C128" s="3">
        <v>3</v>
      </c>
      <c r="D128" s="3">
        <v>6</v>
      </c>
      <c r="E128" s="11" t="s">
        <v>191</v>
      </c>
      <c r="F128" s="14">
        <v>702.41300000000001</v>
      </c>
      <c r="G128" s="14">
        <f t="shared" si="13"/>
        <v>0.97800000000006548</v>
      </c>
      <c r="H128" s="14">
        <f t="shared" si="7"/>
        <v>701.26350083752141</v>
      </c>
      <c r="I128" s="14">
        <f t="shared" si="8"/>
        <v>703.80793715053017</v>
      </c>
      <c r="J128" s="14">
        <f t="shared" si="9"/>
        <v>3.1255652114093886</v>
      </c>
      <c r="K128" s="14">
        <f t="shared" si="10"/>
        <v>0.95670805369127299</v>
      </c>
      <c r="L128" s="12" t="str">
        <f t="shared" si="11"/>
        <v/>
      </c>
      <c r="M128" s="12" t="str">
        <f t="shared" si="12"/>
        <v/>
      </c>
    </row>
    <row r="129" spans="1:13" ht="31.5">
      <c r="A129" s="3">
        <v>121</v>
      </c>
      <c r="B129" s="11" t="s">
        <v>71</v>
      </c>
      <c r="C129" s="3">
        <v>3</v>
      </c>
      <c r="D129" s="3">
        <v>5</v>
      </c>
      <c r="E129" s="11" t="s">
        <v>192</v>
      </c>
      <c r="F129" s="14">
        <v>702.41899999999998</v>
      </c>
      <c r="G129" s="14">
        <f t="shared" si="13"/>
        <v>5.9999999999718057E-3</v>
      </c>
      <c r="H129" s="14">
        <f t="shared" si="7"/>
        <v>701.26350083752141</v>
      </c>
      <c r="I129" s="14">
        <f t="shared" si="8"/>
        <v>703.80793715053017</v>
      </c>
      <c r="J129" s="14">
        <f t="shared" si="9"/>
        <v>3.1255652114093886</v>
      </c>
      <c r="K129" s="14">
        <f t="shared" si="10"/>
        <v>0.95670805369127299</v>
      </c>
      <c r="L129" s="12" t="str">
        <f t="shared" si="11"/>
        <v/>
      </c>
      <c r="M129" s="12" t="str">
        <f t="shared" si="12"/>
        <v/>
      </c>
    </row>
    <row r="130" spans="1:13" ht="31.5">
      <c r="A130" s="3">
        <v>122</v>
      </c>
      <c r="B130" s="11" t="s">
        <v>71</v>
      </c>
      <c r="C130" s="3">
        <v>3</v>
      </c>
      <c r="D130" s="3">
        <v>4</v>
      </c>
      <c r="E130" s="11" t="s">
        <v>193</v>
      </c>
      <c r="F130" s="14">
        <v>702.22500000000002</v>
      </c>
      <c r="G130" s="14">
        <f t="shared" si="13"/>
        <v>0.19399999999995998</v>
      </c>
      <c r="H130" s="14">
        <f t="shared" si="7"/>
        <v>701.26350083752141</v>
      </c>
      <c r="I130" s="14">
        <f t="shared" si="8"/>
        <v>703.80793715053017</v>
      </c>
      <c r="J130" s="14">
        <f t="shared" si="9"/>
        <v>3.1255652114093886</v>
      </c>
      <c r="K130" s="14">
        <f t="shared" si="10"/>
        <v>0.95670805369127299</v>
      </c>
      <c r="L130" s="12" t="str">
        <f t="shared" si="11"/>
        <v/>
      </c>
      <c r="M130" s="12" t="str">
        <f t="shared" si="12"/>
        <v/>
      </c>
    </row>
    <row r="131" spans="1:13" ht="31.5">
      <c r="A131" s="3">
        <v>123</v>
      </c>
      <c r="B131" s="11" t="s">
        <v>71</v>
      </c>
      <c r="C131" s="3">
        <v>3</v>
      </c>
      <c r="D131" s="3">
        <v>3</v>
      </c>
      <c r="E131" s="11" t="s">
        <v>194</v>
      </c>
      <c r="F131" s="14">
        <v>702.48699999999997</v>
      </c>
      <c r="G131" s="14">
        <f t="shared" si="13"/>
        <v>0.26199999999994361</v>
      </c>
      <c r="H131" s="14">
        <f t="shared" si="7"/>
        <v>701.26350083752141</v>
      </c>
      <c r="I131" s="14">
        <f t="shared" si="8"/>
        <v>703.80793715053017</v>
      </c>
      <c r="J131" s="14">
        <f t="shared" si="9"/>
        <v>3.1255652114093886</v>
      </c>
      <c r="K131" s="14">
        <f t="shared" si="10"/>
        <v>0.95670805369127299</v>
      </c>
      <c r="L131" s="12" t="str">
        <f t="shared" si="11"/>
        <v/>
      </c>
      <c r="M131" s="12" t="str">
        <f t="shared" si="12"/>
        <v/>
      </c>
    </row>
    <row r="132" spans="1:13" ht="31.5">
      <c r="A132" s="3">
        <v>124</v>
      </c>
      <c r="B132" s="11" t="s">
        <v>71</v>
      </c>
      <c r="C132" s="3">
        <v>3</v>
      </c>
      <c r="D132" s="3">
        <v>2</v>
      </c>
      <c r="E132" s="11" t="s">
        <v>195</v>
      </c>
      <c r="F132" s="14">
        <v>702.33600000000001</v>
      </c>
      <c r="G132" s="14">
        <f t="shared" si="13"/>
        <v>0.15099999999995362</v>
      </c>
      <c r="H132" s="14">
        <f t="shared" si="7"/>
        <v>701.26350083752141</v>
      </c>
      <c r="I132" s="14">
        <f t="shared" si="8"/>
        <v>703.80793715053017</v>
      </c>
      <c r="J132" s="14">
        <f t="shared" si="9"/>
        <v>3.1255652114093886</v>
      </c>
      <c r="K132" s="14">
        <f t="shared" si="10"/>
        <v>0.95670805369127299</v>
      </c>
      <c r="L132" s="12" t="str">
        <f t="shared" si="11"/>
        <v/>
      </c>
      <c r="M132" s="12" t="str">
        <f t="shared" si="12"/>
        <v/>
      </c>
    </row>
    <row r="133" spans="1:13" ht="31.5">
      <c r="A133" s="3">
        <v>125</v>
      </c>
      <c r="B133" s="11" t="s">
        <v>71</v>
      </c>
      <c r="C133" s="3">
        <v>3</v>
      </c>
      <c r="D133" s="3">
        <v>1</v>
      </c>
      <c r="E133" s="11" t="s">
        <v>196</v>
      </c>
      <c r="F133" s="14">
        <v>702.10599999999999</v>
      </c>
      <c r="G133" s="14">
        <f t="shared" si="13"/>
        <v>0.23000000000001819</v>
      </c>
      <c r="H133" s="14">
        <f t="shared" si="7"/>
        <v>701.26350083752141</v>
      </c>
      <c r="I133" s="14">
        <f t="shared" si="8"/>
        <v>703.80793715053017</v>
      </c>
      <c r="J133" s="14">
        <f t="shared" si="9"/>
        <v>3.1255652114093886</v>
      </c>
      <c r="K133" s="14">
        <f t="shared" si="10"/>
        <v>0.95670805369127299</v>
      </c>
      <c r="L133" s="12" t="str">
        <f t="shared" si="11"/>
        <v/>
      </c>
      <c r="M133" s="12" t="str">
        <f t="shared" si="12"/>
        <v/>
      </c>
    </row>
    <row r="134" spans="1:13" ht="31.5">
      <c r="A134" s="3">
        <v>126</v>
      </c>
      <c r="B134" s="11" t="s">
        <v>71</v>
      </c>
      <c r="C134" s="3">
        <v>3</v>
      </c>
      <c r="D134" s="3">
        <v>25</v>
      </c>
      <c r="E134" s="11" t="s">
        <v>197</v>
      </c>
      <c r="F134" s="14">
        <v>701.57</v>
      </c>
      <c r="G134" s="14">
        <f t="shared" si="13"/>
        <v>0.53599999999994452</v>
      </c>
      <c r="H134" s="14">
        <f t="shared" si="7"/>
        <v>701.26350083752141</v>
      </c>
      <c r="I134" s="14">
        <f t="shared" si="8"/>
        <v>703.80793715053017</v>
      </c>
      <c r="J134" s="14">
        <f t="shared" si="9"/>
        <v>3.1255652114093886</v>
      </c>
      <c r="K134" s="14">
        <f t="shared" si="10"/>
        <v>0.95670805369127299</v>
      </c>
      <c r="L134" s="12" t="str">
        <f t="shared" si="11"/>
        <v/>
      </c>
      <c r="M134" s="12" t="str">
        <f t="shared" si="12"/>
        <v/>
      </c>
    </row>
    <row r="135" spans="1:13" ht="31.5">
      <c r="A135" s="3">
        <v>127</v>
      </c>
      <c r="B135" s="11" t="s">
        <v>71</v>
      </c>
      <c r="C135" s="3">
        <v>3</v>
      </c>
      <c r="D135" s="3">
        <v>24</v>
      </c>
      <c r="E135" s="11" t="s">
        <v>198</v>
      </c>
      <c r="F135" s="14">
        <v>700.649</v>
      </c>
      <c r="G135" s="14">
        <f t="shared" si="13"/>
        <v>0.92100000000004911</v>
      </c>
      <c r="H135" s="14">
        <f t="shared" si="7"/>
        <v>701.26350083752141</v>
      </c>
      <c r="I135" s="14">
        <f t="shared" si="8"/>
        <v>703.80793715053017</v>
      </c>
      <c r="J135" s="14">
        <f t="shared" si="9"/>
        <v>3.1255652114093886</v>
      </c>
      <c r="K135" s="14">
        <f t="shared" si="10"/>
        <v>0.95670805369127299</v>
      </c>
      <c r="L135" s="12" t="str">
        <f t="shared" si="11"/>
        <v/>
      </c>
      <c r="M135" s="12" t="str">
        <f t="shared" si="12"/>
        <v/>
      </c>
    </row>
    <row r="136" spans="1:13" ht="31.5">
      <c r="A136" s="3">
        <v>128</v>
      </c>
      <c r="B136" s="11" t="s">
        <v>71</v>
      </c>
      <c r="C136" s="3">
        <v>3</v>
      </c>
      <c r="D136" s="3">
        <v>23</v>
      </c>
      <c r="E136" s="11" t="s">
        <v>199</v>
      </c>
      <c r="F136" s="14">
        <v>703.19299999999998</v>
      </c>
      <c r="G136" s="14">
        <f t="shared" si="13"/>
        <v>2.5439999999999827</v>
      </c>
      <c r="H136" s="14">
        <f t="shared" si="7"/>
        <v>701.26350083752141</v>
      </c>
      <c r="I136" s="14">
        <f t="shared" si="8"/>
        <v>703.80793715053017</v>
      </c>
      <c r="J136" s="14">
        <f t="shared" si="9"/>
        <v>3.1255652114093886</v>
      </c>
      <c r="K136" s="14">
        <f t="shared" si="10"/>
        <v>0.95670805369127299</v>
      </c>
      <c r="L136" s="12" t="str">
        <f t="shared" si="11"/>
        <v/>
      </c>
      <c r="M136" s="12" t="str">
        <f t="shared" si="12"/>
        <v/>
      </c>
    </row>
    <row r="137" spans="1:13" ht="31.5">
      <c r="A137" s="3">
        <v>129</v>
      </c>
      <c r="B137" s="11" t="s">
        <v>71</v>
      </c>
      <c r="C137" s="3">
        <v>3</v>
      </c>
      <c r="D137" s="3">
        <v>22</v>
      </c>
      <c r="E137" s="11" t="s">
        <v>200</v>
      </c>
      <c r="F137" s="14">
        <v>702.42399999999998</v>
      </c>
      <c r="G137" s="14">
        <f t="shared" si="13"/>
        <v>0.76900000000000546</v>
      </c>
      <c r="H137" s="14">
        <f t="shared" si="7"/>
        <v>701.26350083752141</v>
      </c>
      <c r="I137" s="14">
        <f t="shared" si="8"/>
        <v>703.80793715053017</v>
      </c>
      <c r="J137" s="14">
        <f t="shared" si="9"/>
        <v>3.1255652114093886</v>
      </c>
      <c r="K137" s="14">
        <f t="shared" si="10"/>
        <v>0.95670805369127299</v>
      </c>
      <c r="L137" s="12" t="str">
        <f t="shared" si="11"/>
        <v/>
      </c>
      <c r="M137" s="12" t="str">
        <f t="shared" si="12"/>
        <v/>
      </c>
    </row>
    <row r="138" spans="1:13" ht="31.5">
      <c r="A138" s="3">
        <v>130</v>
      </c>
      <c r="B138" s="11" t="s">
        <v>71</v>
      </c>
      <c r="C138" s="3">
        <v>3</v>
      </c>
      <c r="D138" s="3">
        <v>21</v>
      </c>
      <c r="E138" s="11" t="s">
        <v>201</v>
      </c>
      <c r="F138" s="14">
        <v>703.19600000000003</v>
      </c>
      <c r="G138" s="14">
        <f t="shared" si="13"/>
        <v>0.7720000000000482</v>
      </c>
      <c r="H138" s="14">
        <f t="shared" ref="H138:H201" si="14">$F$4</f>
        <v>701.26350083752141</v>
      </c>
      <c r="I138" s="14">
        <f t="shared" ref="I138:I201" si="15">$F$7</f>
        <v>703.80793715053017</v>
      </c>
      <c r="J138" s="14">
        <f t="shared" ref="J138:J201" si="16">$F$8</f>
        <v>3.1255652114093886</v>
      </c>
      <c r="K138" s="14">
        <f t="shared" ref="K138:K201" si="17">$F$5</f>
        <v>0.95670805369127299</v>
      </c>
      <c r="L138" s="12" t="str">
        <f t="shared" ref="L138:L201" si="18">IF(F138&gt;$F$7,"OOC","" )</f>
        <v/>
      </c>
      <c r="M138" s="12" t="str">
        <f t="shared" ref="M138:M201" si="19">IF(F138&gt;$B$4,"OOS","" )</f>
        <v/>
      </c>
    </row>
    <row r="139" spans="1:13" ht="31.5">
      <c r="A139" s="3">
        <v>131</v>
      </c>
      <c r="B139" s="11" t="s">
        <v>71</v>
      </c>
      <c r="C139" s="3">
        <v>3</v>
      </c>
      <c r="D139" s="3">
        <v>20</v>
      </c>
      <c r="E139" s="11" t="s">
        <v>202</v>
      </c>
      <c r="F139" s="14">
        <v>701.61800000000005</v>
      </c>
      <c r="G139" s="14">
        <f t="shared" ref="G139:G202" si="20">ABS(F139-F138)</f>
        <v>1.5779999999999745</v>
      </c>
      <c r="H139" s="14">
        <f t="shared" si="14"/>
        <v>701.26350083752141</v>
      </c>
      <c r="I139" s="14">
        <f t="shared" si="15"/>
        <v>703.80793715053017</v>
      </c>
      <c r="J139" s="14">
        <f t="shared" si="16"/>
        <v>3.1255652114093886</v>
      </c>
      <c r="K139" s="14">
        <f t="shared" si="17"/>
        <v>0.95670805369127299</v>
      </c>
      <c r="L139" s="12" t="str">
        <f t="shared" si="18"/>
        <v/>
      </c>
      <c r="M139" s="12" t="str">
        <f t="shared" si="19"/>
        <v/>
      </c>
    </row>
    <row r="140" spans="1:13" ht="31.5">
      <c r="A140" s="3">
        <v>132</v>
      </c>
      <c r="B140" s="11" t="s">
        <v>71</v>
      </c>
      <c r="C140" s="3">
        <v>3</v>
      </c>
      <c r="D140" s="3">
        <v>19</v>
      </c>
      <c r="E140" s="11" t="s">
        <v>203</v>
      </c>
      <c r="F140" s="14">
        <v>700.65300000000002</v>
      </c>
      <c r="G140" s="14">
        <f t="shared" si="20"/>
        <v>0.96500000000003183</v>
      </c>
      <c r="H140" s="14">
        <f t="shared" si="14"/>
        <v>701.26350083752141</v>
      </c>
      <c r="I140" s="14">
        <f t="shared" si="15"/>
        <v>703.80793715053017</v>
      </c>
      <c r="J140" s="14">
        <f t="shared" si="16"/>
        <v>3.1255652114093886</v>
      </c>
      <c r="K140" s="14">
        <f t="shared" si="17"/>
        <v>0.95670805369127299</v>
      </c>
      <c r="L140" s="12" t="str">
        <f t="shared" si="18"/>
        <v/>
      </c>
      <c r="M140" s="12" t="str">
        <f t="shared" si="19"/>
        <v/>
      </c>
    </row>
    <row r="141" spans="1:13" ht="31.5">
      <c r="A141" s="3">
        <v>133</v>
      </c>
      <c r="B141" s="11" t="s">
        <v>71</v>
      </c>
      <c r="C141" s="3">
        <v>3</v>
      </c>
      <c r="D141" s="3">
        <v>18</v>
      </c>
      <c r="E141" s="11" t="s">
        <v>204</v>
      </c>
      <c r="F141" s="14">
        <v>701.75599999999997</v>
      </c>
      <c r="G141" s="14">
        <f t="shared" si="20"/>
        <v>1.1029999999999518</v>
      </c>
      <c r="H141" s="14">
        <f t="shared" si="14"/>
        <v>701.26350083752141</v>
      </c>
      <c r="I141" s="14">
        <f t="shared" si="15"/>
        <v>703.80793715053017</v>
      </c>
      <c r="J141" s="14">
        <f t="shared" si="16"/>
        <v>3.1255652114093886</v>
      </c>
      <c r="K141" s="14">
        <f t="shared" si="17"/>
        <v>0.95670805369127299</v>
      </c>
      <c r="L141" s="12" t="str">
        <f t="shared" si="18"/>
        <v/>
      </c>
      <c r="M141" s="12" t="str">
        <f t="shared" si="19"/>
        <v/>
      </c>
    </row>
    <row r="142" spans="1:13" ht="31.5">
      <c r="A142" s="3">
        <v>134</v>
      </c>
      <c r="B142" s="11" t="s">
        <v>71</v>
      </c>
      <c r="C142" s="3">
        <v>3</v>
      </c>
      <c r="D142" s="3">
        <v>17</v>
      </c>
      <c r="E142" s="11" t="s">
        <v>205</v>
      </c>
      <c r="F142" s="14">
        <v>699.55200000000002</v>
      </c>
      <c r="G142" s="14">
        <f t="shared" si="20"/>
        <v>2.2039999999999509</v>
      </c>
      <c r="H142" s="14">
        <f t="shared" si="14"/>
        <v>701.26350083752141</v>
      </c>
      <c r="I142" s="14">
        <f t="shared" si="15"/>
        <v>703.80793715053017</v>
      </c>
      <c r="J142" s="14">
        <f t="shared" si="16"/>
        <v>3.1255652114093886</v>
      </c>
      <c r="K142" s="14">
        <f t="shared" si="17"/>
        <v>0.95670805369127299</v>
      </c>
      <c r="L142" s="12" t="str">
        <f t="shared" si="18"/>
        <v/>
      </c>
      <c r="M142" s="12" t="str">
        <f t="shared" si="19"/>
        <v/>
      </c>
    </row>
    <row r="143" spans="1:13" ht="31.5">
      <c r="A143" s="3">
        <v>135</v>
      </c>
      <c r="B143" s="11" t="s">
        <v>71</v>
      </c>
      <c r="C143" s="3">
        <v>3</v>
      </c>
      <c r="D143" s="3">
        <v>16</v>
      </c>
      <c r="E143" s="11" t="s">
        <v>206</v>
      </c>
      <c r="F143" s="14">
        <v>700.80600000000004</v>
      </c>
      <c r="G143" s="14">
        <f t="shared" si="20"/>
        <v>1.2540000000000191</v>
      </c>
      <c r="H143" s="14">
        <f t="shared" si="14"/>
        <v>701.26350083752141</v>
      </c>
      <c r="I143" s="14">
        <f t="shared" si="15"/>
        <v>703.80793715053017</v>
      </c>
      <c r="J143" s="14">
        <f t="shared" si="16"/>
        <v>3.1255652114093886</v>
      </c>
      <c r="K143" s="14">
        <f t="shared" si="17"/>
        <v>0.95670805369127299</v>
      </c>
      <c r="L143" s="12" t="str">
        <f t="shared" si="18"/>
        <v/>
      </c>
      <c r="M143" s="12" t="str">
        <f t="shared" si="19"/>
        <v/>
      </c>
    </row>
    <row r="144" spans="1:13" ht="31.5">
      <c r="A144" s="3">
        <v>136</v>
      </c>
      <c r="B144" s="11" t="s">
        <v>71</v>
      </c>
      <c r="C144" s="3">
        <v>3</v>
      </c>
      <c r="D144" s="3">
        <v>15</v>
      </c>
      <c r="E144" s="11" t="s">
        <v>207</v>
      </c>
      <c r="F144" s="14">
        <v>698.69200000000001</v>
      </c>
      <c r="G144" s="14">
        <f t="shared" si="20"/>
        <v>2.1140000000000327</v>
      </c>
      <c r="H144" s="14">
        <f t="shared" si="14"/>
        <v>701.26350083752141</v>
      </c>
      <c r="I144" s="14">
        <f t="shared" si="15"/>
        <v>703.80793715053017</v>
      </c>
      <c r="J144" s="14">
        <f t="shared" si="16"/>
        <v>3.1255652114093886</v>
      </c>
      <c r="K144" s="14">
        <f t="shared" si="17"/>
        <v>0.95670805369127299</v>
      </c>
      <c r="L144" s="12" t="str">
        <f t="shared" si="18"/>
        <v/>
      </c>
      <c r="M144" s="12" t="str">
        <f t="shared" si="19"/>
        <v/>
      </c>
    </row>
    <row r="145" spans="1:13" ht="31.5">
      <c r="A145" s="3">
        <v>137</v>
      </c>
      <c r="B145" s="11" t="s">
        <v>71</v>
      </c>
      <c r="C145" s="3">
        <v>3</v>
      </c>
      <c r="D145" s="3">
        <v>14</v>
      </c>
      <c r="E145" s="11" t="s">
        <v>208</v>
      </c>
      <c r="F145" s="14">
        <v>698.58799999999997</v>
      </c>
      <c r="G145" s="14">
        <f t="shared" si="20"/>
        <v>0.10400000000004184</v>
      </c>
      <c r="H145" s="14">
        <f t="shared" si="14"/>
        <v>701.26350083752141</v>
      </c>
      <c r="I145" s="14">
        <f t="shared" si="15"/>
        <v>703.80793715053017</v>
      </c>
      <c r="J145" s="14">
        <f t="shared" si="16"/>
        <v>3.1255652114093886</v>
      </c>
      <c r="K145" s="14">
        <f t="shared" si="17"/>
        <v>0.95670805369127299</v>
      </c>
      <c r="L145" s="12" t="str">
        <f t="shared" si="18"/>
        <v/>
      </c>
      <c r="M145" s="12" t="str">
        <f t="shared" si="19"/>
        <v/>
      </c>
    </row>
    <row r="146" spans="1:13" ht="31.5">
      <c r="A146" s="3">
        <v>138</v>
      </c>
      <c r="B146" s="11" t="s">
        <v>71</v>
      </c>
      <c r="C146" s="3">
        <v>3</v>
      </c>
      <c r="D146" s="3">
        <v>13</v>
      </c>
      <c r="E146" s="11" t="s">
        <v>209</v>
      </c>
      <c r="F146" s="14">
        <v>700.75199999999995</v>
      </c>
      <c r="G146" s="14">
        <f t="shared" si="20"/>
        <v>2.1639999999999873</v>
      </c>
      <c r="H146" s="14">
        <f t="shared" si="14"/>
        <v>701.26350083752141</v>
      </c>
      <c r="I146" s="14">
        <f t="shared" si="15"/>
        <v>703.80793715053017</v>
      </c>
      <c r="J146" s="14">
        <f t="shared" si="16"/>
        <v>3.1255652114093886</v>
      </c>
      <c r="K146" s="14">
        <f t="shared" si="17"/>
        <v>0.95670805369127299</v>
      </c>
      <c r="L146" s="12" t="str">
        <f t="shared" si="18"/>
        <v/>
      </c>
      <c r="M146" s="12" t="str">
        <f t="shared" si="19"/>
        <v/>
      </c>
    </row>
    <row r="147" spans="1:13" ht="31.5">
      <c r="A147" s="3">
        <v>139</v>
      </c>
      <c r="B147" s="11" t="s">
        <v>71</v>
      </c>
      <c r="C147" s="3">
        <v>3</v>
      </c>
      <c r="D147" s="3">
        <v>12</v>
      </c>
      <c r="E147" s="11" t="s">
        <v>210</v>
      </c>
      <c r="F147" s="14">
        <v>701.59</v>
      </c>
      <c r="G147" s="14">
        <f t="shared" si="20"/>
        <v>0.83800000000007913</v>
      </c>
      <c r="H147" s="14">
        <f t="shared" si="14"/>
        <v>701.26350083752141</v>
      </c>
      <c r="I147" s="14">
        <f t="shared" si="15"/>
        <v>703.80793715053017</v>
      </c>
      <c r="J147" s="14">
        <f t="shared" si="16"/>
        <v>3.1255652114093886</v>
      </c>
      <c r="K147" s="14">
        <f t="shared" si="17"/>
        <v>0.95670805369127299</v>
      </c>
      <c r="L147" s="12" t="str">
        <f t="shared" si="18"/>
        <v/>
      </c>
      <c r="M147" s="12" t="str">
        <f t="shared" si="19"/>
        <v/>
      </c>
    </row>
    <row r="148" spans="1:13" ht="31.5">
      <c r="A148" s="3">
        <v>140</v>
      </c>
      <c r="B148" s="11" t="s">
        <v>71</v>
      </c>
      <c r="C148" s="3">
        <v>3</v>
      </c>
      <c r="D148" s="3">
        <v>11</v>
      </c>
      <c r="E148" s="11" t="s">
        <v>211</v>
      </c>
      <c r="F148" s="14">
        <v>700.81700000000001</v>
      </c>
      <c r="G148" s="14">
        <f t="shared" si="20"/>
        <v>0.77300000000002456</v>
      </c>
      <c r="H148" s="14">
        <f t="shared" si="14"/>
        <v>701.26350083752141</v>
      </c>
      <c r="I148" s="14">
        <f t="shared" si="15"/>
        <v>703.80793715053017</v>
      </c>
      <c r="J148" s="14">
        <f t="shared" si="16"/>
        <v>3.1255652114093886</v>
      </c>
      <c r="K148" s="14">
        <f t="shared" si="17"/>
        <v>0.95670805369127299</v>
      </c>
      <c r="L148" s="12" t="str">
        <f t="shared" si="18"/>
        <v/>
      </c>
      <c r="M148" s="12" t="str">
        <f t="shared" si="19"/>
        <v/>
      </c>
    </row>
    <row r="149" spans="1:13" ht="31.5">
      <c r="A149" s="3">
        <v>141</v>
      </c>
      <c r="B149" s="11" t="s">
        <v>71</v>
      </c>
      <c r="C149" s="3">
        <v>3</v>
      </c>
      <c r="D149" s="3">
        <v>10</v>
      </c>
      <c r="E149" s="11" t="s">
        <v>212</v>
      </c>
      <c r="F149" s="14">
        <v>701.95100000000002</v>
      </c>
      <c r="G149" s="14">
        <f t="shared" si="20"/>
        <v>1.1340000000000146</v>
      </c>
      <c r="H149" s="14">
        <f t="shared" si="14"/>
        <v>701.26350083752141</v>
      </c>
      <c r="I149" s="14">
        <f t="shared" si="15"/>
        <v>703.80793715053017</v>
      </c>
      <c r="J149" s="14">
        <f t="shared" si="16"/>
        <v>3.1255652114093886</v>
      </c>
      <c r="K149" s="14">
        <f t="shared" si="17"/>
        <v>0.95670805369127299</v>
      </c>
      <c r="L149" s="12" t="str">
        <f t="shared" si="18"/>
        <v/>
      </c>
      <c r="M149" s="12" t="str">
        <f t="shared" si="19"/>
        <v/>
      </c>
    </row>
    <row r="150" spans="1:13" ht="31.5">
      <c r="A150" s="3">
        <v>142</v>
      </c>
      <c r="B150" s="11" t="s">
        <v>71</v>
      </c>
      <c r="C150" s="3">
        <v>3</v>
      </c>
      <c r="D150" s="3">
        <v>9</v>
      </c>
      <c r="E150" s="11" t="s">
        <v>213</v>
      </c>
      <c r="F150" s="14">
        <v>698.86099999999999</v>
      </c>
      <c r="G150" s="14">
        <f t="shared" si="20"/>
        <v>3.0900000000000318</v>
      </c>
      <c r="H150" s="14">
        <f t="shared" si="14"/>
        <v>701.26350083752141</v>
      </c>
      <c r="I150" s="14">
        <f t="shared" si="15"/>
        <v>703.80793715053017</v>
      </c>
      <c r="J150" s="14">
        <f t="shared" si="16"/>
        <v>3.1255652114093886</v>
      </c>
      <c r="K150" s="14">
        <f t="shared" si="17"/>
        <v>0.95670805369127299</v>
      </c>
      <c r="L150" s="12" t="str">
        <f t="shared" si="18"/>
        <v/>
      </c>
      <c r="M150" s="12" t="str">
        <f t="shared" si="19"/>
        <v/>
      </c>
    </row>
    <row r="151" spans="1:13" ht="31.5">
      <c r="A151" s="3">
        <v>143</v>
      </c>
      <c r="B151" s="11" t="s">
        <v>71</v>
      </c>
      <c r="C151" s="3">
        <v>3</v>
      </c>
      <c r="D151" s="3">
        <v>8</v>
      </c>
      <c r="E151" s="11" t="s">
        <v>214</v>
      </c>
      <c r="F151" s="14">
        <v>698.61599999999999</v>
      </c>
      <c r="G151" s="14">
        <f t="shared" si="20"/>
        <v>0.24500000000000455</v>
      </c>
      <c r="H151" s="14">
        <f t="shared" si="14"/>
        <v>701.26350083752141</v>
      </c>
      <c r="I151" s="14">
        <f t="shared" si="15"/>
        <v>703.80793715053017</v>
      </c>
      <c r="J151" s="14">
        <f t="shared" si="16"/>
        <v>3.1255652114093886</v>
      </c>
      <c r="K151" s="14">
        <f t="shared" si="17"/>
        <v>0.95670805369127299</v>
      </c>
      <c r="L151" s="12" t="str">
        <f t="shared" si="18"/>
        <v/>
      </c>
      <c r="M151" s="12" t="str">
        <f t="shared" si="19"/>
        <v/>
      </c>
    </row>
    <row r="152" spans="1:13" ht="31.5">
      <c r="A152" s="3">
        <v>144</v>
      </c>
      <c r="B152" s="11" t="s">
        <v>71</v>
      </c>
      <c r="C152" s="3">
        <v>3</v>
      </c>
      <c r="D152" s="3">
        <v>7</v>
      </c>
      <c r="E152" s="11" t="s">
        <v>215</v>
      </c>
      <c r="F152" s="14">
        <v>700.32</v>
      </c>
      <c r="G152" s="14">
        <f t="shared" si="20"/>
        <v>1.7040000000000646</v>
      </c>
      <c r="H152" s="14">
        <f t="shared" si="14"/>
        <v>701.26350083752141</v>
      </c>
      <c r="I152" s="14">
        <f t="shared" si="15"/>
        <v>703.80793715053017</v>
      </c>
      <c r="J152" s="14">
        <f t="shared" si="16"/>
        <v>3.1255652114093886</v>
      </c>
      <c r="K152" s="14">
        <f t="shared" si="17"/>
        <v>0.95670805369127299</v>
      </c>
      <c r="L152" s="12" t="str">
        <f t="shared" si="18"/>
        <v/>
      </c>
      <c r="M152" s="12" t="str">
        <f t="shared" si="19"/>
        <v/>
      </c>
    </row>
    <row r="153" spans="1:13" ht="31.5">
      <c r="A153" s="3">
        <v>145</v>
      </c>
      <c r="B153" s="11" t="s">
        <v>71</v>
      </c>
      <c r="C153" s="3">
        <v>3</v>
      </c>
      <c r="D153" s="3">
        <v>6</v>
      </c>
      <c r="E153" s="11" t="s">
        <v>216</v>
      </c>
      <c r="F153" s="14">
        <v>700.95</v>
      </c>
      <c r="G153" s="14">
        <f t="shared" si="20"/>
        <v>0.62999999999999545</v>
      </c>
      <c r="H153" s="14">
        <f t="shared" si="14"/>
        <v>701.26350083752141</v>
      </c>
      <c r="I153" s="14">
        <f t="shared" si="15"/>
        <v>703.80793715053017</v>
      </c>
      <c r="J153" s="14">
        <f t="shared" si="16"/>
        <v>3.1255652114093886</v>
      </c>
      <c r="K153" s="14">
        <f t="shared" si="17"/>
        <v>0.95670805369127299</v>
      </c>
      <c r="L153" s="12" t="str">
        <f t="shared" si="18"/>
        <v/>
      </c>
      <c r="M153" s="12" t="str">
        <f t="shared" si="19"/>
        <v/>
      </c>
    </row>
    <row r="154" spans="1:13" ht="31.5">
      <c r="A154" s="3">
        <v>146</v>
      </c>
      <c r="B154" s="11" t="s">
        <v>71</v>
      </c>
      <c r="C154" s="3">
        <v>3</v>
      </c>
      <c r="D154" s="3">
        <v>5</v>
      </c>
      <c r="E154" s="11" t="s">
        <v>217</v>
      </c>
      <c r="F154" s="14">
        <v>700.59799999999996</v>
      </c>
      <c r="G154" s="14">
        <f t="shared" si="20"/>
        <v>0.35200000000008913</v>
      </c>
      <c r="H154" s="14">
        <f t="shared" si="14"/>
        <v>701.26350083752141</v>
      </c>
      <c r="I154" s="14">
        <f t="shared" si="15"/>
        <v>703.80793715053017</v>
      </c>
      <c r="J154" s="14">
        <f t="shared" si="16"/>
        <v>3.1255652114093886</v>
      </c>
      <c r="K154" s="14">
        <f t="shared" si="17"/>
        <v>0.95670805369127299</v>
      </c>
      <c r="L154" s="12" t="str">
        <f t="shared" si="18"/>
        <v/>
      </c>
      <c r="M154" s="12" t="str">
        <f t="shared" si="19"/>
        <v/>
      </c>
    </row>
    <row r="155" spans="1:13" ht="31.5">
      <c r="A155" s="3">
        <v>147</v>
      </c>
      <c r="B155" s="11" t="s">
        <v>71</v>
      </c>
      <c r="C155" s="3">
        <v>3</v>
      </c>
      <c r="D155" s="3">
        <v>4</v>
      </c>
      <c r="E155" s="11" t="s">
        <v>218</v>
      </c>
      <c r="F155" s="14">
        <v>701.03599999999994</v>
      </c>
      <c r="G155" s="14">
        <f t="shared" si="20"/>
        <v>0.43799999999998818</v>
      </c>
      <c r="H155" s="14">
        <f t="shared" si="14"/>
        <v>701.26350083752141</v>
      </c>
      <c r="I155" s="14">
        <f t="shared" si="15"/>
        <v>703.80793715053017</v>
      </c>
      <c r="J155" s="14">
        <f t="shared" si="16"/>
        <v>3.1255652114093886</v>
      </c>
      <c r="K155" s="14">
        <f t="shared" si="17"/>
        <v>0.95670805369127299</v>
      </c>
      <c r="L155" s="12" t="str">
        <f t="shared" si="18"/>
        <v/>
      </c>
      <c r="M155" s="12" t="str">
        <f t="shared" si="19"/>
        <v/>
      </c>
    </row>
    <row r="156" spans="1:13" ht="31.5">
      <c r="A156" s="3">
        <v>148</v>
      </c>
      <c r="B156" s="11" t="s">
        <v>71</v>
      </c>
      <c r="C156" s="3">
        <v>3</v>
      </c>
      <c r="D156" s="3">
        <v>3</v>
      </c>
      <c r="E156" s="11" t="s">
        <v>219</v>
      </c>
      <c r="F156" s="14">
        <v>700.57799999999997</v>
      </c>
      <c r="G156" s="14">
        <f t="shared" si="20"/>
        <v>0.45799999999996999</v>
      </c>
      <c r="H156" s="14">
        <f t="shared" si="14"/>
        <v>701.26350083752141</v>
      </c>
      <c r="I156" s="14">
        <f t="shared" si="15"/>
        <v>703.80793715053017</v>
      </c>
      <c r="J156" s="14">
        <f t="shared" si="16"/>
        <v>3.1255652114093886</v>
      </c>
      <c r="K156" s="14">
        <f t="shared" si="17"/>
        <v>0.95670805369127299</v>
      </c>
      <c r="L156" s="12" t="str">
        <f t="shared" si="18"/>
        <v/>
      </c>
      <c r="M156" s="12" t="str">
        <f t="shared" si="19"/>
        <v/>
      </c>
    </row>
    <row r="157" spans="1:13" ht="31.5">
      <c r="A157" s="3">
        <v>149</v>
      </c>
      <c r="B157" s="11" t="s">
        <v>71</v>
      </c>
      <c r="C157" s="3">
        <v>3</v>
      </c>
      <c r="D157" s="3">
        <v>2</v>
      </c>
      <c r="E157" s="11" t="s">
        <v>220</v>
      </c>
      <c r="F157" s="14">
        <v>700.33100000000002</v>
      </c>
      <c r="G157" s="14">
        <f t="shared" si="20"/>
        <v>0.24699999999995725</v>
      </c>
      <c r="H157" s="14">
        <f t="shared" si="14"/>
        <v>701.26350083752141</v>
      </c>
      <c r="I157" s="14">
        <f t="shared" si="15"/>
        <v>703.80793715053017</v>
      </c>
      <c r="J157" s="14">
        <f t="shared" si="16"/>
        <v>3.1255652114093886</v>
      </c>
      <c r="K157" s="14">
        <f t="shared" si="17"/>
        <v>0.95670805369127299</v>
      </c>
      <c r="L157" s="12" t="str">
        <f t="shared" si="18"/>
        <v/>
      </c>
      <c r="M157" s="12" t="str">
        <f t="shared" si="19"/>
        <v/>
      </c>
    </row>
    <row r="158" spans="1:13" ht="31.5">
      <c r="A158" s="3">
        <v>150</v>
      </c>
      <c r="B158" s="11" t="s">
        <v>71</v>
      </c>
      <c r="C158" s="3">
        <v>3</v>
      </c>
      <c r="D158" s="3">
        <v>1</v>
      </c>
      <c r="E158" s="11" t="s">
        <v>221</v>
      </c>
      <c r="F158" s="14">
        <v>699.95100000000002</v>
      </c>
      <c r="G158" s="14">
        <f t="shared" si="20"/>
        <v>0.37999999999999545</v>
      </c>
      <c r="H158" s="14">
        <f t="shared" si="14"/>
        <v>701.26350083752141</v>
      </c>
      <c r="I158" s="14">
        <f t="shared" si="15"/>
        <v>703.80793715053017</v>
      </c>
      <c r="J158" s="14">
        <f t="shared" si="16"/>
        <v>3.1255652114093886</v>
      </c>
      <c r="K158" s="14">
        <f t="shared" si="17"/>
        <v>0.95670805369127299</v>
      </c>
      <c r="L158" s="12" t="str">
        <f t="shared" si="18"/>
        <v/>
      </c>
      <c r="M158" s="12" t="str">
        <f t="shared" si="19"/>
        <v/>
      </c>
    </row>
    <row r="159" spans="1:13" ht="31.5">
      <c r="A159" s="3">
        <v>151</v>
      </c>
      <c r="B159" s="11" t="s">
        <v>71</v>
      </c>
      <c r="C159" s="3">
        <v>4</v>
      </c>
      <c r="D159" s="3">
        <v>25</v>
      </c>
      <c r="E159" s="11" t="s">
        <v>222</v>
      </c>
      <c r="F159" s="14">
        <v>703.66</v>
      </c>
      <c r="G159" s="14">
        <f t="shared" si="20"/>
        <v>3.7089999999999463</v>
      </c>
      <c r="H159" s="14">
        <f t="shared" si="14"/>
        <v>701.26350083752141</v>
      </c>
      <c r="I159" s="14">
        <f t="shared" si="15"/>
        <v>703.80793715053017</v>
      </c>
      <c r="J159" s="14">
        <f t="shared" si="16"/>
        <v>3.1255652114093886</v>
      </c>
      <c r="K159" s="14">
        <f t="shared" si="17"/>
        <v>0.95670805369127299</v>
      </c>
      <c r="L159" s="12" t="str">
        <f t="shared" si="18"/>
        <v/>
      </c>
      <c r="M159" s="12" t="str">
        <f t="shared" si="19"/>
        <v/>
      </c>
    </row>
    <row r="160" spans="1:13" ht="31.5">
      <c r="A160" s="3">
        <v>152</v>
      </c>
      <c r="B160" s="11" t="s">
        <v>71</v>
      </c>
      <c r="C160" s="3">
        <v>4</v>
      </c>
      <c r="D160" s="3">
        <v>24</v>
      </c>
      <c r="E160" s="11" t="s">
        <v>223</v>
      </c>
      <c r="F160" s="14">
        <v>702.49699999999996</v>
      </c>
      <c r="G160" s="14">
        <f t="shared" si="20"/>
        <v>1.1630000000000109</v>
      </c>
      <c r="H160" s="14">
        <f t="shared" si="14"/>
        <v>701.26350083752141</v>
      </c>
      <c r="I160" s="14">
        <f t="shared" si="15"/>
        <v>703.80793715053017</v>
      </c>
      <c r="J160" s="14">
        <f t="shared" si="16"/>
        <v>3.1255652114093886</v>
      </c>
      <c r="K160" s="14">
        <f t="shared" si="17"/>
        <v>0.95670805369127299</v>
      </c>
      <c r="L160" s="12" t="str">
        <f t="shared" si="18"/>
        <v/>
      </c>
      <c r="M160" s="12" t="str">
        <f t="shared" si="19"/>
        <v/>
      </c>
    </row>
    <row r="161" spans="1:13" ht="31.5">
      <c r="A161" s="3">
        <v>153</v>
      </c>
      <c r="B161" s="11" t="s">
        <v>71</v>
      </c>
      <c r="C161" s="3">
        <v>4</v>
      </c>
      <c r="D161" s="3">
        <v>23</v>
      </c>
      <c r="E161" s="11" t="s">
        <v>224</v>
      </c>
      <c r="F161" s="14">
        <v>702.70699999999999</v>
      </c>
      <c r="G161" s="14">
        <f t="shared" si="20"/>
        <v>0.21000000000003638</v>
      </c>
      <c r="H161" s="14">
        <f t="shared" si="14"/>
        <v>701.26350083752141</v>
      </c>
      <c r="I161" s="14">
        <f t="shared" si="15"/>
        <v>703.80793715053017</v>
      </c>
      <c r="J161" s="14">
        <f t="shared" si="16"/>
        <v>3.1255652114093886</v>
      </c>
      <c r="K161" s="14">
        <f t="shared" si="17"/>
        <v>0.95670805369127299</v>
      </c>
      <c r="L161" s="12" t="str">
        <f t="shared" si="18"/>
        <v/>
      </c>
      <c r="M161" s="12" t="str">
        <f t="shared" si="19"/>
        <v/>
      </c>
    </row>
    <row r="162" spans="1:13" ht="31.5">
      <c r="A162" s="3">
        <v>154</v>
      </c>
      <c r="B162" s="11" t="s">
        <v>71</v>
      </c>
      <c r="C162" s="3">
        <v>4</v>
      </c>
      <c r="D162" s="3">
        <v>22</v>
      </c>
      <c r="E162" s="11" t="s">
        <v>225</v>
      </c>
      <c r="F162" s="14">
        <v>701.64800000000002</v>
      </c>
      <c r="G162" s="14">
        <f t="shared" si="20"/>
        <v>1.0589999999999691</v>
      </c>
      <c r="H162" s="14">
        <f t="shared" si="14"/>
        <v>701.26350083752141</v>
      </c>
      <c r="I162" s="14">
        <f t="shared" si="15"/>
        <v>703.80793715053017</v>
      </c>
      <c r="J162" s="14">
        <f t="shared" si="16"/>
        <v>3.1255652114093886</v>
      </c>
      <c r="K162" s="14">
        <f t="shared" si="17"/>
        <v>0.95670805369127299</v>
      </c>
      <c r="L162" s="12" t="str">
        <f t="shared" si="18"/>
        <v/>
      </c>
      <c r="M162" s="12" t="str">
        <f t="shared" si="19"/>
        <v/>
      </c>
    </row>
    <row r="163" spans="1:13" ht="31.5">
      <c r="A163" s="3">
        <v>155</v>
      </c>
      <c r="B163" s="11" t="s">
        <v>71</v>
      </c>
      <c r="C163" s="3">
        <v>4</v>
      </c>
      <c r="D163" s="3">
        <v>21</v>
      </c>
      <c r="E163" s="11" t="s">
        <v>226</v>
      </c>
      <c r="F163" s="14">
        <v>702.67399999999998</v>
      </c>
      <c r="G163" s="14">
        <f t="shared" si="20"/>
        <v>1.0259999999999536</v>
      </c>
      <c r="H163" s="14">
        <f t="shared" si="14"/>
        <v>701.26350083752141</v>
      </c>
      <c r="I163" s="14">
        <f t="shared" si="15"/>
        <v>703.80793715053017</v>
      </c>
      <c r="J163" s="14">
        <f t="shared" si="16"/>
        <v>3.1255652114093886</v>
      </c>
      <c r="K163" s="14">
        <f t="shared" si="17"/>
        <v>0.95670805369127299</v>
      </c>
      <c r="L163" s="12" t="str">
        <f t="shared" si="18"/>
        <v/>
      </c>
      <c r="M163" s="12" t="str">
        <f t="shared" si="19"/>
        <v/>
      </c>
    </row>
    <row r="164" spans="1:13" ht="31.5">
      <c r="A164" s="3">
        <v>156</v>
      </c>
      <c r="B164" s="11" t="s">
        <v>71</v>
      </c>
      <c r="C164" s="3">
        <v>4</v>
      </c>
      <c r="D164" s="3">
        <v>20</v>
      </c>
      <c r="E164" s="11" t="s">
        <v>227</v>
      </c>
      <c r="F164" s="14">
        <v>702.68899999999996</v>
      </c>
      <c r="G164" s="14">
        <f t="shared" si="20"/>
        <v>1.4999999999986358E-2</v>
      </c>
      <c r="H164" s="14">
        <f t="shared" si="14"/>
        <v>701.26350083752141</v>
      </c>
      <c r="I164" s="14">
        <f t="shared" si="15"/>
        <v>703.80793715053017</v>
      </c>
      <c r="J164" s="14">
        <f t="shared" si="16"/>
        <v>3.1255652114093886</v>
      </c>
      <c r="K164" s="14">
        <f t="shared" si="17"/>
        <v>0.95670805369127299</v>
      </c>
      <c r="L164" s="12" t="str">
        <f t="shared" si="18"/>
        <v/>
      </c>
      <c r="M164" s="12" t="str">
        <f t="shared" si="19"/>
        <v/>
      </c>
    </row>
    <row r="165" spans="1:13" ht="31.5">
      <c r="A165" s="3">
        <v>157</v>
      </c>
      <c r="B165" s="11" t="s">
        <v>71</v>
      </c>
      <c r="C165" s="3">
        <v>4</v>
      </c>
      <c r="D165" s="3">
        <v>19</v>
      </c>
      <c r="E165" s="11" t="s">
        <v>228</v>
      </c>
      <c r="F165" s="14">
        <v>702.85799999999995</v>
      </c>
      <c r="G165" s="14">
        <f t="shared" si="20"/>
        <v>0.16899999999998272</v>
      </c>
      <c r="H165" s="14">
        <f t="shared" si="14"/>
        <v>701.26350083752141</v>
      </c>
      <c r="I165" s="14">
        <f t="shared" si="15"/>
        <v>703.80793715053017</v>
      </c>
      <c r="J165" s="14">
        <f t="shared" si="16"/>
        <v>3.1255652114093886</v>
      </c>
      <c r="K165" s="14">
        <f t="shared" si="17"/>
        <v>0.95670805369127299</v>
      </c>
      <c r="L165" s="12" t="str">
        <f t="shared" si="18"/>
        <v/>
      </c>
      <c r="M165" s="12" t="str">
        <f t="shared" si="19"/>
        <v/>
      </c>
    </row>
    <row r="166" spans="1:13" ht="31.5">
      <c r="A166" s="3">
        <v>158</v>
      </c>
      <c r="B166" s="11" t="s">
        <v>71</v>
      </c>
      <c r="C166" s="3">
        <v>4</v>
      </c>
      <c r="D166" s="3">
        <v>18</v>
      </c>
      <c r="E166" s="11" t="s">
        <v>229</v>
      </c>
      <c r="F166" s="14">
        <v>702.33500000000004</v>
      </c>
      <c r="G166" s="14">
        <f t="shared" si="20"/>
        <v>0.52299999999991087</v>
      </c>
      <c r="H166" s="14">
        <f t="shared" si="14"/>
        <v>701.26350083752141</v>
      </c>
      <c r="I166" s="14">
        <f t="shared" si="15"/>
        <v>703.80793715053017</v>
      </c>
      <c r="J166" s="14">
        <f t="shared" si="16"/>
        <v>3.1255652114093886</v>
      </c>
      <c r="K166" s="14">
        <f t="shared" si="17"/>
        <v>0.95670805369127299</v>
      </c>
      <c r="L166" s="12" t="str">
        <f t="shared" si="18"/>
        <v/>
      </c>
      <c r="M166" s="12" t="str">
        <f t="shared" si="19"/>
        <v/>
      </c>
    </row>
    <row r="167" spans="1:13" ht="31.5">
      <c r="A167" s="3">
        <v>159</v>
      </c>
      <c r="B167" s="11" t="s">
        <v>71</v>
      </c>
      <c r="C167" s="3">
        <v>4</v>
      </c>
      <c r="D167" s="3">
        <v>17</v>
      </c>
      <c r="E167" s="11" t="s">
        <v>230</v>
      </c>
      <c r="F167" s="14">
        <v>701.62300000000005</v>
      </c>
      <c r="G167" s="14">
        <f t="shared" si="20"/>
        <v>0.71199999999998909</v>
      </c>
      <c r="H167" s="14">
        <f t="shared" si="14"/>
        <v>701.26350083752141</v>
      </c>
      <c r="I167" s="14">
        <f t="shared" si="15"/>
        <v>703.80793715053017</v>
      </c>
      <c r="J167" s="14">
        <f t="shared" si="16"/>
        <v>3.1255652114093886</v>
      </c>
      <c r="K167" s="14">
        <f t="shared" si="17"/>
        <v>0.95670805369127299</v>
      </c>
      <c r="L167" s="12" t="str">
        <f t="shared" si="18"/>
        <v/>
      </c>
      <c r="M167" s="12" t="str">
        <f t="shared" si="19"/>
        <v/>
      </c>
    </row>
    <row r="168" spans="1:13" ht="31.5">
      <c r="A168" s="3">
        <v>160</v>
      </c>
      <c r="B168" s="11" t="s">
        <v>71</v>
      </c>
      <c r="C168" s="3">
        <v>4</v>
      </c>
      <c r="D168" s="3">
        <v>16</v>
      </c>
      <c r="E168" s="11" t="s">
        <v>231</v>
      </c>
      <c r="F168" s="14">
        <v>702.71100000000001</v>
      </c>
      <c r="G168" s="14">
        <f t="shared" si="20"/>
        <v>1.0879999999999654</v>
      </c>
      <c r="H168" s="14">
        <f t="shared" si="14"/>
        <v>701.26350083752141</v>
      </c>
      <c r="I168" s="14">
        <f t="shared" si="15"/>
        <v>703.80793715053017</v>
      </c>
      <c r="J168" s="14">
        <f t="shared" si="16"/>
        <v>3.1255652114093886</v>
      </c>
      <c r="K168" s="14">
        <f t="shared" si="17"/>
        <v>0.95670805369127299</v>
      </c>
      <c r="L168" s="12" t="str">
        <f t="shared" si="18"/>
        <v/>
      </c>
      <c r="M168" s="12" t="str">
        <f t="shared" si="19"/>
        <v/>
      </c>
    </row>
    <row r="169" spans="1:13" ht="31.5">
      <c r="A169" s="3">
        <v>161</v>
      </c>
      <c r="B169" s="11" t="s">
        <v>71</v>
      </c>
      <c r="C169" s="3">
        <v>4</v>
      </c>
      <c r="D169" s="3">
        <v>15</v>
      </c>
      <c r="E169" s="11" t="s">
        <v>232</v>
      </c>
      <c r="F169" s="14">
        <v>701.61500000000001</v>
      </c>
      <c r="G169" s="14">
        <f t="shared" si="20"/>
        <v>1.0960000000000036</v>
      </c>
      <c r="H169" s="14">
        <f t="shared" si="14"/>
        <v>701.26350083752141</v>
      </c>
      <c r="I169" s="14">
        <f t="shared" si="15"/>
        <v>703.80793715053017</v>
      </c>
      <c r="J169" s="14">
        <f t="shared" si="16"/>
        <v>3.1255652114093886</v>
      </c>
      <c r="K169" s="14">
        <f t="shared" si="17"/>
        <v>0.95670805369127299</v>
      </c>
      <c r="L169" s="12" t="str">
        <f t="shared" si="18"/>
        <v/>
      </c>
      <c r="M169" s="12" t="str">
        <f t="shared" si="19"/>
        <v/>
      </c>
    </row>
    <row r="170" spans="1:13" ht="31.5">
      <c r="A170" s="3">
        <v>162</v>
      </c>
      <c r="B170" s="11" t="s">
        <v>71</v>
      </c>
      <c r="C170" s="3">
        <v>4</v>
      </c>
      <c r="D170" s="3">
        <v>14</v>
      </c>
      <c r="E170" s="11" t="s">
        <v>233</v>
      </c>
      <c r="F170" s="14">
        <v>702.47199999999998</v>
      </c>
      <c r="G170" s="14">
        <f t="shared" si="20"/>
        <v>0.8569999999999709</v>
      </c>
      <c r="H170" s="14">
        <f t="shared" si="14"/>
        <v>701.26350083752141</v>
      </c>
      <c r="I170" s="14">
        <f t="shared" si="15"/>
        <v>703.80793715053017</v>
      </c>
      <c r="J170" s="14">
        <f t="shared" si="16"/>
        <v>3.1255652114093886</v>
      </c>
      <c r="K170" s="14">
        <f t="shared" si="17"/>
        <v>0.95670805369127299</v>
      </c>
      <c r="L170" s="12" t="str">
        <f t="shared" si="18"/>
        <v/>
      </c>
      <c r="M170" s="12" t="str">
        <f t="shared" si="19"/>
        <v/>
      </c>
    </row>
    <row r="171" spans="1:13" ht="31.5">
      <c r="A171" s="3">
        <v>163</v>
      </c>
      <c r="B171" s="11" t="s">
        <v>71</v>
      </c>
      <c r="C171" s="3">
        <v>4</v>
      </c>
      <c r="D171" s="3">
        <v>13</v>
      </c>
      <c r="E171" s="11" t="s">
        <v>234</v>
      </c>
      <c r="F171" s="14">
        <v>702.495</v>
      </c>
      <c r="G171" s="14">
        <f t="shared" si="20"/>
        <v>2.3000000000024556E-2</v>
      </c>
      <c r="H171" s="14">
        <f t="shared" si="14"/>
        <v>701.26350083752141</v>
      </c>
      <c r="I171" s="14">
        <f t="shared" si="15"/>
        <v>703.80793715053017</v>
      </c>
      <c r="J171" s="14">
        <f t="shared" si="16"/>
        <v>3.1255652114093886</v>
      </c>
      <c r="K171" s="14">
        <f t="shared" si="17"/>
        <v>0.95670805369127299</v>
      </c>
      <c r="L171" s="12" t="str">
        <f t="shared" si="18"/>
        <v/>
      </c>
      <c r="M171" s="12" t="str">
        <f t="shared" si="19"/>
        <v/>
      </c>
    </row>
    <row r="172" spans="1:13" ht="31.5">
      <c r="A172" s="3">
        <v>164</v>
      </c>
      <c r="B172" s="11" t="s">
        <v>71</v>
      </c>
      <c r="C172" s="3">
        <v>4</v>
      </c>
      <c r="D172" s="3">
        <v>12</v>
      </c>
      <c r="E172" s="11" t="s">
        <v>235</v>
      </c>
      <c r="F172" s="14">
        <v>701.97500000000002</v>
      </c>
      <c r="G172" s="14">
        <f t="shared" si="20"/>
        <v>0.51999999999998181</v>
      </c>
      <c r="H172" s="14">
        <f t="shared" si="14"/>
        <v>701.26350083752141</v>
      </c>
      <c r="I172" s="14">
        <f t="shared" si="15"/>
        <v>703.80793715053017</v>
      </c>
      <c r="J172" s="14">
        <f t="shared" si="16"/>
        <v>3.1255652114093886</v>
      </c>
      <c r="K172" s="14">
        <f t="shared" si="17"/>
        <v>0.95670805369127299</v>
      </c>
      <c r="L172" s="12" t="str">
        <f t="shared" si="18"/>
        <v/>
      </c>
      <c r="M172" s="12" t="str">
        <f t="shared" si="19"/>
        <v/>
      </c>
    </row>
    <row r="173" spans="1:13" ht="31.5">
      <c r="A173" s="3">
        <v>165</v>
      </c>
      <c r="B173" s="11" t="s">
        <v>71</v>
      </c>
      <c r="C173" s="3">
        <v>4</v>
      </c>
      <c r="D173" s="3">
        <v>11</v>
      </c>
      <c r="E173" s="11" t="s">
        <v>236</v>
      </c>
      <c r="F173" s="14">
        <v>702.24699999999996</v>
      </c>
      <c r="G173" s="14">
        <f t="shared" si="20"/>
        <v>0.27199999999993452</v>
      </c>
      <c r="H173" s="14">
        <f t="shared" si="14"/>
        <v>701.26350083752141</v>
      </c>
      <c r="I173" s="14">
        <f t="shared" si="15"/>
        <v>703.80793715053017</v>
      </c>
      <c r="J173" s="14">
        <f t="shared" si="16"/>
        <v>3.1255652114093886</v>
      </c>
      <c r="K173" s="14">
        <f t="shared" si="17"/>
        <v>0.95670805369127299</v>
      </c>
      <c r="L173" s="12" t="str">
        <f t="shared" si="18"/>
        <v/>
      </c>
      <c r="M173" s="12" t="str">
        <f t="shared" si="19"/>
        <v/>
      </c>
    </row>
    <row r="174" spans="1:13" ht="31.5">
      <c r="A174" s="3">
        <v>166</v>
      </c>
      <c r="B174" s="11" t="s">
        <v>71</v>
      </c>
      <c r="C174" s="3">
        <v>4</v>
      </c>
      <c r="D174" s="3">
        <v>10</v>
      </c>
      <c r="E174" s="11" t="s">
        <v>237</v>
      </c>
      <c r="F174" s="14">
        <v>701.14700000000005</v>
      </c>
      <c r="G174" s="14">
        <f t="shared" si="20"/>
        <v>1.0999999999999091</v>
      </c>
      <c r="H174" s="14">
        <f t="shared" si="14"/>
        <v>701.26350083752141</v>
      </c>
      <c r="I174" s="14">
        <f t="shared" si="15"/>
        <v>703.80793715053017</v>
      </c>
      <c r="J174" s="14">
        <f t="shared" si="16"/>
        <v>3.1255652114093886</v>
      </c>
      <c r="K174" s="14">
        <f t="shared" si="17"/>
        <v>0.95670805369127299</v>
      </c>
      <c r="L174" s="12" t="str">
        <f t="shared" si="18"/>
        <v/>
      </c>
      <c r="M174" s="12" t="str">
        <f t="shared" si="19"/>
        <v/>
      </c>
    </row>
    <row r="175" spans="1:13" ht="31.5">
      <c r="A175" s="3">
        <v>167</v>
      </c>
      <c r="B175" s="11" t="s">
        <v>71</v>
      </c>
      <c r="C175" s="3">
        <v>4</v>
      </c>
      <c r="D175" s="3">
        <v>9</v>
      </c>
      <c r="E175" s="11" t="s">
        <v>238</v>
      </c>
      <c r="F175" s="14">
        <v>701.30200000000002</v>
      </c>
      <c r="G175" s="14">
        <f t="shared" si="20"/>
        <v>0.15499999999997272</v>
      </c>
      <c r="H175" s="14">
        <f t="shared" si="14"/>
        <v>701.26350083752141</v>
      </c>
      <c r="I175" s="14">
        <f t="shared" si="15"/>
        <v>703.80793715053017</v>
      </c>
      <c r="J175" s="14">
        <f t="shared" si="16"/>
        <v>3.1255652114093886</v>
      </c>
      <c r="K175" s="14">
        <f t="shared" si="17"/>
        <v>0.95670805369127299</v>
      </c>
      <c r="L175" s="12" t="str">
        <f t="shared" si="18"/>
        <v/>
      </c>
      <c r="M175" s="12" t="str">
        <f t="shared" si="19"/>
        <v/>
      </c>
    </row>
    <row r="176" spans="1:13" ht="31.5">
      <c r="A176" s="3">
        <v>168</v>
      </c>
      <c r="B176" s="11" t="s">
        <v>71</v>
      </c>
      <c r="C176" s="3">
        <v>4</v>
      </c>
      <c r="D176" s="3">
        <v>8</v>
      </c>
      <c r="E176" s="11" t="s">
        <v>239</v>
      </c>
      <c r="F176" s="14">
        <v>703.63599999999997</v>
      </c>
      <c r="G176" s="14">
        <f t="shared" si="20"/>
        <v>2.3339999999999463</v>
      </c>
      <c r="H176" s="14">
        <f t="shared" si="14"/>
        <v>701.26350083752141</v>
      </c>
      <c r="I176" s="14">
        <f t="shared" si="15"/>
        <v>703.80793715053017</v>
      </c>
      <c r="J176" s="14">
        <f t="shared" si="16"/>
        <v>3.1255652114093886</v>
      </c>
      <c r="K176" s="14">
        <f t="shared" si="17"/>
        <v>0.95670805369127299</v>
      </c>
      <c r="L176" s="12" t="str">
        <f t="shared" si="18"/>
        <v/>
      </c>
      <c r="M176" s="12" t="str">
        <f t="shared" si="19"/>
        <v/>
      </c>
    </row>
    <row r="177" spans="1:13" ht="31.5">
      <c r="A177" s="3">
        <v>169</v>
      </c>
      <c r="B177" s="11" t="s">
        <v>71</v>
      </c>
      <c r="C177" s="3">
        <v>4</v>
      </c>
      <c r="D177" s="3">
        <v>7</v>
      </c>
      <c r="E177" s="11" t="s">
        <v>240</v>
      </c>
      <c r="F177" s="14">
        <v>699.33900000000006</v>
      </c>
      <c r="G177" s="14">
        <f t="shared" si="20"/>
        <v>4.2969999999999118</v>
      </c>
      <c r="H177" s="14">
        <f t="shared" si="14"/>
        <v>701.26350083752141</v>
      </c>
      <c r="I177" s="14">
        <f t="shared" si="15"/>
        <v>703.80793715053017</v>
      </c>
      <c r="J177" s="14">
        <f t="shared" si="16"/>
        <v>3.1255652114093886</v>
      </c>
      <c r="K177" s="14">
        <f t="shared" si="17"/>
        <v>0.95670805369127299</v>
      </c>
      <c r="L177" s="12" t="str">
        <f t="shared" si="18"/>
        <v/>
      </c>
      <c r="M177" s="12" t="str">
        <f t="shared" si="19"/>
        <v/>
      </c>
    </row>
    <row r="178" spans="1:13" ht="31.5">
      <c r="A178" s="3">
        <v>170</v>
      </c>
      <c r="B178" s="11" t="s">
        <v>71</v>
      </c>
      <c r="C178" s="3">
        <v>4</v>
      </c>
      <c r="D178" s="3">
        <v>6</v>
      </c>
      <c r="E178" s="11" t="s">
        <v>241</v>
      </c>
      <c r="F178" s="14">
        <v>701.78800000000001</v>
      </c>
      <c r="G178" s="14">
        <f t="shared" si="20"/>
        <v>2.4489999999999554</v>
      </c>
      <c r="H178" s="14">
        <f t="shared" si="14"/>
        <v>701.26350083752141</v>
      </c>
      <c r="I178" s="14">
        <f t="shared" si="15"/>
        <v>703.80793715053017</v>
      </c>
      <c r="J178" s="14">
        <f t="shared" si="16"/>
        <v>3.1255652114093886</v>
      </c>
      <c r="K178" s="14">
        <f t="shared" si="17"/>
        <v>0.95670805369127299</v>
      </c>
      <c r="L178" s="12" t="str">
        <f t="shared" si="18"/>
        <v/>
      </c>
      <c r="M178" s="12" t="str">
        <f t="shared" si="19"/>
        <v/>
      </c>
    </row>
    <row r="179" spans="1:13" ht="31.5">
      <c r="A179" s="3">
        <v>171</v>
      </c>
      <c r="B179" s="11" t="s">
        <v>71</v>
      </c>
      <c r="C179" s="3">
        <v>4</v>
      </c>
      <c r="D179" s="3">
        <v>5</v>
      </c>
      <c r="E179" s="11" t="s">
        <v>242</v>
      </c>
      <c r="F179" s="14">
        <v>702.3</v>
      </c>
      <c r="G179" s="14">
        <f t="shared" si="20"/>
        <v>0.51199999999994361</v>
      </c>
      <c r="H179" s="14">
        <f t="shared" si="14"/>
        <v>701.26350083752141</v>
      </c>
      <c r="I179" s="14">
        <f t="shared" si="15"/>
        <v>703.80793715053017</v>
      </c>
      <c r="J179" s="14">
        <f t="shared" si="16"/>
        <v>3.1255652114093886</v>
      </c>
      <c r="K179" s="14">
        <f t="shared" si="17"/>
        <v>0.95670805369127299</v>
      </c>
      <c r="L179" s="12" t="str">
        <f t="shared" si="18"/>
        <v/>
      </c>
      <c r="M179" s="12" t="str">
        <f t="shared" si="19"/>
        <v/>
      </c>
    </row>
    <row r="180" spans="1:13" ht="31.5">
      <c r="A180" s="3">
        <v>172</v>
      </c>
      <c r="B180" s="11" t="s">
        <v>71</v>
      </c>
      <c r="C180" s="3">
        <v>4</v>
      </c>
      <c r="D180" s="3">
        <v>4</v>
      </c>
      <c r="E180" s="11" t="s">
        <v>243</v>
      </c>
      <c r="F180" s="14">
        <v>700.44</v>
      </c>
      <c r="G180" s="14">
        <f t="shared" si="20"/>
        <v>1.8599999999999</v>
      </c>
      <c r="H180" s="14">
        <f t="shared" si="14"/>
        <v>701.26350083752141</v>
      </c>
      <c r="I180" s="14">
        <f t="shared" si="15"/>
        <v>703.80793715053017</v>
      </c>
      <c r="J180" s="14">
        <f t="shared" si="16"/>
        <v>3.1255652114093886</v>
      </c>
      <c r="K180" s="14">
        <f t="shared" si="17"/>
        <v>0.95670805369127299</v>
      </c>
      <c r="L180" s="12" t="str">
        <f t="shared" si="18"/>
        <v/>
      </c>
      <c r="M180" s="12" t="str">
        <f t="shared" si="19"/>
        <v/>
      </c>
    </row>
    <row r="181" spans="1:13" ht="31.5">
      <c r="A181" s="3">
        <v>173</v>
      </c>
      <c r="B181" s="11" t="s">
        <v>71</v>
      </c>
      <c r="C181" s="3">
        <v>4</v>
      </c>
      <c r="D181" s="3">
        <v>3</v>
      </c>
      <c r="E181" s="11" t="s">
        <v>244</v>
      </c>
      <c r="F181" s="14">
        <v>701.75400000000002</v>
      </c>
      <c r="G181" s="14">
        <f t="shared" si="20"/>
        <v>1.3139999999999645</v>
      </c>
      <c r="H181" s="14">
        <f t="shared" si="14"/>
        <v>701.26350083752141</v>
      </c>
      <c r="I181" s="14">
        <f t="shared" si="15"/>
        <v>703.80793715053017</v>
      </c>
      <c r="J181" s="14">
        <f t="shared" si="16"/>
        <v>3.1255652114093886</v>
      </c>
      <c r="K181" s="14">
        <f t="shared" si="17"/>
        <v>0.95670805369127299</v>
      </c>
      <c r="L181" s="12" t="str">
        <f t="shared" si="18"/>
        <v/>
      </c>
      <c r="M181" s="12" t="str">
        <f t="shared" si="19"/>
        <v/>
      </c>
    </row>
    <row r="182" spans="1:13" ht="31.5">
      <c r="A182" s="3">
        <v>174</v>
      </c>
      <c r="B182" s="11" t="s">
        <v>71</v>
      </c>
      <c r="C182" s="3">
        <v>4</v>
      </c>
      <c r="D182" s="3">
        <v>2</v>
      </c>
      <c r="E182" s="11" t="s">
        <v>245</v>
      </c>
      <c r="F182" s="14">
        <v>702.33199999999999</v>
      </c>
      <c r="G182" s="14">
        <f t="shared" si="20"/>
        <v>0.57799999999997453</v>
      </c>
      <c r="H182" s="14">
        <f t="shared" si="14"/>
        <v>701.26350083752141</v>
      </c>
      <c r="I182" s="14">
        <f t="shared" si="15"/>
        <v>703.80793715053017</v>
      </c>
      <c r="J182" s="14">
        <f t="shared" si="16"/>
        <v>3.1255652114093886</v>
      </c>
      <c r="K182" s="14">
        <f t="shared" si="17"/>
        <v>0.95670805369127299</v>
      </c>
      <c r="L182" s="12" t="str">
        <f t="shared" si="18"/>
        <v/>
      </c>
      <c r="M182" s="12" t="str">
        <f t="shared" si="19"/>
        <v/>
      </c>
    </row>
    <row r="183" spans="1:13" ht="31.5">
      <c r="A183" s="3">
        <v>175</v>
      </c>
      <c r="B183" s="11" t="s">
        <v>71</v>
      </c>
      <c r="C183" s="3">
        <v>4</v>
      </c>
      <c r="D183" s="3">
        <v>1</v>
      </c>
      <c r="E183" s="11" t="s">
        <v>246</v>
      </c>
      <c r="F183" s="14">
        <v>703.68100000000004</v>
      </c>
      <c r="G183" s="14">
        <f t="shared" si="20"/>
        <v>1.3490000000000464</v>
      </c>
      <c r="H183" s="14">
        <f t="shared" si="14"/>
        <v>701.26350083752141</v>
      </c>
      <c r="I183" s="14">
        <f t="shared" si="15"/>
        <v>703.80793715053017</v>
      </c>
      <c r="J183" s="14">
        <f t="shared" si="16"/>
        <v>3.1255652114093886</v>
      </c>
      <c r="K183" s="14">
        <f t="shared" si="17"/>
        <v>0.95670805369127299</v>
      </c>
      <c r="L183" s="12" t="str">
        <f t="shared" si="18"/>
        <v/>
      </c>
      <c r="M183" s="12" t="str">
        <f t="shared" si="19"/>
        <v/>
      </c>
    </row>
    <row r="184" spans="1:13" ht="31.5">
      <c r="A184" s="3">
        <v>176</v>
      </c>
      <c r="B184" s="11" t="s">
        <v>71</v>
      </c>
      <c r="C184" s="3">
        <v>4</v>
      </c>
      <c r="D184" s="3">
        <v>25</v>
      </c>
      <c r="E184" s="11" t="s">
        <v>247</v>
      </c>
      <c r="F184" s="14">
        <v>701.54899999999998</v>
      </c>
      <c r="G184" s="14">
        <f t="shared" si="20"/>
        <v>2.1320000000000618</v>
      </c>
      <c r="H184" s="14">
        <f t="shared" si="14"/>
        <v>701.26350083752141</v>
      </c>
      <c r="I184" s="14">
        <f t="shared" si="15"/>
        <v>703.80793715053017</v>
      </c>
      <c r="J184" s="14">
        <f t="shared" si="16"/>
        <v>3.1255652114093886</v>
      </c>
      <c r="K184" s="14">
        <f t="shared" si="17"/>
        <v>0.95670805369127299</v>
      </c>
      <c r="L184" s="12" t="str">
        <f t="shared" si="18"/>
        <v/>
      </c>
      <c r="M184" s="12" t="str">
        <f t="shared" si="19"/>
        <v/>
      </c>
    </row>
    <row r="185" spans="1:13" ht="31.5">
      <c r="A185" s="3">
        <v>177</v>
      </c>
      <c r="B185" s="11" t="s">
        <v>71</v>
      </c>
      <c r="C185" s="3">
        <v>4</v>
      </c>
      <c r="D185" s="3">
        <v>24</v>
      </c>
      <c r="E185" s="11" t="s">
        <v>248</v>
      </c>
      <c r="F185" s="14">
        <v>700.68799999999999</v>
      </c>
      <c r="G185" s="14">
        <f t="shared" si="20"/>
        <v>0.86099999999999</v>
      </c>
      <c r="H185" s="14">
        <f t="shared" si="14"/>
        <v>701.26350083752141</v>
      </c>
      <c r="I185" s="14">
        <f t="shared" si="15"/>
        <v>703.80793715053017</v>
      </c>
      <c r="J185" s="14">
        <f t="shared" si="16"/>
        <v>3.1255652114093886</v>
      </c>
      <c r="K185" s="14">
        <f t="shared" si="17"/>
        <v>0.95670805369127299</v>
      </c>
      <c r="L185" s="12" t="str">
        <f t="shared" si="18"/>
        <v/>
      </c>
      <c r="M185" s="12" t="str">
        <f t="shared" si="19"/>
        <v/>
      </c>
    </row>
    <row r="186" spans="1:13" ht="31.5">
      <c r="A186" s="3">
        <v>178</v>
      </c>
      <c r="B186" s="11" t="s">
        <v>71</v>
      </c>
      <c r="C186" s="3">
        <v>4</v>
      </c>
      <c r="D186" s="3">
        <v>23</v>
      </c>
      <c r="E186" s="11" t="s">
        <v>249</v>
      </c>
      <c r="F186" s="14">
        <v>702.81899999999996</v>
      </c>
      <c r="G186" s="14">
        <f t="shared" si="20"/>
        <v>2.1309999999999718</v>
      </c>
      <c r="H186" s="14">
        <f t="shared" si="14"/>
        <v>701.26350083752141</v>
      </c>
      <c r="I186" s="14">
        <f t="shared" si="15"/>
        <v>703.80793715053017</v>
      </c>
      <c r="J186" s="14">
        <f t="shared" si="16"/>
        <v>3.1255652114093886</v>
      </c>
      <c r="K186" s="14">
        <f t="shared" si="17"/>
        <v>0.95670805369127299</v>
      </c>
      <c r="L186" s="12" t="str">
        <f t="shared" si="18"/>
        <v/>
      </c>
      <c r="M186" s="12" t="str">
        <f t="shared" si="19"/>
        <v/>
      </c>
    </row>
    <row r="187" spans="1:13" ht="31.5">
      <c r="A187" s="3">
        <v>179</v>
      </c>
      <c r="B187" s="11" t="s">
        <v>71</v>
      </c>
      <c r="C187" s="3">
        <v>4</v>
      </c>
      <c r="D187" s="3">
        <v>22</v>
      </c>
      <c r="E187" s="11" t="s">
        <v>250</v>
      </c>
      <c r="F187" s="14">
        <v>699.88099999999997</v>
      </c>
      <c r="G187" s="14">
        <f t="shared" si="20"/>
        <v>2.9379999999999882</v>
      </c>
      <c r="H187" s="14">
        <f t="shared" si="14"/>
        <v>701.26350083752141</v>
      </c>
      <c r="I187" s="14">
        <f t="shared" si="15"/>
        <v>703.80793715053017</v>
      </c>
      <c r="J187" s="14">
        <f t="shared" si="16"/>
        <v>3.1255652114093886</v>
      </c>
      <c r="K187" s="14">
        <f t="shared" si="17"/>
        <v>0.95670805369127299</v>
      </c>
      <c r="L187" s="12" t="str">
        <f t="shared" si="18"/>
        <v/>
      </c>
      <c r="M187" s="12" t="str">
        <f t="shared" si="19"/>
        <v/>
      </c>
    </row>
    <row r="188" spans="1:13" ht="31.5">
      <c r="A188" s="3">
        <v>180</v>
      </c>
      <c r="B188" s="11" t="s">
        <v>71</v>
      </c>
      <c r="C188" s="3">
        <v>4</v>
      </c>
      <c r="D188" s="3">
        <v>21</v>
      </c>
      <c r="E188" s="11" t="s">
        <v>251</v>
      </c>
      <c r="F188" s="14">
        <v>700.80200000000002</v>
      </c>
      <c r="G188" s="14">
        <f t="shared" si="20"/>
        <v>0.92100000000004911</v>
      </c>
      <c r="H188" s="14">
        <f t="shared" si="14"/>
        <v>701.26350083752141</v>
      </c>
      <c r="I188" s="14">
        <f t="shared" si="15"/>
        <v>703.80793715053017</v>
      </c>
      <c r="J188" s="14">
        <f t="shared" si="16"/>
        <v>3.1255652114093886</v>
      </c>
      <c r="K188" s="14">
        <f t="shared" si="17"/>
        <v>0.95670805369127299</v>
      </c>
      <c r="L188" s="12" t="str">
        <f t="shared" si="18"/>
        <v/>
      </c>
      <c r="M188" s="12" t="str">
        <f t="shared" si="19"/>
        <v/>
      </c>
    </row>
    <row r="189" spans="1:13" ht="31.5">
      <c r="A189" s="3">
        <v>181</v>
      </c>
      <c r="B189" s="11" t="s">
        <v>71</v>
      </c>
      <c r="C189" s="3">
        <v>4</v>
      </c>
      <c r="D189" s="3">
        <v>20</v>
      </c>
      <c r="E189" s="11" t="s">
        <v>252</v>
      </c>
      <c r="F189" s="14">
        <v>700.94200000000001</v>
      </c>
      <c r="G189" s="14">
        <f t="shared" si="20"/>
        <v>0.13999999999998636</v>
      </c>
      <c r="H189" s="14">
        <f t="shared" si="14"/>
        <v>701.26350083752141</v>
      </c>
      <c r="I189" s="14">
        <f t="shared" si="15"/>
        <v>703.80793715053017</v>
      </c>
      <c r="J189" s="14">
        <f t="shared" si="16"/>
        <v>3.1255652114093886</v>
      </c>
      <c r="K189" s="14">
        <f t="shared" si="17"/>
        <v>0.95670805369127299</v>
      </c>
      <c r="L189" s="12" t="str">
        <f t="shared" si="18"/>
        <v/>
      </c>
      <c r="M189" s="12" t="str">
        <f t="shared" si="19"/>
        <v/>
      </c>
    </row>
    <row r="190" spans="1:13" ht="31.5">
      <c r="A190" s="3">
        <v>182</v>
      </c>
      <c r="B190" s="11" t="s">
        <v>71</v>
      </c>
      <c r="C190" s="3">
        <v>4</v>
      </c>
      <c r="D190" s="3">
        <v>19</v>
      </c>
      <c r="E190" s="11" t="s">
        <v>253</v>
      </c>
      <c r="F190" s="14">
        <v>703.77599999999995</v>
      </c>
      <c r="G190" s="14">
        <f t="shared" si="20"/>
        <v>2.8339999999999463</v>
      </c>
      <c r="H190" s="14">
        <f t="shared" si="14"/>
        <v>701.26350083752141</v>
      </c>
      <c r="I190" s="14">
        <f t="shared" si="15"/>
        <v>703.80793715053017</v>
      </c>
      <c r="J190" s="14">
        <f t="shared" si="16"/>
        <v>3.1255652114093886</v>
      </c>
      <c r="K190" s="14">
        <f t="shared" si="17"/>
        <v>0.95670805369127299</v>
      </c>
      <c r="L190" s="12" t="str">
        <f t="shared" si="18"/>
        <v/>
      </c>
      <c r="M190" s="12" t="str">
        <f t="shared" si="19"/>
        <v/>
      </c>
    </row>
    <row r="191" spans="1:13" ht="31.5">
      <c r="A191" s="3">
        <v>183</v>
      </c>
      <c r="B191" s="11" t="s">
        <v>71</v>
      </c>
      <c r="C191" s="3">
        <v>4</v>
      </c>
      <c r="D191" s="3">
        <v>18</v>
      </c>
      <c r="E191" s="11" t="s">
        <v>254</v>
      </c>
      <c r="F191" s="14">
        <v>700.81100000000004</v>
      </c>
      <c r="G191" s="14">
        <f t="shared" si="20"/>
        <v>2.9649999999999181</v>
      </c>
      <c r="H191" s="14">
        <f t="shared" si="14"/>
        <v>701.26350083752141</v>
      </c>
      <c r="I191" s="14">
        <f t="shared" si="15"/>
        <v>703.80793715053017</v>
      </c>
      <c r="J191" s="14">
        <f t="shared" si="16"/>
        <v>3.1255652114093886</v>
      </c>
      <c r="K191" s="14">
        <f t="shared" si="17"/>
        <v>0.95670805369127299</v>
      </c>
      <c r="L191" s="12" t="str">
        <f t="shared" si="18"/>
        <v/>
      </c>
      <c r="M191" s="12" t="str">
        <f t="shared" si="19"/>
        <v/>
      </c>
    </row>
    <row r="192" spans="1:13" ht="31.5">
      <c r="A192" s="3">
        <v>184</v>
      </c>
      <c r="B192" s="11" t="s">
        <v>71</v>
      </c>
      <c r="C192" s="3">
        <v>4</v>
      </c>
      <c r="D192" s="3">
        <v>17</v>
      </c>
      <c r="E192" s="11" t="s">
        <v>255</v>
      </c>
      <c r="F192" s="14">
        <v>701.28899999999999</v>
      </c>
      <c r="G192" s="14">
        <f t="shared" si="20"/>
        <v>0.4779999999999518</v>
      </c>
      <c r="H192" s="14">
        <f t="shared" si="14"/>
        <v>701.26350083752141</v>
      </c>
      <c r="I192" s="14">
        <f t="shared" si="15"/>
        <v>703.80793715053017</v>
      </c>
      <c r="J192" s="14">
        <f t="shared" si="16"/>
        <v>3.1255652114093886</v>
      </c>
      <c r="K192" s="14">
        <f t="shared" si="17"/>
        <v>0.95670805369127299</v>
      </c>
      <c r="L192" s="12" t="str">
        <f t="shared" si="18"/>
        <v/>
      </c>
      <c r="M192" s="12" t="str">
        <f t="shared" si="19"/>
        <v/>
      </c>
    </row>
    <row r="193" spans="1:13" ht="31.5">
      <c r="A193" s="3">
        <v>185</v>
      </c>
      <c r="B193" s="11" t="s">
        <v>71</v>
      </c>
      <c r="C193" s="3">
        <v>4</v>
      </c>
      <c r="D193" s="3">
        <v>16</v>
      </c>
      <c r="E193" s="11" t="s">
        <v>256</v>
      </c>
      <c r="F193" s="14">
        <v>700.95899999999995</v>
      </c>
      <c r="G193" s="14">
        <f t="shared" si="20"/>
        <v>0.33000000000004093</v>
      </c>
      <c r="H193" s="14">
        <f t="shared" si="14"/>
        <v>701.26350083752141</v>
      </c>
      <c r="I193" s="14">
        <f t="shared" si="15"/>
        <v>703.80793715053017</v>
      </c>
      <c r="J193" s="14">
        <f t="shared" si="16"/>
        <v>3.1255652114093886</v>
      </c>
      <c r="K193" s="14">
        <f t="shared" si="17"/>
        <v>0.95670805369127299</v>
      </c>
      <c r="L193" s="12" t="str">
        <f t="shared" si="18"/>
        <v/>
      </c>
      <c r="M193" s="12" t="str">
        <f t="shared" si="19"/>
        <v/>
      </c>
    </row>
    <row r="194" spans="1:13" ht="31.5">
      <c r="A194" s="3">
        <v>186</v>
      </c>
      <c r="B194" s="11" t="s">
        <v>71</v>
      </c>
      <c r="C194" s="3">
        <v>4</v>
      </c>
      <c r="D194" s="3">
        <v>15</v>
      </c>
      <c r="E194" s="11" t="s">
        <v>257</v>
      </c>
      <c r="F194" s="14">
        <v>699.89700000000005</v>
      </c>
      <c r="G194" s="14">
        <f t="shared" si="20"/>
        <v>1.0619999999998981</v>
      </c>
      <c r="H194" s="14">
        <f t="shared" si="14"/>
        <v>701.26350083752141</v>
      </c>
      <c r="I194" s="14">
        <f t="shared" si="15"/>
        <v>703.80793715053017</v>
      </c>
      <c r="J194" s="14">
        <f t="shared" si="16"/>
        <v>3.1255652114093886</v>
      </c>
      <c r="K194" s="14">
        <f t="shared" si="17"/>
        <v>0.95670805369127299</v>
      </c>
      <c r="L194" s="12" t="str">
        <f t="shared" si="18"/>
        <v/>
      </c>
      <c r="M194" s="12" t="str">
        <f t="shared" si="19"/>
        <v/>
      </c>
    </row>
    <row r="195" spans="1:13" ht="31.5">
      <c r="A195" s="3">
        <v>187</v>
      </c>
      <c r="B195" s="11" t="s">
        <v>71</v>
      </c>
      <c r="C195" s="3">
        <v>4</v>
      </c>
      <c r="D195" s="3">
        <v>14</v>
      </c>
      <c r="E195" s="11" t="s">
        <v>258</v>
      </c>
      <c r="F195" s="14">
        <v>702.23800000000006</v>
      </c>
      <c r="G195" s="14">
        <f t="shared" si="20"/>
        <v>2.3410000000000082</v>
      </c>
      <c r="H195" s="14">
        <f t="shared" si="14"/>
        <v>701.26350083752141</v>
      </c>
      <c r="I195" s="14">
        <f t="shared" si="15"/>
        <v>703.80793715053017</v>
      </c>
      <c r="J195" s="14">
        <f t="shared" si="16"/>
        <v>3.1255652114093886</v>
      </c>
      <c r="K195" s="14">
        <f t="shared" si="17"/>
        <v>0.95670805369127299</v>
      </c>
      <c r="L195" s="12" t="str">
        <f t="shared" si="18"/>
        <v/>
      </c>
      <c r="M195" s="12" t="str">
        <f t="shared" si="19"/>
        <v/>
      </c>
    </row>
    <row r="196" spans="1:13" ht="31.5">
      <c r="A196" s="3">
        <v>188</v>
      </c>
      <c r="B196" s="11" t="s">
        <v>71</v>
      </c>
      <c r="C196" s="3">
        <v>4</v>
      </c>
      <c r="D196" s="3">
        <v>13</v>
      </c>
      <c r="E196" s="11" t="s">
        <v>259</v>
      </c>
      <c r="F196" s="14">
        <v>702.33</v>
      </c>
      <c r="G196" s="14">
        <f t="shared" si="20"/>
        <v>9.1999999999984539E-2</v>
      </c>
      <c r="H196" s="14">
        <f t="shared" si="14"/>
        <v>701.26350083752141</v>
      </c>
      <c r="I196" s="14">
        <f t="shared" si="15"/>
        <v>703.80793715053017</v>
      </c>
      <c r="J196" s="14">
        <f t="shared" si="16"/>
        <v>3.1255652114093886</v>
      </c>
      <c r="K196" s="14">
        <f t="shared" si="17"/>
        <v>0.95670805369127299</v>
      </c>
      <c r="L196" s="12" t="str">
        <f t="shared" si="18"/>
        <v/>
      </c>
      <c r="M196" s="12" t="str">
        <f t="shared" si="19"/>
        <v/>
      </c>
    </row>
    <row r="197" spans="1:13" ht="31.5">
      <c r="A197" s="3">
        <v>189</v>
      </c>
      <c r="B197" s="11" t="s">
        <v>71</v>
      </c>
      <c r="C197" s="3">
        <v>4</v>
      </c>
      <c r="D197" s="3">
        <v>12</v>
      </c>
      <c r="E197" s="11" t="s">
        <v>260</v>
      </c>
      <c r="F197" s="14">
        <v>701.851</v>
      </c>
      <c r="G197" s="14">
        <f t="shared" si="20"/>
        <v>0.47900000000004184</v>
      </c>
      <c r="H197" s="14">
        <f t="shared" si="14"/>
        <v>701.26350083752141</v>
      </c>
      <c r="I197" s="14">
        <f t="shared" si="15"/>
        <v>703.80793715053017</v>
      </c>
      <c r="J197" s="14">
        <f t="shared" si="16"/>
        <v>3.1255652114093886</v>
      </c>
      <c r="K197" s="14">
        <f t="shared" si="17"/>
        <v>0.95670805369127299</v>
      </c>
      <c r="L197" s="12" t="str">
        <f t="shared" si="18"/>
        <v/>
      </c>
      <c r="M197" s="12" t="str">
        <f t="shared" si="19"/>
        <v/>
      </c>
    </row>
    <row r="198" spans="1:13" ht="31.5">
      <c r="A198" s="3">
        <v>190</v>
      </c>
      <c r="B198" s="11" t="s">
        <v>71</v>
      </c>
      <c r="C198" s="3">
        <v>4</v>
      </c>
      <c r="D198" s="3">
        <v>11</v>
      </c>
      <c r="E198" s="11" t="s">
        <v>261</v>
      </c>
      <c r="F198" s="14">
        <v>699.904</v>
      </c>
      <c r="G198" s="14">
        <f t="shared" si="20"/>
        <v>1.9470000000000027</v>
      </c>
      <c r="H198" s="14">
        <f t="shared" si="14"/>
        <v>701.26350083752141</v>
      </c>
      <c r="I198" s="14">
        <f t="shared" si="15"/>
        <v>703.80793715053017</v>
      </c>
      <c r="J198" s="14">
        <f t="shared" si="16"/>
        <v>3.1255652114093886</v>
      </c>
      <c r="K198" s="14">
        <f t="shared" si="17"/>
        <v>0.95670805369127299</v>
      </c>
      <c r="L198" s="12" t="str">
        <f t="shared" si="18"/>
        <v/>
      </c>
      <c r="M198" s="12" t="str">
        <f t="shared" si="19"/>
        <v/>
      </c>
    </row>
    <row r="199" spans="1:13" ht="31.5">
      <c r="A199" s="3">
        <v>191</v>
      </c>
      <c r="B199" s="11" t="s">
        <v>71</v>
      </c>
      <c r="C199" s="3">
        <v>4</v>
      </c>
      <c r="D199" s="3">
        <v>10</v>
      </c>
      <c r="E199" s="11" t="s">
        <v>262</v>
      </c>
      <c r="F199" s="14">
        <v>700.63</v>
      </c>
      <c r="G199" s="14">
        <f t="shared" si="20"/>
        <v>0.72599999999999909</v>
      </c>
      <c r="H199" s="14">
        <f t="shared" si="14"/>
        <v>701.26350083752141</v>
      </c>
      <c r="I199" s="14">
        <f t="shared" si="15"/>
        <v>703.80793715053017</v>
      </c>
      <c r="J199" s="14">
        <f t="shared" si="16"/>
        <v>3.1255652114093886</v>
      </c>
      <c r="K199" s="14">
        <f t="shared" si="17"/>
        <v>0.95670805369127299</v>
      </c>
      <c r="L199" s="12" t="str">
        <f t="shared" si="18"/>
        <v/>
      </c>
      <c r="M199" s="12" t="str">
        <f t="shared" si="19"/>
        <v/>
      </c>
    </row>
    <row r="200" spans="1:13" ht="31.5">
      <c r="A200" s="3">
        <v>192</v>
      </c>
      <c r="B200" s="11" t="s">
        <v>71</v>
      </c>
      <c r="C200" s="3">
        <v>4</v>
      </c>
      <c r="D200" s="3">
        <v>9</v>
      </c>
      <c r="E200" s="11" t="s">
        <v>263</v>
      </c>
      <c r="F200" s="14">
        <v>700.49199999999996</v>
      </c>
      <c r="G200" s="14">
        <f t="shared" si="20"/>
        <v>0.13800000000003365</v>
      </c>
      <c r="H200" s="14">
        <f t="shared" si="14"/>
        <v>701.26350083752141</v>
      </c>
      <c r="I200" s="14">
        <f t="shared" si="15"/>
        <v>703.80793715053017</v>
      </c>
      <c r="J200" s="14">
        <f t="shared" si="16"/>
        <v>3.1255652114093886</v>
      </c>
      <c r="K200" s="14">
        <f t="shared" si="17"/>
        <v>0.95670805369127299</v>
      </c>
      <c r="L200" s="12" t="str">
        <f t="shared" si="18"/>
        <v/>
      </c>
      <c r="M200" s="12" t="str">
        <f t="shared" si="19"/>
        <v/>
      </c>
    </row>
    <row r="201" spans="1:13" ht="31.5">
      <c r="A201" s="3">
        <v>193</v>
      </c>
      <c r="B201" s="11" t="s">
        <v>71</v>
      </c>
      <c r="C201" s="3">
        <v>4</v>
      </c>
      <c r="D201" s="3">
        <v>8</v>
      </c>
      <c r="E201" s="11" t="s">
        <v>264</v>
      </c>
      <c r="F201" s="14">
        <v>700.68100000000004</v>
      </c>
      <c r="G201" s="14">
        <f t="shared" si="20"/>
        <v>0.18900000000007822</v>
      </c>
      <c r="H201" s="14">
        <f t="shared" si="14"/>
        <v>701.26350083752141</v>
      </c>
      <c r="I201" s="14">
        <f t="shared" si="15"/>
        <v>703.80793715053017</v>
      </c>
      <c r="J201" s="14">
        <f t="shared" si="16"/>
        <v>3.1255652114093886</v>
      </c>
      <c r="K201" s="14">
        <f t="shared" si="17"/>
        <v>0.95670805369127299</v>
      </c>
      <c r="L201" s="12" t="str">
        <f t="shared" si="18"/>
        <v/>
      </c>
      <c r="M201" s="12" t="str">
        <f t="shared" si="19"/>
        <v/>
      </c>
    </row>
    <row r="202" spans="1:13" ht="31.5">
      <c r="A202" s="3">
        <v>194</v>
      </c>
      <c r="B202" s="11" t="s">
        <v>71</v>
      </c>
      <c r="C202" s="3">
        <v>4</v>
      </c>
      <c r="D202" s="3">
        <v>7</v>
      </c>
      <c r="E202" s="11" t="s">
        <v>265</v>
      </c>
      <c r="F202" s="14">
        <v>702.23400000000004</v>
      </c>
      <c r="G202" s="14">
        <f t="shared" si="20"/>
        <v>1.5529999999999973</v>
      </c>
      <c r="H202" s="14">
        <f t="shared" ref="H202:H265" si="21">$F$4</f>
        <v>701.26350083752141</v>
      </c>
      <c r="I202" s="14">
        <f t="shared" ref="I202:I265" si="22">$F$7</f>
        <v>703.80793715053017</v>
      </c>
      <c r="J202" s="14">
        <f t="shared" ref="J202:J265" si="23">$F$8</f>
        <v>3.1255652114093886</v>
      </c>
      <c r="K202" s="14">
        <f t="shared" ref="K202:K265" si="24">$F$5</f>
        <v>0.95670805369127299</v>
      </c>
      <c r="L202" s="12" t="str">
        <f t="shared" ref="L202:L265" si="25">IF(F202&gt;$F$7,"OOC","" )</f>
        <v/>
      </c>
      <c r="M202" s="12" t="str">
        <f t="shared" ref="M202:M265" si="26">IF(F202&gt;$B$4,"OOS","" )</f>
        <v/>
      </c>
    </row>
    <row r="203" spans="1:13" ht="31.5">
      <c r="A203" s="3">
        <v>195</v>
      </c>
      <c r="B203" s="11" t="s">
        <v>71</v>
      </c>
      <c r="C203" s="3">
        <v>4</v>
      </c>
      <c r="D203" s="3">
        <v>6</v>
      </c>
      <c r="E203" s="11" t="s">
        <v>266</v>
      </c>
      <c r="F203" s="14">
        <v>699.30899999999997</v>
      </c>
      <c r="G203" s="14">
        <f t="shared" ref="G203:G266" si="27">ABS(F203-F202)</f>
        <v>2.9250000000000682</v>
      </c>
      <c r="H203" s="14">
        <f t="shared" si="21"/>
        <v>701.26350083752141</v>
      </c>
      <c r="I203" s="14">
        <f t="shared" si="22"/>
        <v>703.80793715053017</v>
      </c>
      <c r="J203" s="14">
        <f t="shared" si="23"/>
        <v>3.1255652114093886</v>
      </c>
      <c r="K203" s="14">
        <f t="shared" si="24"/>
        <v>0.95670805369127299</v>
      </c>
      <c r="L203" s="12" t="str">
        <f t="shared" si="25"/>
        <v/>
      </c>
      <c r="M203" s="12" t="str">
        <f t="shared" si="26"/>
        <v/>
      </c>
    </row>
    <row r="204" spans="1:13" ht="31.5">
      <c r="A204" s="3">
        <v>196</v>
      </c>
      <c r="B204" s="11" t="s">
        <v>71</v>
      </c>
      <c r="C204" s="3">
        <v>4</v>
      </c>
      <c r="D204" s="3">
        <v>5</v>
      </c>
      <c r="E204" s="11" t="s">
        <v>267</v>
      </c>
      <c r="F204" s="14">
        <v>702.40599999999995</v>
      </c>
      <c r="G204" s="14">
        <f t="shared" si="27"/>
        <v>3.09699999999998</v>
      </c>
      <c r="H204" s="14">
        <f t="shared" si="21"/>
        <v>701.26350083752141</v>
      </c>
      <c r="I204" s="14">
        <f t="shared" si="22"/>
        <v>703.80793715053017</v>
      </c>
      <c r="J204" s="14">
        <f t="shared" si="23"/>
        <v>3.1255652114093886</v>
      </c>
      <c r="K204" s="14">
        <f t="shared" si="24"/>
        <v>0.95670805369127299</v>
      </c>
      <c r="L204" s="12" t="str">
        <f t="shared" si="25"/>
        <v/>
      </c>
      <c r="M204" s="12" t="str">
        <f t="shared" si="26"/>
        <v/>
      </c>
    </row>
    <row r="205" spans="1:13" ht="31.5">
      <c r="A205" s="3">
        <v>197</v>
      </c>
      <c r="B205" s="11" t="s">
        <v>71</v>
      </c>
      <c r="C205" s="3">
        <v>4</v>
      </c>
      <c r="D205" s="3">
        <v>4</v>
      </c>
      <c r="E205" s="11" t="s">
        <v>268</v>
      </c>
      <c r="F205" s="14">
        <v>702.38599999999997</v>
      </c>
      <c r="G205" s="14">
        <f t="shared" si="27"/>
        <v>1.999999999998181E-2</v>
      </c>
      <c r="H205" s="14">
        <f t="shared" si="21"/>
        <v>701.26350083752141</v>
      </c>
      <c r="I205" s="14">
        <f t="shared" si="22"/>
        <v>703.80793715053017</v>
      </c>
      <c r="J205" s="14">
        <f t="shared" si="23"/>
        <v>3.1255652114093886</v>
      </c>
      <c r="K205" s="14">
        <f t="shared" si="24"/>
        <v>0.95670805369127299</v>
      </c>
      <c r="L205" s="12" t="str">
        <f t="shared" si="25"/>
        <v/>
      </c>
      <c r="M205" s="12" t="str">
        <f t="shared" si="26"/>
        <v/>
      </c>
    </row>
    <row r="206" spans="1:13" ht="31.5">
      <c r="A206" s="3">
        <v>198</v>
      </c>
      <c r="B206" s="11" t="s">
        <v>71</v>
      </c>
      <c r="C206" s="3">
        <v>4</v>
      </c>
      <c r="D206" s="3">
        <v>3</v>
      </c>
      <c r="E206" s="11" t="s">
        <v>269</v>
      </c>
      <c r="F206" s="14">
        <v>701.33399999999995</v>
      </c>
      <c r="G206" s="14">
        <f t="shared" si="27"/>
        <v>1.0520000000000209</v>
      </c>
      <c r="H206" s="14">
        <f t="shared" si="21"/>
        <v>701.26350083752141</v>
      </c>
      <c r="I206" s="14">
        <f t="shared" si="22"/>
        <v>703.80793715053017</v>
      </c>
      <c r="J206" s="14">
        <f t="shared" si="23"/>
        <v>3.1255652114093886</v>
      </c>
      <c r="K206" s="14">
        <f t="shared" si="24"/>
        <v>0.95670805369127299</v>
      </c>
      <c r="L206" s="12" t="str">
        <f t="shared" si="25"/>
        <v/>
      </c>
      <c r="M206" s="12" t="str">
        <f t="shared" si="26"/>
        <v/>
      </c>
    </row>
    <row r="207" spans="1:13" ht="31.5">
      <c r="A207" s="3">
        <v>199</v>
      </c>
      <c r="B207" s="11" t="s">
        <v>71</v>
      </c>
      <c r="C207" s="3">
        <v>4</v>
      </c>
      <c r="D207" s="3">
        <v>2</v>
      </c>
      <c r="E207" s="11" t="s">
        <v>270</v>
      </c>
      <c r="F207" s="14">
        <v>701.24699999999996</v>
      </c>
      <c r="G207" s="14">
        <f t="shared" si="27"/>
        <v>8.6999999999989086E-2</v>
      </c>
      <c r="H207" s="14">
        <f t="shared" si="21"/>
        <v>701.26350083752141</v>
      </c>
      <c r="I207" s="14">
        <f t="shared" si="22"/>
        <v>703.80793715053017</v>
      </c>
      <c r="J207" s="14">
        <f t="shared" si="23"/>
        <v>3.1255652114093886</v>
      </c>
      <c r="K207" s="14">
        <f t="shared" si="24"/>
        <v>0.95670805369127299</v>
      </c>
      <c r="L207" s="12" t="str">
        <f t="shared" si="25"/>
        <v/>
      </c>
      <c r="M207" s="12" t="str">
        <f t="shared" si="26"/>
        <v/>
      </c>
    </row>
    <row r="208" spans="1:13" ht="31.5">
      <c r="A208" s="3">
        <v>200</v>
      </c>
      <c r="B208" s="11" t="s">
        <v>71</v>
      </c>
      <c r="C208" s="3">
        <v>4</v>
      </c>
      <c r="D208" s="3">
        <v>1</v>
      </c>
      <c r="E208" s="11" t="s">
        <v>271</v>
      </c>
      <c r="F208" s="14">
        <v>701.09299999999996</v>
      </c>
      <c r="G208" s="14">
        <f t="shared" si="27"/>
        <v>0.15399999999999636</v>
      </c>
      <c r="H208" s="14">
        <f t="shared" si="21"/>
        <v>701.26350083752141</v>
      </c>
      <c r="I208" s="14">
        <f t="shared" si="22"/>
        <v>703.80793715053017</v>
      </c>
      <c r="J208" s="14">
        <f t="shared" si="23"/>
        <v>3.1255652114093886</v>
      </c>
      <c r="K208" s="14">
        <f t="shared" si="24"/>
        <v>0.95670805369127299</v>
      </c>
      <c r="L208" s="12" t="str">
        <f t="shared" si="25"/>
        <v/>
      </c>
      <c r="M208" s="12" t="str">
        <f t="shared" si="26"/>
        <v/>
      </c>
    </row>
    <row r="209" spans="1:13" ht="31.5">
      <c r="A209" s="3">
        <v>201</v>
      </c>
      <c r="B209" s="11" t="s">
        <v>71</v>
      </c>
      <c r="C209" s="3">
        <v>5</v>
      </c>
      <c r="D209" s="3">
        <v>25</v>
      </c>
      <c r="E209" s="11" t="s">
        <v>272</v>
      </c>
      <c r="F209" s="14">
        <v>701.46600000000001</v>
      </c>
      <c r="G209" s="14">
        <f t="shared" si="27"/>
        <v>0.37300000000004729</v>
      </c>
      <c r="H209" s="14">
        <f t="shared" si="21"/>
        <v>701.26350083752141</v>
      </c>
      <c r="I209" s="14">
        <f t="shared" si="22"/>
        <v>703.80793715053017</v>
      </c>
      <c r="J209" s="14">
        <f t="shared" si="23"/>
        <v>3.1255652114093886</v>
      </c>
      <c r="K209" s="14">
        <f t="shared" si="24"/>
        <v>0.95670805369127299</v>
      </c>
      <c r="L209" s="12" t="str">
        <f t="shared" si="25"/>
        <v/>
      </c>
      <c r="M209" s="12" t="str">
        <f t="shared" si="26"/>
        <v/>
      </c>
    </row>
    <row r="210" spans="1:13" ht="31.5">
      <c r="A210" s="3">
        <v>202</v>
      </c>
      <c r="B210" s="11" t="s">
        <v>71</v>
      </c>
      <c r="C210" s="3">
        <v>5</v>
      </c>
      <c r="D210" s="3">
        <v>24</v>
      </c>
      <c r="E210" s="11" t="s">
        <v>273</v>
      </c>
      <c r="F210" s="14">
        <v>700.45899999999995</v>
      </c>
      <c r="G210" s="14">
        <f t="shared" si="27"/>
        <v>1.0070000000000618</v>
      </c>
      <c r="H210" s="14">
        <f t="shared" si="21"/>
        <v>701.26350083752141</v>
      </c>
      <c r="I210" s="14">
        <f t="shared" si="22"/>
        <v>703.80793715053017</v>
      </c>
      <c r="J210" s="14">
        <f t="shared" si="23"/>
        <v>3.1255652114093886</v>
      </c>
      <c r="K210" s="14">
        <f t="shared" si="24"/>
        <v>0.95670805369127299</v>
      </c>
      <c r="L210" s="12" t="str">
        <f t="shared" si="25"/>
        <v/>
      </c>
      <c r="M210" s="12" t="str">
        <f t="shared" si="26"/>
        <v/>
      </c>
    </row>
    <row r="211" spans="1:13" ht="31.5">
      <c r="A211" s="3">
        <v>203</v>
      </c>
      <c r="B211" s="11" t="s">
        <v>71</v>
      </c>
      <c r="C211" s="3">
        <v>5</v>
      </c>
      <c r="D211" s="3">
        <v>23</v>
      </c>
      <c r="E211" s="11" t="s">
        <v>274</v>
      </c>
      <c r="F211" s="14">
        <v>701.49800000000005</v>
      </c>
      <c r="G211" s="14">
        <f t="shared" si="27"/>
        <v>1.039000000000101</v>
      </c>
      <c r="H211" s="14">
        <f t="shared" si="21"/>
        <v>701.26350083752141</v>
      </c>
      <c r="I211" s="14">
        <f t="shared" si="22"/>
        <v>703.80793715053017</v>
      </c>
      <c r="J211" s="14">
        <f t="shared" si="23"/>
        <v>3.1255652114093886</v>
      </c>
      <c r="K211" s="14">
        <f t="shared" si="24"/>
        <v>0.95670805369127299</v>
      </c>
      <c r="L211" s="12" t="str">
        <f t="shared" si="25"/>
        <v/>
      </c>
      <c r="M211" s="12" t="str">
        <f t="shared" si="26"/>
        <v/>
      </c>
    </row>
    <row r="212" spans="1:13" ht="31.5">
      <c r="A212" s="3">
        <v>204</v>
      </c>
      <c r="B212" s="11" t="s">
        <v>71</v>
      </c>
      <c r="C212" s="3">
        <v>5</v>
      </c>
      <c r="D212" s="3">
        <v>22</v>
      </c>
      <c r="E212" s="11" t="s">
        <v>275</v>
      </c>
      <c r="F212" s="14">
        <v>701.10799999999995</v>
      </c>
      <c r="G212" s="14">
        <f t="shared" si="27"/>
        <v>0.39000000000010004</v>
      </c>
      <c r="H212" s="14">
        <f t="shared" si="21"/>
        <v>701.26350083752141</v>
      </c>
      <c r="I212" s="14">
        <f t="shared" si="22"/>
        <v>703.80793715053017</v>
      </c>
      <c r="J212" s="14">
        <f t="shared" si="23"/>
        <v>3.1255652114093886</v>
      </c>
      <c r="K212" s="14">
        <f t="shared" si="24"/>
        <v>0.95670805369127299</v>
      </c>
      <c r="L212" s="12" t="str">
        <f t="shared" si="25"/>
        <v/>
      </c>
      <c r="M212" s="12" t="str">
        <f t="shared" si="26"/>
        <v/>
      </c>
    </row>
    <row r="213" spans="1:13" ht="31.5">
      <c r="A213" s="3">
        <v>205</v>
      </c>
      <c r="B213" s="11" t="s">
        <v>71</v>
      </c>
      <c r="C213" s="3">
        <v>5</v>
      </c>
      <c r="D213" s="3">
        <v>21</v>
      </c>
      <c r="E213" s="11" t="s">
        <v>276</v>
      </c>
      <c r="F213" s="14">
        <v>701.96199999999999</v>
      </c>
      <c r="G213" s="14">
        <f t="shared" si="27"/>
        <v>0.85400000000004184</v>
      </c>
      <c r="H213" s="14">
        <f t="shared" si="21"/>
        <v>701.26350083752141</v>
      </c>
      <c r="I213" s="14">
        <f t="shared" si="22"/>
        <v>703.80793715053017</v>
      </c>
      <c r="J213" s="14">
        <f t="shared" si="23"/>
        <v>3.1255652114093886</v>
      </c>
      <c r="K213" s="14">
        <f t="shared" si="24"/>
        <v>0.95670805369127299</v>
      </c>
      <c r="L213" s="12" t="str">
        <f t="shared" si="25"/>
        <v/>
      </c>
      <c r="M213" s="12" t="str">
        <f t="shared" si="26"/>
        <v/>
      </c>
    </row>
    <row r="214" spans="1:13" ht="31.5">
      <c r="A214" s="3">
        <v>206</v>
      </c>
      <c r="B214" s="11" t="s">
        <v>71</v>
      </c>
      <c r="C214" s="3">
        <v>5</v>
      </c>
      <c r="D214" s="3">
        <v>20</v>
      </c>
      <c r="E214" s="11" t="s">
        <v>277</v>
      </c>
      <c r="F214" s="14">
        <v>701.07</v>
      </c>
      <c r="G214" s="14">
        <f t="shared" si="27"/>
        <v>0.89199999999993906</v>
      </c>
      <c r="H214" s="14">
        <f t="shared" si="21"/>
        <v>701.26350083752141</v>
      </c>
      <c r="I214" s="14">
        <f t="shared" si="22"/>
        <v>703.80793715053017</v>
      </c>
      <c r="J214" s="14">
        <f t="shared" si="23"/>
        <v>3.1255652114093886</v>
      </c>
      <c r="K214" s="14">
        <f t="shared" si="24"/>
        <v>0.95670805369127299</v>
      </c>
      <c r="L214" s="12" t="str">
        <f t="shared" si="25"/>
        <v/>
      </c>
      <c r="M214" s="12" t="str">
        <f t="shared" si="26"/>
        <v/>
      </c>
    </row>
    <row r="215" spans="1:13" ht="31.5">
      <c r="A215" s="3">
        <v>207</v>
      </c>
      <c r="B215" s="11" t="s">
        <v>71</v>
      </c>
      <c r="C215" s="3">
        <v>5</v>
      </c>
      <c r="D215" s="3">
        <v>19</v>
      </c>
      <c r="E215" s="11" t="s">
        <v>278</v>
      </c>
      <c r="F215" s="14">
        <v>701.12199999999996</v>
      </c>
      <c r="G215" s="14">
        <f t="shared" si="27"/>
        <v>5.1999999999907232E-2</v>
      </c>
      <c r="H215" s="14">
        <f t="shared" si="21"/>
        <v>701.26350083752141</v>
      </c>
      <c r="I215" s="14">
        <f t="shared" si="22"/>
        <v>703.80793715053017</v>
      </c>
      <c r="J215" s="14">
        <f t="shared" si="23"/>
        <v>3.1255652114093886</v>
      </c>
      <c r="K215" s="14">
        <f t="shared" si="24"/>
        <v>0.95670805369127299</v>
      </c>
      <c r="L215" s="12" t="str">
        <f t="shared" si="25"/>
        <v/>
      </c>
      <c r="M215" s="12" t="str">
        <f t="shared" si="26"/>
        <v/>
      </c>
    </row>
    <row r="216" spans="1:13" ht="31.5">
      <c r="A216" s="3">
        <v>208</v>
      </c>
      <c r="B216" s="11" t="s">
        <v>71</v>
      </c>
      <c r="C216" s="3">
        <v>5</v>
      </c>
      <c r="D216" s="3">
        <v>18</v>
      </c>
      <c r="E216" s="11" t="s">
        <v>279</v>
      </c>
      <c r="F216" s="14">
        <v>700.57899999999995</v>
      </c>
      <c r="G216" s="14">
        <f t="shared" si="27"/>
        <v>0.54300000000000637</v>
      </c>
      <c r="H216" s="14">
        <f t="shared" si="21"/>
        <v>701.26350083752141</v>
      </c>
      <c r="I216" s="14">
        <f t="shared" si="22"/>
        <v>703.80793715053017</v>
      </c>
      <c r="J216" s="14">
        <f t="shared" si="23"/>
        <v>3.1255652114093886</v>
      </c>
      <c r="K216" s="14">
        <f t="shared" si="24"/>
        <v>0.95670805369127299</v>
      </c>
      <c r="L216" s="12" t="str">
        <f t="shared" si="25"/>
        <v/>
      </c>
      <c r="M216" s="12" t="str">
        <f t="shared" si="26"/>
        <v/>
      </c>
    </row>
    <row r="217" spans="1:13" ht="31.5">
      <c r="A217" s="3">
        <v>209</v>
      </c>
      <c r="B217" s="11" t="s">
        <v>71</v>
      </c>
      <c r="C217" s="3">
        <v>5</v>
      </c>
      <c r="D217" s="3">
        <v>17</v>
      </c>
      <c r="E217" s="11" t="s">
        <v>280</v>
      </c>
      <c r="F217" s="14">
        <v>701.053</v>
      </c>
      <c r="G217" s="14">
        <f t="shared" si="27"/>
        <v>0.47400000000004638</v>
      </c>
      <c r="H217" s="14">
        <f t="shared" si="21"/>
        <v>701.26350083752141</v>
      </c>
      <c r="I217" s="14">
        <f t="shared" si="22"/>
        <v>703.80793715053017</v>
      </c>
      <c r="J217" s="14">
        <f t="shared" si="23"/>
        <v>3.1255652114093886</v>
      </c>
      <c r="K217" s="14">
        <f t="shared" si="24"/>
        <v>0.95670805369127299</v>
      </c>
      <c r="L217" s="12" t="str">
        <f t="shared" si="25"/>
        <v/>
      </c>
      <c r="M217" s="12" t="str">
        <f t="shared" si="26"/>
        <v/>
      </c>
    </row>
    <row r="218" spans="1:13" ht="31.5">
      <c r="A218" s="3">
        <v>210</v>
      </c>
      <c r="B218" s="11" t="s">
        <v>71</v>
      </c>
      <c r="C218" s="3">
        <v>5</v>
      </c>
      <c r="D218" s="3">
        <v>16</v>
      </c>
      <c r="E218" s="11" t="s">
        <v>281</v>
      </c>
      <c r="F218" s="14">
        <v>702.64099999999996</v>
      </c>
      <c r="G218" s="14">
        <f t="shared" si="27"/>
        <v>1.5879999999999654</v>
      </c>
      <c r="H218" s="14">
        <f t="shared" si="21"/>
        <v>701.26350083752141</v>
      </c>
      <c r="I218" s="14">
        <f t="shared" si="22"/>
        <v>703.80793715053017</v>
      </c>
      <c r="J218" s="14">
        <f t="shared" si="23"/>
        <v>3.1255652114093886</v>
      </c>
      <c r="K218" s="14">
        <f t="shared" si="24"/>
        <v>0.95670805369127299</v>
      </c>
      <c r="L218" s="12" t="str">
        <f t="shared" si="25"/>
        <v/>
      </c>
      <c r="M218" s="12" t="str">
        <f t="shared" si="26"/>
        <v/>
      </c>
    </row>
    <row r="219" spans="1:13" ht="31.5">
      <c r="A219" s="3">
        <v>211</v>
      </c>
      <c r="B219" s="11" t="s">
        <v>71</v>
      </c>
      <c r="C219" s="3">
        <v>5</v>
      </c>
      <c r="D219" s="3">
        <v>15</v>
      </c>
      <c r="E219" s="11" t="s">
        <v>282</v>
      </c>
      <c r="F219" s="14">
        <v>702.23900000000003</v>
      </c>
      <c r="G219" s="14">
        <f t="shared" si="27"/>
        <v>0.40199999999992997</v>
      </c>
      <c r="H219" s="14">
        <f t="shared" si="21"/>
        <v>701.26350083752141</v>
      </c>
      <c r="I219" s="14">
        <f t="shared" si="22"/>
        <v>703.80793715053017</v>
      </c>
      <c r="J219" s="14">
        <f t="shared" si="23"/>
        <v>3.1255652114093886</v>
      </c>
      <c r="K219" s="14">
        <f t="shared" si="24"/>
        <v>0.95670805369127299</v>
      </c>
      <c r="L219" s="12" t="str">
        <f t="shared" si="25"/>
        <v/>
      </c>
      <c r="M219" s="12" t="str">
        <f t="shared" si="26"/>
        <v/>
      </c>
    </row>
    <row r="220" spans="1:13" ht="31.5">
      <c r="A220" s="3">
        <v>212</v>
      </c>
      <c r="B220" s="11" t="s">
        <v>71</v>
      </c>
      <c r="C220" s="3">
        <v>5</v>
      </c>
      <c r="D220" s="3">
        <v>14</v>
      </c>
      <c r="E220" s="11" t="s">
        <v>283</v>
      </c>
      <c r="F220" s="14">
        <v>702.59900000000005</v>
      </c>
      <c r="G220" s="14">
        <f t="shared" si="27"/>
        <v>0.36000000000001364</v>
      </c>
      <c r="H220" s="14">
        <f t="shared" si="21"/>
        <v>701.26350083752141</v>
      </c>
      <c r="I220" s="14">
        <f t="shared" si="22"/>
        <v>703.80793715053017</v>
      </c>
      <c r="J220" s="14">
        <f t="shared" si="23"/>
        <v>3.1255652114093886</v>
      </c>
      <c r="K220" s="14">
        <f t="shared" si="24"/>
        <v>0.95670805369127299</v>
      </c>
      <c r="L220" s="12" t="str">
        <f t="shared" si="25"/>
        <v/>
      </c>
      <c r="M220" s="12" t="str">
        <f t="shared" si="26"/>
        <v/>
      </c>
    </row>
    <row r="221" spans="1:13" ht="31.5">
      <c r="A221" s="3">
        <v>213</v>
      </c>
      <c r="B221" s="11" t="s">
        <v>71</v>
      </c>
      <c r="C221" s="3">
        <v>5</v>
      </c>
      <c r="D221" s="3">
        <v>13</v>
      </c>
      <c r="E221" s="11" t="s">
        <v>284</v>
      </c>
      <c r="F221" s="14">
        <v>700.97199999999998</v>
      </c>
      <c r="G221" s="14">
        <f t="shared" si="27"/>
        <v>1.6270000000000664</v>
      </c>
      <c r="H221" s="14">
        <f t="shared" si="21"/>
        <v>701.26350083752141</v>
      </c>
      <c r="I221" s="14">
        <f t="shared" si="22"/>
        <v>703.80793715053017</v>
      </c>
      <c r="J221" s="14">
        <f t="shared" si="23"/>
        <v>3.1255652114093886</v>
      </c>
      <c r="K221" s="14">
        <f t="shared" si="24"/>
        <v>0.95670805369127299</v>
      </c>
      <c r="L221" s="12" t="str">
        <f t="shared" si="25"/>
        <v/>
      </c>
      <c r="M221" s="12" t="str">
        <f t="shared" si="26"/>
        <v/>
      </c>
    </row>
    <row r="222" spans="1:13" ht="31.5">
      <c r="A222" s="3">
        <v>214</v>
      </c>
      <c r="B222" s="11" t="s">
        <v>71</v>
      </c>
      <c r="C222" s="3">
        <v>5</v>
      </c>
      <c r="D222" s="3">
        <v>12</v>
      </c>
      <c r="E222" s="11" t="s">
        <v>285</v>
      </c>
      <c r="F222" s="14">
        <v>700.65200000000004</v>
      </c>
      <c r="G222" s="14">
        <f t="shared" si="27"/>
        <v>0.31999999999993634</v>
      </c>
      <c r="H222" s="14">
        <f t="shared" si="21"/>
        <v>701.26350083752141</v>
      </c>
      <c r="I222" s="14">
        <f t="shared" si="22"/>
        <v>703.80793715053017</v>
      </c>
      <c r="J222" s="14">
        <f t="shared" si="23"/>
        <v>3.1255652114093886</v>
      </c>
      <c r="K222" s="14">
        <f t="shared" si="24"/>
        <v>0.95670805369127299</v>
      </c>
      <c r="L222" s="12" t="str">
        <f t="shared" si="25"/>
        <v/>
      </c>
      <c r="M222" s="12" t="str">
        <f t="shared" si="26"/>
        <v/>
      </c>
    </row>
    <row r="223" spans="1:13" ht="31.5">
      <c r="A223" s="3">
        <v>215</v>
      </c>
      <c r="B223" s="11" t="s">
        <v>71</v>
      </c>
      <c r="C223" s="3">
        <v>5</v>
      </c>
      <c r="D223" s="3">
        <v>11</v>
      </c>
      <c r="E223" s="11" t="s">
        <v>286</v>
      </c>
      <c r="F223" s="14">
        <v>701.51300000000003</v>
      </c>
      <c r="G223" s="14">
        <f t="shared" si="27"/>
        <v>0.86099999999999</v>
      </c>
      <c r="H223" s="14">
        <f t="shared" si="21"/>
        <v>701.26350083752141</v>
      </c>
      <c r="I223" s="14">
        <f t="shared" si="22"/>
        <v>703.80793715053017</v>
      </c>
      <c r="J223" s="14">
        <f t="shared" si="23"/>
        <v>3.1255652114093886</v>
      </c>
      <c r="K223" s="14">
        <f t="shared" si="24"/>
        <v>0.95670805369127299</v>
      </c>
      <c r="L223" s="12" t="str">
        <f t="shared" si="25"/>
        <v/>
      </c>
      <c r="M223" s="12" t="str">
        <f t="shared" si="26"/>
        <v/>
      </c>
    </row>
    <row r="224" spans="1:13" ht="31.5">
      <c r="A224" s="3">
        <v>216</v>
      </c>
      <c r="B224" s="11" t="s">
        <v>71</v>
      </c>
      <c r="C224" s="3">
        <v>5</v>
      </c>
      <c r="D224" s="3">
        <v>10</v>
      </c>
      <c r="E224" s="11" t="s">
        <v>287</v>
      </c>
      <c r="F224" s="14">
        <v>700.74900000000002</v>
      </c>
      <c r="G224" s="14">
        <f t="shared" si="27"/>
        <v>0.76400000000001</v>
      </c>
      <c r="H224" s="14">
        <f t="shared" si="21"/>
        <v>701.26350083752141</v>
      </c>
      <c r="I224" s="14">
        <f t="shared" si="22"/>
        <v>703.80793715053017</v>
      </c>
      <c r="J224" s="14">
        <f t="shared" si="23"/>
        <v>3.1255652114093886</v>
      </c>
      <c r="K224" s="14">
        <f t="shared" si="24"/>
        <v>0.95670805369127299</v>
      </c>
      <c r="L224" s="12" t="str">
        <f t="shared" si="25"/>
        <v/>
      </c>
      <c r="M224" s="12" t="str">
        <f t="shared" si="26"/>
        <v/>
      </c>
    </row>
    <row r="225" spans="1:13" ht="31.5">
      <c r="A225" s="3">
        <v>217</v>
      </c>
      <c r="B225" s="11" t="s">
        <v>71</v>
      </c>
      <c r="C225" s="3">
        <v>5</v>
      </c>
      <c r="D225" s="3">
        <v>9</v>
      </c>
      <c r="E225" s="11" t="s">
        <v>288</v>
      </c>
      <c r="F225" s="14">
        <v>700.78599999999994</v>
      </c>
      <c r="G225" s="14">
        <f t="shared" si="27"/>
        <v>3.6999999999920874E-2</v>
      </c>
      <c r="H225" s="14">
        <f t="shared" si="21"/>
        <v>701.26350083752141</v>
      </c>
      <c r="I225" s="14">
        <f t="shared" si="22"/>
        <v>703.80793715053017</v>
      </c>
      <c r="J225" s="14">
        <f t="shared" si="23"/>
        <v>3.1255652114093886</v>
      </c>
      <c r="K225" s="14">
        <f t="shared" si="24"/>
        <v>0.95670805369127299</v>
      </c>
      <c r="L225" s="12" t="str">
        <f t="shared" si="25"/>
        <v/>
      </c>
      <c r="M225" s="12" t="str">
        <f t="shared" si="26"/>
        <v/>
      </c>
    </row>
    <row r="226" spans="1:13" ht="31.5">
      <c r="A226" s="3">
        <v>218</v>
      </c>
      <c r="B226" s="11" t="s">
        <v>71</v>
      </c>
      <c r="C226" s="3">
        <v>5</v>
      </c>
      <c r="D226" s="3">
        <v>8</v>
      </c>
      <c r="E226" s="11" t="s">
        <v>289</v>
      </c>
      <c r="F226" s="14">
        <v>700.05</v>
      </c>
      <c r="G226" s="14">
        <f t="shared" si="27"/>
        <v>0.73599999999999</v>
      </c>
      <c r="H226" s="14">
        <f t="shared" si="21"/>
        <v>701.26350083752141</v>
      </c>
      <c r="I226" s="14">
        <f t="shared" si="22"/>
        <v>703.80793715053017</v>
      </c>
      <c r="J226" s="14">
        <f t="shared" si="23"/>
        <v>3.1255652114093886</v>
      </c>
      <c r="K226" s="14">
        <f t="shared" si="24"/>
        <v>0.95670805369127299</v>
      </c>
      <c r="L226" s="12" t="str">
        <f t="shared" si="25"/>
        <v/>
      </c>
      <c r="M226" s="12" t="str">
        <f t="shared" si="26"/>
        <v/>
      </c>
    </row>
    <row r="227" spans="1:13" ht="31.5">
      <c r="A227" s="3">
        <v>219</v>
      </c>
      <c r="B227" s="11" t="s">
        <v>71</v>
      </c>
      <c r="C227" s="3">
        <v>5</v>
      </c>
      <c r="D227" s="3">
        <v>7</v>
      </c>
      <c r="E227" s="11" t="s">
        <v>290</v>
      </c>
      <c r="F227" s="14">
        <v>701.15599999999995</v>
      </c>
      <c r="G227" s="14">
        <f t="shared" si="27"/>
        <v>1.1059999999999945</v>
      </c>
      <c r="H227" s="14">
        <f t="shared" si="21"/>
        <v>701.26350083752141</v>
      </c>
      <c r="I227" s="14">
        <f t="shared" si="22"/>
        <v>703.80793715053017</v>
      </c>
      <c r="J227" s="14">
        <f t="shared" si="23"/>
        <v>3.1255652114093886</v>
      </c>
      <c r="K227" s="14">
        <f t="shared" si="24"/>
        <v>0.95670805369127299</v>
      </c>
      <c r="L227" s="12" t="str">
        <f t="shared" si="25"/>
        <v/>
      </c>
      <c r="M227" s="12" t="str">
        <f t="shared" si="26"/>
        <v/>
      </c>
    </row>
    <row r="228" spans="1:13" ht="31.5">
      <c r="A228" s="3">
        <v>220</v>
      </c>
      <c r="B228" s="11" t="s">
        <v>71</v>
      </c>
      <c r="C228" s="3">
        <v>5</v>
      </c>
      <c r="D228" s="3">
        <v>6</v>
      </c>
      <c r="E228" s="11" t="s">
        <v>291</v>
      </c>
      <c r="F228" s="14">
        <v>699.78200000000004</v>
      </c>
      <c r="G228" s="14">
        <f t="shared" si="27"/>
        <v>1.37399999999991</v>
      </c>
      <c r="H228" s="14">
        <f t="shared" si="21"/>
        <v>701.26350083752141</v>
      </c>
      <c r="I228" s="14">
        <f t="shared" si="22"/>
        <v>703.80793715053017</v>
      </c>
      <c r="J228" s="14">
        <f t="shared" si="23"/>
        <v>3.1255652114093886</v>
      </c>
      <c r="K228" s="14">
        <f t="shared" si="24"/>
        <v>0.95670805369127299</v>
      </c>
      <c r="L228" s="12" t="str">
        <f t="shared" si="25"/>
        <v/>
      </c>
      <c r="M228" s="12" t="str">
        <f t="shared" si="26"/>
        <v/>
      </c>
    </row>
    <row r="229" spans="1:13" ht="31.5">
      <c r="A229" s="3">
        <v>221</v>
      </c>
      <c r="B229" s="11" t="s">
        <v>71</v>
      </c>
      <c r="C229" s="3">
        <v>5</v>
      </c>
      <c r="D229" s="3">
        <v>5</v>
      </c>
      <c r="E229" s="11" t="s">
        <v>292</v>
      </c>
      <c r="F229" s="14">
        <v>701.48599999999999</v>
      </c>
      <c r="G229" s="14">
        <f t="shared" si="27"/>
        <v>1.7039999999999509</v>
      </c>
      <c r="H229" s="14">
        <f t="shared" si="21"/>
        <v>701.26350083752141</v>
      </c>
      <c r="I229" s="14">
        <f t="shared" si="22"/>
        <v>703.80793715053017</v>
      </c>
      <c r="J229" s="14">
        <f t="shared" si="23"/>
        <v>3.1255652114093886</v>
      </c>
      <c r="K229" s="14">
        <f t="shared" si="24"/>
        <v>0.95670805369127299</v>
      </c>
      <c r="L229" s="12" t="str">
        <f t="shared" si="25"/>
        <v/>
      </c>
      <c r="M229" s="12" t="str">
        <f t="shared" si="26"/>
        <v/>
      </c>
    </row>
    <row r="230" spans="1:13" ht="31.5">
      <c r="A230" s="3">
        <v>222</v>
      </c>
      <c r="B230" s="11" t="s">
        <v>71</v>
      </c>
      <c r="C230" s="3">
        <v>5</v>
      </c>
      <c r="D230" s="3">
        <v>4</v>
      </c>
      <c r="E230" s="11" t="s">
        <v>293</v>
      </c>
      <c r="F230" s="14">
        <v>701.11800000000005</v>
      </c>
      <c r="G230" s="14">
        <f t="shared" si="27"/>
        <v>0.36799999999993815</v>
      </c>
      <c r="H230" s="14">
        <f t="shared" si="21"/>
        <v>701.26350083752141</v>
      </c>
      <c r="I230" s="14">
        <f t="shared" si="22"/>
        <v>703.80793715053017</v>
      </c>
      <c r="J230" s="14">
        <f t="shared" si="23"/>
        <v>3.1255652114093886</v>
      </c>
      <c r="K230" s="14">
        <f t="shared" si="24"/>
        <v>0.95670805369127299</v>
      </c>
      <c r="L230" s="12" t="str">
        <f t="shared" si="25"/>
        <v/>
      </c>
      <c r="M230" s="12" t="str">
        <f t="shared" si="26"/>
        <v/>
      </c>
    </row>
    <row r="231" spans="1:13" ht="31.5">
      <c r="A231" s="3">
        <v>223</v>
      </c>
      <c r="B231" s="11" t="s">
        <v>71</v>
      </c>
      <c r="C231" s="3">
        <v>5</v>
      </c>
      <c r="D231" s="3">
        <v>3</v>
      </c>
      <c r="E231" s="11" t="s">
        <v>294</v>
      </c>
      <c r="F231" s="14">
        <v>701.923</v>
      </c>
      <c r="G231" s="14">
        <f t="shared" si="27"/>
        <v>0.80499999999994998</v>
      </c>
      <c r="H231" s="14">
        <f t="shared" si="21"/>
        <v>701.26350083752141</v>
      </c>
      <c r="I231" s="14">
        <f t="shared" si="22"/>
        <v>703.80793715053017</v>
      </c>
      <c r="J231" s="14">
        <f t="shared" si="23"/>
        <v>3.1255652114093886</v>
      </c>
      <c r="K231" s="14">
        <f t="shared" si="24"/>
        <v>0.95670805369127299</v>
      </c>
      <c r="L231" s="12" t="str">
        <f t="shared" si="25"/>
        <v/>
      </c>
      <c r="M231" s="12" t="str">
        <f t="shared" si="26"/>
        <v/>
      </c>
    </row>
    <row r="232" spans="1:13" ht="31.5">
      <c r="A232" s="3">
        <v>224</v>
      </c>
      <c r="B232" s="11" t="s">
        <v>71</v>
      </c>
      <c r="C232" s="3">
        <v>5</v>
      </c>
      <c r="D232" s="3">
        <v>2</v>
      </c>
      <c r="E232" s="11" t="s">
        <v>295</v>
      </c>
      <c r="F232" s="14">
        <v>701.47199999999998</v>
      </c>
      <c r="G232" s="14">
        <f t="shared" si="27"/>
        <v>0.45100000000002183</v>
      </c>
      <c r="H232" s="14">
        <f t="shared" si="21"/>
        <v>701.26350083752141</v>
      </c>
      <c r="I232" s="14">
        <f t="shared" si="22"/>
        <v>703.80793715053017</v>
      </c>
      <c r="J232" s="14">
        <f t="shared" si="23"/>
        <v>3.1255652114093886</v>
      </c>
      <c r="K232" s="14">
        <f t="shared" si="24"/>
        <v>0.95670805369127299</v>
      </c>
      <c r="L232" s="12" t="str">
        <f t="shared" si="25"/>
        <v/>
      </c>
      <c r="M232" s="12" t="str">
        <f t="shared" si="26"/>
        <v/>
      </c>
    </row>
    <row r="233" spans="1:13" ht="31.5">
      <c r="A233" s="3">
        <v>225</v>
      </c>
      <c r="B233" s="11" t="s">
        <v>71</v>
      </c>
      <c r="C233" s="3">
        <v>5</v>
      </c>
      <c r="D233" s="3">
        <v>1</v>
      </c>
      <c r="E233" s="11" t="s">
        <v>296</v>
      </c>
      <c r="F233" s="14">
        <v>701.92200000000003</v>
      </c>
      <c r="G233" s="14">
        <f t="shared" si="27"/>
        <v>0.45000000000004547</v>
      </c>
      <c r="H233" s="14">
        <f t="shared" si="21"/>
        <v>701.26350083752141</v>
      </c>
      <c r="I233" s="14">
        <f t="shared" si="22"/>
        <v>703.80793715053017</v>
      </c>
      <c r="J233" s="14">
        <f t="shared" si="23"/>
        <v>3.1255652114093886</v>
      </c>
      <c r="K233" s="14">
        <f t="shared" si="24"/>
        <v>0.95670805369127299</v>
      </c>
      <c r="L233" s="12" t="str">
        <f t="shared" si="25"/>
        <v/>
      </c>
      <c r="M233" s="12" t="str">
        <f t="shared" si="26"/>
        <v/>
      </c>
    </row>
    <row r="234" spans="1:13" ht="31.5">
      <c r="A234" s="3">
        <v>226</v>
      </c>
      <c r="B234" s="11" t="s">
        <v>71</v>
      </c>
      <c r="C234" s="3">
        <v>5</v>
      </c>
      <c r="D234" s="3">
        <v>25</v>
      </c>
      <c r="E234" s="11" t="s">
        <v>297</v>
      </c>
      <c r="F234" s="14">
        <v>700.75800000000004</v>
      </c>
      <c r="G234" s="14">
        <f t="shared" si="27"/>
        <v>1.1639999999999873</v>
      </c>
      <c r="H234" s="14">
        <f t="shared" si="21"/>
        <v>701.26350083752141</v>
      </c>
      <c r="I234" s="14">
        <f t="shared" si="22"/>
        <v>703.80793715053017</v>
      </c>
      <c r="J234" s="14">
        <f t="shared" si="23"/>
        <v>3.1255652114093886</v>
      </c>
      <c r="K234" s="14">
        <f t="shared" si="24"/>
        <v>0.95670805369127299</v>
      </c>
      <c r="L234" s="12" t="str">
        <f t="shared" si="25"/>
        <v/>
      </c>
      <c r="M234" s="12" t="str">
        <f t="shared" si="26"/>
        <v/>
      </c>
    </row>
    <row r="235" spans="1:13" ht="31.5">
      <c r="A235" s="3">
        <v>227</v>
      </c>
      <c r="B235" s="11" t="s">
        <v>71</v>
      </c>
      <c r="C235" s="3">
        <v>5</v>
      </c>
      <c r="D235" s="3">
        <v>24</v>
      </c>
      <c r="E235" s="11" t="s">
        <v>298</v>
      </c>
      <c r="F235" s="14">
        <v>699.13499999999999</v>
      </c>
      <c r="G235" s="14">
        <f t="shared" si="27"/>
        <v>1.6230000000000473</v>
      </c>
      <c r="H235" s="14">
        <f t="shared" si="21"/>
        <v>701.26350083752141</v>
      </c>
      <c r="I235" s="14">
        <f t="shared" si="22"/>
        <v>703.80793715053017</v>
      </c>
      <c r="J235" s="14">
        <f t="shared" si="23"/>
        <v>3.1255652114093886</v>
      </c>
      <c r="K235" s="14">
        <f t="shared" si="24"/>
        <v>0.95670805369127299</v>
      </c>
      <c r="L235" s="12" t="str">
        <f t="shared" si="25"/>
        <v/>
      </c>
      <c r="M235" s="12" t="str">
        <f t="shared" si="26"/>
        <v/>
      </c>
    </row>
    <row r="236" spans="1:13" ht="31.5">
      <c r="A236" s="3">
        <v>228</v>
      </c>
      <c r="B236" s="11" t="s">
        <v>71</v>
      </c>
      <c r="C236" s="3">
        <v>5</v>
      </c>
      <c r="D236" s="3">
        <v>23</v>
      </c>
      <c r="E236" s="11" t="s">
        <v>299</v>
      </c>
      <c r="F236" s="14">
        <v>701.34799999999996</v>
      </c>
      <c r="G236" s="14">
        <f t="shared" si="27"/>
        <v>2.2129999999999654</v>
      </c>
      <c r="H236" s="14">
        <f t="shared" si="21"/>
        <v>701.26350083752141</v>
      </c>
      <c r="I236" s="14">
        <f t="shared" si="22"/>
        <v>703.80793715053017</v>
      </c>
      <c r="J236" s="14">
        <f t="shared" si="23"/>
        <v>3.1255652114093886</v>
      </c>
      <c r="K236" s="14">
        <f t="shared" si="24"/>
        <v>0.95670805369127299</v>
      </c>
      <c r="L236" s="12" t="str">
        <f t="shared" si="25"/>
        <v/>
      </c>
      <c r="M236" s="12" t="str">
        <f t="shared" si="26"/>
        <v/>
      </c>
    </row>
    <row r="237" spans="1:13" ht="31.5">
      <c r="A237" s="3">
        <v>229</v>
      </c>
      <c r="B237" s="11" t="s">
        <v>71</v>
      </c>
      <c r="C237" s="3">
        <v>5</v>
      </c>
      <c r="D237" s="3">
        <v>22</v>
      </c>
      <c r="E237" s="11" t="s">
        <v>300</v>
      </c>
      <c r="F237" s="14">
        <v>699.48299999999995</v>
      </c>
      <c r="G237" s="14">
        <f t="shared" si="27"/>
        <v>1.8650000000000091</v>
      </c>
      <c r="H237" s="14">
        <f t="shared" si="21"/>
        <v>701.26350083752141</v>
      </c>
      <c r="I237" s="14">
        <f t="shared" si="22"/>
        <v>703.80793715053017</v>
      </c>
      <c r="J237" s="14">
        <f t="shared" si="23"/>
        <v>3.1255652114093886</v>
      </c>
      <c r="K237" s="14">
        <f t="shared" si="24"/>
        <v>0.95670805369127299</v>
      </c>
      <c r="L237" s="12" t="str">
        <f t="shared" si="25"/>
        <v/>
      </c>
      <c r="M237" s="12" t="str">
        <f t="shared" si="26"/>
        <v/>
      </c>
    </row>
    <row r="238" spans="1:13" ht="31.5">
      <c r="A238" s="3">
        <v>230</v>
      </c>
      <c r="B238" s="11" t="s">
        <v>71</v>
      </c>
      <c r="C238" s="3">
        <v>5</v>
      </c>
      <c r="D238" s="3">
        <v>21</v>
      </c>
      <c r="E238" s="11" t="s">
        <v>301</v>
      </c>
      <c r="F238" s="14">
        <v>701.19799999999998</v>
      </c>
      <c r="G238" s="14">
        <f t="shared" si="27"/>
        <v>1.7150000000000318</v>
      </c>
      <c r="H238" s="14">
        <f t="shared" si="21"/>
        <v>701.26350083752141</v>
      </c>
      <c r="I238" s="14">
        <f t="shared" si="22"/>
        <v>703.80793715053017</v>
      </c>
      <c r="J238" s="14">
        <f t="shared" si="23"/>
        <v>3.1255652114093886</v>
      </c>
      <c r="K238" s="14">
        <f t="shared" si="24"/>
        <v>0.95670805369127299</v>
      </c>
      <c r="L238" s="12" t="str">
        <f t="shared" si="25"/>
        <v/>
      </c>
      <c r="M238" s="12" t="str">
        <f t="shared" si="26"/>
        <v/>
      </c>
    </row>
    <row r="239" spans="1:13" ht="31.5">
      <c r="A239" s="3">
        <v>231</v>
      </c>
      <c r="B239" s="11" t="s">
        <v>71</v>
      </c>
      <c r="C239" s="3">
        <v>5</v>
      </c>
      <c r="D239" s="3">
        <v>20</v>
      </c>
      <c r="E239" s="11" t="s">
        <v>302</v>
      </c>
      <c r="F239" s="14">
        <v>701.05600000000004</v>
      </c>
      <c r="G239" s="14">
        <f t="shared" si="27"/>
        <v>0.14199999999993906</v>
      </c>
      <c r="H239" s="14">
        <f t="shared" si="21"/>
        <v>701.26350083752141</v>
      </c>
      <c r="I239" s="14">
        <f t="shared" si="22"/>
        <v>703.80793715053017</v>
      </c>
      <c r="J239" s="14">
        <f t="shared" si="23"/>
        <v>3.1255652114093886</v>
      </c>
      <c r="K239" s="14">
        <f t="shared" si="24"/>
        <v>0.95670805369127299</v>
      </c>
      <c r="L239" s="12" t="str">
        <f t="shared" si="25"/>
        <v/>
      </c>
      <c r="M239" s="12" t="str">
        <f t="shared" si="26"/>
        <v/>
      </c>
    </row>
    <row r="240" spans="1:13" ht="31.5">
      <c r="A240" s="3">
        <v>232</v>
      </c>
      <c r="B240" s="11" t="s">
        <v>71</v>
      </c>
      <c r="C240" s="3">
        <v>5</v>
      </c>
      <c r="D240" s="3">
        <v>19</v>
      </c>
      <c r="E240" s="11" t="s">
        <v>303</v>
      </c>
      <c r="F240" s="14">
        <v>700.95500000000004</v>
      </c>
      <c r="G240" s="14">
        <f t="shared" si="27"/>
        <v>0.10099999999999909</v>
      </c>
      <c r="H240" s="14">
        <f t="shared" si="21"/>
        <v>701.26350083752141</v>
      </c>
      <c r="I240" s="14">
        <f t="shared" si="22"/>
        <v>703.80793715053017</v>
      </c>
      <c r="J240" s="14">
        <f t="shared" si="23"/>
        <v>3.1255652114093886</v>
      </c>
      <c r="K240" s="14">
        <f t="shared" si="24"/>
        <v>0.95670805369127299</v>
      </c>
      <c r="L240" s="12" t="str">
        <f t="shared" si="25"/>
        <v/>
      </c>
      <c r="M240" s="12" t="str">
        <f t="shared" si="26"/>
        <v/>
      </c>
    </row>
    <row r="241" spans="1:13" ht="31.5">
      <c r="A241" s="3">
        <v>233</v>
      </c>
      <c r="B241" s="11" t="s">
        <v>71</v>
      </c>
      <c r="C241" s="3">
        <v>5</v>
      </c>
      <c r="D241" s="3">
        <v>18</v>
      </c>
      <c r="E241" s="11" t="s">
        <v>304</v>
      </c>
      <c r="F241" s="14">
        <v>700.51800000000003</v>
      </c>
      <c r="G241" s="14">
        <f t="shared" si="27"/>
        <v>0.43700000000001182</v>
      </c>
      <c r="H241" s="14">
        <f t="shared" si="21"/>
        <v>701.26350083752141</v>
      </c>
      <c r="I241" s="14">
        <f t="shared" si="22"/>
        <v>703.80793715053017</v>
      </c>
      <c r="J241" s="14">
        <f t="shared" si="23"/>
        <v>3.1255652114093886</v>
      </c>
      <c r="K241" s="14">
        <f t="shared" si="24"/>
        <v>0.95670805369127299</v>
      </c>
      <c r="L241" s="12" t="str">
        <f t="shared" si="25"/>
        <v/>
      </c>
      <c r="M241" s="12" t="str">
        <f t="shared" si="26"/>
        <v/>
      </c>
    </row>
    <row r="242" spans="1:13" ht="31.5">
      <c r="A242" s="3">
        <v>234</v>
      </c>
      <c r="B242" s="11" t="s">
        <v>71</v>
      </c>
      <c r="C242" s="3">
        <v>5</v>
      </c>
      <c r="D242" s="3">
        <v>17</v>
      </c>
      <c r="E242" s="11" t="s">
        <v>305</v>
      </c>
      <c r="F242" s="14">
        <v>699.80399999999997</v>
      </c>
      <c r="G242" s="14">
        <f t="shared" si="27"/>
        <v>0.71400000000005548</v>
      </c>
      <c r="H242" s="14">
        <f t="shared" si="21"/>
        <v>701.26350083752141</v>
      </c>
      <c r="I242" s="14">
        <f t="shared" si="22"/>
        <v>703.80793715053017</v>
      </c>
      <c r="J242" s="14">
        <f t="shared" si="23"/>
        <v>3.1255652114093886</v>
      </c>
      <c r="K242" s="14">
        <f t="shared" si="24"/>
        <v>0.95670805369127299</v>
      </c>
      <c r="L242" s="12" t="str">
        <f t="shared" si="25"/>
        <v/>
      </c>
      <c r="M242" s="12" t="str">
        <f t="shared" si="26"/>
        <v/>
      </c>
    </row>
    <row r="243" spans="1:13" ht="31.5">
      <c r="A243" s="3">
        <v>235</v>
      </c>
      <c r="B243" s="11" t="s">
        <v>71</v>
      </c>
      <c r="C243" s="3">
        <v>5</v>
      </c>
      <c r="D243" s="3">
        <v>16</v>
      </c>
      <c r="E243" s="11" t="s">
        <v>306</v>
      </c>
      <c r="F243" s="14">
        <v>700.40200000000004</v>
      </c>
      <c r="G243" s="14">
        <f t="shared" si="27"/>
        <v>0.59800000000007003</v>
      </c>
      <c r="H243" s="14">
        <f t="shared" si="21"/>
        <v>701.26350083752141</v>
      </c>
      <c r="I243" s="14">
        <f t="shared" si="22"/>
        <v>703.80793715053017</v>
      </c>
      <c r="J243" s="14">
        <f t="shared" si="23"/>
        <v>3.1255652114093886</v>
      </c>
      <c r="K243" s="14">
        <f t="shared" si="24"/>
        <v>0.95670805369127299</v>
      </c>
      <c r="L243" s="12" t="str">
        <f t="shared" si="25"/>
        <v/>
      </c>
      <c r="M243" s="12" t="str">
        <f t="shared" si="26"/>
        <v/>
      </c>
    </row>
    <row r="244" spans="1:13" ht="31.5">
      <c r="A244" s="3">
        <v>236</v>
      </c>
      <c r="B244" s="11" t="s">
        <v>71</v>
      </c>
      <c r="C244" s="3">
        <v>5</v>
      </c>
      <c r="D244" s="3">
        <v>15</v>
      </c>
      <c r="E244" s="11" t="s">
        <v>307</v>
      </c>
      <c r="F244" s="14">
        <v>699.88900000000001</v>
      </c>
      <c r="G244" s="14">
        <f t="shared" si="27"/>
        <v>0.51300000000003365</v>
      </c>
      <c r="H244" s="14">
        <f t="shared" si="21"/>
        <v>701.26350083752141</v>
      </c>
      <c r="I244" s="14">
        <f t="shared" si="22"/>
        <v>703.80793715053017</v>
      </c>
      <c r="J244" s="14">
        <f t="shared" si="23"/>
        <v>3.1255652114093886</v>
      </c>
      <c r="K244" s="14">
        <f t="shared" si="24"/>
        <v>0.95670805369127299</v>
      </c>
      <c r="L244" s="12" t="str">
        <f t="shared" si="25"/>
        <v/>
      </c>
      <c r="M244" s="12" t="str">
        <f t="shared" si="26"/>
        <v/>
      </c>
    </row>
    <row r="245" spans="1:13" ht="31.5">
      <c r="A245" s="3">
        <v>237</v>
      </c>
      <c r="B245" s="11" t="s">
        <v>71</v>
      </c>
      <c r="C245" s="3">
        <v>5</v>
      </c>
      <c r="D245" s="3">
        <v>14</v>
      </c>
      <c r="E245" s="11" t="s">
        <v>308</v>
      </c>
      <c r="F245" s="14">
        <v>701.37199999999996</v>
      </c>
      <c r="G245" s="14">
        <f t="shared" si="27"/>
        <v>1.4829999999999472</v>
      </c>
      <c r="H245" s="14">
        <f t="shared" si="21"/>
        <v>701.26350083752141</v>
      </c>
      <c r="I245" s="14">
        <f t="shared" si="22"/>
        <v>703.80793715053017</v>
      </c>
      <c r="J245" s="14">
        <f t="shared" si="23"/>
        <v>3.1255652114093886</v>
      </c>
      <c r="K245" s="14">
        <f t="shared" si="24"/>
        <v>0.95670805369127299</v>
      </c>
      <c r="L245" s="12" t="str">
        <f t="shared" si="25"/>
        <v/>
      </c>
      <c r="M245" s="12" t="str">
        <f t="shared" si="26"/>
        <v/>
      </c>
    </row>
    <row r="246" spans="1:13" ht="31.5">
      <c r="A246" s="3">
        <v>238</v>
      </c>
      <c r="B246" s="11" t="s">
        <v>71</v>
      </c>
      <c r="C246" s="3">
        <v>5</v>
      </c>
      <c r="D246" s="3">
        <v>13</v>
      </c>
      <c r="E246" s="11" t="s">
        <v>309</v>
      </c>
      <c r="F246" s="14">
        <v>700.07</v>
      </c>
      <c r="G246" s="14">
        <f t="shared" si="27"/>
        <v>1.3019999999999072</v>
      </c>
      <c r="H246" s="14">
        <f t="shared" si="21"/>
        <v>701.26350083752141</v>
      </c>
      <c r="I246" s="14">
        <f t="shared" si="22"/>
        <v>703.80793715053017</v>
      </c>
      <c r="J246" s="14">
        <f t="shared" si="23"/>
        <v>3.1255652114093886</v>
      </c>
      <c r="K246" s="14">
        <f t="shared" si="24"/>
        <v>0.95670805369127299</v>
      </c>
      <c r="L246" s="12" t="str">
        <f t="shared" si="25"/>
        <v/>
      </c>
      <c r="M246" s="12" t="str">
        <f t="shared" si="26"/>
        <v/>
      </c>
    </row>
    <row r="247" spans="1:13" ht="31.5">
      <c r="A247" s="3">
        <v>239</v>
      </c>
      <c r="B247" s="11" t="s">
        <v>71</v>
      </c>
      <c r="C247" s="3">
        <v>5</v>
      </c>
      <c r="D247" s="3">
        <v>12</v>
      </c>
      <c r="E247" s="11" t="s">
        <v>310</v>
      </c>
      <c r="F247" s="14">
        <v>701.95799999999997</v>
      </c>
      <c r="G247" s="14">
        <f t="shared" si="27"/>
        <v>1.88799999999992</v>
      </c>
      <c r="H247" s="14">
        <f t="shared" si="21"/>
        <v>701.26350083752141</v>
      </c>
      <c r="I247" s="14">
        <f t="shared" si="22"/>
        <v>703.80793715053017</v>
      </c>
      <c r="J247" s="14">
        <f t="shared" si="23"/>
        <v>3.1255652114093886</v>
      </c>
      <c r="K247" s="14">
        <f t="shared" si="24"/>
        <v>0.95670805369127299</v>
      </c>
      <c r="L247" s="12" t="str">
        <f t="shared" si="25"/>
        <v/>
      </c>
      <c r="M247" s="12" t="str">
        <f t="shared" si="26"/>
        <v/>
      </c>
    </row>
    <row r="248" spans="1:13" ht="31.5">
      <c r="A248" s="3">
        <v>240</v>
      </c>
      <c r="B248" s="11" t="s">
        <v>71</v>
      </c>
      <c r="C248" s="3">
        <v>5</v>
      </c>
      <c r="D248" s="3">
        <v>11</v>
      </c>
      <c r="E248" s="11" t="s">
        <v>311</v>
      </c>
      <c r="F248" s="14">
        <v>702.03599999999994</v>
      </c>
      <c r="G248" s="14">
        <f t="shared" si="27"/>
        <v>7.7999999999974534E-2</v>
      </c>
      <c r="H248" s="14">
        <f t="shared" si="21"/>
        <v>701.26350083752141</v>
      </c>
      <c r="I248" s="14">
        <f t="shared" si="22"/>
        <v>703.80793715053017</v>
      </c>
      <c r="J248" s="14">
        <f t="shared" si="23"/>
        <v>3.1255652114093886</v>
      </c>
      <c r="K248" s="14">
        <f t="shared" si="24"/>
        <v>0.95670805369127299</v>
      </c>
      <c r="L248" s="12" t="str">
        <f t="shared" si="25"/>
        <v/>
      </c>
      <c r="M248" s="12" t="str">
        <f t="shared" si="26"/>
        <v/>
      </c>
    </row>
    <row r="249" spans="1:13" ht="31.5">
      <c r="A249" s="3">
        <v>241</v>
      </c>
      <c r="B249" s="11" t="s">
        <v>71</v>
      </c>
      <c r="C249" s="3">
        <v>5</v>
      </c>
      <c r="D249" s="3">
        <v>10</v>
      </c>
      <c r="E249" s="11" t="s">
        <v>312</v>
      </c>
      <c r="F249" s="14">
        <v>700.44600000000003</v>
      </c>
      <c r="G249" s="14">
        <f t="shared" si="27"/>
        <v>1.5899999999999181</v>
      </c>
      <c r="H249" s="14">
        <f t="shared" si="21"/>
        <v>701.26350083752141</v>
      </c>
      <c r="I249" s="14">
        <f t="shared" si="22"/>
        <v>703.80793715053017</v>
      </c>
      <c r="J249" s="14">
        <f t="shared" si="23"/>
        <v>3.1255652114093886</v>
      </c>
      <c r="K249" s="14">
        <f t="shared" si="24"/>
        <v>0.95670805369127299</v>
      </c>
      <c r="L249" s="12" t="str">
        <f t="shared" si="25"/>
        <v/>
      </c>
      <c r="M249" s="12" t="str">
        <f t="shared" si="26"/>
        <v/>
      </c>
    </row>
    <row r="250" spans="1:13" ht="31.5">
      <c r="A250" s="3">
        <v>242</v>
      </c>
      <c r="B250" s="11" t="s">
        <v>71</v>
      </c>
      <c r="C250" s="3">
        <v>5</v>
      </c>
      <c r="D250" s="3">
        <v>9</v>
      </c>
      <c r="E250" s="11" t="s">
        <v>313</v>
      </c>
      <c r="F250" s="14">
        <v>701.86500000000001</v>
      </c>
      <c r="G250" s="14">
        <f t="shared" si="27"/>
        <v>1.4189999999999827</v>
      </c>
      <c r="H250" s="14">
        <f t="shared" si="21"/>
        <v>701.26350083752141</v>
      </c>
      <c r="I250" s="14">
        <f t="shared" si="22"/>
        <v>703.80793715053017</v>
      </c>
      <c r="J250" s="14">
        <f t="shared" si="23"/>
        <v>3.1255652114093886</v>
      </c>
      <c r="K250" s="14">
        <f t="shared" si="24"/>
        <v>0.95670805369127299</v>
      </c>
      <c r="L250" s="12" t="str">
        <f t="shared" si="25"/>
        <v/>
      </c>
      <c r="M250" s="12" t="str">
        <f t="shared" si="26"/>
        <v/>
      </c>
    </row>
    <row r="251" spans="1:13" ht="31.5">
      <c r="A251" s="3">
        <v>243</v>
      </c>
      <c r="B251" s="11" t="s">
        <v>71</v>
      </c>
      <c r="C251" s="3">
        <v>5</v>
      </c>
      <c r="D251" s="3">
        <v>8</v>
      </c>
      <c r="E251" s="11" t="s">
        <v>314</v>
      </c>
      <c r="F251" s="14">
        <v>701.95399999999995</v>
      </c>
      <c r="G251" s="14">
        <f t="shared" si="27"/>
        <v>8.8999999999941792E-2</v>
      </c>
      <c r="H251" s="14">
        <f t="shared" si="21"/>
        <v>701.26350083752141</v>
      </c>
      <c r="I251" s="14">
        <f t="shared" si="22"/>
        <v>703.80793715053017</v>
      </c>
      <c r="J251" s="14">
        <f t="shared" si="23"/>
        <v>3.1255652114093886</v>
      </c>
      <c r="K251" s="14">
        <f t="shared" si="24"/>
        <v>0.95670805369127299</v>
      </c>
      <c r="L251" s="12" t="str">
        <f t="shared" si="25"/>
        <v/>
      </c>
      <c r="M251" s="12" t="str">
        <f t="shared" si="26"/>
        <v/>
      </c>
    </row>
    <row r="252" spans="1:13" ht="31.5">
      <c r="A252" s="3">
        <v>244</v>
      </c>
      <c r="B252" s="11" t="s">
        <v>71</v>
      </c>
      <c r="C252" s="3">
        <v>5</v>
      </c>
      <c r="D252" s="3">
        <v>7</v>
      </c>
      <c r="E252" s="11" t="s">
        <v>315</v>
      </c>
      <c r="F252" s="14">
        <v>702.78399999999999</v>
      </c>
      <c r="G252" s="14">
        <f t="shared" si="27"/>
        <v>0.83000000000004093</v>
      </c>
      <c r="H252" s="14">
        <f t="shared" si="21"/>
        <v>701.26350083752141</v>
      </c>
      <c r="I252" s="14">
        <f t="shared" si="22"/>
        <v>703.80793715053017</v>
      </c>
      <c r="J252" s="14">
        <f t="shared" si="23"/>
        <v>3.1255652114093886</v>
      </c>
      <c r="K252" s="14">
        <f t="shared" si="24"/>
        <v>0.95670805369127299</v>
      </c>
      <c r="L252" s="12" t="str">
        <f t="shared" si="25"/>
        <v/>
      </c>
      <c r="M252" s="12" t="str">
        <f t="shared" si="26"/>
        <v/>
      </c>
    </row>
    <row r="253" spans="1:13" ht="31.5">
      <c r="A253" s="3">
        <v>245</v>
      </c>
      <c r="B253" s="11" t="s">
        <v>71</v>
      </c>
      <c r="C253" s="3">
        <v>5</v>
      </c>
      <c r="D253" s="3">
        <v>6</v>
      </c>
      <c r="E253" s="11" t="s">
        <v>316</v>
      </c>
      <c r="F253" s="14">
        <v>700.61599999999999</v>
      </c>
      <c r="G253" s="14">
        <f t="shared" si="27"/>
        <v>2.1680000000000064</v>
      </c>
      <c r="H253" s="14">
        <f t="shared" si="21"/>
        <v>701.26350083752141</v>
      </c>
      <c r="I253" s="14">
        <f t="shared" si="22"/>
        <v>703.80793715053017</v>
      </c>
      <c r="J253" s="14">
        <f t="shared" si="23"/>
        <v>3.1255652114093886</v>
      </c>
      <c r="K253" s="14">
        <f t="shared" si="24"/>
        <v>0.95670805369127299</v>
      </c>
      <c r="L253" s="12" t="str">
        <f t="shared" si="25"/>
        <v/>
      </c>
      <c r="M253" s="12" t="str">
        <f t="shared" si="26"/>
        <v/>
      </c>
    </row>
    <row r="254" spans="1:13" ht="31.5">
      <c r="A254" s="3">
        <v>246</v>
      </c>
      <c r="B254" s="11" t="s">
        <v>71</v>
      </c>
      <c r="C254" s="3">
        <v>5</v>
      </c>
      <c r="D254" s="3">
        <v>5</v>
      </c>
      <c r="E254" s="11" t="s">
        <v>317</v>
      </c>
      <c r="F254" s="14">
        <v>701.03700000000003</v>
      </c>
      <c r="G254" s="14">
        <f t="shared" si="27"/>
        <v>0.42100000000004911</v>
      </c>
      <c r="H254" s="14">
        <f t="shared" si="21"/>
        <v>701.26350083752141</v>
      </c>
      <c r="I254" s="14">
        <f t="shared" si="22"/>
        <v>703.80793715053017</v>
      </c>
      <c r="J254" s="14">
        <f t="shared" si="23"/>
        <v>3.1255652114093886</v>
      </c>
      <c r="K254" s="14">
        <f t="shared" si="24"/>
        <v>0.95670805369127299</v>
      </c>
      <c r="L254" s="12" t="str">
        <f t="shared" si="25"/>
        <v/>
      </c>
      <c r="M254" s="12" t="str">
        <f t="shared" si="26"/>
        <v/>
      </c>
    </row>
    <row r="255" spans="1:13" ht="31.5">
      <c r="A255" s="3">
        <v>247</v>
      </c>
      <c r="B255" s="11" t="s">
        <v>71</v>
      </c>
      <c r="C255" s="3">
        <v>5</v>
      </c>
      <c r="D255" s="3">
        <v>4</v>
      </c>
      <c r="E255" s="11" t="s">
        <v>318</v>
      </c>
      <c r="F255" s="14">
        <v>701.20799999999997</v>
      </c>
      <c r="G255" s="14">
        <f t="shared" si="27"/>
        <v>0.17099999999993543</v>
      </c>
      <c r="H255" s="14">
        <f t="shared" si="21"/>
        <v>701.26350083752141</v>
      </c>
      <c r="I255" s="14">
        <f t="shared" si="22"/>
        <v>703.80793715053017</v>
      </c>
      <c r="J255" s="14">
        <f t="shared" si="23"/>
        <v>3.1255652114093886</v>
      </c>
      <c r="K255" s="14">
        <f t="shared" si="24"/>
        <v>0.95670805369127299</v>
      </c>
      <c r="L255" s="12" t="str">
        <f t="shared" si="25"/>
        <v/>
      </c>
      <c r="M255" s="12" t="str">
        <f t="shared" si="26"/>
        <v/>
      </c>
    </row>
    <row r="256" spans="1:13" ht="31.5">
      <c r="A256" s="3">
        <v>248</v>
      </c>
      <c r="B256" s="11" t="s">
        <v>71</v>
      </c>
      <c r="C256" s="3">
        <v>5</v>
      </c>
      <c r="D256" s="3">
        <v>3</v>
      </c>
      <c r="E256" s="11" t="s">
        <v>319</v>
      </c>
      <c r="F256" s="14">
        <v>701.85299999999995</v>
      </c>
      <c r="G256" s="14">
        <f t="shared" si="27"/>
        <v>0.64499999999998181</v>
      </c>
      <c r="H256" s="14">
        <f t="shared" si="21"/>
        <v>701.26350083752141</v>
      </c>
      <c r="I256" s="14">
        <f t="shared" si="22"/>
        <v>703.80793715053017</v>
      </c>
      <c r="J256" s="14">
        <f t="shared" si="23"/>
        <v>3.1255652114093886</v>
      </c>
      <c r="K256" s="14">
        <f t="shared" si="24"/>
        <v>0.95670805369127299</v>
      </c>
      <c r="L256" s="12" t="str">
        <f t="shared" si="25"/>
        <v/>
      </c>
      <c r="M256" s="12" t="str">
        <f t="shared" si="26"/>
        <v/>
      </c>
    </row>
    <row r="257" spans="1:13" ht="31.5">
      <c r="A257" s="3">
        <v>249</v>
      </c>
      <c r="B257" s="11" t="s">
        <v>71</v>
      </c>
      <c r="C257" s="3">
        <v>5</v>
      </c>
      <c r="D257" s="3">
        <v>2</v>
      </c>
      <c r="E257" s="11" t="s">
        <v>320</v>
      </c>
      <c r="F257" s="14">
        <v>701.25099999999998</v>
      </c>
      <c r="G257" s="14">
        <f t="shared" si="27"/>
        <v>0.60199999999997544</v>
      </c>
      <c r="H257" s="14">
        <f t="shared" si="21"/>
        <v>701.26350083752141</v>
      </c>
      <c r="I257" s="14">
        <f t="shared" si="22"/>
        <v>703.80793715053017</v>
      </c>
      <c r="J257" s="14">
        <f t="shared" si="23"/>
        <v>3.1255652114093886</v>
      </c>
      <c r="K257" s="14">
        <f t="shared" si="24"/>
        <v>0.95670805369127299</v>
      </c>
      <c r="L257" s="12" t="str">
        <f t="shared" si="25"/>
        <v/>
      </c>
      <c r="M257" s="12" t="str">
        <f t="shared" si="26"/>
        <v/>
      </c>
    </row>
    <row r="258" spans="1:13" ht="31.5">
      <c r="A258" s="3">
        <v>250</v>
      </c>
      <c r="B258" s="11" t="s">
        <v>71</v>
      </c>
      <c r="C258" s="3">
        <v>5</v>
      </c>
      <c r="D258" s="3">
        <v>1</v>
      </c>
      <c r="E258" s="11" t="s">
        <v>321</v>
      </c>
      <c r="F258" s="14">
        <v>701.04899999999998</v>
      </c>
      <c r="G258" s="14">
        <f t="shared" si="27"/>
        <v>0.20199999999999818</v>
      </c>
      <c r="H258" s="14">
        <f t="shared" si="21"/>
        <v>701.26350083752141</v>
      </c>
      <c r="I258" s="14">
        <f t="shared" si="22"/>
        <v>703.80793715053017</v>
      </c>
      <c r="J258" s="14">
        <f t="shared" si="23"/>
        <v>3.1255652114093886</v>
      </c>
      <c r="K258" s="14">
        <f t="shared" si="24"/>
        <v>0.95670805369127299</v>
      </c>
      <c r="L258" s="12" t="str">
        <f t="shared" si="25"/>
        <v/>
      </c>
      <c r="M258" s="12" t="str">
        <f t="shared" si="26"/>
        <v/>
      </c>
    </row>
    <row r="259" spans="1:13" ht="31.5">
      <c r="A259" s="3">
        <v>251</v>
      </c>
      <c r="B259" s="11" t="s">
        <v>71</v>
      </c>
      <c r="C259" s="3">
        <v>6</v>
      </c>
      <c r="D259" s="3">
        <v>25</v>
      </c>
      <c r="E259" s="11" t="s">
        <v>322</v>
      </c>
      <c r="F259" s="14">
        <v>700.72900000000004</v>
      </c>
      <c r="G259" s="14">
        <f t="shared" si="27"/>
        <v>0.31999999999993634</v>
      </c>
      <c r="H259" s="14">
        <f t="shared" si="21"/>
        <v>701.26350083752141</v>
      </c>
      <c r="I259" s="14">
        <f t="shared" si="22"/>
        <v>703.80793715053017</v>
      </c>
      <c r="J259" s="14">
        <f t="shared" si="23"/>
        <v>3.1255652114093886</v>
      </c>
      <c r="K259" s="14">
        <f t="shared" si="24"/>
        <v>0.95670805369127299</v>
      </c>
      <c r="L259" s="12" t="str">
        <f t="shared" si="25"/>
        <v/>
      </c>
      <c r="M259" s="12" t="str">
        <f t="shared" si="26"/>
        <v/>
      </c>
    </row>
    <row r="260" spans="1:13" ht="31.5">
      <c r="A260" s="3">
        <v>252</v>
      </c>
      <c r="B260" s="11" t="s">
        <v>71</v>
      </c>
      <c r="C260" s="3">
        <v>6</v>
      </c>
      <c r="D260" s="3">
        <v>24</v>
      </c>
      <c r="E260" s="11" t="s">
        <v>323</v>
      </c>
      <c r="F260" s="14">
        <v>701.21199999999999</v>
      </c>
      <c r="G260" s="14">
        <f t="shared" si="27"/>
        <v>0.48299999999994725</v>
      </c>
      <c r="H260" s="14">
        <f t="shared" si="21"/>
        <v>701.26350083752141</v>
      </c>
      <c r="I260" s="14">
        <f t="shared" si="22"/>
        <v>703.80793715053017</v>
      </c>
      <c r="J260" s="14">
        <f t="shared" si="23"/>
        <v>3.1255652114093886</v>
      </c>
      <c r="K260" s="14">
        <f t="shared" si="24"/>
        <v>0.95670805369127299</v>
      </c>
      <c r="L260" s="12" t="str">
        <f t="shared" si="25"/>
        <v/>
      </c>
      <c r="M260" s="12" t="str">
        <f t="shared" si="26"/>
        <v/>
      </c>
    </row>
    <row r="261" spans="1:13" ht="31.5">
      <c r="A261" s="3">
        <v>253</v>
      </c>
      <c r="B261" s="11" t="s">
        <v>71</v>
      </c>
      <c r="C261" s="3">
        <v>6</v>
      </c>
      <c r="D261" s="3">
        <v>23</v>
      </c>
      <c r="E261" s="11" t="s">
        <v>324</v>
      </c>
      <c r="F261" s="14">
        <v>700.52800000000002</v>
      </c>
      <c r="G261" s="14">
        <f t="shared" si="27"/>
        <v>0.68399999999996908</v>
      </c>
      <c r="H261" s="14">
        <f t="shared" si="21"/>
        <v>701.26350083752141</v>
      </c>
      <c r="I261" s="14">
        <f t="shared" si="22"/>
        <v>703.80793715053017</v>
      </c>
      <c r="J261" s="14">
        <f t="shared" si="23"/>
        <v>3.1255652114093886</v>
      </c>
      <c r="K261" s="14">
        <f t="shared" si="24"/>
        <v>0.95670805369127299</v>
      </c>
      <c r="L261" s="12" t="str">
        <f t="shared" si="25"/>
        <v/>
      </c>
      <c r="M261" s="12" t="str">
        <f t="shared" si="26"/>
        <v/>
      </c>
    </row>
    <row r="262" spans="1:13" ht="31.5">
      <c r="A262" s="3">
        <v>254</v>
      </c>
      <c r="B262" s="11" t="s">
        <v>71</v>
      </c>
      <c r="C262" s="3">
        <v>6</v>
      </c>
      <c r="D262" s="3">
        <v>22</v>
      </c>
      <c r="E262" s="11" t="s">
        <v>325</v>
      </c>
      <c r="F262" s="14">
        <v>702.33199999999999</v>
      </c>
      <c r="G262" s="14">
        <f t="shared" si="27"/>
        <v>1.8039999999999736</v>
      </c>
      <c r="H262" s="14">
        <f t="shared" si="21"/>
        <v>701.26350083752141</v>
      </c>
      <c r="I262" s="14">
        <f t="shared" si="22"/>
        <v>703.80793715053017</v>
      </c>
      <c r="J262" s="14">
        <f t="shared" si="23"/>
        <v>3.1255652114093886</v>
      </c>
      <c r="K262" s="14">
        <f t="shared" si="24"/>
        <v>0.95670805369127299</v>
      </c>
      <c r="L262" s="12" t="str">
        <f t="shared" si="25"/>
        <v/>
      </c>
      <c r="M262" s="12" t="str">
        <f t="shared" si="26"/>
        <v/>
      </c>
    </row>
    <row r="263" spans="1:13" ht="31.5">
      <c r="A263" s="3">
        <v>255</v>
      </c>
      <c r="B263" s="11" t="s">
        <v>71</v>
      </c>
      <c r="C263" s="3">
        <v>6</v>
      </c>
      <c r="D263" s="3">
        <v>21</v>
      </c>
      <c r="E263" s="11" t="s">
        <v>326</v>
      </c>
      <c r="F263" s="14">
        <v>700.73900000000003</v>
      </c>
      <c r="G263" s="14">
        <f t="shared" si="27"/>
        <v>1.5929999999999609</v>
      </c>
      <c r="H263" s="14">
        <f t="shared" si="21"/>
        <v>701.26350083752141</v>
      </c>
      <c r="I263" s="14">
        <f t="shared" si="22"/>
        <v>703.80793715053017</v>
      </c>
      <c r="J263" s="14">
        <f t="shared" si="23"/>
        <v>3.1255652114093886</v>
      </c>
      <c r="K263" s="14">
        <f t="shared" si="24"/>
        <v>0.95670805369127299</v>
      </c>
      <c r="L263" s="12" t="str">
        <f t="shared" si="25"/>
        <v/>
      </c>
      <c r="M263" s="12" t="str">
        <f t="shared" si="26"/>
        <v/>
      </c>
    </row>
    <row r="264" spans="1:13" ht="31.5">
      <c r="A264" s="3">
        <v>256</v>
      </c>
      <c r="B264" s="11" t="s">
        <v>71</v>
      </c>
      <c r="C264" s="3">
        <v>6</v>
      </c>
      <c r="D264" s="3">
        <v>20</v>
      </c>
      <c r="E264" s="11" t="s">
        <v>327</v>
      </c>
      <c r="F264" s="14">
        <v>700.75599999999997</v>
      </c>
      <c r="G264" s="14">
        <f t="shared" si="27"/>
        <v>1.6999999999939064E-2</v>
      </c>
      <c r="H264" s="14">
        <f t="shared" si="21"/>
        <v>701.26350083752141</v>
      </c>
      <c r="I264" s="14">
        <f t="shared" si="22"/>
        <v>703.80793715053017</v>
      </c>
      <c r="J264" s="14">
        <f t="shared" si="23"/>
        <v>3.1255652114093886</v>
      </c>
      <c r="K264" s="14">
        <f t="shared" si="24"/>
        <v>0.95670805369127299</v>
      </c>
      <c r="L264" s="12" t="str">
        <f t="shared" si="25"/>
        <v/>
      </c>
      <c r="M264" s="12" t="str">
        <f t="shared" si="26"/>
        <v/>
      </c>
    </row>
    <row r="265" spans="1:13" ht="31.5">
      <c r="A265" s="3">
        <v>257</v>
      </c>
      <c r="B265" s="11" t="s">
        <v>71</v>
      </c>
      <c r="C265" s="3">
        <v>6</v>
      </c>
      <c r="D265" s="3">
        <v>19</v>
      </c>
      <c r="E265" s="11" t="s">
        <v>328</v>
      </c>
      <c r="F265" s="14">
        <v>700.73900000000003</v>
      </c>
      <c r="G265" s="14">
        <f t="shared" si="27"/>
        <v>1.6999999999939064E-2</v>
      </c>
      <c r="H265" s="14">
        <f t="shared" si="21"/>
        <v>701.26350083752141</v>
      </c>
      <c r="I265" s="14">
        <f t="shared" si="22"/>
        <v>703.80793715053017</v>
      </c>
      <c r="J265" s="14">
        <f t="shared" si="23"/>
        <v>3.1255652114093886</v>
      </c>
      <c r="K265" s="14">
        <f t="shared" si="24"/>
        <v>0.95670805369127299</v>
      </c>
      <c r="L265" s="12" t="str">
        <f t="shared" si="25"/>
        <v/>
      </c>
      <c r="M265" s="12" t="str">
        <f t="shared" si="26"/>
        <v/>
      </c>
    </row>
    <row r="266" spans="1:13" ht="31.5">
      <c r="A266" s="3">
        <v>258</v>
      </c>
      <c r="B266" s="11" t="s">
        <v>71</v>
      </c>
      <c r="C266" s="3">
        <v>6</v>
      </c>
      <c r="D266" s="3">
        <v>18</v>
      </c>
      <c r="E266" s="11" t="s">
        <v>329</v>
      </c>
      <c r="F266" s="14">
        <v>699.66499999999996</v>
      </c>
      <c r="G266" s="14">
        <f t="shared" si="27"/>
        <v>1.0740000000000691</v>
      </c>
      <c r="H266" s="14">
        <f t="shared" ref="H266:H329" si="28">$F$4</f>
        <v>701.26350083752141</v>
      </c>
      <c r="I266" s="14">
        <f t="shared" ref="I266:I329" si="29">$F$7</f>
        <v>703.80793715053017</v>
      </c>
      <c r="J266" s="14">
        <f t="shared" ref="J266:J329" si="30">$F$8</f>
        <v>3.1255652114093886</v>
      </c>
      <c r="K266" s="14">
        <f t="shared" ref="K266:K329" si="31">$F$5</f>
        <v>0.95670805369127299</v>
      </c>
      <c r="L266" s="12" t="str">
        <f t="shared" ref="L266:L329" si="32">IF(F266&gt;$F$7,"OOC","" )</f>
        <v/>
      </c>
      <c r="M266" s="12" t="str">
        <f t="shared" ref="M266:M329" si="33">IF(F266&gt;$B$4,"OOS","" )</f>
        <v/>
      </c>
    </row>
    <row r="267" spans="1:13" ht="31.5">
      <c r="A267" s="3">
        <v>259</v>
      </c>
      <c r="B267" s="11" t="s">
        <v>71</v>
      </c>
      <c r="C267" s="3">
        <v>6</v>
      </c>
      <c r="D267" s="3">
        <v>17</v>
      </c>
      <c r="E267" s="11" t="s">
        <v>330</v>
      </c>
      <c r="F267" s="14">
        <v>700.66200000000003</v>
      </c>
      <c r="G267" s="14">
        <f t="shared" ref="G267:G330" si="34">ABS(F267-F266)</f>
        <v>0.99700000000007094</v>
      </c>
      <c r="H267" s="14">
        <f t="shared" si="28"/>
        <v>701.26350083752141</v>
      </c>
      <c r="I267" s="14">
        <f t="shared" si="29"/>
        <v>703.80793715053017</v>
      </c>
      <c r="J267" s="14">
        <f t="shared" si="30"/>
        <v>3.1255652114093886</v>
      </c>
      <c r="K267" s="14">
        <f t="shared" si="31"/>
        <v>0.95670805369127299</v>
      </c>
      <c r="L267" s="12" t="str">
        <f t="shared" si="32"/>
        <v/>
      </c>
      <c r="M267" s="12" t="str">
        <f t="shared" si="33"/>
        <v/>
      </c>
    </row>
    <row r="268" spans="1:13" ht="31.5">
      <c r="A268" s="3">
        <v>260</v>
      </c>
      <c r="B268" s="11" t="s">
        <v>71</v>
      </c>
      <c r="C268" s="3">
        <v>6</v>
      </c>
      <c r="D268" s="3">
        <v>16</v>
      </c>
      <c r="E268" s="11" t="s">
        <v>331</v>
      </c>
      <c r="F268" s="14">
        <v>699.63199999999995</v>
      </c>
      <c r="G268" s="14">
        <f t="shared" si="34"/>
        <v>1.0300000000000864</v>
      </c>
      <c r="H268" s="14">
        <f t="shared" si="28"/>
        <v>701.26350083752141</v>
      </c>
      <c r="I268" s="14">
        <f t="shared" si="29"/>
        <v>703.80793715053017</v>
      </c>
      <c r="J268" s="14">
        <f t="shared" si="30"/>
        <v>3.1255652114093886</v>
      </c>
      <c r="K268" s="14">
        <f t="shared" si="31"/>
        <v>0.95670805369127299</v>
      </c>
      <c r="L268" s="12" t="str">
        <f t="shared" si="32"/>
        <v/>
      </c>
      <c r="M268" s="12" t="str">
        <f t="shared" si="33"/>
        <v/>
      </c>
    </row>
    <row r="269" spans="1:13" ht="31.5">
      <c r="A269" s="3">
        <v>261</v>
      </c>
      <c r="B269" s="11" t="s">
        <v>71</v>
      </c>
      <c r="C269" s="3">
        <v>6</v>
      </c>
      <c r="D269" s="3">
        <v>15</v>
      </c>
      <c r="E269" s="11" t="s">
        <v>332</v>
      </c>
      <c r="F269" s="14">
        <v>700.77300000000002</v>
      </c>
      <c r="G269" s="14">
        <f t="shared" si="34"/>
        <v>1.1410000000000764</v>
      </c>
      <c r="H269" s="14">
        <f t="shared" si="28"/>
        <v>701.26350083752141</v>
      </c>
      <c r="I269" s="14">
        <f t="shared" si="29"/>
        <v>703.80793715053017</v>
      </c>
      <c r="J269" s="14">
        <f t="shared" si="30"/>
        <v>3.1255652114093886</v>
      </c>
      <c r="K269" s="14">
        <f t="shared" si="31"/>
        <v>0.95670805369127299</v>
      </c>
      <c r="L269" s="12" t="str">
        <f t="shared" si="32"/>
        <v/>
      </c>
      <c r="M269" s="12" t="str">
        <f t="shared" si="33"/>
        <v/>
      </c>
    </row>
    <row r="270" spans="1:13" ht="31.5">
      <c r="A270" s="3">
        <v>262</v>
      </c>
      <c r="B270" s="11" t="s">
        <v>71</v>
      </c>
      <c r="C270" s="3">
        <v>6</v>
      </c>
      <c r="D270" s="3">
        <v>14</v>
      </c>
      <c r="E270" s="11" t="s">
        <v>333</v>
      </c>
      <c r="F270" s="14">
        <v>699.70299999999997</v>
      </c>
      <c r="G270" s="14">
        <f t="shared" si="34"/>
        <v>1.07000000000005</v>
      </c>
      <c r="H270" s="14">
        <f t="shared" si="28"/>
        <v>701.26350083752141</v>
      </c>
      <c r="I270" s="14">
        <f t="shared" si="29"/>
        <v>703.80793715053017</v>
      </c>
      <c r="J270" s="14">
        <f t="shared" si="30"/>
        <v>3.1255652114093886</v>
      </c>
      <c r="K270" s="14">
        <f t="shared" si="31"/>
        <v>0.95670805369127299</v>
      </c>
      <c r="L270" s="12" t="str">
        <f t="shared" si="32"/>
        <v/>
      </c>
      <c r="M270" s="12" t="str">
        <f t="shared" si="33"/>
        <v/>
      </c>
    </row>
    <row r="271" spans="1:13" ht="31.5">
      <c r="A271" s="3">
        <v>263</v>
      </c>
      <c r="B271" s="11" t="s">
        <v>71</v>
      </c>
      <c r="C271" s="3">
        <v>6</v>
      </c>
      <c r="D271" s="3">
        <v>13</v>
      </c>
      <c r="E271" s="11" t="s">
        <v>334</v>
      </c>
      <c r="F271" s="14">
        <v>699.71199999999999</v>
      </c>
      <c r="G271" s="14">
        <f t="shared" si="34"/>
        <v>9.0000000000145519E-3</v>
      </c>
      <c r="H271" s="14">
        <f t="shared" si="28"/>
        <v>701.26350083752141</v>
      </c>
      <c r="I271" s="14">
        <f t="shared" si="29"/>
        <v>703.80793715053017</v>
      </c>
      <c r="J271" s="14">
        <f t="shared" si="30"/>
        <v>3.1255652114093886</v>
      </c>
      <c r="K271" s="14">
        <f t="shared" si="31"/>
        <v>0.95670805369127299</v>
      </c>
      <c r="L271" s="12" t="str">
        <f t="shared" si="32"/>
        <v/>
      </c>
      <c r="M271" s="12" t="str">
        <f t="shared" si="33"/>
        <v/>
      </c>
    </row>
    <row r="272" spans="1:13" ht="31.5">
      <c r="A272" s="3">
        <v>264</v>
      </c>
      <c r="B272" s="11" t="s">
        <v>71</v>
      </c>
      <c r="C272" s="3">
        <v>6</v>
      </c>
      <c r="D272" s="3">
        <v>12</v>
      </c>
      <c r="E272" s="11" t="s">
        <v>335</v>
      </c>
      <c r="F272" s="14">
        <v>701.32899999999995</v>
      </c>
      <c r="G272" s="14">
        <f t="shared" si="34"/>
        <v>1.6169999999999618</v>
      </c>
      <c r="H272" s="14">
        <f t="shared" si="28"/>
        <v>701.26350083752141</v>
      </c>
      <c r="I272" s="14">
        <f t="shared" si="29"/>
        <v>703.80793715053017</v>
      </c>
      <c r="J272" s="14">
        <f t="shared" si="30"/>
        <v>3.1255652114093886</v>
      </c>
      <c r="K272" s="14">
        <f t="shared" si="31"/>
        <v>0.95670805369127299</v>
      </c>
      <c r="L272" s="12" t="str">
        <f t="shared" si="32"/>
        <v/>
      </c>
      <c r="M272" s="12" t="str">
        <f t="shared" si="33"/>
        <v/>
      </c>
    </row>
    <row r="273" spans="1:13" ht="31.5">
      <c r="A273" s="3">
        <v>265</v>
      </c>
      <c r="B273" s="11" t="s">
        <v>71</v>
      </c>
      <c r="C273" s="3">
        <v>6</v>
      </c>
      <c r="D273" s="3">
        <v>11</v>
      </c>
      <c r="E273" s="11" t="s">
        <v>336</v>
      </c>
      <c r="F273" s="14">
        <v>700.72900000000004</v>
      </c>
      <c r="G273" s="14">
        <f t="shared" si="34"/>
        <v>0.59999999999990905</v>
      </c>
      <c r="H273" s="14">
        <f t="shared" si="28"/>
        <v>701.26350083752141</v>
      </c>
      <c r="I273" s="14">
        <f t="shared" si="29"/>
        <v>703.80793715053017</v>
      </c>
      <c r="J273" s="14">
        <f t="shared" si="30"/>
        <v>3.1255652114093886</v>
      </c>
      <c r="K273" s="14">
        <f t="shared" si="31"/>
        <v>0.95670805369127299</v>
      </c>
      <c r="L273" s="12" t="str">
        <f t="shared" si="32"/>
        <v/>
      </c>
      <c r="M273" s="12" t="str">
        <f t="shared" si="33"/>
        <v/>
      </c>
    </row>
    <row r="274" spans="1:13" ht="31.5">
      <c r="A274" s="3">
        <v>266</v>
      </c>
      <c r="B274" s="11" t="s">
        <v>71</v>
      </c>
      <c r="C274" s="3">
        <v>6</v>
      </c>
      <c r="D274" s="3">
        <v>10</v>
      </c>
      <c r="E274" s="11" t="s">
        <v>337</v>
      </c>
      <c r="F274" s="14">
        <v>700.97500000000002</v>
      </c>
      <c r="G274" s="14">
        <f t="shared" si="34"/>
        <v>0.2459999999999809</v>
      </c>
      <c r="H274" s="14">
        <f t="shared" si="28"/>
        <v>701.26350083752141</v>
      </c>
      <c r="I274" s="14">
        <f t="shared" si="29"/>
        <v>703.80793715053017</v>
      </c>
      <c r="J274" s="14">
        <f t="shared" si="30"/>
        <v>3.1255652114093886</v>
      </c>
      <c r="K274" s="14">
        <f t="shared" si="31"/>
        <v>0.95670805369127299</v>
      </c>
      <c r="L274" s="12" t="str">
        <f t="shared" si="32"/>
        <v/>
      </c>
      <c r="M274" s="12" t="str">
        <f t="shared" si="33"/>
        <v/>
      </c>
    </row>
    <row r="275" spans="1:13" ht="31.5">
      <c r="A275" s="3">
        <v>267</v>
      </c>
      <c r="B275" s="11" t="s">
        <v>71</v>
      </c>
      <c r="C275" s="3">
        <v>6</v>
      </c>
      <c r="D275" s="3">
        <v>9</v>
      </c>
      <c r="E275" s="11" t="s">
        <v>338</v>
      </c>
      <c r="F275" s="14">
        <v>700.899</v>
      </c>
      <c r="G275" s="14">
        <f t="shared" si="34"/>
        <v>7.6000000000021828E-2</v>
      </c>
      <c r="H275" s="14">
        <f t="shared" si="28"/>
        <v>701.26350083752141</v>
      </c>
      <c r="I275" s="14">
        <f t="shared" si="29"/>
        <v>703.80793715053017</v>
      </c>
      <c r="J275" s="14">
        <f t="shared" si="30"/>
        <v>3.1255652114093886</v>
      </c>
      <c r="K275" s="14">
        <f t="shared" si="31"/>
        <v>0.95670805369127299</v>
      </c>
      <c r="L275" s="12" t="str">
        <f t="shared" si="32"/>
        <v/>
      </c>
      <c r="M275" s="12" t="str">
        <f t="shared" si="33"/>
        <v/>
      </c>
    </row>
    <row r="276" spans="1:13" ht="31.5">
      <c r="A276" s="3">
        <v>268</v>
      </c>
      <c r="B276" s="11" t="s">
        <v>71</v>
      </c>
      <c r="C276" s="3">
        <v>6</v>
      </c>
      <c r="D276" s="3">
        <v>8</v>
      </c>
      <c r="E276" s="11" t="s">
        <v>339</v>
      </c>
      <c r="F276" s="14">
        <v>702.61199999999997</v>
      </c>
      <c r="G276" s="14">
        <f t="shared" si="34"/>
        <v>1.7129999999999654</v>
      </c>
      <c r="H276" s="14">
        <f t="shared" si="28"/>
        <v>701.26350083752141</v>
      </c>
      <c r="I276" s="14">
        <f t="shared" si="29"/>
        <v>703.80793715053017</v>
      </c>
      <c r="J276" s="14">
        <f t="shared" si="30"/>
        <v>3.1255652114093886</v>
      </c>
      <c r="K276" s="14">
        <f t="shared" si="31"/>
        <v>0.95670805369127299</v>
      </c>
      <c r="L276" s="12" t="str">
        <f t="shared" si="32"/>
        <v/>
      </c>
      <c r="M276" s="12" t="str">
        <f t="shared" si="33"/>
        <v/>
      </c>
    </row>
    <row r="277" spans="1:13" ht="31.5">
      <c r="A277" s="3">
        <v>269</v>
      </c>
      <c r="B277" s="11" t="s">
        <v>71</v>
      </c>
      <c r="C277" s="3">
        <v>6</v>
      </c>
      <c r="D277" s="3">
        <v>7</v>
      </c>
      <c r="E277" s="11" t="s">
        <v>340</v>
      </c>
      <c r="F277" s="14">
        <v>701.51400000000001</v>
      </c>
      <c r="G277" s="14">
        <f t="shared" si="34"/>
        <v>1.0979999999999563</v>
      </c>
      <c r="H277" s="14">
        <f t="shared" si="28"/>
        <v>701.26350083752141</v>
      </c>
      <c r="I277" s="14">
        <f t="shared" si="29"/>
        <v>703.80793715053017</v>
      </c>
      <c r="J277" s="14">
        <f t="shared" si="30"/>
        <v>3.1255652114093886</v>
      </c>
      <c r="K277" s="14">
        <f t="shared" si="31"/>
        <v>0.95670805369127299</v>
      </c>
      <c r="L277" s="12" t="str">
        <f t="shared" si="32"/>
        <v/>
      </c>
      <c r="M277" s="12" t="str">
        <f t="shared" si="33"/>
        <v/>
      </c>
    </row>
    <row r="278" spans="1:13" ht="31.5">
      <c r="A278" s="3">
        <v>270</v>
      </c>
      <c r="B278" s="11" t="s">
        <v>71</v>
      </c>
      <c r="C278" s="3">
        <v>6</v>
      </c>
      <c r="D278" s="3">
        <v>6</v>
      </c>
      <c r="E278" s="11" t="s">
        <v>341</v>
      </c>
      <c r="F278" s="14">
        <v>702.447</v>
      </c>
      <c r="G278" s="14">
        <f t="shared" si="34"/>
        <v>0.93299999999999272</v>
      </c>
      <c r="H278" s="14">
        <f t="shared" si="28"/>
        <v>701.26350083752141</v>
      </c>
      <c r="I278" s="14">
        <f t="shared" si="29"/>
        <v>703.80793715053017</v>
      </c>
      <c r="J278" s="14">
        <f t="shared" si="30"/>
        <v>3.1255652114093886</v>
      </c>
      <c r="K278" s="14">
        <f t="shared" si="31"/>
        <v>0.95670805369127299</v>
      </c>
      <c r="L278" s="12" t="str">
        <f t="shared" si="32"/>
        <v/>
      </c>
      <c r="M278" s="12" t="str">
        <f t="shared" si="33"/>
        <v/>
      </c>
    </row>
    <row r="279" spans="1:13" ht="31.5">
      <c r="A279" s="3">
        <v>271</v>
      </c>
      <c r="B279" s="11" t="s">
        <v>71</v>
      </c>
      <c r="C279" s="3">
        <v>6</v>
      </c>
      <c r="D279" s="3">
        <v>5</v>
      </c>
      <c r="E279" s="11" t="s">
        <v>342</v>
      </c>
      <c r="F279" s="14">
        <v>701.43200000000002</v>
      </c>
      <c r="G279" s="14">
        <f t="shared" si="34"/>
        <v>1.0149999999999864</v>
      </c>
      <c r="H279" s="14">
        <f t="shared" si="28"/>
        <v>701.26350083752141</v>
      </c>
      <c r="I279" s="14">
        <f t="shared" si="29"/>
        <v>703.80793715053017</v>
      </c>
      <c r="J279" s="14">
        <f t="shared" si="30"/>
        <v>3.1255652114093886</v>
      </c>
      <c r="K279" s="14">
        <f t="shared" si="31"/>
        <v>0.95670805369127299</v>
      </c>
      <c r="L279" s="12" t="str">
        <f t="shared" si="32"/>
        <v/>
      </c>
      <c r="M279" s="12" t="str">
        <f t="shared" si="33"/>
        <v/>
      </c>
    </row>
    <row r="280" spans="1:13" ht="31.5">
      <c r="A280" s="3">
        <v>272</v>
      </c>
      <c r="B280" s="11" t="s">
        <v>71</v>
      </c>
      <c r="C280" s="3">
        <v>6</v>
      </c>
      <c r="D280" s="3">
        <v>4</v>
      </c>
      <c r="E280" s="11" t="s">
        <v>343</v>
      </c>
      <c r="F280" s="14">
        <v>701.76199999999994</v>
      </c>
      <c r="G280" s="14">
        <f t="shared" si="34"/>
        <v>0.32999999999992724</v>
      </c>
      <c r="H280" s="14">
        <f t="shared" si="28"/>
        <v>701.26350083752141</v>
      </c>
      <c r="I280" s="14">
        <f t="shared" si="29"/>
        <v>703.80793715053017</v>
      </c>
      <c r="J280" s="14">
        <f t="shared" si="30"/>
        <v>3.1255652114093886</v>
      </c>
      <c r="K280" s="14">
        <f t="shared" si="31"/>
        <v>0.95670805369127299</v>
      </c>
      <c r="L280" s="12" t="str">
        <f t="shared" si="32"/>
        <v/>
      </c>
      <c r="M280" s="12" t="str">
        <f t="shared" si="33"/>
        <v/>
      </c>
    </row>
    <row r="281" spans="1:13" ht="31.5">
      <c r="A281" s="3">
        <v>273</v>
      </c>
      <c r="B281" s="11" t="s">
        <v>71</v>
      </c>
      <c r="C281" s="3">
        <v>6</v>
      </c>
      <c r="D281" s="3">
        <v>3</v>
      </c>
      <c r="E281" s="11" t="s">
        <v>344</v>
      </c>
      <c r="F281" s="14">
        <v>700.06200000000001</v>
      </c>
      <c r="G281" s="14">
        <f t="shared" si="34"/>
        <v>1.6999999999999318</v>
      </c>
      <c r="H281" s="14">
        <f t="shared" si="28"/>
        <v>701.26350083752141</v>
      </c>
      <c r="I281" s="14">
        <f t="shared" si="29"/>
        <v>703.80793715053017</v>
      </c>
      <c r="J281" s="14">
        <f t="shared" si="30"/>
        <v>3.1255652114093886</v>
      </c>
      <c r="K281" s="14">
        <f t="shared" si="31"/>
        <v>0.95670805369127299</v>
      </c>
      <c r="L281" s="12" t="str">
        <f t="shared" si="32"/>
        <v/>
      </c>
      <c r="M281" s="12" t="str">
        <f t="shared" si="33"/>
        <v/>
      </c>
    </row>
    <row r="282" spans="1:13" ht="31.5">
      <c r="A282" s="3">
        <v>274</v>
      </c>
      <c r="B282" s="11" t="s">
        <v>71</v>
      </c>
      <c r="C282" s="3">
        <v>6</v>
      </c>
      <c r="D282" s="3">
        <v>2</v>
      </c>
      <c r="E282" s="11" t="s">
        <v>345</v>
      </c>
      <c r="F282" s="14">
        <v>700.11400000000003</v>
      </c>
      <c r="G282" s="14">
        <f t="shared" si="34"/>
        <v>5.2000000000020918E-2</v>
      </c>
      <c r="H282" s="14">
        <f t="shared" si="28"/>
        <v>701.26350083752141</v>
      </c>
      <c r="I282" s="14">
        <f t="shared" si="29"/>
        <v>703.80793715053017</v>
      </c>
      <c r="J282" s="14">
        <f t="shared" si="30"/>
        <v>3.1255652114093886</v>
      </c>
      <c r="K282" s="14">
        <f t="shared" si="31"/>
        <v>0.95670805369127299</v>
      </c>
      <c r="L282" s="12" t="str">
        <f t="shared" si="32"/>
        <v/>
      </c>
      <c r="M282" s="12" t="str">
        <f t="shared" si="33"/>
        <v/>
      </c>
    </row>
    <row r="283" spans="1:13" ht="31.5">
      <c r="A283" s="3">
        <v>275</v>
      </c>
      <c r="B283" s="11" t="s">
        <v>71</v>
      </c>
      <c r="C283" s="3">
        <v>6</v>
      </c>
      <c r="D283" s="3">
        <v>1</v>
      </c>
      <c r="E283" s="11" t="s">
        <v>346</v>
      </c>
      <c r="F283" s="14">
        <v>699.64800000000002</v>
      </c>
      <c r="G283" s="14">
        <f t="shared" si="34"/>
        <v>0.46600000000000819</v>
      </c>
      <c r="H283" s="14">
        <f t="shared" si="28"/>
        <v>701.26350083752141</v>
      </c>
      <c r="I283" s="14">
        <f t="shared" si="29"/>
        <v>703.80793715053017</v>
      </c>
      <c r="J283" s="14">
        <f t="shared" si="30"/>
        <v>3.1255652114093886</v>
      </c>
      <c r="K283" s="14">
        <f t="shared" si="31"/>
        <v>0.95670805369127299</v>
      </c>
      <c r="L283" s="12" t="str">
        <f t="shared" si="32"/>
        <v/>
      </c>
      <c r="M283" s="12" t="str">
        <f t="shared" si="33"/>
        <v/>
      </c>
    </row>
    <row r="284" spans="1:13" ht="31.5">
      <c r="A284" s="3">
        <v>276</v>
      </c>
      <c r="B284" s="11" t="s">
        <v>71</v>
      </c>
      <c r="C284" s="3">
        <v>6</v>
      </c>
      <c r="D284" s="3">
        <v>25</v>
      </c>
      <c r="E284" s="11" t="s">
        <v>347</v>
      </c>
      <c r="F284" s="14">
        <v>701.54100000000005</v>
      </c>
      <c r="G284" s="14">
        <f t="shared" si="34"/>
        <v>1.8930000000000291</v>
      </c>
      <c r="H284" s="14">
        <f t="shared" si="28"/>
        <v>701.26350083752141</v>
      </c>
      <c r="I284" s="14">
        <f t="shared" si="29"/>
        <v>703.80793715053017</v>
      </c>
      <c r="J284" s="14">
        <f t="shared" si="30"/>
        <v>3.1255652114093886</v>
      </c>
      <c r="K284" s="14">
        <f t="shared" si="31"/>
        <v>0.95670805369127299</v>
      </c>
      <c r="L284" s="12" t="str">
        <f t="shared" si="32"/>
        <v/>
      </c>
      <c r="M284" s="12" t="str">
        <f t="shared" si="33"/>
        <v/>
      </c>
    </row>
    <row r="285" spans="1:13" ht="31.5">
      <c r="A285" s="3">
        <v>277</v>
      </c>
      <c r="B285" s="11" t="s">
        <v>71</v>
      </c>
      <c r="C285" s="3">
        <v>6</v>
      </c>
      <c r="D285" s="3">
        <v>24</v>
      </c>
      <c r="E285" s="11" t="s">
        <v>348</v>
      </c>
      <c r="F285" s="14">
        <v>701.08500000000004</v>
      </c>
      <c r="G285" s="14">
        <f t="shared" si="34"/>
        <v>0.45600000000001728</v>
      </c>
      <c r="H285" s="14">
        <f t="shared" si="28"/>
        <v>701.26350083752141</v>
      </c>
      <c r="I285" s="14">
        <f t="shared" si="29"/>
        <v>703.80793715053017</v>
      </c>
      <c r="J285" s="14">
        <f t="shared" si="30"/>
        <v>3.1255652114093886</v>
      </c>
      <c r="K285" s="14">
        <f t="shared" si="31"/>
        <v>0.95670805369127299</v>
      </c>
      <c r="L285" s="12" t="str">
        <f t="shared" si="32"/>
        <v/>
      </c>
      <c r="M285" s="12" t="str">
        <f t="shared" si="33"/>
        <v/>
      </c>
    </row>
    <row r="286" spans="1:13" ht="31.5">
      <c r="A286" s="3">
        <v>278</v>
      </c>
      <c r="B286" s="11" t="s">
        <v>71</v>
      </c>
      <c r="C286" s="3">
        <v>6</v>
      </c>
      <c r="D286" s="3">
        <v>23</v>
      </c>
      <c r="E286" s="11" t="s">
        <v>349</v>
      </c>
      <c r="F286" s="14">
        <v>701.23500000000001</v>
      </c>
      <c r="G286" s="14">
        <f t="shared" si="34"/>
        <v>0.14999999999997726</v>
      </c>
      <c r="H286" s="14">
        <f t="shared" si="28"/>
        <v>701.26350083752141</v>
      </c>
      <c r="I286" s="14">
        <f t="shared" si="29"/>
        <v>703.80793715053017</v>
      </c>
      <c r="J286" s="14">
        <f t="shared" si="30"/>
        <v>3.1255652114093886</v>
      </c>
      <c r="K286" s="14">
        <f t="shared" si="31"/>
        <v>0.95670805369127299</v>
      </c>
      <c r="L286" s="12" t="str">
        <f t="shared" si="32"/>
        <v/>
      </c>
      <c r="M286" s="12" t="str">
        <f t="shared" si="33"/>
        <v/>
      </c>
    </row>
    <row r="287" spans="1:13" ht="31.5">
      <c r="A287" s="3">
        <v>279</v>
      </c>
      <c r="B287" s="11" t="s">
        <v>71</v>
      </c>
      <c r="C287" s="3">
        <v>6</v>
      </c>
      <c r="D287" s="3">
        <v>22</v>
      </c>
      <c r="E287" s="11" t="s">
        <v>350</v>
      </c>
      <c r="F287" s="14">
        <v>701.19</v>
      </c>
      <c r="G287" s="14">
        <f t="shared" si="34"/>
        <v>4.4999999999959073E-2</v>
      </c>
      <c r="H287" s="14">
        <f t="shared" si="28"/>
        <v>701.26350083752141</v>
      </c>
      <c r="I287" s="14">
        <f t="shared" si="29"/>
        <v>703.80793715053017</v>
      </c>
      <c r="J287" s="14">
        <f t="shared" si="30"/>
        <v>3.1255652114093886</v>
      </c>
      <c r="K287" s="14">
        <f t="shared" si="31"/>
        <v>0.95670805369127299</v>
      </c>
      <c r="L287" s="12" t="str">
        <f t="shared" si="32"/>
        <v/>
      </c>
      <c r="M287" s="12" t="str">
        <f t="shared" si="33"/>
        <v/>
      </c>
    </row>
    <row r="288" spans="1:13" ht="31.5">
      <c r="A288" s="3">
        <v>280</v>
      </c>
      <c r="B288" s="11" t="s">
        <v>71</v>
      </c>
      <c r="C288" s="3">
        <v>6</v>
      </c>
      <c r="D288" s="3">
        <v>21</v>
      </c>
      <c r="E288" s="11" t="s">
        <v>351</v>
      </c>
      <c r="F288" s="14">
        <v>702.14099999999996</v>
      </c>
      <c r="G288" s="14">
        <f t="shared" si="34"/>
        <v>0.95099999999990814</v>
      </c>
      <c r="H288" s="14">
        <f t="shared" si="28"/>
        <v>701.26350083752141</v>
      </c>
      <c r="I288" s="14">
        <f t="shared" si="29"/>
        <v>703.80793715053017</v>
      </c>
      <c r="J288" s="14">
        <f t="shared" si="30"/>
        <v>3.1255652114093886</v>
      </c>
      <c r="K288" s="14">
        <f t="shared" si="31"/>
        <v>0.95670805369127299</v>
      </c>
      <c r="L288" s="12" t="str">
        <f t="shared" si="32"/>
        <v/>
      </c>
      <c r="M288" s="12" t="str">
        <f t="shared" si="33"/>
        <v/>
      </c>
    </row>
    <row r="289" spans="1:13" ht="31.5">
      <c r="A289" s="3">
        <v>281</v>
      </c>
      <c r="B289" s="11" t="s">
        <v>71</v>
      </c>
      <c r="C289" s="3">
        <v>6</v>
      </c>
      <c r="D289" s="3">
        <v>20</v>
      </c>
      <c r="E289" s="11" t="s">
        <v>352</v>
      </c>
      <c r="F289" s="14">
        <v>702.048</v>
      </c>
      <c r="G289" s="14">
        <f t="shared" si="34"/>
        <v>9.2999999999960892E-2</v>
      </c>
      <c r="H289" s="14">
        <f t="shared" si="28"/>
        <v>701.26350083752141</v>
      </c>
      <c r="I289" s="14">
        <f t="shared" si="29"/>
        <v>703.80793715053017</v>
      </c>
      <c r="J289" s="14">
        <f t="shared" si="30"/>
        <v>3.1255652114093886</v>
      </c>
      <c r="K289" s="14">
        <f t="shared" si="31"/>
        <v>0.95670805369127299</v>
      </c>
      <c r="L289" s="12" t="str">
        <f t="shared" si="32"/>
        <v/>
      </c>
      <c r="M289" s="12" t="str">
        <f t="shared" si="33"/>
        <v/>
      </c>
    </row>
    <row r="290" spans="1:13" ht="31.5">
      <c r="A290" s="3">
        <v>282</v>
      </c>
      <c r="B290" s="11" t="s">
        <v>71</v>
      </c>
      <c r="C290" s="3">
        <v>6</v>
      </c>
      <c r="D290" s="3">
        <v>19</v>
      </c>
      <c r="E290" s="11" t="s">
        <v>353</v>
      </c>
      <c r="F290" s="14">
        <v>700.26</v>
      </c>
      <c r="G290" s="14">
        <f t="shared" si="34"/>
        <v>1.7880000000000109</v>
      </c>
      <c r="H290" s="14">
        <f t="shared" si="28"/>
        <v>701.26350083752141</v>
      </c>
      <c r="I290" s="14">
        <f t="shared" si="29"/>
        <v>703.80793715053017</v>
      </c>
      <c r="J290" s="14">
        <f t="shared" si="30"/>
        <v>3.1255652114093886</v>
      </c>
      <c r="K290" s="14">
        <f t="shared" si="31"/>
        <v>0.95670805369127299</v>
      </c>
      <c r="L290" s="12" t="str">
        <f t="shared" si="32"/>
        <v/>
      </c>
      <c r="M290" s="12" t="str">
        <f t="shared" si="33"/>
        <v/>
      </c>
    </row>
    <row r="291" spans="1:13" ht="31.5">
      <c r="A291" s="3">
        <v>283</v>
      </c>
      <c r="B291" s="11" t="s">
        <v>71</v>
      </c>
      <c r="C291" s="3">
        <v>6</v>
      </c>
      <c r="D291" s="3">
        <v>18</v>
      </c>
      <c r="E291" s="11" t="s">
        <v>354</v>
      </c>
      <c r="F291" s="14">
        <v>700.99800000000005</v>
      </c>
      <c r="G291" s="14">
        <f t="shared" si="34"/>
        <v>0.73800000000005639</v>
      </c>
      <c r="H291" s="14">
        <f t="shared" si="28"/>
        <v>701.26350083752141</v>
      </c>
      <c r="I291" s="14">
        <f t="shared" si="29"/>
        <v>703.80793715053017</v>
      </c>
      <c r="J291" s="14">
        <f t="shared" si="30"/>
        <v>3.1255652114093886</v>
      </c>
      <c r="K291" s="14">
        <f t="shared" si="31"/>
        <v>0.95670805369127299</v>
      </c>
      <c r="L291" s="12" t="str">
        <f t="shared" si="32"/>
        <v/>
      </c>
      <c r="M291" s="12" t="str">
        <f t="shared" si="33"/>
        <v/>
      </c>
    </row>
    <row r="292" spans="1:13" ht="31.5">
      <c r="A292" s="3">
        <v>284</v>
      </c>
      <c r="B292" s="11" t="s">
        <v>71</v>
      </c>
      <c r="C292" s="3">
        <v>6</v>
      </c>
      <c r="D292" s="3">
        <v>17</v>
      </c>
      <c r="E292" s="11" t="s">
        <v>355</v>
      </c>
      <c r="F292" s="14">
        <v>701.048</v>
      </c>
      <c r="G292" s="14">
        <f t="shared" si="34"/>
        <v>4.9999999999954525E-2</v>
      </c>
      <c r="H292" s="14">
        <f t="shared" si="28"/>
        <v>701.26350083752141</v>
      </c>
      <c r="I292" s="14">
        <f t="shared" si="29"/>
        <v>703.80793715053017</v>
      </c>
      <c r="J292" s="14">
        <f t="shared" si="30"/>
        <v>3.1255652114093886</v>
      </c>
      <c r="K292" s="14">
        <f t="shared" si="31"/>
        <v>0.95670805369127299</v>
      </c>
      <c r="L292" s="12" t="str">
        <f t="shared" si="32"/>
        <v/>
      </c>
      <c r="M292" s="12" t="str">
        <f t="shared" si="33"/>
        <v/>
      </c>
    </row>
    <row r="293" spans="1:13" ht="31.5">
      <c r="A293" s="3">
        <v>285</v>
      </c>
      <c r="B293" s="11" t="s">
        <v>71</v>
      </c>
      <c r="C293" s="3">
        <v>6</v>
      </c>
      <c r="D293" s="3">
        <v>16</v>
      </c>
      <c r="E293" s="11" t="s">
        <v>356</v>
      </c>
      <c r="F293" s="14">
        <v>702.65700000000004</v>
      </c>
      <c r="G293" s="14">
        <f t="shared" si="34"/>
        <v>1.6090000000000373</v>
      </c>
      <c r="H293" s="14">
        <f t="shared" si="28"/>
        <v>701.26350083752141</v>
      </c>
      <c r="I293" s="14">
        <f t="shared" si="29"/>
        <v>703.80793715053017</v>
      </c>
      <c r="J293" s="14">
        <f t="shared" si="30"/>
        <v>3.1255652114093886</v>
      </c>
      <c r="K293" s="14">
        <f t="shared" si="31"/>
        <v>0.95670805369127299</v>
      </c>
      <c r="L293" s="12" t="str">
        <f t="shared" si="32"/>
        <v/>
      </c>
      <c r="M293" s="12" t="str">
        <f t="shared" si="33"/>
        <v/>
      </c>
    </row>
    <row r="294" spans="1:13" ht="31.5">
      <c r="A294" s="3">
        <v>286</v>
      </c>
      <c r="B294" s="11" t="s">
        <v>71</v>
      </c>
      <c r="C294" s="3">
        <v>6</v>
      </c>
      <c r="D294" s="3">
        <v>15</v>
      </c>
      <c r="E294" s="11" t="s">
        <v>357</v>
      </c>
      <c r="F294" s="14">
        <v>701.12300000000005</v>
      </c>
      <c r="G294" s="14">
        <f t="shared" si="34"/>
        <v>1.5339999999999918</v>
      </c>
      <c r="H294" s="14">
        <f t="shared" si="28"/>
        <v>701.26350083752141</v>
      </c>
      <c r="I294" s="14">
        <f t="shared" si="29"/>
        <v>703.80793715053017</v>
      </c>
      <c r="J294" s="14">
        <f t="shared" si="30"/>
        <v>3.1255652114093886</v>
      </c>
      <c r="K294" s="14">
        <f t="shared" si="31"/>
        <v>0.95670805369127299</v>
      </c>
      <c r="L294" s="12" t="str">
        <f t="shared" si="32"/>
        <v/>
      </c>
      <c r="M294" s="12" t="str">
        <f t="shared" si="33"/>
        <v/>
      </c>
    </row>
    <row r="295" spans="1:13" ht="31.5">
      <c r="A295" s="3">
        <v>287</v>
      </c>
      <c r="B295" s="11" t="s">
        <v>71</v>
      </c>
      <c r="C295" s="3">
        <v>6</v>
      </c>
      <c r="D295" s="3">
        <v>14</v>
      </c>
      <c r="E295" s="11" t="s">
        <v>358</v>
      </c>
      <c r="F295" s="14">
        <v>701.18</v>
      </c>
      <c r="G295" s="14">
        <f t="shared" si="34"/>
        <v>5.6999999999902684E-2</v>
      </c>
      <c r="H295" s="14">
        <f t="shared" si="28"/>
        <v>701.26350083752141</v>
      </c>
      <c r="I295" s="14">
        <f t="shared" si="29"/>
        <v>703.80793715053017</v>
      </c>
      <c r="J295" s="14">
        <f t="shared" si="30"/>
        <v>3.1255652114093886</v>
      </c>
      <c r="K295" s="14">
        <f t="shared" si="31"/>
        <v>0.95670805369127299</v>
      </c>
      <c r="L295" s="12" t="str">
        <f t="shared" si="32"/>
        <v/>
      </c>
      <c r="M295" s="12" t="str">
        <f t="shared" si="33"/>
        <v/>
      </c>
    </row>
    <row r="296" spans="1:13" ht="31.5">
      <c r="A296" s="3">
        <v>288</v>
      </c>
      <c r="B296" s="11" t="s">
        <v>71</v>
      </c>
      <c r="C296" s="3">
        <v>6</v>
      </c>
      <c r="D296" s="3">
        <v>13</v>
      </c>
      <c r="E296" s="11" t="s">
        <v>359</v>
      </c>
      <c r="F296" s="14">
        <v>700.56299999999999</v>
      </c>
      <c r="G296" s="14">
        <f t="shared" si="34"/>
        <v>0.6169999999999618</v>
      </c>
      <c r="H296" s="14">
        <f t="shared" si="28"/>
        <v>701.26350083752141</v>
      </c>
      <c r="I296" s="14">
        <f t="shared" si="29"/>
        <v>703.80793715053017</v>
      </c>
      <c r="J296" s="14">
        <f t="shared" si="30"/>
        <v>3.1255652114093886</v>
      </c>
      <c r="K296" s="14">
        <f t="shared" si="31"/>
        <v>0.95670805369127299</v>
      </c>
      <c r="L296" s="12" t="str">
        <f t="shared" si="32"/>
        <v/>
      </c>
      <c r="M296" s="12" t="str">
        <f t="shared" si="33"/>
        <v/>
      </c>
    </row>
    <row r="297" spans="1:13" ht="31.5">
      <c r="A297" s="3">
        <v>289</v>
      </c>
      <c r="B297" s="11" t="s">
        <v>71</v>
      </c>
      <c r="C297" s="3">
        <v>6</v>
      </c>
      <c r="D297" s="3">
        <v>12</v>
      </c>
      <c r="E297" s="11" t="s">
        <v>360</v>
      </c>
      <c r="F297" s="14">
        <v>700.52300000000002</v>
      </c>
      <c r="G297" s="14">
        <f t="shared" si="34"/>
        <v>3.999999999996362E-2</v>
      </c>
      <c r="H297" s="14">
        <f t="shared" si="28"/>
        <v>701.26350083752141</v>
      </c>
      <c r="I297" s="14">
        <f t="shared" si="29"/>
        <v>703.80793715053017</v>
      </c>
      <c r="J297" s="14">
        <f t="shared" si="30"/>
        <v>3.1255652114093886</v>
      </c>
      <c r="K297" s="14">
        <f t="shared" si="31"/>
        <v>0.95670805369127299</v>
      </c>
      <c r="L297" s="12" t="str">
        <f t="shared" si="32"/>
        <v/>
      </c>
      <c r="M297" s="12" t="str">
        <f t="shared" si="33"/>
        <v/>
      </c>
    </row>
    <row r="298" spans="1:13" ht="31.5">
      <c r="A298" s="3">
        <v>290</v>
      </c>
      <c r="B298" s="11" t="s">
        <v>71</v>
      </c>
      <c r="C298" s="3">
        <v>6</v>
      </c>
      <c r="D298" s="3">
        <v>11</v>
      </c>
      <c r="E298" s="11" t="s">
        <v>361</v>
      </c>
      <c r="F298" s="14">
        <v>700.69299999999998</v>
      </c>
      <c r="G298" s="14">
        <f t="shared" si="34"/>
        <v>0.16999999999995907</v>
      </c>
      <c r="H298" s="14">
        <f t="shared" si="28"/>
        <v>701.26350083752141</v>
      </c>
      <c r="I298" s="14">
        <f t="shared" si="29"/>
        <v>703.80793715053017</v>
      </c>
      <c r="J298" s="14">
        <f t="shared" si="30"/>
        <v>3.1255652114093886</v>
      </c>
      <c r="K298" s="14">
        <f t="shared" si="31"/>
        <v>0.95670805369127299</v>
      </c>
      <c r="L298" s="12" t="str">
        <f t="shared" si="32"/>
        <v/>
      </c>
      <c r="M298" s="12" t="str">
        <f t="shared" si="33"/>
        <v/>
      </c>
    </row>
    <row r="299" spans="1:13" ht="31.5">
      <c r="A299" s="3">
        <v>291</v>
      </c>
      <c r="B299" s="11" t="s">
        <v>71</v>
      </c>
      <c r="C299" s="3">
        <v>6</v>
      </c>
      <c r="D299" s="3">
        <v>10</v>
      </c>
      <c r="E299" s="11" t="s">
        <v>362</v>
      </c>
      <c r="F299" s="14">
        <v>700.72299999999996</v>
      </c>
      <c r="G299" s="14">
        <f t="shared" si="34"/>
        <v>2.9999999999972715E-2</v>
      </c>
      <c r="H299" s="14">
        <f t="shared" si="28"/>
        <v>701.26350083752141</v>
      </c>
      <c r="I299" s="14">
        <f t="shared" si="29"/>
        <v>703.80793715053017</v>
      </c>
      <c r="J299" s="14">
        <f t="shared" si="30"/>
        <v>3.1255652114093886</v>
      </c>
      <c r="K299" s="14">
        <f t="shared" si="31"/>
        <v>0.95670805369127299</v>
      </c>
      <c r="L299" s="12" t="str">
        <f t="shared" si="32"/>
        <v/>
      </c>
      <c r="M299" s="12" t="str">
        <f t="shared" si="33"/>
        <v/>
      </c>
    </row>
    <row r="300" spans="1:13" ht="31.5">
      <c r="A300" s="3">
        <v>292</v>
      </c>
      <c r="B300" s="11" t="s">
        <v>71</v>
      </c>
      <c r="C300" s="3">
        <v>6</v>
      </c>
      <c r="D300" s="3">
        <v>9</v>
      </c>
      <c r="E300" s="11" t="s">
        <v>363</v>
      </c>
      <c r="F300" s="14">
        <v>701.17499999999995</v>
      </c>
      <c r="G300" s="14">
        <f t="shared" si="34"/>
        <v>0.45199999999999818</v>
      </c>
      <c r="H300" s="14">
        <f t="shared" si="28"/>
        <v>701.26350083752141</v>
      </c>
      <c r="I300" s="14">
        <f t="shared" si="29"/>
        <v>703.80793715053017</v>
      </c>
      <c r="J300" s="14">
        <f t="shared" si="30"/>
        <v>3.1255652114093886</v>
      </c>
      <c r="K300" s="14">
        <f t="shared" si="31"/>
        <v>0.95670805369127299</v>
      </c>
      <c r="L300" s="12" t="str">
        <f t="shared" si="32"/>
        <v/>
      </c>
      <c r="M300" s="12" t="str">
        <f t="shared" si="33"/>
        <v/>
      </c>
    </row>
    <row r="301" spans="1:13" ht="31.5">
      <c r="A301" s="3">
        <v>293</v>
      </c>
      <c r="B301" s="11" t="s">
        <v>71</v>
      </c>
      <c r="C301" s="3">
        <v>6</v>
      </c>
      <c r="D301" s="3">
        <v>8</v>
      </c>
      <c r="E301" s="11" t="s">
        <v>364</v>
      </c>
      <c r="F301" s="14">
        <v>701.21699999999998</v>
      </c>
      <c r="G301" s="14">
        <f t="shared" si="34"/>
        <v>4.2000000000030013E-2</v>
      </c>
      <c r="H301" s="14">
        <f t="shared" si="28"/>
        <v>701.26350083752141</v>
      </c>
      <c r="I301" s="14">
        <f t="shared" si="29"/>
        <v>703.80793715053017</v>
      </c>
      <c r="J301" s="14">
        <f t="shared" si="30"/>
        <v>3.1255652114093886</v>
      </c>
      <c r="K301" s="14">
        <f t="shared" si="31"/>
        <v>0.95670805369127299</v>
      </c>
      <c r="L301" s="12" t="str">
        <f t="shared" si="32"/>
        <v/>
      </c>
      <c r="M301" s="12" t="str">
        <f t="shared" si="33"/>
        <v/>
      </c>
    </row>
    <row r="302" spans="1:13" ht="31.5">
      <c r="A302" s="3">
        <v>294</v>
      </c>
      <c r="B302" s="11" t="s">
        <v>71</v>
      </c>
      <c r="C302" s="3">
        <v>6</v>
      </c>
      <c r="D302" s="3">
        <v>7</v>
      </c>
      <c r="E302" s="11" t="s">
        <v>365</v>
      </c>
      <c r="F302" s="14">
        <v>699.67600000000004</v>
      </c>
      <c r="G302" s="14">
        <f t="shared" si="34"/>
        <v>1.54099999999994</v>
      </c>
      <c r="H302" s="14">
        <f t="shared" si="28"/>
        <v>701.26350083752141</v>
      </c>
      <c r="I302" s="14">
        <f t="shared" si="29"/>
        <v>703.80793715053017</v>
      </c>
      <c r="J302" s="14">
        <f t="shared" si="30"/>
        <v>3.1255652114093886</v>
      </c>
      <c r="K302" s="14">
        <f t="shared" si="31"/>
        <v>0.95670805369127299</v>
      </c>
      <c r="L302" s="12" t="str">
        <f t="shared" si="32"/>
        <v/>
      </c>
      <c r="M302" s="12" t="str">
        <f t="shared" si="33"/>
        <v/>
      </c>
    </row>
    <row r="303" spans="1:13" ht="31.5">
      <c r="A303" s="3">
        <v>295</v>
      </c>
      <c r="B303" s="11" t="s">
        <v>71</v>
      </c>
      <c r="C303" s="3">
        <v>6</v>
      </c>
      <c r="D303" s="3">
        <v>6</v>
      </c>
      <c r="E303" s="11" t="s">
        <v>366</v>
      </c>
      <c r="F303" s="14">
        <v>701.85400000000004</v>
      </c>
      <c r="G303" s="14">
        <f t="shared" si="34"/>
        <v>2.1779999999999973</v>
      </c>
      <c r="H303" s="14">
        <f t="shared" si="28"/>
        <v>701.26350083752141</v>
      </c>
      <c r="I303" s="14">
        <f t="shared" si="29"/>
        <v>703.80793715053017</v>
      </c>
      <c r="J303" s="14">
        <f t="shared" si="30"/>
        <v>3.1255652114093886</v>
      </c>
      <c r="K303" s="14">
        <f t="shared" si="31"/>
        <v>0.95670805369127299</v>
      </c>
      <c r="L303" s="12" t="str">
        <f t="shared" si="32"/>
        <v/>
      </c>
      <c r="M303" s="12" t="str">
        <f t="shared" si="33"/>
        <v/>
      </c>
    </row>
    <row r="304" spans="1:13" ht="31.5">
      <c r="A304" s="3">
        <v>296</v>
      </c>
      <c r="B304" s="11" t="s">
        <v>71</v>
      </c>
      <c r="C304" s="3">
        <v>6</v>
      </c>
      <c r="D304" s="3">
        <v>5</v>
      </c>
      <c r="E304" s="11" t="s">
        <v>367</v>
      </c>
      <c r="F304" s="14">
        <v>701.87199999999996</v>
      </c>
      <c r="G304" s="14">
        <f t="shared" si="34"/>
        <v>1.7999999999915417E-2</v>
      </c>
      <c r="H304" s="14">
        <f t="shared" si="28"/>
        <v>701.26350083752141</v>
      </c>
      <c r="I304" s="14">
        <f t="shared" si="29"/>
        <v>703.80793715053017</v>
      </c>
      <c r="J304" s="14">
        <f t="shared" si="30"/>
        <v>3.1255652114093886</v>
      </c>
      <c r="K304" s="14">
        <f t="shared" si="31"/>
        <v>0.95670805369127299</v>
      </c>
      <c r="L304" s="12" t="str">
        <f t="shared" si="32"/>
        <v/>
      </c>
      <c r="M304" s="12" t="str">
        <f t="shared" si="33"/>
        <v/>
      </c>
    </row>
    <row r="305" spans="1:13" ht="31.5">
      <c r="A305" s="3">
        <v>297</v>
      </c>
      <c r="B305" s="11" t="s">
        <v>71</v>
      </c>
      <c r="C305" s="3">
        <v>6</v>
      </c>
      <c r="D305" s="3">
        <v>4</v>
      </c>
      <c r="E305" s="11" t="s">
        <v>368</v>
      </c>
      <c r="F305" s="14">
        <v>701.53700000000003</v>
      </c>
      <c r="G305" s="14">
        <f t="shared" si="34"/>
        <v>0.33499999999992269</v>
      </c>
      <c r="H305" s="14">
        <f t="shared" si="28"/>
        <v>701.26350083752141</v>
      </c>
      <c r="I305" s="14">
        <f t="shared" si="29"/>
        <v>703.80793715053017</v>
      </c>
      <c r="J305" s="14">
        <f t="shared" si="30"/>
        <v>3.1255652114093886</v>
      </c>
      <c r="K305" s="14">
        <f t="shared" si="31"/>
        <v>0.95670805369127299</v>
      </c>
      <c r="L305" s="12" t="str">
        <f t="shared" si="32"/>
        <v/>
      </c>
      <c r="M305" s="12" t="str">
        <f t="shared" si="33"/>
        <v/>
      </c>
    </row>
    <row r="306" spans="1:13" ht="31.5">
      <c r="A306" s="3">
        <v>298</v>
      </c>
      <c r="B306" s="11" t="s">
        <v>71</v>
      </c>
      <c r="C306" s="3">
        <v>6</v>
      </c>
      <c r="D306" s="3">
        <v>3</v>
      </c>
      <c r="E306" s="11" t="s">
        <v>369</v>
      </c>
      <c r="F306" s="14">
        <v>701.71</v>
      </c>
      <c r="G306" s="14">
        <f t="shared" si="34"/>
        <v>0.17300000000000182</v>
      </c>
      <c r="H306" s="14">
        <f t="shared" si="28"/>
        <v>701.26350083752141</v>
      </c>
      <c r="I306" s="14">
        <f t="shared" si="29"/>
        <v>703.80793715053017</v>
      </c>
      <c r="J306" s="14">
        <f t="shared" si="30"/>
        <v>3.1255652114093886</v>
      </c>
      <c r="K306" s="14">
        <f t="shared" si="31"/>
        <v>0.95670805369127299</v>
      </c>
      <c r="L306" s="12" t="str">
        <f t="shared" si="32"/>
        <v/>
      </c>
      <c r="M306" s="12" t="str">
        <f t="shared" si="33"/>
        <v/>
      </c>
    </row>
    <row r="307" spans="1:13" ht="31.5">
      <c r="A307" s="3">
        <v>299</v>
      </c>
      <c r="B307" s="11" t="s">
        <v>71</v>
      </c>
      <c r="C307" s="3">
        <v>6</v>
      </c>
      <c r="D307" s="3">
        <v>2</v>
      </c>
      <c r="E307" s="11" t="s">
        <v>370</v>
      </c>
      <c r="F307" s="14">
        <v>702.05499999999995</v>
      </c>
      <c r="G307" s="14">
        <f t="shared" si="34"/>
        <v>0.3449999999999136</v>
      </c>
      <c r="H307" s="14">
        <f t="shared" si="28"/>
        <v>701.26350083752141</v>
      </c>
      <c r="I307" s="14">
        <f t="shared" si="29"/>
        <v>703.80793715053017</v>
      </c>
      <c r="J307" s="14">
        <f t="shared" si="30"/>
        <v>3.1255652114093886</v>
      </c>
      <c r="K307" s="14">
        <f t="shared" si="31"/>
        <v>0.95670805369127299</v>
      </c>
      <c r="L307" s="12" t="str">
        <f t="shared" si="32"/>
        <v/>
      </c>
      <c r="M307" s="12" t="str">
        <f t="shared" si="33"/>
        <v/>
      </c>
    </row>
    <row r="308" spans="1:13" ht="31.5">
      <c r="A308" s="3">
        <v>300</v>
      </c>
      <c r="B308" s="11" t="s">
        <v>71</v>
      </c>
      <c r="C308" s="3">
        <v>6</v>
      </c>
      <c r="D308" s="3">
        <v>1</v>
      </c>
      <c r="E308" s="11" t="s">
        <v>371</v>
      </c>
      <c r="F308" s="14">
        <v>701.7</v>
      </c>
      <c r="G308" s="14">
        <f t="shared" si="34"/>
        <v>0.3549999999999045</v>
      </c>
      <c r="H308" s="14">
        <f t="shared" si="28"/>
        <v>701.26350083752141</v>
      </c>
      <c r="I308" s="14">
        <f t="shared" si="29"/>
        <v>703.80793715053017</v>
      </c>
      <c r="J308" s="14">
        <f t="shared" si="30"/>
        <v>3.1255652114093886</v>
      </c>
      <c r="K308" s="14">
        <f t="shared" si="31"/>
        <v>0.95670805369127299</v>
      </c>
      <c r="L308" s="12" t="str">
        <f t="shared" si="32"/>
        <v/>
      </c>
      <c r="M308" s="12" t="str">
        <f t="shared" si="33"/>
        <v/>
      </c>
    </row>
    <row r="309" spans="1:13" ht="31.5">
      <c r="A309" s="3">
        <v>301</v>
      </c>
      <c r="B309" s="11" t="s">
        <v>372</v>
      </c>
      <c r="C309" s="3">
        <v>1</v>
      </c>
      <c r="D309" s="3">
        <v>25</v>
      </c>
      <c r="E309" s="11" t="s">
        <v>373</v>
      </c>
      <c r="F309" s="14">
        <v>701.64499999999998</v>
      </c>
      <c r="G309" s="14">
        <f t="shared" si="34"/>
        <v>5.5000000000063665E-2</v>
      </c>
      <c r="H309" s="14">
        <f t="shared" si="28"/>
        <v>701.26350083752141</v>
      </c>
      <c r="I309" s="14">
        <f t="shared" si="29"/>
        <v>703.80793715053017</v>
      </c>
      <c r="J309" s="14">
        <f t="shared" si="30"/>
        <v>3.1255652114093886</v>
      </c>
      <c r="K309" s="14">
        <f t="shared" si="31"/>
        <v>0.95670805369127299</v>
      </c>
      <c r="L309" s="12" t="str">
        <f t="shared" si="32"/>
        <v/>
      </c>
      <c r="M309" s="12" t="str">
        <f t="shared" si="33"/>
        <v/>
      </c>
    </row>
    <row r="310" spans="1:13" ht="31.5">
      <c r="A310" s="3">
        <v>302</v>
      </c>
      <c r="B310" s="11" t="s">
        <v>372</v>
      </c>
      <c r="C310" s="3">
        <v>1</v>
      </c>
      <c r="D310" s="3">
        <v>24</v>
      </c>
      <c r="E310" s="11" t="s">
        <v>374</v>
      </c>
      <c r="F310" s="14">
        <v>701.82600000000002</v>
      </c>
      <c r="G310" s="14">
        <f t="shared" si="34"/>
        <v>0.18100000000004002</v>
      </c>
      <c r="H310" s="14">
        <f t="shared" si="28"/>
        <v>701.26350083752141</v>
      </c>
      <c r="I310" s="14">
        <f t="shared" si="29"/>
        <v>703.80793715053017</v>
      </c>
      <c r="J310" s="14">
        <f t="shared" si="30"/>
        <v>3.1255652114093886</v>
      </c>
      <c r="K310" s="14">
        <f t="shared" si="31"/>
        <v>0.95670805369127299</v>
      </c>
      <c r="L310" s="12" t="str">
        <f t="shared" si="32"/>
        <v/>
      </c>
      <c r="M310" s="12" t="str">
        <f t="shared" si="33"/>
        <v/>
      </c>
    </row>
    <row r="311" spans="1:13" ht="31.5">
      <c r="A311" s="3">
        <v>304</v>
      </c>
      <c r="B311" s="11" t="s">
        <v>372</v>
      </c>
      <c r="C311" s="3">
        <v>1</v>
      </c>
      <c r="D311" s="3">
        <v>22</v>
      </c>
      <c r="E311" s="11" t="s">
        <v>376</v>
      </c>
      <c r="F311" s="14">
        <v>701.83799999999997</v>
      </c>
      <c r="G311" s="14">
        <f t="shared" si="34"/>
        <v>1.1999999999943611E-2</v>
      </c>
      <c r="H311" s="14">
        <f t="shared" si="28"/>
        <v>701.26350083752141</v>
      </c>
      <c r="I311" s="14">
        <f t="shared" si="29"/>
        <v>703.80793715053017</v>
      </c>
      <c r="J311" s="14">
        <f t="shared" si="30"/>
        <v>3.1255652114093886</v>
      </c>
      <c r="K311" s="14">
        <f t="shared" si="31"/>
        <v>0.95670805369127299</v>
      </c>
      <c r="L311" s="12" t="str">
        <f t="shared" si="32"/>
        <v/>
      </c>
      <c r="M311" s="12" t="str">
        <f t="shared" si="33"/>
        <v/>
      </c>
    </row>
    <row r="312" spans="1:13" ht="31.5">
      <c r="A312" s="3">
        <v>305</v>
      </c>
      <c r="B312" s="11" t="s">
        <v>372</v>
      </c>
      <c r="C312" s="3">
        <v>1</v>
      </c>
      <c r="D312" s="3">
        <v>21</v>
      </c>
      <c r="E312" s="11" t="s">
        <v>377</v>
      </c>
      <c r="F312" s="14">
        <v>701.66</v>
      </c>
      <c r="G312" s="14">
        <f t="shared" si="34"/>
        <v>0.17799999999999727</v>
      </c>
      <c r="H312" s="14">
        <f t="shared" si="28"/>
        <v>701.26350083752141</v>
      </c>
      <c r="I312" s="14">
        <f t="shared" si="29"/>
        <v>703.80793715053017</v>
      </c>
      <c r="J312" s="14">
        <f t="shared" si="30"/>
        <v>3.1255652114093886</v>
      </c>
      <c r="K312" s="14">
        <f t="shared" si="31"/>
        <v>0.95670805369127299</v>
      </c>
      <c r="L312" s="12" t="str">
        <f t="shared" si="32"/>
        <v/>
      </c>
      <c r="M312" s="12" t="str">
        <f t="shared" si="33"/>
        <v/>
      </c>
    </row>
    <row r="313" spans="1:13" ht="31.5">
      <c r="A313" s="3">
        <v>306</v>
      </c>
      <c r="B313" s="11" t="s">
        <v>372</v>
      </c>
      <c r="C313" s="3">
        <v>1</v>
      </c>
      <c r="D313" s="3">
        <v>20</v>
      </c>
      <c r="E313" s="11" t="s">
        <v>378</v>
      </c>
      <c r="F313" s="14">
        <v>701.928</v>
      </c>
      <c r="G313" s="14">
        <f t="shared" si="34"/>
        <v>0.2680000000000291</v>
      </c>
      <c r="H313" s="14">
        <f t="shared" si="28"/>
        <v>701.26350083752141</v>
      </c>
      <c r="I313" s="14">
        <f t="shared" si="29"/>
        <v>703.80793715053017</v>
      </c>
      <c r="J313" s="14">
        <f t="shared" si="30"/>
        <v>3.1255652114093886</v>
      </c>
      <c r="K313" s="14">
        <f t="shared" si="31"/>
        <v>0.95670805369127299</v>
      </c>
      <c r="L313" s="12" t="str">
        <f t="shared" si="32"/>
        <v/>
      </c>
      <c r="M313" s="12" t="str">
        <f t="shared" si="33"/>
        <v/>
      </c>
    </row>
    <row r="314" spans="1:13" ht="31.5">
      <c r="A314" s="3">
        <v>307</v>
      </c>
      <c r="B314" s="11" t="s">
        <v>372</v>
      </c>
      <c r="C314" s="3">
        <v>1</v>
      </c>
      <c r="D314" s="3">
        <v>19</v>
      </c>
      <c r="E314" s="11" t="s">
        <v>379</v>
      </c>
      <c r="F314" s="14">
        <v>703.053</v>
      </c>
      <c r="G314" s="14">
        <f t="shared" si="34"/>
        <v>1.125</v>
      </c>
      <c r="H314" s="14">
        <f t="shared" si="28"/>
        <v>701.26350083752141</v>
      </c>
      <c r="I314" s="14">
        <f t="shared" si="29"/>
        <v>703.80793715053017</v>
      </c>
      <c r="J314" s="14">
        <f t="shared" si="30"/>
        <v>3.1255652114093886</v>
      </c>
      <c r="K314" s="14">
        <f t="shared" si="31"/>
        <v>0.95670805369127299</v>
      </c>
      <c r="L314" s="12" t="str">
        <f t="shared" si="32"/>
        <v/>
      </c>
      <c r="M314" s="12" t="str">
        <f t="shared" si="33"/>
        <v/>
      </c>
    </row>
    <row r="315" spans="1:13" ht="31.5">
      <c r="A315" s="3">
        <v>308</v>
      </c>
      <c r="B315" s="11" t="s">
        <v>372</v>
      </c>
      <c r="C315" s="3">
        <v>1</v>
      </c>
      <c r="D315" s="3">
        <v>18</v>
      </c>
      <c r="E315" s="11" t="s">
        <v>380</v>
      </c>
      <c r="F315" s="14">
        <v>699.31899999999996</v>
      </c>
      <c r="G315" s="14">
        <f t="shared" si="34"/>
        <v>3.7340000000000373</v>
      </c>
      <c r="H315" s="14">
        <f t="shared" si="28"/>
        <v>701.26350083752141</v>
      </c>
      <c r="I315" s="14">
        <f t="shared" si="29"/>
        <v>703.80793715053017</v>
      </c>
      <c r="J315" s="14">
        <f t="shared" si="30"/>
        <v>3.1255652114093886</v>
      </c>
      <c r="K315" s="14">
        <f t="shared" si="31"/>
        <v>0.95670805369127299</v>
      </c>
      <c r="L315" s="12" t="str">
        <f t="shared" si="32"/>
        <v/>
      </c>
      <c r="M315" s="12" t="str">
        <f t="shared" si="33"/>
        <v/>
      </c>
    </row>
    <row r="316" spans="1:13" ht="31.5">
      <c r="A316" s="3">
        <v>309</v>
      </c>
      <c r="B316" s="11" t="s">
        <v>372</v>
      </c>
      <c r="C316" s="3">
        <v>1</v>
      </c>
      <c r="D316" s="3">
        <v>17</v>
      </c>
      <c r="E316" s="11" t="s">
        <v>381</v>
      </c>
      <c r="F316" s="14">
        <v>699.55799999999999</v>
      </c>
      <c r="G316" s="14">
        <f t="shared" si="34"/>
        <v>0.23900000000003274</v>
      </c>
      <c r="H316" s="14">
        <f t="shared" si="28"/>
        <v>701.26350083752141</v>
      </c>
      <c r="I316" s="14">
        <f t="shared" si="29"/>
        <v>703.80793715053017</v>
      </c>
      <c r="J316" s="14">
        <f t="shared" si="30"/>
        <v>3.1255652114093886</v>
      </c>
      <c r="K316" s="14">
        <f t="shared" si="31"/>
        <v>0.95670805369127299</v>
      </c>
      <c r="L316" s="12" t="str">
        <f t="shared" si="32"/>
        <v/>
      </c>
      <c r="M316" s="12" t="str">
        <f t="shared" si="33"/>
        <v/>
      </c>
    </row>
    <row r="317" spans="1:13" ht="31.5">
      <c r="A317" s="3">
        <v>310</v>
      </c>
      <c r="B317" s="11" t="s">
        <v>372</v>
      </c>
      <c r="C317" s="3">
        <v>1</v>
      </c>
      <c r="D317" s="3">
        <v>16</v>
      </c>
      <c r="E317" s="11" t="s">
        <v>382</v>
      </c>
      <c r="F317" s="14">
        <v>702.31500000000005</v>
      </c>
      <c r="G317" s="14">
        <f t="shared" si="34"/>
        <v>2.7570000000000618</v>
      </c>
      <c r="H317" s="14">
        <f t="shared" si="28"/>
        <v>701.26350083752141</v>
      </c>
      <c r="I317" s="14">
        <f t="shared" si="29"/>
        <v>703.80793715053017</v>
      </c>
      <c r="J317" s="14">
        <f t="shared" si="30"/>
        <v>3.1255652114093886</v>
      </c>
      <c r="K317" s="14">
        <f t="shared" si="31"/>
        <v>0.95670805369127299</v>
      </c>
      <c r="L317" s="12" t="str">
        <f t="shared" si="32"/>
        <v/>
      </c>
      <c r="M317" s="12" t="str">
        <f t="shared" si="33"/>
        <v/>
      </c>
    </row>
    <row r="318" spans="1:13" ht="31.5">
      <c r="A318" s="3">
        <v>311</v>
      </c>
      <c r="B318" s="11" t="s">
        <v>372</v>
      </c>
      <c r="C318" s="3">
        <v>1</v>
      </c>
      <c r="D318" s="3">
        <v>15</v>
      </c>
      <c r="E318" s="11" t="s">
        <v>383</v>
      </c>
      <c r="F318" s="14">
        <v>701.48699999999997</v>
      </c>
      <c r="G318" s="14">
        <f t="shared" si="34"/>
        <v>0.82800000000008822</v>
      </c>
      <c r="H318" s="14">
        <f t="shared" si="28"/>
        <v>701.26350083752141</v>
      </c>
      <c r="I318" s="14">
        <f t="shared" si="29"/>
        <v>703.80793715053017</v>
      </c>
      <c r="J318" s="14">
        <f t="shared" si="30"/>
        <v>3.1255652114093886</v>
      </c>
      <c r="K318" s="14">
        <f t="shared" si="31"/>
        <v>0.95670805369127299</v>
      </c>
      <c r="L318" s="12" t="str">
        <f t="shared" si="32"/>
        <v/>
      </c>
      <c r="M318" s="12" t="str">
        <f t="shared" si="33"/>
        <v/>
      </c>
    </row>
    <row r="319" spans="1:13" ht="31.5">
      <c r="A319" s="3">
        <v>312</v>
      </c>
      <c r="B319" s="11" t="s">
        <v>372</v>
      </c>
      <c r="C319" s="3">
        <v>1</v>
      </c>
      <c r="D319" s="3">
        <v>14</v>
      </c>
      <c r="E319" s="11" t="s">
        <v>384</v>
      </c>
      <c r="F319" s="14">
        <v>703.02800000000002</v>
      </c>
      <c r="G319" s="14">
        <f t="shared" si="34"/>
        <v>1.5410000000000537</v>
      </c>
      <c r="H319" s="14">
        <f t="shared" si="28"/>
        <v>701.26350083752141</v>
      </c>
      <c r="I319" s="14">
        <f t="shared" si="29"/>
        <v>703.80793715053017</v>
      </c>
      <c r="J319" s="14">
        <f t="shared" si="30"/>
        <v>3.1255652114093886</v>
      </c>
      <c r="K319" s="14">
        <f t="shared" si="31"/>
        <v>0.95670805369127299</v>
      </c>
      <c r="L319" s="12" t="str">
        <f t="shared" si="32"/>
        <v/>
      </c>
      <c r="M319" s="12" t="str">
        <f t="shared" si="33"/>
        <v/>
      </c>
    </row>
    <row r="320" spans="1:13" ht="31.5">
      <c r="A320" s="3">
        <v>313</v>
      </c>
      <c r="B320" s="11" t="s">
        <v>372</v>
      </c>
      <c r="C320" s="3">
        <v>1</v>
      </c>
      <c r="D320" s="3">
        <v>13</v>
      </c>
      <c r="E320" s="11" t="s">
        <v>385</v>
      </c>
      <c r="F320" s="14">
        <v>701.10400000000004</v>
      </c>
      <c r="G320" s="14">
        <f t="shared" si="34"/>
        <v>1.9239999999999782</v>
      </c>
      <c r="H320" s="14">
        <f t="shared" si="28"/>
        <v>701.26350083752141</v>
      </c>
      <c r="I320" s="14">
        <f t="shared" si="29"/>
        <v>703.80793715053017</v>
      </c>
      <c r="J320" s="14">
        <f t="shared" si="30"/>
        <v>3.1255652114093886</v>
      </c>
      <c r="K320" s="14">
        <f t="shared" si="31"/>
        <v>0.95670805369127299</v>
      </c>
      <c r="L320" s="12" t="str">
        <f t="shared" si="32"/>
        <v/>
      </c>
      <c r="M320" s="12" t="str">
        <f t="shared" si="33"/>
        <v/>
      </c>
    </row>
    <row r="321" spans="1:13" ht="31.5">
      <c r="A321" s="3">
        <v>314</v>
      </c>
      <c r="B321" s="11" t="s">
        <v>372</v>
      </c>
      <c r="C321" s="3">
        <v>1</v>
      </c>
      <c r="D321" s="3">
        <v>12</v>
      </c>
      <c r="E321" s="11" t="s">
        <v>386</v>
      </c>
      <c r="F321" s="14">
        <v>700.70600000000002</v>
      </c>
      <c r="G321" s="14">
        <f t="shared" si="34"/>
        <v>0.39800000000002456</v>
      </c>
      <c r="H321" s="14">
        <f t="shared" si="28"/>
        <v>701.26350083752141</v>
      </c>
      <c r="I321" s="14">
        <f t="shared" si="29"/>
        <v>703.80793715053017</v>
      </c>
      <c r="J321" s="14">
        <f t="shared" si="30"/>
        <v>3.1255652114093886</v>
      </c>
      <c r="K321" s="14">
        <f t="shared" si="31"/>
        <v>0.95670805369127299</v>
      </c>
      <c r="L321" s="12" t="str">
        <f t="shared" si="32"/>
        <v/>
      </c>
      <c r="M321" s="12" t="str">
        <f t="shared" si="33"/>
        <v/>
      </c>
    </row>
    <row r="322" spans="1:13" ht="31.5">
      <c r="A322" s="3">
        <v>315</v>
      </c>
      <c r="B322" s="11" t="s">
        <v>372</v>
      </c>
      <c r="C322" s="3">
        <v>1</v>
      </c>
      <c r="D322" s="3">
        <v>11</v>
      </c>
      <c r="E322" s="11" t="s">
        <v>387</v>
      </c>
      <c r="F322" s="14">
        <v>700.61400000000003</v>
      </c>
      <c r="G322" s="14">
        <f t="shared" si="34"/>
        <v>9.1999999999984539E-2</v>
      </c>
      <c r="H322" s="14">
        <f t="shared" si="28"/>
        <v>701.26350083752141</v>
      </c>
      <c r="I322" s="14">
        <f t="shared" si="29"/>
        <v>703.80793715053017</v>
      </c>
      <c r="J322" s="14">
        <f t="shared" si="30"/>
        <v>3.1255652114093886</v>
      </c>
      <c r="K322" s="14">
        <f t="shared" si="31"/>
        <v>0.95670805369127299</v>
      </c>
      <c r="L322" s="12" t="str">
        <f t="shared" si="32"/>
        <v/>
      </c>
      <c r="M322" s="12" t="str">
        <f t="shared" si="33"/>
        <v/>
      </c>
    </row>
    <row r="323" spans="1:13" ht="31.5">
      <c r="A323" s="3">
        <v>316</v>
      </c>
      <c r="B323" s="11" t="s">
        <v>372</v>
      </c>
      <c r="C323" s="3">
        <v>1</v>
      </c>
      <c r="D323" s="3">
        <v>10</v>
      </c>
      <c r="E323" s="11" t="s">
        <v>388</v>
      </c>
      <c r="F323" s="14">
        <v>700.48199999999997</v>
      </c>
      <c r="G323" s="14">
        <f t="shared" si="34"/>
        <v>0.13200000000006185</v>
      </c>
      <c r="H323" s="14">
        <f t="shared" si="28"/>
        <v>701.26350083752141</v>
      </c>
      <c r="I323" s="14">
        <f t="shared" si="29"/>
        <v>703.80793715053017</v>
      </c>
      <c r="J323" s="14">
        <f t="shared" si="30"/>
        <v>3.1255652114093886</v>
      </c>
      <c r="K323" s="14">
        <f t="shared" si="31"/>
        <v>0.95670805369127299</v>
      </c>
      <c r="L323" s="12" t="str">
        <f t="shared" si="32"/>
        <v/>
      </c>
      <c r="M323" s="12" t="str">
        <f t="shared" si="33"/>
        <v/>
      </c>
    </row>
    <row r="324" spans="1:13" ht="31.5">
      <c r="A324" s="3">
        <v>317</v>
      </c>
      <c r="B324" s="11" t="s">
        <v>372</v>
      </c>
      <c r="C324" s="3">
        <v>1</v>
      </c>
      <c r="D324" s="3">
        <v>9</v>
      </c>
      <c r="E324" s="11" t="s">
        <v>389</v>
      </c>
      <c r="F324" s="14">
        <v>701.80100000000004</v>
      </c>
      <c r="G324" s="14">
        <f t="shared" si="34"/>
        <v>1.3190000000000737</v>
      </c>
      <c r="H324" s="14">
        <f t="shared" si="28"/>
        <v>701.26350083752141</v>
      </c>
      <c r="I324" s="14">
        <f t="shared" si="29"/>
        <v>703.80793715053017</v>
      </c>
      <c r="J324" s="14">
        <f t="shared" si="30"/>
        <v>3.1255652114093886</v>
      </c>
      <c r="K324" s="14">
        <f t="shared" si="31"/>
        <v>0.95670805369127299</v>
      </c>
      <c r="L324" s="12" t="str">
        <f t="shared" si="32"/>
        <v/>
      </c>
      <c r="M324" s="12" t="str">
        <f t="shared" si="33"/>
        <v/>
      </c>
    </row>
    <row r="325" spans="1:13" ht="31.5">
      <c r="A325" s="3">
        <v>318</v>
      </c>
      <c r="B325" s="11" t="s">
        <v>372</v>
      </c>
      <c r="C325" s="3">
        <v>1</v>
      </c>
      <c r="D325" s="3">
        <v>8</v>
      </c>
      <c r="E325" s="11" t="s">
        <v>390</v>
      </c>
      <c r="F325" s="14">
        <v>700.88199999999995</v>
      </c>
      <c r="G325" s="14">
        <f t="shared" si="34"/>
        <v>0.91900000000009641</v>
      </c>
      <c r="H325" s="14">
        <f t="shared" si="28"/>
        <v>701.26350083752141</v>
      </c>
      <c r="I325" s="14">
        <f t="shared" si="29"/>
        <v>703.80793715053017</v>
      </c>
      <c r="J325" s="14">
        <f t="shared" si="30"/>
        <v>3.1255652114093886</v>
      </c>
      <c r="K325" s="14">
        <f t="shared" si="31"/>
        <v>0.95670805369127299</v>
      </c>
      <c r="L325" s="12" t="str">
        <f t="shared" si="32"/>
        <v/>
      </c>
      <c r="M325" s="12" t="str">
        <f t="shared" si="33"/>
        <v/>
      </c>
    </row>
    <row r="326" spans="1:13" ht="31.5">
      <c r="A326" s="3">
        <v>319</v>
      </c>
      <c r="B326" s="11" t="s">
        <v>372</v>
      </c>
      <c r="C326" s="3">
        <v>1</v>
      </c>
      <c r="D326" s="3">
        <v>7</v>
      </c>
      <c r="E326" s="11" t="s">
        <v>391</v>
      </c>
      <c r="F326" s="14">
        <v>700.77599999999995</v>
      </c>
      <c r="G326" s="14">
        <f t="shared" si="34"/>
        <v>0.10599999999999454</v>
      </c>
      <c r="H326" s="14">
        <f t="shared" si="28"/>
        <v>701.26350083752141</v>
      </c>
      <c r="I326" s="14">
        <f t="shared" si="29"/>
        <v>703.80793715053017</v>
      </c>
      <c r="J326" s="14">
        <f t="shared" si="30"/>
        <v>3.1255652114093886</v>
      </c>
      <c r="K326" s="14">
        <f t="shared" si="31"/>
        <v>0.95670805369127299</v>
      </c>
      <c r="L326" s="12" t="str">
        <f t="shared" si="32"/>
        <v/>
      </c>
      <c r="M326" s="12" t="str">
        <f t="shared" si="33"/>
        <v/>
      </c>
    </row>
    <row r="327" spans="1:13" ht="31.5">
      <c r="A327" s="3">
        <v>320</v>
      </c>
      <c r="B327" s="11" t="s">
        <v>372</v>
      </c>
      <c r="C327" s="3">
        <v>1</v>
      </c>
      <c r="D327" s="3">
        <v>6</v>
      </c>
      <c r="E327" s="11" t="s">
        <v>392</v>
      </c>
      <c r="F327" s="14">
        <v>700.84400000000005</v>
      </c>
      <c r="G327" s="14">
        <f t="shared" si="34"/>
        <v>6.8000000000097316E-2</v>
      </c>
      <c r="H327" s="14">
        <f t="shared" si="28"/>
        <v>701.26350083752141</v>
      </c>
      <c r="I327" s="14">
        <f t="shared" si="29"/>
        <v>703.80793715053017</v>
      </c>
      <c r="J327" s="14">
        <f t="shared" si="30"/>
        <v>3.1255652114093886</v>
      </c>
      <c r="K327" s="14">
        <f t="shared" si="31"/>
        <v>0.95670805369127299</v>
      </c>
      <c r="L327" s="12" t="str">
        <f t="shared" si="32"/>
        <v/>
      </c>
      <c r="M327" s="12" t="str">
        <f t="shared" si="33"/>
        <v/>
      </c>
    </row>
    <row r="328" spans="1:13" ht="31.5">
      <c r="A328" s="3">
        <v>321</v>
      </c>
      <c r="B328" s="11" t="s">
        <v>372</v>
      </c>
      <c r="C328" s="3">
        <v>1</v>
      </c>
      <c r="D328" s="3">
        <v>5</v>
      </c>
      <c r="E328" s="11" t="s">
        <v>393</v>
      </c>
      <c r="F328" s="14">
        <v>700.48599999999999</v>
      </c>
      <c r="G328" s="14">
        <f t="shared" si="34"/>
        <v>0.35800000000006094</v>
      </c>
      <c r="H328" s="14">
        <f t="shared" si="28"/>
        <v>701.26350083752141</v>
      </c>
      <c r="I328" s="14">
        <f t="shared" si="29"/>
        <v>703.80793715053017</v>
      </c>
      <c r="J328" s="14">
        <f t="shared" si="30"/>
        <v>3.1255652114093886</v>
      </c>
      <c r="K328" s="14">
        <f t="shared" si="31"/>
        <v>0.95670805369127299</v>
      </c>
      <c r="L328" s="12" t="str">
        <f t="shared" si="32"/>
        <v/>
      </c>
      <c r="M328" s="12" t="str">
        <f t="shared" si="33"/>
        <v/>
      </c>
    </row>
    <row r="329" spans="1:13" ht="31.5">
      <c r="A329" s="3">
        <v>322</v>
      </c>
      <c r="B329" s="11" t="s">
        <v>372</v>
      </c>
      <c r="C329" s="3">
        <v>1</v>
      </c>
      <c r="D329" s="3">
        <v>4</v>
      </c>
      <c r="E329" s="11" t="s">
        <v>394</v>
      </c>
      <c r="F329" s="14">
        <v>700.69500000000005</v>
      </c>
      <c r="G329" s="14">
        <f t="shared" si="34"/>
        <v>0.20900000000006003</v>
      </c>
      <c r="H329" s="14">
        <f t="shared" si="28"/>
        <v>701.26350083752141</v>
      </c>
      <c r="I329" s="14">
        <f t="shared" si="29"/>
        <v>703.80793715053017</v>
      </c>
      <c r="J329" s="14">
        <f t="shared" si="30"/>
        <v>3.1255652114093886</v>
      </c>
      <c r="K329" s="14">
        <f t="shared" si="31"/>
        <v>0.95670805369127299</v>
      </c>
      <c r="L329" s="12" t="str">
        <f t="shared" si="32"/>
        <v/>
      </c>
      <c r="M329" s="12" t="str">
        <f t="shared" si="33"/>
        <v/>
      </c>
    </row>
    <row r="330" spans="1:13" ht="31.5">
      <c r="A330" s="3">
        <v>323</v>
      </c>
      <c r="B330" s="11" t="s">
        <v>372</v>
      </c>
      <c r="C330" s="3">
        <v>1</v>
      </c>
      <c r="D330" s="3">
        <v>3</v>
      </c>
      <c r="E330" s="11" t="s">
        <v>395</v>
      </c>
      <c r="F330" s="14">
        <v>700.85</v>
      </c>
      <c r="G330" s="14">
        <f t="shared" si="34"/>
        <v>0.15499999999997272</v>
      </c>
      <c r="H330" s="14">
        <f t="shared" ref="H330:H393" si="35">$F$4</f>
        <v>701.26350083752141</v>
      </c>
      <c r="I330" s="14">
        <f t="shared" ref="I330:I393" si="36">$F$7</f>
        <v>703.80793715053017</v>
      </c>
      <c r="J330" s="14">
        <f t="shared" ref="J330:J393" si="37">$F$8</f>
        <v>3.1255652114093886</v>
      </c>
      <c r="K330" s="14">
        <f t="shared" ref="K330:K393" si="38">$F$5</f>
        <v>0.95670805369127299</v>
      </c>
      <c r="L330" s="12" t="str">
        <f t="shared" ref="L330:L393" si="39">IF(F330&gt;$F$7,"OOC","" )</f>
        <v/>
      </c>
      <c r="M330" s="12" t="str">
        <f t="shared" ref="M330:M393" si="40">IF(F330&gt;$B$4,"OOS","" )</f>
        <v/>
      </c>
    </row>
    <row r="331" spans="1:13" ht="31.5">
      <c r="A331" s="3">
        <v>324</v>
      </c>
      <c r="B331" s="11" t="s">
        <v>372</v>
      </c>
      <c r="C331" s="3">
        <v>1</v>
      </c>
      <c r="D331" s="3">
        <v>2</v>
      </c>
      <c r="E331" s="11" t="s">
        <v>396</v>
      </c>
      <c r="F331" s="14">
        <v>700.82100000000003</v>
      </c>
      <c r="G331" s="14">
        <f t="shared" ref="G331:G394" si="41">ABS(F331-F330)</f>
        <v>2.8999999999996362E-2</v>
      </c>
      <c r="H331" s="14">
        <f t="shared" si="35"/>
        <v>701.26350083752141</v>
      </c>
      <c r="I331" s="14">
        <f t="shared" si="36"/>
        <v>703.80793715053017</v>
      </c>
      <c r="J331" s="14">
        <f t="shared" si="37"/>
        <v>3.1255652114093886</v>
      </c>
      <c r="K331" s="14">
        <f t="shared" si="38"/>
        <v>0.95670805369127299</v>
      </c>
      <c r="L331" s="12" t="str">
        <f t="shared" si="39"/>
        <v/>
      </c>
      <c r="M331" s="12" t="str">
        <f t="shared" si="40"/>
        <v/>
      </c>
    </row>
    <row r="332" spans="1:13" ht="31.5">
      <c r="A332" s="3">
        <v>325</v>
      </c>
      <c r="B332" s="11" t="s">
        <v>372</v>
      </c>
      <c r="C332" s="3">
        <v>1</v>
      </c>
      <c r="D332" s="3">
        <v>1</v>
      </c>
      <c r="E332" s="11" t="s">
        <v>397</v>
      </c>
      <c r="F332" s="14">
        <v>701.51599999999996</v>
      </c>
      <c r="G332" s="14">
        <f t="shared" si="41"/>
        <v>0.69499999999993634</v>
      </c>
      <c r="H332" s="14">
        <f t="shared" si="35"/>
        <v>701.26350083752141</v>
      </c>
      <c r="I332" s="14">
        <f t="shared" si="36"/>
        <v>703.80793715053017</v>
      </c>
      <c r="J332" s="14">
        <f t="shared" si="37"/>
        <v>3.1255652114093886</v>
      </c>
      <c r="K332" s="14">
        <f t="shared" si="38"/>
        <v>0.95670805369127299</v>
      </c>
      <c r="L332" s="12" t="str">
        <f t="shared" si="39"/>
        <v/>
      </c>
      <c r="M332" s="12" t="str">
        <f t="shared" si="40"/>
        <v/>
      </c>
    </row>
    <row r="333" spans="1:13" ht="31.5">
      <c r="A333" s="3">
        <v>326</v>
      </c>
      <c r="B333" s="11" t="s">
        <v>372</v>
      </c>
      <c r="C333" s="3">
        <v>1</v>
      </c>
      <c r="D333" s="3">
        <v>25</v>
      </c>
      <c r="E333" s="11" t="s">
        <v>398</v>
      </c>
      <c r="F333" s="14">
        <v>700.01700000000005</v>
      </c>
      <c r="G333" s="14">
        <f t="shared" si="41"/>
        <v>1.49899999999991</v>
      </c>
      <c r="H333" s="14">
        <f t="shared" si="35"/>
        <v>701.26350083752141</v>
      </c>
      <c r="I333" s="14">
        <f t="shared" si="36"/>
        <v>703.80793715053017</v>
      </c>
      <c r="J333" s="14">
        <f t="shared" si="37"/>
        <v>3.1255652114093886</v>
      </c>
      <c r="K333" s="14">
        <f t="shared" si="38"/>
        <v>0.95670805369127299</v>
      </c>
      <c r="L333" s="12" t="str">
        <f t="shared" si="39"/>
        <v/>
      </c>
      <c r="M333" s="12" t="str">
        <f t="shared" si="40"/>
        <v/>
      </c>
    </row>
    <row r="334" spans="1:13" ht="31.5">
      <c r="A334" s="3">
        <v>327</v>
      </c>
      <c r="B334" s="11" t="s">
        <v>372</v>
      </c>
      <c r="C334" s="3">
        <v>1</v>
      </c>
      <c r="D334" s="3">
        <v>24</v>
      </c>
      <c r="E334" s="11" t="s">
        <v>399</v>
      </c>
      <c r="F334" s="14">
        <v>701.31500000000005</v>
      </c>
      <c r="G334" s="14">
        <f t="shared" si="41"/>
        <v>1.2980000000000018</v>
      </c>
      <c r="H334" s="14">
        <f t="shared" si="35"/>
        <v>701.26350083752141</v>
      </c>
      <c r="I334" s="14">
        <f t="shared" si="36"/>
        <v>703.80793715053017</v>
      </c>
      <c r="J334" s="14">
        <f t="shared" si="37"/>
        <v>3.1255652114093886</v>
      </c>
      <c r="K334" s="14">
        <f t="shared" si="38"/>
        <v>0.95670805369127299</v>
      </c>
      <c r="L334" s="12" t="str">
        <f t="shared" si="39"/>
        <v/>
      </c>
      <c r="M334" s="12" t="str">
        <f t="shared" si="40"/>
        <v/>
      </c>
    </row>
    <row r="335" spans="1:13" ht="31.5">
      <c r="A335" s="3">
        <v>328</v>
      </c>
      <c r="B335" s="11" t="s">
        <v>372</v>
      </c>
      <c r="C335" s="3">
        <v>1</v>
      </c>
      <c r="D335" s="3">
        <v>23</v>
      </c>
      <c r="E335" s="11" t="s">
        <v>400</v>
      </c>
      <c r="F335" s="14">
        <v>700.52800000000002</v>
      </c>
      <c r="G335" s="14">
        <f t="shared" si="41"/>
        <v>0.78700000000003456</v>
      </c>
      <c r="H335" s="14">
        <f t="shared" si="35"/>
        <v>701.26350083752141</v>
      </c>
      <c r="I335" s="14">
        <f t="shared" si="36"/>
        <v>703.80793715053017</v>
      </c>
      <c r="J335" s="14">
        <f t="shared" si="37"/>
        <v>3.1255652114093886</v>
      </c>
      <c r="K335" s="14">
        <f t="shared" si="38"/>
        <v>0.95670805369127299</v>
      </c>
      <c r="L335" s="12" t="str">
        <f t="shared" si="39"/>
        <v/>
      </c>
      <c r="M335" s="12" t="str">
        <f t="shared" si="40"/>
        <v/>
      </c>
    </row>
    <row r="336" spans="1:13" ht="31.5">
      <c r="A336" s="3">
        <v>329</v>
      </c>
      <c r="B336" s="11" t="s">
        <v>372</v>
      </c>
      <c r="C336" s="3">
        <v>1</v>
      </c>
      <c r="D336" s="3">
        <v>22</v>
      </c>
      <c r="E336" s="11" t="s">
        <v>401</v>
      </c>
      <c r="F336" s="14">
        <v>700.096</v>
      </c>
      <c r="G336" s="14">
        <f t="shared" si="41"/>
        <v>0.43200000000001637</v>
      </c>
      <c r="H336" s="14">
        <f t="shared" si="35"/>
        <v>701.26350083752141</v>
      </c>
      <c r="I336" s="14">
        <f t="shared" si="36"/>
        <v>703.80793715053017</v>
      </c>
      <c r="J336" s="14">
        <f t="shared" si="37"/>
        <v>3.1255652114093886</v>
      </c>
      <c r="K336" s="14">
        <f t="shared" si="38"/>
        <v>0.95670805369127299</v>
      </c>
      <c r="L336" s="12" t="str">
        <f t="shared" si="39"/>
        <v/>
      </c>
      <c r="M336" s="12" t="str">
        <f t="shared" si="40"/>
        <v/>
      </c>
    </row>
    <row r="337" spans="1:13" ht="31.5">
      <c r="A337" s="3">
        <v>330</v>
      </c>
      <c r="B337" s="11" t="s">
        <v>372</v>
      </c>
      <c r="C337" s="3">
        <v>1</v>
      </c>
      <c r="D337" s="3">
        <v>21</v>
      </c>
      <c r="E337" s="11" t="s">
        <v>402</v>
      </c>
      <c r="F337" s="14">
        <v>700.94299999999998</v>
      </c>
      <c r="G337" s="14">
        <f t="shared" si="41"/>
        <v>0.84699999999997999</v>
      </c>
      <c r="H337" s="14">
        <f t="shared" si="35"/>
        <v>701.26350083752141</v>
      </c>
      <c r="I337" s="14">
        <f t="shared" si="36"/>
        <v>703.80793715053017</v>
      </c>
      <c r="J337" s="14">
        <f t="shared" si="37"/>
        <v>3.1255652114093886</v>
      </c>
      <c r="K337" s="14">
        <f t="shared" si="38"/>
        <v>0.95670805369127299</v>
      </c>
      <c r="L337" s="12" t="str">
        <f t="shared" si="39"/>
        <v/>
      </c>
      <c r="M337" s="12" t="str">
        <f t="shared" si="40"/>
        <v/>
      </c>
    </row>
    <row r="338" spans="1:13" ht="31.5">
      <c r="A338" s="3">
        <v>331</v>
      </c>
      <c r="B338" s="11" t="s">
        <v>372</v>
      </c>
      <c r="C338" s="3">
        <v>1</v>
      </c>
      <c r="D338" s="3">
        <v>20</v>
      </c>
      <c r="E338" s="11" t="s">
        <v>403</v>
      </c>
      <c r="F338" s="14">
        <v>701.02800000000002</v>
      </c>
      <c r="G338" s="14">
        <f t="shared" si="41"/>
        <v>8.500000000003638E-2</v>
      </c>
      <c r="H338" s="14">
        <f t="shared" si="35"/>
        <v>701.26350083752141</v>
      </c>
      <c r="I338" s="14">
        <f t="shared" si="36"/>
        <v>703.80793715053017</v>
      </c>
      <c r="J338" s="14">
        <f t="shared" si="37"/>
        <v>3.1255652114093886</v>
      </c>
      <c r="K338" s="14">
        <f t="shared" si="38"/>
        <v>0.95670805369127299</v>
      </c>
      <c r="L338" s="12" t="str">
        <f t="shared" si="39"/>
        <v/>
      </c>
      <c r="M338" s="12" t="str">
        <f t="shared" si="40"/>
        <v/>
      </c>
    </row>
    <row r="339" spans="1:13" ht="31.5">
      <c r="A339" s="3">
        <v>332</v>
      </c>
      <c r="B339" s="11" t="s">
        <v>372</v>
      </c>
      <c r="C339" s="3">
        <v>1</v>
      </c>
      <c r="D339" s="3">
        <v>19</v>
      </c>
      <c r="E339" s="11" t="s">
        <v>404</v>
      </c>
      <c r="F339" s="14">
        <v>702.70500000000004</v>
      </c>
      <c r="G339" s="14">
        <f t="shared" si="41"/>
        <v>1.6770000000000209</v>
      </c>
      <c r="H339" s="14">
        <f t="shared" si="35"/>
        <v>701.26350083752141</v>
      </c>
      <c r="I339" s="14">
        <f t="shared" si="36"/>
        <v>703.80793715053017</v>
      </c>
      <c r="J339" s="14">
        <f t="shared" si="37"/>
        <v>3.1255652114093886</v>
      </c>
      <c r="K339" s="14">
        <f t="shared" si="38"/>
        <v>0.95670805369127299</v>
      </c>
      <c r="L339" s="12" t="str">
        <f t="shared" si="39"/>
        <v/>
      </c>
      <c r="M339" s="12" t="str">
        <f t="shared" si="40"/>
        <v/>
      </c>
    </row>
    <row r="340" spans="1:13" ht="31.5">
      <c r="A340" s="3">
        <v>333</v>
      </c>
      <c r="B340" s="11" t="s">
        <v>372</v>
      </c>
      <c r="C340" s="3">
        <v>1</v>
      </c>
      <c r="D340" s="3">
        <v>18</v>
      </c>
      <c r="E340" s="11" t="s">
        <v>405</v>
      </c>
      <c r="F340" s="14">
        <v>702.20500000000004</v>
      </c>
      <c r="G340" s="14">
        <f t="shared" si="41"/>
        <v>0.5</v>
      </c>
      <c r="H340" s="14">
        <f t="shared" si="35"/>
        <v>701.26350083752141</v>
      </c>
      <c r="I340" s="14">
        <f t="shared" si="36"/>
        <v>703.80793715053017</v>
      </c>
      <c r="J340" s="14">
        <f t="shared" si="37"/>
        <v>3.1255652114093886</v>
      </c>
      <c r="K340" s="14">
        <f t="shared" si="38"/>
        <v>0.95670805369127299</v>
      </c>
      <c r="L340" s="12" t="str">
        <f t="shared" si="39"/>
        <v/>
      </c>
      <c r="M340" s="12" t="str">
        <f t="shared" si="40"/>
        <v/>
      </c>
    </row>
    <row r="341" spans="1:13" ht="31.5">
      <c r="A341" s="3">
        <v>334</v>
      </c>
      <c r="B341" s="11" t="s">
        <v>372</v>
      </c>
      <c r="C341" s="3">
        <v>1</v>
      </c>
      <c r="D341" s="3">
        <v>17</v>
      </c>
      <c r="E341" s="11" t="s">
        <v>406</v>
      </c>
      <c r="F341" s="14">
        <v>702.20899999999995</v>
      </c>
      <c r="G341" s="14">
        <f t="shared" si="41"/>
        <v>3.9999999999054126E-3</v>
      </c>
      <c r="H341" s="14">
        <f t="shared" si="35"/>
        <v>701.26350083752141</v>
      </c>
      <c r="I341" s="14">
        <f t="shared" si="36"/>
        <v>703.80793715053017</v>
      </c>
      <c r="J341" s="14">
        <f t="shared" si="37"/>
        <v>3.1255652114093886</v>
      </c>
      <c r="K341" s="14">
        <f t="shared" si="38"/>
        <v>0.95670805369127299</v>
      </c>
      <c r="L341" s="12" t="str">
        <f t="shared" si="39"/>
        <v/>
      </c>
      <c r="M341" s="12" t="str">
        <f t="shared" si="40"/>
        <v/>
      </c>
    </row>
    <row r="342" spans="1:13" ht="31.5">
      <c r="A342" s="3">
        <v>335</v>
      </c>
      <c r="B342" s="11" t="s">
        <v>372</v>
      </c>
      <c r="C342" s="3">
        <v>1</v>
      </c>
      <c r="D342" s="3">
        <v>16</v>
      </c>
      <c r="E342" s="11" t="s">
        <v>407</v>
      </c>
      <c r="F342" s="14">
        <v>701.14099999999996</v>
      </c>
      <c r="G342" s="14">
        <f t="shared" si="41"/>
        <v>1.0679999999999836</v>
      </c>
      <c r="H342" s="14">
        <f t="shared" si="35"/>
        <v>701.26350083752141</v>
      </c>
      <c r="I342" s="14">
        <f t="shared" si="36"/>
        <v>703.80793715053017</v>
      </c>
      <c r="J342" s="14">
        <f t="shared" si="37"/>
        <v>3.1255652114093886</v>
      </c>
      <c r="K342" s="14">
        <f t="shared" si="38"/>
        <v>0.95670805369127299</v>
      </c>
      <c r="L342" s="12" t="str">
        <f t="shared" si="39"/>
        <v/>
      </c>
      <c r="M342" s="12" t="str">
        <f t="shared" si="40"/>
        <v/>
      </c>
    </row>
    <row r="343" spans="1:13" ht="31.5">
      <c r="A343" s="3">
        <v>336</v>
      </c>
      <c r="B343" s="11" t="s">
        <v>372</v>
      </c>
      <c r="C343" s="3">
        <v>1</v>
      </c>
      <c r="D343" s="3">
        <v>15</v>
      </c>
      <c r="E343" s="11" t="s">
        <v>408</v>
      </c>
      <c r="F343" s="14">
        <v>699.81600000000003</v>
      </c>
      <c r="G343" s="14">
        <f t="shared" si="41"/>
        <v>1.3249999999999318</v>
      </c>
      <c r="H343" s="14">
        <f t="shared" si="35"/>
        <v>701.26350083752141</v>
      </c>
      <c r="I343" s="14">
        <f t="shared" si="36"/>
        <v>703.80793715053017</v>
      </c>
      <c r="J343" s="14">
        <f t="shared" si="37"/>
        <v>3.1255652114093886</v>
      </c>
      <c r="K343" s="14">
        <f t="shared" si="38"/>
        <v>0.95670805369127299</v>
      </c>
      <c r="L343" s="12" t="str">
        <f t="shared" si="39"/>
        <v/>
      </c>
      <c r="M343" s="12" t="str">
        <f t="shared" si="40"/>
        <v/>
      </c>
    </row>
    <row r="344" spans="1:13" ht="31.5">
      <c r="A344" s="3">
        <v>337</v>
      </c>
      <c r="B344" s="11" t="s">
        <v>372</v>
      </c>
      <c r="C344" s="3">
        <v>1</v>
      </c>
      <c r="D344" s="3">
        <v>14</v>
      </c>
      <c r="E344" s="11" t="s">
        <v>409</v>
      </c>
      <c r="F344" s="14">
        <v>699.85599999999999</v>
      </c>
      <c r="G344" s="14">
        <f t="shared" si="41"/>
        <v>3.999999999996362E-2</v>
      </c>
      <c r="H344" s="14">
        <f t="shared" si="35"/>
        <v>701.26350083752141</v>
      </c>
      <c r="I344" s="14">
        <f t="shared" si="36"/>
        <v>703.80793715053017</v>
      </c>
      <c r="J344" s="14">
        <f t="shared" si="37"/>
        <v>3.1255652114093886</v>
      </c>
      <c r="K344" s="14">
        <f t="shared" si="38"/>
        <v>0.95670805369127299</v>
      </c>
      <c r="L344" s="12" t="str">
        <f t="shared" si="39"/>
        <v/>
      </c>
      <c r="M344" s="12" t="str">
        <f t="shared" si="40"/>
        <v/>
      </c>
    </row>
    <row r="345" spans="1:13" ht="31.5">
      <c r="A345" s="3">
        <v>338</v>
      </c>
      <c r="B345" s="11" t="s">
        <v>372</v>
      </c>
      <c r="C345" s="3">
        <v>1</v>
      </c>
      <c r="D345" s="3">
        <v>13</v>
      </c>
      <c r="E345" s="11" t="s">
        <v>410</v>
      </c>
      <c r="F345" s="14">
        <v>701.12800000000004</v>
      </c>
      <c r="G345" s="14">
        <f t="shared" si="41"/>
        <v>1.2720000000000482</v>
      </c>
      <c r="H345" s="14">
        <f t="shared" si="35"/>
        <v>701.26350083752141</v>
      </c>
      <c r="I345" s="14">
        <f t="shared" si="36"/>
        <v>703.80793715053017</v>
      </c>
      <c r="J345" s="14">
        <f t="shared" si="37"/>
        <v>3.1255652114093886</v>
      </c>
      <c r="K345" s="14">
        <f t="shared" si="38"/>
        <v>0.95670805369127299</v>
      </c>
      <c r="L345" s="12" t="str">
        <f t="shared" si="39"/>
        <v/>
      </c>
      <c r="M345" s="12" t="str">
        <f t="shared" si="40"/>
        <v/>
      </c>
    </row>
    <row r="346" spans="1:13" ht="31.5">
      <c r="A346" s="3">
        <v>339</v>
      </c>
      <c r="B346" s="11" t="s">
        <v>372</v>
      </c>
      <c r="C346" s="3">
        <v>1</v>
      </c>
      <c r="D346" s="3">
        <v>12</v>
      </c>
      <c r="E346" s="11" t="s">
        <v>411</v>
      </c>
      <c r="F346" s="14">
        <v>700.21100000000001</v>
      </c>
      <c r="G346" s="14">
        <f t="shared" si="41"/>
        <v>0.91700000000003001</v>
      </c>
      <c r="H346" s="14">
        <f t="shared" si="35"/>
        <v>701.26350083752141</v>
      </c>
      <c r="I346" s="14">
        <f t="shared" si="36"/>
        <v>703.80793715053017</v>
      </c>
      <c r="J346" s="14">
        <f t="shared" si="37"/>
        <v>3.1255652114093886</v>
      </c>
      <c r="K346" s="14">
        <f t="shared" si="38"/>
        <v>0.95670805369127299</v>
      </c>
      <c r="L346" s="12" t="str">
        <f t="shared" si="39"/>
        <v/>
      </c>
      <c r="M346" s="12" t="str">
        <f t="shared" si="40"/>
        <v/>
      </c>
    </row>
    <row r="347" spans="1:13" ht="31.5">
      <c r="A347" s="3">
        <v>340</v>
      </c>
      <c r="B347" s="11" t="s">
        <v>372</v>
      </c>
      <c r="C347" s="3">
        <v>1</v>
      </c>
      <c r="D347" s="3">
        <v>11</v>
      </c>
      <c r="E347" s="11" t="s">
        <v>412</v>
      </c>
      <c r="F347" s="14">
        <v>703.67</v>
      </c>
      <c r="G347" s="14">
        <f t="shared" si="41"/>
        <v>3.4589999999999463</v>
      </c>
      <c r="H347" s="14">
        <f t="shared" si="35"/>
        <v>701.26350083752141</v>
      </c>
      <c r="I347" s="14">
        <f t="shared" si="36"/>
        <v>703.80793715053017</v>
      </c>
      <c r="J347" s="14">
        <f t="shared" si="37"/>
        <v>3.1255652114093886</v>
      </c>
      <c r="K347" s="14">
        <f t="shared" si="38"/>
        <v>0.95670805369127299</v>
      </c>
      <c r="L347" s="12" t="str">
        <f t="shared" si="39"/>
        <v/>
      </c>
      <c r="M347" s="12" t="str">
        <f t="shared" si="40"/>
        <v/>
      </c>
    </row>
    <row r="348" spans="1:13" ht="31.5">
      <c r="A348" s="3">
        <v>341</v>
      </c>
      <c r="B348" s="11" t="s">
        <v>372</v>
      </c>
      <c r="C348" s="3">
        <v>1</v>
      </c>
      <c r="D348" s="3">
        <v>10</v>
      </c>
      <c r="E348" s="11" t="s">
        <v>413</v>
      </c>
      <c r="F348" s="14">
        <v>700.48500000000001</v>
      </c>
      <c r="G348" s="14">
        <f t="shared" si="41"/>
        <v>3.1849999999999454</v>
      </c>
      <c r="H348" s="14">
        <f t="shared" si="35"/>
        <v>701.26350083752141</v>
      </c>
      <c r="I348" s="14">
        <f t="shared" si="36"/>
        <v>703.80793715053017</v>
      </c>
      <c r="J348" s="14">
        <f t="shared" si="37"/>
        <v>3.1255652114093886</v>
      </c>
      <c r="K348" s="14">
        <f t="shared" si="38"/>
        <v>0.95670805369127299</v>
      </c>
      <c r="L348" s="12" t="str">
        <f t="shared" si="39"/>
        <v/>
      </c>
      <c r="M348" s="12" t="str">
        <f t="shared" si="40"/>
        <v/>
      </c>
    </row>
    <row r="349" spans="1:13" ht="31.5">
      <c r="A349" s="3">
        <v>342</v>
      </c>
      <c r="B349" s="11" t="s">
        <v>372</v>
      </c>
      <c r="C349" s="3">
        <v>1</v>
      </c>
      <c r="D349" s="3">
        <v>9</v>
      </c>
      <c r="E349" s="11" t="s">
        <v>414</v>
      </c>
      <c r="F349" s="14">
        <v>701.30799999999999</v>
      </c>
      <c r="G349" s="14">
        <f t="shared" si="41"/>
        <v>0.82299999999997908</v>
      </c>
      <c r="H349" s="14">
        <f t="shared" si="35"/>
        <v>701.26350083752141</v>
      </c>
      <c r="I349" s="14">
        <f t="shared" si="36"/>
        <v>703.80793715053017</v>
      </c>
      <c r="J349" s="14">
        <f t="shared" si="37"/>
        <v>3.1255652114093886</v>
      </c>
      <c r="K349" s="14">
        <f t="shared" si="38"/>
        <v>0.95670805369127299</v>
      </c>
      <c r="L349" s="12" t="str">
        <f t="shared" si="39"/>
        <v/>
      </c>
      <c r="M349" s="12" t="str">
        <f t="shared" si="40"/>
        <v/>
      </c>
    </row>
    <row r="350" spans="1:13" ht="31.5">
      <c r="A350" s="3">
        <v>343</v>
      </c>
      <c r="B350" s="11" t="s">
        <v>372</v>
      </c>
      <c r="C350" s="3">
        <v>1</v>
      </c>
      <c r="D350" s="3">
        <v>8</v>
      </c>
      <c r="E350" s="11" t="s">
        <v>415</v>
      </c>
      <c r="F350" s="14">
        <v>700.15200000000004</v>
      </c>
      <c r="G350" s="14">
        <f t="shared" si="41"/>
        <v>1.1559999999999491</v>
      </c>
      <c r="H350" s="14">
        <f t="shared" si="35"/>
        <v>701.26350083752141</v>
      </c>
      <c r="I350" s="14">
        <f t="shared" si="36"/>
        <v>703.80793715053017</v>
      </c>
      <c r="J350" s="14">
        <f t="shared" si="37"/>
        <v>3.1255652114093886</v>
      </c>
      <c r="K350" s="14">
        <f t="shared" si="38"/>
        <v>0.95670805369127299</v>
      </c>
      <c r="L350" s="12" t="str">
        <f t="shared" si="39"/>
        <v/>
      </c>
      <c r="M350" s="12" t="str">
        <f t="shared" si="40"/>
        <v/>
      </c>
    </row>
    <row r="351" spans="1:13" ht="31.5">
      <c r="A351" s="3">
        <v>344</v>
      </c>
      <c r="B351" s="11" t="s">
        <v>372</v>
      </c>
      <c r="C351" s="3">
        <v>1</v>
      </c>
      <c r="D351" s="3">
        <v>7</v>
      </c>
      <c r="E351" s="11" t="s">
        <v>416</v>
      </c>
      <c r="F351" s="14">
        <v>700.38099999999997</v>
      </c>
      <c r="G351" s="14">
        <f t="shared" si="41"/>
        <v>0.22899999999992815</v>
      </c>
      <c r="H351" s="14">
        <f t="shared" si="35"/>
        <v>701.26350083752141</v>
      </c>
      <c r="I351" s="14">
        <f t="shared" si="36"/>
        <v>703.80793715053017</v>
      </c>
      <c r="J351" s="14">
        <f t="shared" si="37"/>
        <v>3.1255652114093886</v>
      </c>
      <c r="K351" s="14">
        <f t="shared" si="38"/>
        <v>0.95670805369127299</v>
      </c>
      <c r="L351" s="12" t="str">
        <f t="shared" si="39"/>
        <v/>
      </c>
      <c r="M351" s="12" t="str">
        <f t="shared" si="40"/>
        <v/>
      </c>
    </row>
    <row r="352" spans="1:13" ht="31.5">
      <c r="A352" s="3">
        <v>345</v>
      </c>
      <c r="B352" s="11" t="s">
        <v>372</v>
      </c>
      <c r="C352" s="3">
        <v>1</v>
      </c>
      <c r="D352" s="3">
        <v>6</v>
      </c>
      <c r="E352" s="11" t="s">
        <v>417</v>
      </c>
      <c r="F352" s="14">
        <v>701.02200000000005</v>
      </c>
      <c r="G352" s="14">
        <f t="shared" si="41"/>
        <v>0.6410000000000764</v>
      </c>
      <c r="H352" s="14">
        <f t="shared" si="35"/>
        <v>701.26350083752141</v>
      </c>
      <c r="I352" s="14">
        <f t="shared" si="36"/>
        <v>703.80793715053017</v>
      </c>
      <c r="J352" s="14">
        <f t="shared" si="37"/>
        <v>3.1255652114093886</v>
      </c>
      <c r="K352" s="14">
        <f t="shared" si="38"/>
        <v>0.95670805369127299</v>
      </c>
      <c r="L352" s="12" t="str">
        <f t="shared" si="39"/>
        <v/>
      </c>
      <c r="M352" s="12" t="str">
        <f t="shared" si="40"/>
        <v/>
      </c>
    </row>
    <row r="353" spans="1:13" ht="31.5">
      <c r="A353" s="3">
        <v>346</v>
      </c>
      <c r="B353" s="11" t="s">
        <v>372</v>
      </c>
      <c r="C353" s="3">
        <v>1</v>
      </c>
      <c r="D353" s="3">
        <v>5</v>
      </c>
      <c r="E353" s="11" t="s">
        <v>418</v>
      </c>
      <c r="F353" s="14">
        <v>701.25699999999995</v>
      </c>
      <c r="G353" s="14">
        <f t="shared" si="41"/>
        <v>0.23499999999989996</v>
      </c>
      <c r="H353" s="14">
        <f t="shared" si="35"/>
        <v>701.26350083752141</v>
      </c>
      <c r="I353" s="14">
        <f t="shared" si="36"/>
        <v>703.80793715053017</v>
      </c>
      <c r="J353" s="14">
        <f t="shared" si="37"/>
        <v>3.1255652114093886</v>
      </c>
      <c r="K353" s="14">
        <f t="shared" si="38"/>
        <v>0.95670805369127299</v>
      </c>
      <c r="L353" s="12" t="str">
        <f t="shared" si="39"/>
        <v/>
      </c>
      <c r="M353" s="12" t="str">
        <f t="shared" si="40"/>
        <v/>
      </c>
    </row>
    <row r="354" spans="1:13" ht="31.5">
      <c r="A354" s="3">
        <v>347</v>
      </c>
      <c r="B354" s="11" t="s">
        <v>372</v>
      </c>
      <c r="C354" s="3">
        <v>1</v>
      </c>
      <c r="D354" s="3">
        <v>4</v>
      </c>
      <c r="E354" s="11" t="s">
        <v>419</v>
      </c>
      <c r="F354" s="14">
        <v>701.947</v>
      </c>
      <c r="G354" s="14">
        <f t="shared" si="41"/>
        <v>0.69000000000005457</v>
      </c>
      <c r="H354" s="14">
        <f t="shared" si="35"/>
        <v>701.26350083752141</v>
      </c>
      <c r="I354" s="14">
        <f t="shared" si="36"/>
        <v>703.80793715053017</v>
      </c>
      <c r="J354" s="14">
        <f t="shared" si="37"/>
        <v>3.1255652114093886</v>
      </c>
      <c r="K354" s="14">
        <f t="shared" si="38"/>
        <v>0.95670805369127299</v>
      </c>
      <c r="L354" s="12" t="str">
        <f t="shared" si="39"/>
        <v/>
      </c>
      <c r="M354" s="12" t="str">
        <f t="shared" si="40"/>
        <v/>
      </c>
    </row>
    <row r="355" spans="1:13" ht="31.5">
      <c r="A355" s="3">
        <v>348</v>
      </c>
      <c r="B355" s="11" t="s">
        <v>372</v>
      </c>
      <c r="C355" s="3">
        <v>1</v>
      </c>
      <c r="D355" s="3">
        <v>3</v>
      </c>
      <c r="E355" s="11" t="s">
        <v>420</v>
      </c>
      <c r="F355" s="14">
        <v>700.05799999999999</v>
      </c>
      <c r="G355" s="14">
        <f t="shared" si="41"/>
        <v>1.88900000000001</v>
      </c>
      <c r="H355" s="14">
        <f t="shared" si="35"/>
        <v>701.26350083752141</v>
      </c>
      <c r="I355" s="14">
        <f t="shared" si="36"/>
        <v>703.80793715053017</v>
      </c>
      <c r="J355" s="14">
        <f t="shared" si="37"/>
        <v>3.1255652114093886</v>
      </c>
      <c r="K355" s="14">
        <f t="shared" si="38"/>
        <v>0.95670805369127299</v>
      </c>
      <c r="L355" s="12" t="str">
        <f t="shared" si="39"/>
        <v/>
      </c>
      <c r="M355" s="12" t="str">
        <f t="shared" si="40"/>
        <v/>
      </c>
    </row>
    <row r="356" spans="1:13" ht="31.5">
      <c r="A356" s="3">
        <v>349</v>
      </c>
      <c r="B356" s="11" t="s">
        <v>372</v>
      </c>
      <c r="C356" s="3">
        <v>1</v>
      </c>
      <c r="D356" s="3">
        <v>2</v>
      </c>
      <c r="E356" s="11" t="s">
        <v>421</v>
      </c>
      <c r="F356" s="14">
        <v>701.20600000000002</v>
      </c>
      <c r="G356" s="14">
        <f t="shared" si="41"/>
        <v>1.1480000000000246</v>
      </c>
      <c r="H356" s="14">
        <f t="shared" si="35"/>
        <v>701.26350083752141</v>
      </c>
      <c r="I356" s="14">
        <f t="shared" si="36"/>
        <v>703.80793715053017</v>
      </c>
      <c r="J356" s="14">
        <f t="shared" si="37"/>
        <v>3.1255652114093886</v>
      </c>
      <c r="K356" s="14">
        <f t="shared" si="38"/>
        <v>0.95670805369127299</v>
      </c>
      <c r="L356" s="12" t="str">
        <f t="shared" si="39"/>
        <v/>
      </c>
      <c r="M356" s="12" t="str">
        <f t="shared" si="40"/>
        <v/>
      </c>
    </row>
    <row r="357" spans="1:13" ht="31.5">
      <c r="A357" s="3">
        <v>350</v>
      </c>
      <c r="B357" s="11" t="s">
        <v>372</v>
      </c>
      <c r="C357" s="3">
        <v>1</v>
      </c>
      <c r="D357" s="3">
        <v>1</v>
      </c>
      <c r="E357" s="11" t="s">
        <v>422</v>
      </c>
      <c r="F357" s="14">
        <v>701.48400000000004</v>
      </c>
      <c r="G357" s="14">
        <f t="shared" si="41"/>
        <v>0.27800000000002001</v>
      </c>
      <c r="H357" s="14">
        <f t="shared" si="35"/>
        <v>701.26350083752141</v>
      </c>
      <c r="I357" s="14">
        <f t="shared" si="36"/>
        <v>703.80793715053017</v>
      </c>
      <c r="J357" s="14">
        <f t="shared" si="37"/>
        <v>3.1255652114093886</v>
      </c>
      <c r="K357" s="14">
        <f t="shared" si="38"/>
        <v>0.95670805369127299</v>
      </c>
      <c r="L357" s="12" t="str">
        <f t="shared" si="39"/>
        <v/>
      </c>
      <c r="M357" s="12" t="str">
        <f t="shared" si="40"/>
        <v/>
      </c>
    </row>
    <row r="358" spans="1:13" ht="31.5">
      <c r="A358" s="3">
        <v>351</v>
      </c>
      <c r="B358" s="11" t="s">
        <v>372</v>
      </c>
      <c r="C358" s="3">
        <v>2</v>
      </c>
      <c r="D358" s="3">
        <v>25</v>
      </c>
      <c r="E358" s="11" t="s">
        <v>423</v>
      </c>
      <c r="F358" s="14">
        <v>702.93200000000002</v>
      </c>
      <c r="G358" s="14">
        <f t="shared" si="41"/>
        <v>1.4479999999999791</v>
      </c>
      <c r="H358" s="14">
        <f t="shared" si="35"/>
        <v>701.26350083752141</v>
      </c>
      <c r="I358" s="14">
        <f t="shared" si="36"/>
        <v>703.80793715053017</v>
      </c>
      <c r="J358" s="14">
        <f t="shared" si="37"/>
        <v>3.1255652114093886</v>
      </c>
      <c r="K358" s="14">
        <f t="shared" si="38"/>
        <v>0.95670805369127299</v>
      </c>
      <c r="L358" s="12" t="str">
        <f t="shared" si="39"/>
        <v/>
      </c>
      <c r="M358" s="12" t="str">
        <f t="shared" si="40"/>
        <v/>
      </c>
    </row>
    <row r="359" spans="1:13" ht="31.5">
      <c r="A359" s="3">
        <v>352</v>
      </c>
      <c r="B359" s="11" t="s">
        <v>372</v>
      </c>
      <c r="C359" s="3">
        <v>2</v>
      </c>
      <c r="D359" s="3">
        <v>24</v>
      </c>
      <c r="E359" s="11" t="s">
        <v>424</v>
      </c>
      <c r="F359" s="14">
        <v>702.56899999999996</v>
      </c>
      <c r="G359" s="14">
        <f t="shared" si="41"/>
        <v>0.36300000000005639</v>
      </c>
      <c r="H359" s="14">
        <f t="shared" si="35"/>
        <v>701.26350083752141</v>
      </c>
      <c r="I359" s="14">
        <f t="shared" si="36"/>
        <v>703.80793715053017</v>
      </c>
      <c r="J359" s="14">
        <f t="shared" si="37"/>
        <v>3.1255652114093886</v>
      </c>
      <c r="K359" s="14">
        <f t="shared" si="38"/>
        <v>0.95670805369127299</v>
      </c>
      <c r="L359" s="12" t="str">
        <f t="shared" si="39"/>
        <v/>
      </c>
      <c r="M359" s="12" t="str">
        <f t="shared" si="40"/>
        <v/>
      </c>
    </row>
    <row r="360" spans="1:13" ht="31.5">
      <c r="A360" s="3">
        <v>353</v>
      </c>
      <c r="B360" s="11" t="s">
        <v>372</v>
      </c>
      <c r="C360" s="3">
        <v>2</v>
      </c>
      <c r="D360" s="3">
        <v>23</v>
      </c>
      <c r="E360" s="11" t="s">
        <v>425</v>
      </c>
      <c r="F360" s="14">
        <v>701.79300000000001</v>
      </c>
      <c r="G360" s="14">
        <f t="shared" si="41"/>
        <v>0.77599999999995362</v>
      </c>
      <c r="H360" s="14">
        <f t="shared" si="35"/>
        <v>701.26350083752141</v>
      </c>
      <c r="I360" s="14">
        <f t="shared" si="36"/>
        <v>703.80793715053017</v>
      </c>
      <c r="J360" s="14">
        <f t="shared" si="37"/>
        <v>3.1255652114093886</v>
      </c>
      <c r="K360" s="14">
        <f t="shared" si="38"/>
        <v>0.95670805369127299</v>
      </c>
      <c r="L360" s="12" t="str">
        <f t="shared" si="39"/>
        <v/>
      </c>
      <c r="M360" s="12" t="str">
        <f t="shared" si="40"/>
        <v/>
      </c>
    </row>
    <row r="361" spans="1:13" ht="31.5">
      <c r="A361" s="3">
        <v>354</v>
      </c>
      <c r="B361" s="11" t="s">
        <v>372</v>
      </c>
      <c r="C361" s="3">
        <v>2</v>
      </c>
      <c r="D361" s="3">
        <v>22</v>
      </c>
      <c r="E361" s="11" t="s">
        <v>426</v>
      </c>
      <c r="F361" s="14">
        <v>701.73099999999999</v>
      </c>
      <c r="G361" s="14">
        <f t="shared" si="41"/>
        <v>6.2000000000011823E-2</v>
      </c>
      <c r="H361" s="14">
        <f t="shared" si="35"/>
        <v>701.26350083752141</v>
      </c>
      <c r="I361" s="14">
        <f t="shared" si="36"/>
        <v>703.80793715053017</v>
      </c>
      <c r="J361" s="14">
        <f t="shared" si="37"/>
        <v>3.1255652114093886</v>
      </c>
      <c r="K361" s="14">
        <f t="shared" si="38"/>
        <v>0.95670805369127299</v>
      </c>
      <c r="L361" s="12" t="str">
        <f t="shared" si="39"/>
        <v/>
      </c>
      <c r="M361" s="12" t="str">
        <f t="shared" si="40"/>
        <v/>
      </c>
    </row>
    <row r="362" spans="1:13" ht="31.5">
      <c r="A362" s="3">
        <v>355</v>
      </c>
      <c r="B362" s="11" t="s">
        <v>372</v>
      </c>
      <c r="C362" s="3">
        <v>2</v>
      </c>
      <c r="D362" s="3">
        <v>21</v>
      </c>
      <c r="E362" s="11" t="s">
        <v>427</v>
      </c>
      <c r="F362" s="14">
        <v>698.32299999999998</v>
      </c>
      <c r="G362" s="14">
        <f t="shared" si="41"/>
        <v>3.4080000000000155</v>
      </c>
      <c r="H362" s="14">
        <f t="shared" si="35"/>
        <v>701.26350083752141</v>
      </c>
      <c r="I362" s="14">
        <f t="shared" si="36"/>
        <v>703.80793715053017</v>
      </c>
      <c r="J362" s="14">
        <f t="shared" si="37"/>
        <v>3.1255652114093886</v>
      </c>
      <c r="K362" s="14">
        <f t="shared" si="38"/>
        <v>0.95670805369127299</v>
      </c>
      <c r="L362" s="12" t="str">
        <f t="shared" si="39"/>
        <v/>
      </c>
      <c r="M362" s="12" t="str">
        <f t="shared" si="40"/>
        <v/>
      </c>
    </row>
    <row r="363" spans="1:13" ht="31.5">
      <c r="A363" s="3">
        <v>356</v>
      </c>
      <c r="B363" s="11" t="s">
        <v>372</v>
      </c>
      <c r="C363" s="3">
        <v>2</v>
      </c>
      <c r="D363" s="3">
        <v>20</v>
      </c>
      <c r="E363" s="11" t="s">
        <v>428</v>
      </c>
      <c r="F363" s="14">
        <v>701.98199999999997</v>
      </c>
      <c r="G363" s="14">
        <f t="shared" si="41"/>
        <v>3.6589999999999918</v>
      </c>
      <c r="H363" s="14">
        <f t="shared" si="35"/>
        <v>701.26350083752141</v>
      </c>
      <c r="I363" s="14">
        <f t="shared" si="36"/>
        <v>703.80793715053017</v>
      </c>
      <c r="J363" s="14">
        <f t="shared" si="37"/>
        <v>3.1255652114093886</v>
      </c>
      <c r="K363" s="14">
        <f t="shared" si="38"/>
        <v>0.95670805369127299</v>
      </c>
      <c r="L363" s="12" t="str">
        <f t="shared" si="39"/>
        <v/>
      </c>
      <c r="M363" s="12" t="str">
        <f t="shared" si="40"/>
        <v/>
      </c>
    </row>
    <row r="364" spans="1:13" ht="31.5">
      <c r="A364" s="3">
        <v>357</v>
      </c>
      <c r="B364" s="11" t="s">
        <v>372</v>
      </c>
      <c r="C364" s="3">
        <v>2</v>
      </c>
      <c r="D364" s="3">
        <v>19</v>
      </c>
      <c r="E364" s="11" t="s">
        <v>429</v>
      </c>
      <c r="F364" s="14">
        <v>701.06399999999996</v>
      </c>
      <c r="G364" s="14">
        <f t="shared" si="41"/>
        <v>0.91800000000000637</v>
      </c>
      <c r="H364" s="14">
        <f t="shared" si="35"/>
        <v>701.26350083752141</v>
      </c>
      <c r="I364" s="14">
        <f t="shared" si="36"/>
        <v>703.80793715053017</v>
      </c>
      <c r="J364" s="14">
        <f t="shared" si="37"/>
        <v>3.1255652114093886</v>
      </c>
      <c r="K364" s="14">
        <f t="shared" si="38"/>
        <v>0.95670805369127299</v>
      </c>
      <c r="L364" s="12" t="str">
        <f t="shared" si="39"/>
        <v/>
      </c>
      <c r="M364" s="12" t="str">
        <f t="shared" si="40"/>
        <v/>
      </c>
    </row>
    <row r="365" spans="1:13" ht="31.5">
      <c r="A365" s="3">
        <v>358</v>
      </c>
      <c r="B365" s="11" t="s">
        <v>372</v>
      </c>
      <c r="C365" s="3">
        <v>2</v>
      </c>
      <c r="D365" s="3">
        <v>18</v>
      </c>
      <c r="E365" s="11" t="s">
        <v>430</v>
      </c>
      <c r="F365" s="14">
        <v>702.83100000000002</v>
      </c>
      <c r="G365" s="14">
        <f t="shared" si="41"/>
        <v>1.7670000000000528</v>
      </c>
      <c r="H365" s="14">
        <f t="shared" si="35"/>
        <v>701.26350083752141</v>
      </c>
      <c r="I365" s="14">
        <f t="shared" si="36"/>
        <v>703.80793715053017</v>
      </c>
      <c r="J365" s="14">
        <f t="shared" si="37"/>
        <v>3.1255652114093886</v>
      </c>
      <c r="K365" s="14">
        <f t="shared" si="38"/>
        <v>0.95670805369127299</v>
      </c>
      <c r="L365" s="12" t="str">
        <f t="shared" si="39"/>
        <v/>
      </c>
      <c r="M365" s="12" t="str">
        <f t="shared" si="40"/>
        <v/>
      </c>
    </row>
    <row r="366" spans="1:13" ht="31.5">
      <c r="A366" s="3">
        <v>359</v>
      </c>
      <c r="B366" s="11" t="s">
        <v>372</v>
      </c>
      <c r="C366" s="3">
        <v>2</v>
      </c>
      <c r="D366" s="3">
        <v>17</v>
      </c>
      <c r="E366" s="11" t="s">
        <v>431</v>
      </c>
      <c r="F366" s="14">
        <v>702.21799999999996</v>
      </c>
      <c r="G366" s="14">
        <f t="shared" si="41"/>
        <v>0.61300000000005639</v>
      </c>
      <c r="H366" s="14">
        <f t="shared" si="35"/>
        <v>701.26350083752141</v>
      </c>
      <c r="I366" s="14">
        <f t="shared" si="36"/>
        <v>703.80793715053017</v>
      </c>
      <c r="J366" s="14">
        <f t="shared" si="37"/>
        <v>3.1255652114093886</v>
      </c>
      <c r="K366" s="14">
        <f t="shared" si="38"/>
        <v>0.95670805369127299</v>
      </c>
      <c r="L366" s="12" t="str">
        <f t="shared" si="39"/>
        <v/>
      </c>
      <c r="M366" s="12" t="str">
        <f t="shared" si="40"/>
        <v/>
      </c>
    </row>
    <row r="367" spans="1:13" ht="31.5">
      <c r="A367" s="3">
        <v>360</v>
      </c>
      <c r="B367" s="11" t="s">
        <v>372</v>
      </c>
      <c r="C367" s="3">
        <v>2</v>
      </c>
      <c r="D367" s="3">
        <v>16</v>
      </c>
      <c r="E367" s="11" t="s">
        <v>432</v>
      </c>
      <c r="F367" s="14">
        <v>699.79200000000003</v>
      </c>
      <c r="G367" s="14">
        <f t="shared" si="41"/>
        <v>2.4259999999999309</v>
      </c>
      <c r="H367" s="14">
        <f t="shared" si="35"/>
        <v>701.26350083752141</v>
      </c>
      <c r="I367" s="14">
        <f t="shared" si="36"/>
        <v>703.80793715053017</v>
      </c>
      <c r="J367" s="14">
        <f t="shared" si="37"/>
        <v>3.1255652114093886</v>
      </c>
      <c r="K367" s="14">
        <f t="shared" si="38"/>
        <v>0.95670805369127299</v>
      </c>
      <c r="L367" s="12" t="str">
        <f t="shared" si="39"/>
        <v/>
      </c>
      <c r="M367" s="12" t="str">
        <f t="shared" si="40"/>
        <v/>
      </c>
    </row>
    <row r="368" spans="1:13" ht="31.5">
      <c r="A368" s="3">
        <v>361</v>
      </c>
      <c r="B368" s="11" t="s">
        <v>372</v>
      </c>
      <c r="C368" s="3">
        <v>2</v>
      </c>
      <c r="D368" s="3">
        <v>15</v>
      </c>
      <c r="E368" s="11" t="s">
        <v>433</v>
      </c>
      <c r="F368" s="14">
        <v>701.64700000000005</v>
      </c>
      <c r="G368" s="14">
        <f t="shared" si="41"/>
        <v>1.8550000000000182</v>
      </c>
      <c r="H368" s="14">
        <f t="shared" si="35"/>
        <v>701.26350083752141</v>
      </c>
      <c r="I368" s="14">
        <f t="shared" si="36"/>
        <v>703.80793715053017</v>
      </c>
      <c r="J368" s="14">
        <f t="shared" si="37"/>
        <v>3.1255652114093886</v>
      </c>
      <c r="K368" s="14">
        <f t="shared" si="38"/>
        <v>0.95670805369127299</v>
      </c>
      <c r="L368" s="12" t="str">
        <f t="shared" si="39"/>
        <v/>
      </c>
      <c r="M368" s="12" t="str">
        <f t="shared" si="40"/>
        <v/>
      </c>
    </row>
    <row r="369" spans="1:13" ht="31.5">
      <c r="A369" s="3">
        <v>362</v>
      </c>
      <c r="B369" s="11" t="s">
        <v>372</v>
      </c>
      <c r="C369" s="3">
        <v>2</v>
      </c>
      <c r="D369" s="3">
        <v>14</v>
      </c>
      <c r="E369" s="11" t="s">
        <v>434</v>
      </c>
      <c r="F369" s="14">
        <v>702.16800000000001</v>
      </c>
      <c r="G369" s="14">
        <f t="shared" si="41"/>
        <v>0.52099999999995816</v>
      </c>
      <c r="H369" s="14">
        <f t="shared" si="35"/>
        <v>701.26350083752141</v>
      </c>
      <c r="I369" s="14">
        <f t="shared" si="36"/>
        <v>703.80793715053017</v>
      </c>
      <c r="J369" s="14">
        <f t="shared" si="37"/>
        <v>3.1255652114093886</v>
      </c>
      <c r="K369" s="14">
        <f t="shared" si="38"/>
        <v>0.95670805369127299</v>
      </c>
      <c r="L369" s="12" t="str">
        <f t="shared" si="39"/>
        <v/>
      </c>
      <c r="M369" s="12" t="str">
        <f t="shared" si="40"/>
        <v/>
      </c>
    </row>
    <row r="370" spans="1:13" ht="31.5">
      <c r="A370" s="3">
        <v>363</v>
      </c>
      <c r="B370" s="11" t="s">
        <v>372</v>
      </c>
      <c r="C370" s="3">
        <v>2</v>
      </c>
      <c r="D370" s="3">
        <v>13</v>
      </c>
      <c r="E370" s="11" t="s">
        <v>435</v>
      </c>
      <c r="F370" s="14">
        <v>699.65599999999995</v>
      </c>
      <c r="G370" s="14">
        <f t="shared" si="41"/>
        <v>2.5120000000000573</v>
      </c>
      <c r="H370" s="14">
        <f t="shared" si="35"/>
        <v>701.26350083752141</v>
      </c>
      <c r="I370" s="14">
        <f t="shared" si="36"/>
        <v>703.80793715053017</v>
      </c>
      <c r="J370" s="14">
        <f t="shared" si="37"/>
        <v>3.1255652114093886</v>
      </c>
      <c r="K370" s="14">
        <f t="shared" si="38"/>
        <v>0.95670805369127299</v>
      </c>
      <c r="L370" s="12" t="str">
        <f t="shared" si="39"/>
        <v/>
      </c>
      <c r="M370" s="12" t="str">
        <f t="shared" si="40"/>
        <v/>
      </c>
    </row>
    <row r="371" spans="1:13" ht="31.5">
      <c r="A371" s="3">
        <v>364</v>
      </c>
      <c r="B371" s="11" t="s">
        <v>372</v>
      </c>
      <c r="C371" s="3">
        <v>2</v>
      </c>
      <c r="D371" s="3">
        <v>12</v>
      </c>
      <c r="E371" s="11" t="s">
        <v>436</v>
      </c>
      <c r="F371" s="14">
        <v>702.99199999999996</v>
      </c>
      <c r="G371" s="14">
        <f t="shared" si="41"/>
        <v>3.3360000000000127</v>
      </c>
      <c r="H371" s="14">
        <f t="shared" si="35"/>
        <v>701.26350083752141</v>
      </c>
      <c r="I371" s="14">
        <f t="shared" si="36"/>
        <v>703.80793715053017</v>
      </c>
      <c r="J371" s="14">
        <f t="shared" si="37"/>
        <v>3.1255652114093886</v>
      </c>
      <c r="K371" s="14">
        <f t="shared" si="38"/>
        <v>0.95670805369127299</v>
      </c>
      <c r="L371" s="12" t="str">
        <f t="shared" si="39"/>
        <v/>
      </c>
      <c r="M371" s="12" t="str">
        <f t="shared" si="40"/>
        <v/>
      </c>
    </row>
    <row r="372" spans="1:13" ht="31.5">
      <c r="A372" s="3">
        <v>365</v>
      </c>
      <c r="B372" s="11" t="s">
        <v>372</v>
      </c>
      <c r="C372" s="3">
        <v>2</v>
      </c>
      <c r="D372" s="3">
        <v>11</v>
      </c>
      <c r="E372" s="11" t="s">
        <v>437</v>
      </c>
      <c r="F372" s="14">
        <v>701.70799999999997</v>
      </c>
      <c r="G372" s="14">
        <f t="shared" si="41"/>
        <v>1.2839999999999918</v>
      </c>
      <c r="H372" s="14">
        <f t="shared" si="35"/>
        <v>701.26350083752141</v>
      </c>
      <c r="I372" s="14">
        <f t="shared" si="36"/>
        <v>703.80793715053017</v>
      </c>
      <c r="J372" s="14">
        <f t="shared" si="37"/>
        <v>3.1255652114093886</v>
      </c>
      <c r="K372" s="14">
        <f t="shared" si="38"/>
        <v>0.95670805369127299</v>
      </c>
      <c r="L372" s="12" t="str">
        <f t="shared" si="39"/>
        <v/>
      </c>
      <c r="M372" s="12" t="str">
        <f t="shared" si="40"/>
        <v/>
      </c>
    </row>
    <row r="373" spans="1:13" ht="31.5">
      <c r="A373" s="3">
        <v>366</v>
      </c>
      <c r="B373" s="11" t="s">
        <v>372</v>
      </c>
      <c r="C373" s="3">
        <v>2</v>
      </c>
      <c r="D373" s="3">
        <v>10</v>
      </c>
      <c r="E373" s="11" t="s">
        <v>438</v>
      </c>
      <c r="F373" s="14">
        <v>700.93</v>
      </c>
      <c r="G373" s="14">
        <f t="shared" si="41"/>
        <v>0.77800000000002001</v>
      </c>
      <c r="H373" s="14">
        <f t="shared" si="35"/>
        <v>701.26350083752141</v>
      </c>
      <c r="I373" s="14">
        <f t="shared" si="36"/>
        <v>703.80793715053017</v>
      </c>
      <c r="J373" s="14">
        <f t="shared" si="37"/>
        <v>3.1255652114093886</v>
      </c>
      <c r="K373" s="14">
        <f t="shared" si="38"/>
        <v>0.95670805369127299</v>
      </c>
      <c r="L373" s="12" t="str">
        <f t="shared" si="39"/>
        <v/>
      </c>
      <c r="M373" s="12" t="str">
        <f t="shared" si="40"/>
        <v/>
      </c>
    </row>
    <row r="374" spans="1:13" ht="31.5">
      <c r="A374" s="3">
        <v>367</v>
      </c>
      <c r="B374" s="11" t="s">
        <v>372</v>
      </c>
      <c r="C374" s="3">
        <v>2</v>
      </c>
      <c r="D374" s="3">
        <v>9</v>
      </c>
      <c r="E374" s="11" t="s">
        <v>439</v>
      </c>
      <c r="F374" s="14">
        <v>701.36800000000005</v>
      </c>
      <c r="G374" s="14">
        <f t="shared" si="41"/>
        <v>0.43800000000010186</v>
      </c>
      <c r="H374" s="14">
        <f t="shared" si="35"/>
        <v>701.26350083752141</v>
      </c>
      <c r="I374" s="14">
        <f t="shared" si="36"/>
        <v>703.80793715053017</v>
      </c>
      <c r="J374" s="14">
        <f t="shared" si="37"/>
        <v>3.1255652114093886</v>
      </c>
      <c r="K374" s="14">
        <f t="shared" si="38"/>
        <v>0.95670805369127299</v>
      </c>
      <c r="L374" s="12" t="str">
        <f t="shared" si="39"/>
        <v/>
      </c>
      <c r="M374" s="12" t="str">
        <f t="shared" si="40"/>
        <v/>
      </c>
    </row>
    <row r="375" spans="1:13" ht="31.5">
      <c r="A375" s="3">
        <v>368</v>
      </c>
      <c r="B375" s="11" t="s">
        <v>372</v>
      </c>
      <c r="C375" s="3">
        <v>2</v>
      </c>
      <c r="D375" s="3">
        <v>8</v>
      </c>
      <c r="E375" s="11" t="s">
        <v>440</v>
      </c>
      <c r="F375" s="14">
        <v>699.846</v>
      </c>
      <c r="G375" s="14">
        <f t="shared" si="41"/>
        <v>1.5220000000000482</v>
      </c>
      <c r="H375" s="14">
        <f t="shared" si="35"/>
        <v>701.26350083752141</v>
      </c>
      <c r="I375" s="14">
        <f t="shared" si="36"/>
        <v>703.80793715053017</v>
      </c>
      <c r="J375" s="14">
        <f t="shared" si="37"/>
        <v>3.1255652114093886</v>
      </c>
      <c r="K375" s="14">
        <f t="shared" si="38"/>
        <v>0.95670805369127299</v>
      </c>
      <c r="L375" s="12" t="str">
        <f t="shared" si="39"/>
        <v/>
      </c>
      <c r="M375" s="12" t="str">
        <f t="shared" si="40"/>
        <v/>
      </c>
    </row>
    <row r="376" spans="1:13" ht="31.5">
      <c r="A376" s="3">
        <v>369</v>
      </c>
      <c r="B376" s="11" t="s">
        <v>372</v>
      </c>
      <c r="C376" s="3">
        <v>2</v>
      </c>
      <c r="D376" s="3">
        <v>7</v>
      </c>
      <c r="E376" s="11" t="s">
        <v>441</v>
      </c>
      <c r="F376" s="14">
        <v>702.98500000000001</v>
      </c>
      <c r="G376" s="14">
        <f t="shared" si="41"/>
        <v>3.13900000000001</v>
      </c>
      <c r="H376" s="14">
        <f t="shared" si="35"/>
        <v>701.26350083752141</v>
      </c>
      <c r="I376" s="14">
        <f t="shared" si="36"/>
        <v>703.80793715053017</v>
      </c>
      <c r="J376" s="14">
        <f t="shared" si="37"/>
        <v>3.1255652114093886</v>
      </c>
      <c r="K376" s="14">
        <f t="shared" si="38"/>
        <v>0.95670805369127299</v>
      </c>
      <c r="L376" s="12" t="str">
        <f t="shared" si="39"/>
        <v/>
      </c>
      <c r="M376" s="12" t="str">
        <f t="shared" si="40"/>
        <v/>
      </c>
    </row>
    <row r="377" spans="1:13" ht="31.5">
      <c r="A377" s="3">
        <v>371</v>
      </c>
      <c r="B377" s="11" t="s">
        <v>372</v>
      </c>
      <c r="C377" s="3">
        <v>2</v>
      </c>
      <c r="D377" s="3">
        <v>5</v>
      </c>
      <c r="E377" s="11" t="s">
        <v>443</v>
      </c>
      <c r="F377" s="14">
        <v>700.22</v>
      </c>
      <c r="G377" s="14">
        <f t="shared" si="41"/>
        <v>2.7649999999999864</v>
      </c>
      <c r="H377" s="14">
        <f t="shared" si="35"/>
        <v>701.26350083752141</v>
      </c>
      <c r="I377" s="14">
        <f t="shared" si="36"/>
        <v>703.80793715053017</v>
      </c>
      <c r="J377" s="14">
        <f t="shared" si="37"/>
        <v>3.1255652114093886</v>
      </c>
      <c r="K377" s="14">
        <f t="shared" si="38"/>
        <v>0.95670805369127299</v>
      </c>
      <c r="L377" s="12" t="str">
        <f t="shared" si="39"/>
        <v/>
      </c>
      <c r="M377" s="12" t="str">
        <f t="shared" si="40"/>
        <v/>
      </c>
    </row>
    <row r="378" spans="1:13" ht="31.5">
      <c r="A378" s="3">
        <v>372</v>
      </c>
      <c r="B378" s="11" t="s">
        <v>372</v>
      </c>
      <c r="C378" s="3">
        <v>2</v>
      </c>
      <c r="D378" s="3">
        <v>4</v>
      </c>
      <c r="E378" s="11" t="s">
        <v>444</v>
      </c>
      <c r="F378" s="14">
        <v>701.61300000000006</v>
      </c>
      <c r="G378" s="14">
        <f t="shared" si="41"/>
        <v>1.3930000000000291</v>
      </c>
      <c r="H378" s="14">
        <f t="shared" si="35"/>
        <v>701.26350083752141</v>
      </c>
      <c r="I378" s="14">
        <f t="shared" si="36"/>
        <v>703.80793715053017</v>
      </c>
      <c r="J378" s="14">
        <f t="shared" si="37"/>
        <v>3.1255652114093886</v>
      </c>
      <c r="K378" s="14">
        <f t="shared" si="38"/>
        <v>0.95670805369127299</v>
      </c>
      <c r="L378" s="12" t="str">
        <f t="shared" si="39"/>
        <v/>
      </c>
      <c r="M378" s="12" t="str">
        <f t="shared" si="40"/>
        <v/>
      </c>
    </row>
    <row r="379" spans="1:13" ht="31.5">
      <c r="A379" s="3">
        <v>373</v>
      </c>
      <c r="B379" s="11" t="s">
        <v>372</v>
      </c>
      <c r="C379" s="3">
        <v>2</v>
      </c>
      <c r="D379" s="3">
        <v>3</v>
      </c>
      <c r="E379" s="11" t="s">
        <v>445</v>
      </c>
      <c r="F379" s="14">
        <v>701.97699999999998</v>
      </c>
      <c r="G379" s="14">
        <f t="shared" si="41"/>
        <v>0.36399999999991905</v>
      </c>
      <c r="H379" s="14">
        <f t="shared" si="35"/>
        <v>701.26350083752141</v>
      </c>
      <c r="I379" s="14">
        <f t="shared" si="36"/>
        <v>703.80793715053017</v>
      </c>
      <c r="J379" s="14">
        <f t="shared" si="37"/>
        <v>3.1255652114093886</v>
      </c>
      <c r="K379" s="14">
        <f t="shared" si="38"/>
        <v>0.95670805369127299</v>
      </c>
      <c r="L379" s="12" t="str">
        <f t="shared" si="39"/>
        <v/>
      </c>
      <c r="M379" s="12" t="str">
        <f t="shared" si="40"/>
        <v/>
      </c>
    </row>
    <row r="380" spans="1:13" ht="31.5">
      <c r="A380" s="3">
        <v>374</v>
      </c>
      <c r="B380" s="11" t="s">
        <v>372</v>
      </c>
      <c r="C380" s="3">
        <v>2</v>
      </c>
      <c r="D380" s="3">
        <v>2</v>
      </c>
      <c r="E380" s="11" t="s">
        <v>446</v>
      </c>
      <c r="F380" s="14">
        <v>701.54300000000001</v>
      </c>
      <c r="G380" s="14">
        <f t="shared" si="41"/>
        <v>0.43399999999996908</v>
      </c>
      <c r="H380" s="14">
        <f t="shared" si="35"/>
        <v>701.26350083752141</v>
      </c>
      <c r="I380" s="14">
        <f t="shared" si="36"/>
        <v>703.80793715053017</v>
      </c>
      <c r="J380" s="14">
        <f t="shared" si="37"/>
        <v>3.1255652114093886</v>
      </c>
      <c r="K380" s="14">
        <f t="shared" si="38"/>
        <v>0.95670805369127299</v>
      </c>
      <c r="L380" s="12" t="str">
        <f t="shared" si="39"/>
        <v/>
      </c>
      <c r="M380" s="12" t="str">
        <f t="shared" si="40"/>
        <v/>
      </c>
    </row>
    <row r="381" spans="1:13" ht="31.5">
      <c r="A381" s="3">
        <v>375</v>
      </c>
      <c r="B381" s="11" t="s">
        <v>372</v>
      </c>
      <c r="C381" s="3">
        <v>2</v>
      </c>
      <c r="D381" s="3">
        <v>1</v>
      </c>
      <c r="E381" s="11" t="s">
        <v>447</v>
      </c>
      <c r="F381" s="14">
        <v>702.37199999999996</v>
      </c>
      <c r="G381" s="14">
        <f t="shared" si="41"/>
        <v>0.82899999999995089</v>
      </c>
      <c r="H381" s="14">
        <f t="shared" si="35"/>
        <v>701.26350083752141</v>
      </c>
      <c r="I381" s="14">
        <f t="shared" si="36"/>
        <v>703.80793715053017</v>
      </c>
      <c r="J381" s="14">
        <f t="shared" si="37"/>
        <v>3.1255652114093886</v>
      </c>
      <c r="K381" s="14">
        <f t="shared" si="38"/>
        <v>0.95670805369127299</v>
      </c>
      <c r="L381" s="12" t="str">
        <f t="shared" si="39"/>
        <v/>
      </c>
      <c r="M381" s="12" t="str">
        <f t="shared" si="40"/>
        <v/>
      </c>
    </row>
    <row r="382" spans="1:13" ht="31.5">
      <c r="A382" s="3">
        <v>376</v>
      </c>
      <c r="B382" s="11" t="s">
        <v>372</v>
      </c>
      <c r="C382" s="3">
        <v>2</v>
      </c>
      <c r="D382" s="3">
        <v>25</v>
      </c>
      <c r="E382" s="11" t="s">
        <v>448</v>
      </c>
      <c r="F382" s="14">
        <v>701.27300000000002</v>
      </c>
      <c r="G382" s="14">
        <f t="shared" si="41"/>
        <v>1.0989999999999327</v>
      </c>
      <c r="H382" s="14">
        <f t="shared" si="35"/>
        <v>701.26350083752141</v>
      </c>
      <c r="I382" s="14">
        <f t="shared" si="36"/>
        <v>703.80793715053017</v>
      </c>
      <c r="J382" s="14">
        <f t="shared" si="37"/>
        <v>3.1255652114093886</v>
      </c>
      <c r="K382" s="14">
        <f t="shared" si="38"/>
        <v>0.95670805369127299</v>
      </c>
      <c r="L382" s="12" t="str">
        <f t="shared" si="39"/>
        <v/>
      </c>
      <c r="M382" s="12" t="str">
        <f t="shared" si="40"/>
        <v/>
      </c>
    </row>
    <row r="383" spans="1:13" ht="31.5">
      <c r="A383" s="3">
        <v>377</v>
      </c>
      <c r="B383" s="11" t="s">
        <v>372</v>
      </c>
      <c r="C383" s="3">
        <v>2</v>
      </c>
      <c r="D383" s="3">
        <v>24</v>
      </c>
      <c r="E383" s="11" t="s">
        <v>449</v>
      </c>
      <c r="F383" s="14">
        <v>699.60699999999997</v>
      </c>
      <c r="G383" s="14">
        <f t="shared" si="41"/>
        <v>1.6660000000000537</v>
      </c>
      <c r="H383" s="14">
        <f t="shared" si="35"/>
        <v>701.26350083752141</v>
      </c>
      <c r="I383" s="14">
        <f t="shared" si="36"/>
        <v>703.80793715053017</v>
      </c>
      <c r="J383" s="14">
        <f t="shared" si="37"/>
        <v>3.1255652114093886</v>
      </c>
      <c r="K383" s="14">
        <f t="shared" si="38"/>
        <v>0.95670805369127299</v>
      </c>
      <c r="L383" s="12" t="str">
        <f t="shared" si="39"/>
        <v/>
      </c>
      <c r="M383" s="12" t="str">
        <f t="shared" si="40"/>
        <v/>
      </c>
    </row>
    <row r="384" spans="1:13" ht="31.5">
      <c r="A384" s="3">
        <v>378</v>
      </c>
      <c r="B384" s="11" t="s">
        <v>372</v>
      </c>
      <c r="C384" s="3">
        <v>2</v>
      </c>
      <c r="D384" s="3">
        <v>23</v>
      </c>
      <c r="E384" s="11" t="s">
        <v>450</v>
      </c>
      <c r="F384" s="14">
        <v>700.68499999999995</v>
      </c>
      <c r="G384" s="14">
        <f t="shared" si="41"/>
        <v>1.0779999999999745</v>
      </c>
      <c r="H384" s="14">
        <f t="shared" si="35"/>
        <v>701.26350083752141</v>
      </c>
      <c r="I384" s="14">
        <f t="shared" si="36"/>
        <v>703.80793715053017</v>
      </c>
      <c r="J384" s="14">
        <f t="shared" si="37"/>
        <v>3.1255652114093886</v>
      </c>
      <c r="K384" s="14">
        <f t="shared" si="38"/>
        <v>0.95670805369127299</v>
      </c>
      <c r="L384" s="12" t="str">
        <f t="shared" si="39"/>
        <v/>
      </c>
      <c r="M384" s="12" t="str">
        <f t="shared" si="40"/>
        <v/>
      </c>
    </row>
    <row r="385" spans="1:13" ht="31.5">
      <c r="A385" s="3">
        <v>379</v>
      </c>
      <c r="B385" s="11" t="s">
        <v>372</v>
      </c>
      <c r="C385" s="3">
        <v>2</v>
      </c>
      <c r="D385" s="3">
        <v>22</v>
      </c>
      <c r="E385" s="11" t="s">
        <v>451</v>
      </c>
      <c r="F385" s="14">
        <v>700.85699999999997</v>
      </c>
      <c r="G385" s="14">
        <f t="shared" si="41"/>
        <v>0.17200000000002547</v>
      </c>
      <c r="H385" s="14">
        <f t="shared" si="35"/>
        <v>701.26350083752141</v>
      </c>
      <c r="I385" s="14">
        <f t="shared" si="36"/>
        <v>703.80793715053017</v>
      </c>
      <c r="J385" s="14">
        <f t="shared" si="37"/>
        <v>3.1255652114093886</v>
      </c>
      <c r="K385" s="14">
        <f t="shared" si="38"/>
        <v>0.95670805369127299</v>
      </c>
      <c r="L385" s="12" t="str">
        <f t="shared" si="39"/>
        <v/>
      </c>
      <c r="M385" s="12" t="str">
        <f t="shared" si="40"/>
        <v/>
      </c>
    </row>
    <row r="386" spans="1:13" ht="31.5">
      <c r="A386" s="3">
        <v>380</v>
      </c>
      <c r="B386" s="11" t="s">
        <v>372</v>
      </c>
      <c r="C386" s="3">
        <v>2</v>
      </c>
      <c r="D386" s="3">
        <v>21</v>
      </c>
      <c r="E386" s="11" t="s">
        <v>452</v>
      </c>
      <c r="F386" s="14">
        <v>699.43100000000004</v>
      </c>
      <c r="G386" s="14">
        <f t="shared" si="41"/>
        <v>1.4259999999999309</v>
      </c>
      <c r="H386" s="14">
        <f t="shared" si="35"/>
        <v>701.26350083752141</v>
      </c>
      <c r="I386" s="14">
        <f t="shared" si="36"/>
        <v>703.80793715053017</v>
      </c>
      <c r="J386" s="14">
        <f t="shared" si="37"/>
        <v>3.1255652114093886</v>
      </c>
      <c r="K386" s="14">
        <f t="shared" si="38"/>
        <v>0.95670805369127299</v>
      </c>
      <c r="L386" s="12" t="str">
        <f t="shared" si="39"/>
        <v/>
      </c>
      <c r="M386" s="12" t="str">
        <f t="shared" si="40"/>
        <v/>
      </c>
    </row>
    <row r="387" spans="1:13" ht="31.5">
      <c r="A387" s="3">
        <v>381</v>
      </c>
      <c r="B387" s="11" t="s">
        <v>372</v>
      </c>
      <c r="C387" s="3">
        <v>2</v>
      </c>
      <c r="D387" s="3">
        <v>20</v>
      </c>
      <c r="E387" s="11" t="s">
        <v>453</v>
      </c>
      <c r="F387" s="14">
        <v>700.99800000000005</v>
      </c>
      <c r="G387" s="14">
        <f t="shared" si="41"/>
        <v>1.5670000000000073</v>
      </c>
      <c r="H387" s="14">
        <f t="shared" si="35"/>
        <v>701.26350083752141</v>
      </c>
      <c r="I387" s="14">
        <f t="shared" si="36"/>
        <v>703.80793715053017</v>
      </c>
      <c r="J387" s="14">
        <f t="shared" si="37"/>
        <v>3.1255652114093886</v>
      </c>
      <c r="K387" s="14">
        <f t="shared" si="38"/>
        <v>0.95670805369127299</v>
      </c>
      <c r="L387" s="12" t="str">
        <f t="shared" si="39"/>
        <v/>
      </c>
      <c r="M387" s="12" t="str">
        <f t="shared" si="40"/>
        <v/>
      </c>
    </row>
    <row r="388" spans="1:13" ht="31.5">
      <c r="A388" s="3">
        <v>382</v>
      </c>
      <c r="B388" s="11" t="s">
        <v>372</v>
      </c>
      <c r="C388" s="3">
        <v>2</v>
      </c>
      <c r="D388" s="3">
        <v>19</v>
      </c>
      <c r="E388" s="11" t="s">
        <v>454</v>
      </c>
      <c r="F388" s="14">
        <v>699.89499999999998</v>
      </c>
      <c r="G388" s="14">
        <f t="shared" si="41"/>
        <v>1.1030000000000655</v>
      </c>
      <c r="H388" s="14">
        <f t="shared" si="35"/>
        <v>701.26350083752141</v>
      </c>
      <c r="I388" s="14">
        <f t="shared" si="36"/>
        <v>703.80793715053017</v>
      </c>
      <c r="J388" s="14">
        <f t="shared" si="37"/>
        <v>3.1255652114093886</v>
      </c>
      <c r="K388" s="14">
        <f t="shared" si="38"/>
        <v>0.95670805369127299</v>
      </c>
      <c r="L388" s="12" t="str">
        <f t="shared" si="39"/>
        <v/>
      </c>
      <c r="M388" s="12" t="str">
        <f t="shared" si="40"/>
        <v/>
      </c>
    </row>
    <row r="389" spans="1:13" ht="31.5">
      <c r="A389" s="3">
        <v>383</v>
      </c>
      <c r="B389" s="11" t="s">
        <v>372</v>
      </c>
      <c r="C389" s="3">
        <v>2</v>
      </c>
      <c r="D389" s="3">
        <v>18</v>
      </c>
      <c r="E389" s="11" t="s">
        <v>455</v>
      </c>
      <c r="F389" s="14">
        <v>700.63</v>
      </c>
      <c r="G389" s="14">
        <f t="shared" si="41"/>
        <v>0.73500000000001364</v>
      </c>
      <c r="H389" s="14">
        <f t="shared" si="35"/>
        <v>701.26350083752141</v>
      </c>
      <c r="I389" s="14">
        <f t="shared" si="36"/>
        <v>703.80793715053017</v>
      </c>
      <c r="J389" s="14">
        <f t="shared" si="37"/>
        <v>3.1255652114093886</v>
      </c>
      <c r="K389" s="14">
        <f t="shared" si="38"/>
        <v>0.95670805369127299</v>
      </c>
      <c r="L389" s="12" t="str">
        <f t="shared" si="39"/>
        <v/>
      </c>
      <c r="M389" s="12" t="str">
        <f t="shared" si="40"/>
        <v/>
      </c>
    </row>
    <row r="390" spans="1:13" ht="31.5">
      <c r="A390" s="3">
        <v>384</v>
      </c>
      <c r="B390" s="11" t="s">
        <v>372</v>
      </c>
      <c r="C390" s="3">
        <v>2</v>
      </c>
      <c r="D390" s="3">
        <v>17</v>
      </c>
      <c r="E390" s="11" t="s">
        <v>456</v>
      </c>
      <c r="F390" s="14">
        <v>700.82600000000002</v>
      </c>
      <c r="G390" s="14">
        <f t="shared" si="41"/>
        <v>0.19600000000002638</v>
      </c>
      <c r="H390" s="14">
        <f t="shared" si="35"/>
        <v>701.26350083752141</v>
      </c>
      <c r="I390" s="14">
        <f t="shared" si="36"/>
        <v>703.80793715053017</v>
      </c>
      <c r="J390" s="14">
        <f t="shared" si="37"/>
        <v>3.1255652114093886</v>
      </c>
      <c r="K390" s="14">
        <f t="shared" si="38"/>
        <v>0.95670805369127299</v>
      </c>
      <c r="L390" s="12" t="str">
        <f t="shared" si="39"/>
        <v/>
      </c>
      <c r="M390" s="12" t="str">
        <f t="shared" si="40"/>
        <v/>
      </c>
    </row>
    <row r="391" spans="1:13" ht="31.5">
      <c r="A391" s="3">
        <v>385</v>
      </c>
      <c r="B391" s="11" t="s">
        <v>372</v>
      </c>
      <c r="C391" s="3">
        <v>2</v>
      </c>
      <c r="D391" s="3">
        <v>16</v>
      </c>
      <c r="E391" s="11" t="s">
        <v>457</v>
      </c>
      <c r="F391" s="14">
        <v>699.18</v>
      </c>
      <c r="G391" s="14">
        <f t="shared" si="41"/>
        <v>1.6460000000000719</v>
      </c>
      <c r="H391" s="14">
        <f t="shared" si="35"/>
        <v>701.26350083752141</v>
      </c>
      <c r="I391" s="14">
        <f t="shared" si="36"/>
        <v>703.80793715053017</v>
      </c>
      <c r="J391" s="14">
        <f t="shared" si="37"/>
        <v>3.1255652114093886</v>
      </c>
      <c r="K391" s="14">
        <f t="shared" si="38"/>
        <v>0.95670805369127299</v>
      </c>
      <c r="L391" s="12" t="str">
        <f t="shared" si="39"/>
        <v/>
      </c>
      <c r="M391" s="12" t="str">
        <f t="shared" si="40"/>
        <v/>
      </c>
    </row>
    <row r="392" spans="1:13" ht="31.5">
      <c r="A392" s="3">
        <v>386</v>
      </c>
      <c r="B392" s="11" t="s">
        <v>372</v>
      </c>
      <c r="C392" s="3">
        <v>2</v>
      </c>
      <c r="D392" s="3">
        <v>15</v>
      </c>
      <c r="E392" s="11" t="s">
        <v>458</v>
      </c>
      <c r="F392" s="14">
        <v>699.51099999999997</v>
      </c>
      <c r="G392" s="14">
        <f t="shared" si="41"/>
        <v>0.33100000000001728</v>
      </c>
      <c r="H392" s="14">
        <f t="shared" si="35"/>
        <v>701.26350083752141</v>
      </c>
      <c r="I392" s="14">
        <f t="shared" si="36"/>
        <v>703.80793715053017</v>
      </c>
      <c r="J392" s="14">
        <f t="shared" si="37"/>
        <v>3.1255652114093886</v>
      </c>
      <c r="K392" s="14">
        <f t="shared" si="38"/>
        <v>0.95670805369127299</v>
      </c>
      <c r="L392" s="12" t="str">
        <f t="shared" si="39"/>
        <v/>
      </c>
      <c r="M392" s="12" t="str">
        <f t="shared" si="40"/>
        <v/>
      </c>
    </row>
    <row r="393" spans="1:13" ht="31.5">
      <c r="A393" s="3">
        <v>387</v>
      </c>
      <c r="B393" s="11" t="s">
        <v>372</v>
      </c>
      <c r="C393" s="3">
        <v>2</v>
      </c>
      <c r="D393" s="3">
        <v>14</v>
      </c>
      <c r="E393" s="11" t="s">
        <v>459</v>
      </c>
      <c r="F393" s="14">
        <v>700.56200000000001</v>
      </c>
      <c r="G393" s="14">
        <f t="shared" si="41"/>
        <v>1.0510000000000446</v>
      </c>
      <c r="H393" s="14">
        <f t="shared" si="35"/>
        <v>701.26350083752141</v>
      </c>
      <c r="I393" s="14">
        <f t="shared" si="36"/>
        <v>703.80793715053017</v>
      </c>
      <c r="J393" s="14">
        <f t="shared" si="37"/>
        <v>3.1255652114093886</v>
      </c>
      <c r="K393" s="14">
        <f t="shared" si="38"/>
        <v>0.95670805369127299</v>
      </c>
      <c r="L393" s="12" t="str">
        <f t="shared" si="39"/>
        <v/>
      </c>
      <c r="M393" s="12" t="str">
        <f t="shared" si="40"/>
        <v/>
      </c>
    </row>
    <row r="394" spans="1:13" ht="31.5">
      <c r="A394" s="3">
        <v>388</v>
      </c>
      <c r="B394" s="11" t="s">
        <v>372</v>
      </c>
      <c r="C394" s="3">
        <v>2</v>
      </c>
      <c r="D394" s="3">
        <v>13</v>
      </c>
      <c r="E394" s="11" t="s">
        <v>460</v>
      </c>
      <c r="F394" s="14">
        <v>699.69500000000005</v>
      </c>
      <c r="G394" s="14">
        <f t="shared" si="41"/>
        <v>0.8669999999999618</v>
      </c>
      <c r="H394" s="14">
        <f t="shared" ref="H394:H457" si="42">$F$4</f>
        <v>701.26350083752141</v>
      </c>
      <c r="I394" s="14">
        <f t="shared" ref="I394:I457" si="43">$F$7</f>
        <v>703.80793715053017</v>
      </c>
      <c r="J394" s="14">
        <f t="shared" ref="J394:J457" si="44">$F$8</f>
        <v>3.1255652114093886</v>
      </c>
      <c r="K394" s="14">
        <f t="shared" ref="K394:K457" si="45">$F$5</f>
        <v>0.95670805369127299</v>
      </c>
      <c r="L394" s="12" t="str">
        <f t="shared" ref="L394:L457" si="46">IF(F394&gt;$F$7,"OOC","" )</f>
        <v/>
      </c>
      <c r="M394" s="12" t="str">
        <f t="shared" ref="M394:M457" si="47">IF(F394&gt;$B$4,"OOS","" )</f>
        <v/>
      </c>
    </row>
    <row r="395" spans="1:13" ht="31.5">
      <c r="A395" s="3">
        <v>389</v>
      </c>
      <c r="B395" s="11" t="s">
        <v>372</v>
      </c>
      <c r="C395" s="3">
        <v>2</v>
      </c>
      <c r="D395" s="3">
        <v>12</v>
      </c>
      <c r="E395" s="11" t="s">
        <v>461</v>
      </c>
      <c r="F395" s="14">
        <v>699.46299999999997</v>
      </c>
      <c r="G395" s="14">
        <f t="shared" ref="G395:G458" si="48">ABS(F395-F394)</f>
        <v>0.23200000000008458</v>
      </c>
      <c r="H395" s="14">
        <f t="shared" si="42"/>
        <v>701.26350083752141</v>
      </c>
      <c r="I395" s="14">
        <f t="shared" si="43"/>
        <v>703.80793715053017</v>
      </c>
      <c r="J395" s="14">
        <f t="shared" si="44"/>
        <v>3.1255652114093886</v>
      </c>
      <c r="K395" s="14">
        <f t="shared" si="45"/>
        <v>0.95670805369127299</v>
      </c>
      <c r="L395" s="12" t="str">
        <f t="shared" si="46"/>
        <v/>
      </c>
      <c r="M395" s="12" t="str">
        <f t="shared" si="47"/>
        <v/>
      </c>
    </row>
    <row r="396" spans="1:13" ht="31.5">
      <c r="A396" s="3">
        <v>390</v>
      </c>
      <c r="B396" s="11" t="s">
        <v>372</v>
      </c>
      <c r="C396" s="3">
        <v>2</v>
      </c>
      <c r="D396" s="3">
        <v>11</v>
      </c>
      <c r="E396" s="11" t="s">
        <v>462</v>
      </c>
      <c r="F396" s="14">
        <v>699.68799999999999</v>
      </c>
      <c r="G396" s="14">
        <f t="shared" si="48"/>
        <v>0.22500000000002274</v>
      </c>
      <c r="H396" s="14">
        <f t="shared" si="42"/>
        <v>701.26350083752141</v>
      </c>
      <c r="I396" s="14">
        <f t="shared" si="43"/>
        <v>703.80793715053017</v>
      </c>
      <c r="J396" s="14">
        <f t="shared" si="44"/>
        <v>3.1255652114093886</v>
      </c>
      <c r="K396" s="14">
        <f t="shared" si="45"/>
        <v>0.95670805369127299</v>
      </c>
      <c r="L396" s="12" t="str">
        <f t="shared" si="46"/>
        <v/>
      </c>
      <c r="M396" s="12" t="str">
        <f t="shared" si="47"/>
        <v/>
      </c>
    </row>
    <row r="397" spans="1:13" ht="31.5">
      <c r="A397" s="3">
        <v>391</v>
      </c>
      <c r="B397" s="11" t="s">
        <v>372</v>
      </c>
      <c r="C397" s="3">
        <v>2</v>
      </c>
      <c r="D397" s="3">
        <v>10</v>
      </c>
      <c r="E397" s="11" t="s">
        <v>463</v>
      </c>
      <c r="F397" s="14">
        <v>701.18899999999996</v>
      </c>
      <c r="G397" s="14">
        <f t="shared" si="48"/>
        <v>1.5009999999999764</v>
      </c>
      <c r="H397" s="14">
        <f t="shared" si="42"/>
        <v>701.26350083752141</v>
      </c>
      <c r="I397" s="14">
        <f t="shared" si="43"/>
        <v>703.80793715053017</v>
      </c>
      <c r="J397" s="14">
        <f t="shared" si="44"/>
        <v>3.1255652114093886</v>
      </c>
      <c r="K397" s="14">
        <f t="shared" si="45"/>
        <v>0.95670805369127299</v>
      </c>
      <c r="L397" s="12" t="str">
        <f t="shared" si="46"/>
        <v/>
      </c>
      <c r="M397" s="12" t="str">
        <f t="shared" si="47"/>
        <v/>
      </c>
    </row>
    <row r="398" spans="1:13" ht="31.5">
      <c r="A398" s="3">
        <v>392</v>
      </c>
      <c r="B398" s="11" t="s">
        <v>372</v>
      </c>
      <c r="C398" s="3">
        <v>2</v>
      </c>
      <c r="D398" s="3">
        <v>9</v>
      </c>
      <c r="E398" s="11" t="s">
        <v>464</v>
      </c>
      <c r="F398" s="14">
        <v>701.42100000000005</v>
      </c>
      <c r="G398" s="14">
        <f t="shared" si="48"/>
        <v>0.23200000000008458</v>
      </c>
      <c r="H398" s="14">
        <f t="shared" si="42"/>
        <v>701.26350083752141</v>
      </c>
      <c r="I398" s="14">
        <f t="shared" si="43"/>
        <v>703.80793715053017</v>
      </c>
      <c r="J398" s="14">
        <f t="shared" si="44"/>
        <v>3.1255652114093886</v>
      </c>
      <c r="K398" s="14">
        <f t="shared" si="45"/>
        <v>0.95670805369127299</v>
      </c>
      <c r="L398" s="12" t="str">
        <f t="shared" si="46"/>
        <v/>
      </c>
      <c r="M398" s="12" t="str">
        <f t="shared" si="47"/>
        <v/>
      </c>
    </row>
    <row r="399" spans="1:13" ht="31.5">
      <c r="A399" s="3">
        <v>393</v>
      </c>
      <c r="B399" s="11" t="s">
        <v>372</v>
      </c>
      <c r="C399" s="3">
        <v>2</v>
      </c>
      <c r="D399" s="3">
        <v>8</v>
      </c>
      <c r="E399" s="11" t="s">
        <v>465</v>
      </c>
      <c r="F399" s="14">
        <v>700.90700000000004</v>
      </c>
      <c r="G399" s="14">
        <f t="shared" si="48"/>
        <v>0.51400000000001</v>
      </c>
      <c r="H399" s="14">
        <f t="shared" si="42"/>
        <v>701.26350083752141</v>
      </c>
      <c r="I399" s="14">
        <f t="shared" si="43"/>
        <v>703.80793715053017</v>
      </c>
      <c r="J399" s="14">
        <f t="shared" si="44"/>
        <v>3.1255652114093886</v>
      </c>
      <c r="K399" s="14">
        <f t="shared" si="45"/>
        <v>0.95670805369127299</v>
      </c>
      <c r="L399" s="12" t="str">
        <f t="shared" si="46"/>
        <v/>
      </c>
      <c r="M399" s="12" t="str">
        <f t="shared" si="47"/>
        <v/>
      </c>
    </row>
    <row r="400" spans="1:13" ht="31.5">
      <c r="A400" s="3">
        <v>394</v>
      </c>
      <c r="B400" s="11" t="s">
        <v>372</v>
      </c>
      <c r="C400" s="3">
        <v>2</v>
      </c>
      <c r="D400" s="3">
        <v>7</v>
      </c>
      <c r="E400" s="11" t="s">
        <v>466</v>
      </c>
      <c r="F400" s="14">
        <v>700.21600000000001</v>
      </c>
      <c r="G400" s="14">
        <f t="shared" si="48"/>
        <v>0.69100000000003092</v>
      </c>
      <c r="H400" s="14">
        <f t="shared" si="42"/>
        <v>701.26350083752141</v>
      </c>
      <c r="I400" s="14">
        <f t="shared" si="43"/>
        <v>703.80793715053017</v>
      </c>
      <c r="J400" s="14">
        <f t="shared" si="44"/>
        <v>3.1255652114093886</v>
      </c>
      <c r="K400" s="14">
        <f t="shared" si="45"/>
        <v>0.95670805369127299</v>
      </c>
      <c r="L400" s="12" t="str">
        <f t="shared" si="46"/>
        <v/>
      </c>
      <c r="M400" s="12" t="str">
        <f t="shared" si="47"/>
        <v/>
      </c>
    </row>
    <row r="401" spans="1:13" ht="31.5">
      <c r="A401" s="3">
        <v>395</v>
      </c>
      <c r="B401" s="11" t="s">
        <v>372</v>
      </c>
      <c r="C401" s="3">
        <v>2</v>
      </c>
      <c r="D401" s="3">
        <v>6</v>
      </c>
      <c r="E401" s="11" t="s">
        <v>467</v>
      </c>
      <c r="F401" s="14">
        <v>700.21900000000005</v>
      </c>
      <c r="G401" s="14">
        <f t="shared" si="48"/>
        <v>3.0000000000427463E-3</v>
      </c>
      <c r="H401" s="14">
        <f t="shared" si="42"/>
        <v>701.26350083752141</v>
      </c>
      <c r="I401" s="14">
        <f t="shared" si="43"/>
        <v>703.80793715053017</v>
      </c>
      <c r="J401" s="14">
        <f t="shared" si="44"/>
        <v>3.1255652114093886</v>
      </c>
      <c r="K401" s="14">
        <f t="shared" si="45"/>
        <v>0.95670805369127299</v>
      </c>
      <c r="L401" s="12" t="str">
        <f t="shared" si="46"/>
        <v/>
      </c>
      <c r="M401" s="12" t="str">
        <f t="shared" si="47"/>
        <v/>
      </c>
    </row>
    <row r="402" spans="1:13" ht="31.5">
      <c r="A402" s="3">
        <v>396</v>
      </c>
      <c r="B402" s="11" t="s">
        <v>372</v>
      </c>
      <c r="C402" s="3">
        <v>2</v>
      </c>
      <c r="D402" s="3">
        <v>5</v>
      </c>
      <c r="E402" s="11" t="s">
        <v>468</v>
      </c>
      <c r="F402" s="14">
        <v>702.15800000000002</v>
      </c>
      <c r="G402" s="14">
        <f t="shared" si="48"/>
        <v>1.9389999999999645</v>
      </c>
      <c r="H402" s="14">
        <f t="shared" si="42"/>
        <v>701.26350083752141</v>
      </c>
      <c r="I402" s="14">
        <f t="shared" si="43"/>
        <v>703.80793715053017</v>
      </c>
      <c r="J402" s="14">
        <f t="shared" si="44"/>
        <v>3.1255652114093886</v>
      </c>
      <c r="K402" s="14">
        <f t="shared" si="45"/>
        <v>0.95670805369127299</v>
      </c>
      <c r="L402" s="12" t="str">
        <f t="shared" si="46"/>
        <v/>
      </c>
      <c r="M402" s="12" t="str">
        <f t="shared" si="47"/>
        <v/>
      </c>
    </row>
    <row r="403" spans="1:13" ht="31.5">
      <c r="A403" s="3">
        <v>397</v>
      </c>
      <c r="B403" s="11" t="s">
        <v>372</v>
      </c>
      <c r="C403" s="3">
        <v>2</v>
      </c>
      <c r="D403" s="3">
        <v>4</v>
      </c>
      <c r="E403" s="11" t="s">
        <v>469</v>
      </c>
      <c r="F403" s="14">
        <v>700.54899999999998</v>
      </c>
      <c r="G403" s="14">
        <f t="shared" si="48"/>
        <v>1.6090000000000373</v>
      </c>
      <c r="H403" s="14">
        <f t="shared" si="42"/>
        <v>701.26350083752141</v>
      </c>
      <c r="I403" s="14">
        <f t="shared" si="43"/>
        <v>703.80793715053017</v>
      </c>
      <c r="J403" s="14">
        <f t="shared" si="44"/>
        <v>3.1255652114093886</v>
      </c>
      <c r="K403" s="14">
        <f t="shared" si="45"/>
        <v>0.95670805369127299</v>
      </c>
      <c r="L403" s="12" t="str">
        <f t="shared" si="46"/>
        <v/>
      </c>
      <c r="M403" s="12" t="str">
        <f t="shared" si="47"/>
        <v/>
      </c>
    </row>
    <row r="404" spans="1:13" ht="31.5">
      <c r="A404" s="3">
        <v>398</v>
      </c>
      <c r="B404" s="11" t="s">
        <v>372</v>
      </c>
      <c r="C404" s="3">
        <v>2</v>
      </c>
      <c r="D404" s="3">
        <v>3</v>
      </c>
      <c r="E404" s="11" t="s">
        <v>470</v>
      </c>
      <c r="F404" s="14">
        <v>701.71400000000006</v>
      </c>
      <c r="G404" s="14">
        <f t="shared" si="48"/>
        <v>1.1650000000000773</v>
      </c>
      <c r="H404" s="14">
        <f t="shared" si="42"/>
        <v>701.26350083752141</v>
      </c>
      <c r="I404" s="14">
        <f t="shared" si="43"/>
        <v>703.80793715053017</v>
      </c>
      <c r="J404" s="14">
        <f t="shared" si="44"/>
        <v>3.1255652114093886</v>
      </c>
      <c r="K404" s="14">
        <f t="shared" si="45"/>
        <v>0.95670805369127299</v>
      </c>
      <c r="L404" s="12" t="str">
        <f t="shared" si="46"/>
        <v/>
      </c>
      <c r="M404" s="12" t="str">
        <f t="shared" si="47"/>
        <v/>
      </c>
    </row>
    <row r="405" spans="1:13" ht="31.5">
      <c r="A405" s="3">
        <v>399</v>
      </c>
      <c r="B405" s="11" t="s">
        <v>372</v>
      </c>
      <c r="C405" s="3">
        <v>2</v>
      </c>
      <c r="D405" s="3">
        <v>2</v>
      </c>
      <c r="E405" s="11" t="s">
        <v>471</v>
      </c>
      <c r="F405" s="14">
        <v>701.02599999999995</v>
      </c>
      <c r="G405" s="14">
        <f t="shared" si="48"/>
        <v>0.68800000000010186</v>
      </c>
      <c r="H405" s="14">
        <f t="shared" si="42"/>
        <v>701.26350083752141</v>
      </c>
      <c r="I405" s="14">
        <f t="shared" si="43"/>
        <v>703.80793715053017</v>
      </c>
      <c r="J405" s="14">
        <f t="shared" si="44"/>
        <v>3.1255652114093886</v>
      </c>
      <c r="K405" s="14">
        <f t="shared" si="45"/>
        <v>0.95670805369127299</v>
      </c>
      <c r="L405" s="12" t="str">
        <f t="shared" si="46"/>
        <v/>
      </c>
      <c r="M405" s="12" t="str">
        <f t="shared" si="47"/>
        <v/>
      </c>
    </row>
    <row r="406" spans="1:13" ht="31.5">
      <c r="A406" s="3">
        <v>400</v>
      </c>
      <c r="B406" s="11" t="s">
        <v>372</v>
      </c>
      <c r="C406" s="3">
        <v>2</v>
      </c>
      <c r="D406" s="3">
        <v>1</v>
      </c>
      <c r="E406" s="11" t="s">
        <v>472</v>
      </c>
      <c r="F406" s="14">
        <v>700.18100000000004</v>
      </c>
      <c r="G406" s="14">
        <f t="shared" si="48"/>
        <v>0.8449999999999136</v>
      </c>
      <c r="H406" s="14">
        <f t="shared" si="42"/>
        <v>701.26350083752141</v>
      </c>
      <c r="I406" s="14">
        <f t="shared" si="43"/>
        <v>703.80793715053017</v>
      </c>
      <c r="J406" s="14">
        <f t="shared" si="44"/>
        <v>3.1255652114093886</v>
      </c>
      <c r="K406" s="14">
        <f t="shared" si="45"/>
        <v>0.95670805369127299</v>
      </c>
      <c r="L406" s="12" t="str">
        <f t="shared" si="46"/>
        <v/>
      </c>
      <c r="M406" s="12" t="str">
        <f t="shared" si="47"/>
        <v/>
      </c>
    </row>
    <row r="407" spans="1:13" ht="31.5">
      <c r="A407" s="3">
        <v>401</v>
      </c>
      <c r="B407" s="11" t="s">
        <v>372</v>
      </c>
      <c r="C407" s="3">
        <v>3</v>
      </c>
      <c r="D407" s="3">
        <v>25</v>
      </c>
      <c r="E407" s="11" t="s">
        <v>473</v>
      </c>
      <c r="F407" s="14">
        <v>701.02800000000002</v>
      </c>
      <c r="G407" s="14">
        <f t="shared" si="48"/>
        <v>0.84699999999997999</v>
      </c>
      <c r="H407" s="14">
        <f t="shared" si="42"/>
        <v>701.26350083752141</v>
      </c>
      <c r="I407" s="14">
        <f t="shared" si="43"/>
        <v>703.80793715053017</v>
      </c>
      <c r="J407" s="14">
        <f t="shared" si="44"/>
        <v>3.1255652114093886</v>
      </c>
      <c r="K407" s="14">
        <f t="shared" si="45"/>
        <v>0.95670805369127299</v>
      </c>
      <c r="L407" s="12" t="str">
        <f t="shared" si="46"/>
        <v/>
      </c>
      <c r="M407" s="12" t="str">
        <f t="shared" si="47"/>
        <v/>
      </c>
    </row>
    <row r="408" spans="1:13" ht="31.5">
      <c r="A408" s="3">
        <v>402</v>
      </c>
      <c r="B408" s="11" t="s">
        <v>372</v>
      </c>
      <c r="C408" s="3">
        <v>3</v>
      </c>
      <c r="D408" s="3">
        <v>24</v>
      </c>
      <c r="E408" s="11" t="s">
        <v>474</v>
      </c>
      <c r="F408" s="14">
        <v>701.10599999999999</v>
      </c>
      <c r="G408" s="14">
        <f t="shared" si="48"/>
        <v>7.7999999999974534E-2</v>
      </c>
      <c r="H408" s="14">
        <f t="shared" si="42"/>
        <v>701.26350083752141</v>
      </c>
      <c r="I408" s="14">
        <f t="shared" si="43"/>
        <v>703.80793715053017</v>
      </c>
      <c r="J408" s="14">
        <f t="shared" si="44"/>
        <v>3.1255652114093886</v>
      </c>
      <c r="K408" s="14">
        <f t="shared" si="45"/>
        <v>0.95670805369127299</v>
      </c>
      <c r="L408" s="12" t="str">
        <f t="shared" si="46"/>
        <v/>
      </c>
      <c r="M408" s="12" t="str">
        <f t="shared" si="47"/>
        <v/>
      </c>
    </row>
    <row r="409" spans="1:13" ht="31.5">
      <c r="A409" s="3">
        <v>403</v>
      </c>
      <c r="B409" s="11" t="s">
        <v>372</v>
      </c>
      <c r="C409" s="3">
        <v>3</v>
      </c>
      <c r="D409" s="3">
        <v>23</v>
      </c>
      <c r="E409" s="11" t="s">
        <v>475</v>
      </c>
      <c r="F409" s="14">
        <v>700.00900000000001</v>
      </c>
      <c r="G409" s="14">
        <f t="shared" si="48"/>
        <v>1.09699999999998</v>
      </c>
      <c r="H409" s="14">
        <f t="shared" si="42"/>
        <v>701.26350083752141</v>
      </c>
      <c r="I409" s="14">
        <f t="shared" si="43"/>
        <v>703.80793715053017</v>
      </c>
      <c r="J409" s="14">
        <f t="shared" si="44"/>
        <v>3.1255652114093886</v>
      </c>
      <c r="K409" s="14">
        <f t="shared" si="45"/>
        <v>0.95670805369127299</v>
      </c>
      <c r="L409" s="12" t="str">
        <f t="shared" si="46"/>
        <v/>
      </c>
      <c r="M409" s="12" t="str">
        <f t="shared" si="47"/>
        <v/>
      </c>
    </row>
    <row r="410" spans="1:13" ht="31.5">
      <c r="A410" s="3">
        <v>404</v>
      </c>
      <c r="B410" s="11" t="s">
        <v>372</v>
      </c>
      <c r="C410" s="3">
        <v>3</v>
      </c>
      <c r="D410" s="3">
        <v>22</v>
      </c>
      <c r="E410" s="11" t="s">
        <v>476</v>
      </c>
      <c r="F410" s="14">
        <v>699.89200000000005</v>
      </c>
      <c r="G410" s="14">
        <f t="shared" si="48"/>
        <v>0.1169999999999618</v>
      </c>
      <c r="H410" s="14">
        <f t="shared" si="42"/>
        <v>701.26350083752141</v>
      </c>
      <c r="I410" s="14">
        <f t="shared" si="43"/>
        <v>703.80793715053017</v>
      </c>
      <c r="J410" s="14">
        <f t="shared" si="44"/>
        <v>3.1255652114093886</v>
      </c>
      <c r="K410" s="14">
        <f t="shared" si="45"/>
        <v>0.95670805369127299</v>
      </c>
      <c r="L410" s="12" t="str">
        <f t="shared" si="46"/>
        <v/>
      </c>
      <c r="M410" s="12" t="str">
        <f t="shared" si="47"/>
        <v/>
      </c>
    </row>
    <row r="411" spans="1:13" ht="31.5">
      <c r="A411" s="3">
        <v>405</v>
      </c>
      <c r="B411" s="11" t="s">
        <v>372</v>
      </c>
      <c r="C411" s="3">
        <v>3</v>
      </c>
      <c r="D411" s="3">
        <v>21</v>
      </c>
      <c r="E411" s="11" t="s">
        <v>477</v>
      </c>
      <c r="F411" s="14">
        <v>701.33900000000006</v>
      </c>
      <c r="G411" s="14">
        <f t="shared" si="48"/>
        <v>1.4470000000000027</v>
      </c>
      <c r="H411" s="14">
        <f t="shared" si="42"/>
        <v>701.26350083752141</v>
      </c>
      <c r="I411" s="14">
        <f t="shared" si="43"/>
        <v>703.80793715053017</v>
      </c>
      <c r="J411" s="14">
        <f t="shared" si="44"/>
        <v>3.1255652114093886</v>
      </c>
      <c r="K411" s="14">
        <f t="shared" si="45"/>
        <v>0.95670805369127299</v>
      </c>
      <c r="L411" s="12" t="str">
        <f t="shared" si="46"/>
        <v/>
      </c>
      <c r="M411" s="12" t="str">
        <f t="shared" si="47"/>
        <v/>
      </c>
    </row>
    <row r="412" spans="1:13" ht="31.5">
      <c r="A412" s="3">
        <v>406</v>
      </c>
      <c r="B412" s="11" t="s">
        <v>372</v>
      </c>
      <c r="C412" s="3">
        <v>3</v>
      </c>
      <c r="D412" s="3">
        <v>20</v>
      </c>
      <c r="E412" s="11" t="s">
        <v>478</v>
      </c>
      <c r="F412" s="14">
        <v>701.19600000000003</v>
      </c>
      <c r="G412" s="14">
        <f t="shared" si="48"/>
        <v>0.1430000000000291</v>
      </c>
      <c r="H412" s="14">
        <f t="shared" si="42"/>
        <v>701.26350083752141</v>
      </c>
      <c r="I412" s="14">
        <f t="shared" si="43"/>
        <v>703.80793715053017</v>
      </c>
      <c r="J412" s="14">
        <f t="shared" si="44"/>
        <v>3.1255652114093886</v>
      </c>
      <c r="K412" s="14">
        <f t="shared" si="45"/>
        <v>0.95670805369127299</v>
      </c>
      <c r="L412" s="12" t="str">
        <f t="shared" si="46"/>
        <v/>
      </c>
      <c r="M412" s="12" t="str">
        <f t="shared" si="47"/>
        <v/>
      </c>
    </row>
    <row r="413" spans="1:13" ht="31.5">
      <c r="A413" s="3">
        <v>407</v>
      </c>
      <c r="B413" s="11" t="s">
        <v>372</v>
      </c>
      <c r="C413" s="3">
        <v>3</v>
      </c>
      <c r="D413" s="3">
        <v>19</v>
      </c>
      <c r="E413" s="11" t="s">
        <v>479</v>
      </c>
      <c r="F413" s="14">
        <v>701.53099999999995</v>
      </c>
      <c r="G413" s="14">
        <f t="shared" si="48"/>
        <v>0.33499999999992269</v>
      </c>
      <c r="H413" s="14">
        <f t="shared" si="42"/>
        <v>701.26350083752141</v>
      </c>
      <c r="I413" s="14">
        <f t="shared" si="43"/>
        <v>703.80793715053017</v>
      </c>
      <c r="J413" s="14">
        <f t="shared" si="44"/>
        <v>3.1255652114093886</v>
      </c>
      <c r="K413" s="14">
        <f t="shared" si="45"/>
        <v>0.95670805369127299</v>
      </c>
      <c r="L413" s="12" t="str">
        <f t="shared" si="46"/>
        <v/>
      </c>
      <c r="M413" s="12" t="str">
        <f t="shared" si="47"/>
        <v/>
      </c>
    </row>
    <row r="414" spans="1:13" ht="31.5">
      <c r="A414" s="3">
        <v>408</v>
      </c>
      <c r="B414" s="11" t="s">
        <v>372</v>
      </c>
      <c r="C414" s="3">
        <v>3</v>
      </c>
      <c r="D414" s="3">
        <v>18</v>
      </c>
      <c r="E414" s="11" t="s">
        <v>480</v>
      </c>
      <c r="F414" s="14">
        <v>701.84699999999998</v>
      </c>
      <c r="G414" s="14">
        <f t="shared" si="48"/>
        <v>0.31600000000003092</v>
      </c>
      <c r="H414" s="14">
        <f t="shared" si="42"/>
        <v>701.26350083752141</v>
      </c>
      <c r="I414" s="14">
        <f t="shared" si="43"/>
        <v>703.80793715053017</v>
      </c>
      <c r="J414" s="14">
        <f t="shared" si="44"/>
        <v>3.1255652114093886</v>
      </c>
      <c r="K414" s="14">
        <f t="shared" si="45"/>
        <v>0.95670805369127299</v>
      </c>
      <c r="L414" s="12" t="str">
        <f t="shared" si="46"/>
        <v/>
      </c>
      <c r="M414" s="12" t="str">
        <f t="shared" si="47"/>
        <v/>
      </c>
    </row>
    <row r="415" spans="1:13" ht="31.5">
      <c r="A415" s="3">
        <v>409</v>
      </c>
      <c r="B415" s="11" t="s">
        <v>372</v>
      </c>
      <c r="C415" s="3">
        <v>3</v>
      </c>
      <c r="D415" s="3">
        <v>17</v>
      </c>
      <c r="E415" s="11" t="s">
        <v>481</v>
      </c>
      <c r="F415" s="14">
        <v>701.64499999999998</v>
      </c>
      <c r="G415" s="14">
        <f t="shared" si="48"/>
        <v>0.20199999999999818</v>
      </c>
      <c r="H415" s="14">
        <f t="shared" si="42"/>
        <v>701.26350083752141</v>
      </c>
      <c r="I415" s="14">
        <f t="shared" si="43"/>
        <v>703.80793715053017</v>
      </c>
      <c r="J415" s="14">
        <f t="shared" si="44"/>
        <v>3.1255652114093886</v>
      </c>
      <c r="K415" s="14">
        <f t="shared" si="45"/>
        <v>0.95670805369127299</v>
      </c>
      <c r="L415" s="12" t="str">
        <f t="shared" si="46"/>
        <v/>
      </c>
      <c r="M415" s="12" t="str">
        <f t="shared" si="47"/>
        <v/>
      </c>
    </row>
    <row r="416" spans="1:13" ht="31.5">
      <c r="A416" s="3">
        <v>410</v>
      </c>
      <c r="B416" s="11" t="s">
        <v>372</v>
      </c>
      <c r="C416" s="3">
        <v>3</v>
      </c>
      <c r="D416" s="3">
        <v>16</v>
      </c>
      <c r="E416" s="11" t="s">
        <v>482</v>
      </c>
      <c r="F416" s="14">
        <v>701.93799999999999</v>
      </c>
      <c r="G416" s="14">
        <f t="shared" si="48"/>
        <v>0.29300000000000637</v>
      </c>
      <c r="H416" s="14">
        <f t="shared" si="42"/>
        <v>701.26350083752141</v>
      </c>
      <c r="I416" s="14">
        <f t="shared" si="43"/>
        <v>703.80793715053017</v>
      </c>
      <c r="J416" s="14">
        <f t="shared" si="44"/>
        <v>3.1255652114093886</v>
      </c>
      <c r="K416" s="14">
        <f t="shared" si="45"/>
        <v>0.95670805369127299</v>
      </c>
      <c r="L416" s="12" t="str">
        <f t="shared" si="46"/>
        <v/>
      </c>
      <c r="M416" s="12" t="str">
        <f t="shared" si="47"/>
        <v/>
      </c>
    </row>
    <row r="417" spans="1:13" ht="31.5">
      <c r="A417" s="3">
        <v>411</v>
      </c>
      <c r="B417" s="11" t="s">
        <v>372</v>
      </c>
      <c r="C417" s="3">
        <v>3</v>
      </c>
      <c r="D417" s="3">
        <v>15</v>
      </c>
      <c r="E417" s="11" t="s">
        <v>483</v>
      </c>
      <c r="F417" s="14">
        <v>702.30799999999999</v>
      </c>
      <c r="G417" s="14">
        <f t="shared" si="48"/>
        <v>0.37000000000000455</v>
      </c>
      <c r="H417" s="14">
        <f t="shared" si="42"/>
        <v>701.26350083752141</v>
      </c>
      <c r="I417" s="14">
        <f t="shared" si="43"/>
        <v>703.80793715053017</v>
      </c>
      <c r="J417" s="14">
        <f t="shared" si="44"/>
        <v>3.1255652114093886</v>
      </c>
      <c r="K417" s="14">
        <f t="shared" si="45"/>
        <v>0.95670805369127299</v>
      </c>
      <c r="L417" s="12" t="str">
        <f t="shared" si="46"/>
        <v/>
      </c>
      <c r="M417" s="12" t="str">
        <f t="shared" si="47"/>
        <v/>
      </c>
    </row>
    <row r="418" spans="1:13" ht="31.5">
      <c r="A418" s="3">
        <v>412</v>
      </c>
      <c r="B418" s="11" t="s">
        <v>372</v>
      </c>
      <c r="C418" s="3">
        <v>3</v>
      </c>
      <c r="D418" s="3">
        <v>14</v>
      </c>
      <c r="E418" s="11" t="s">
        <v>484</v>
      </c>
      <c r="F418" s="14">
        <v>702.19500000000005</v>
      </c>
      <c r="G418" s="14">
        <f t="shared" si="48"/>
        <v>0.1129999999999427</v>
      </c>
      <c r="H418" s="14">
        <f t="shared" si="42"/>
        <v>701.26350083752141</v>
      </c>
      <c r="I418" s="14">
        <f t="shared" si="43"/>
        <v>703.80793715053017</v>
      </c>
      <c r="J418" s="14">
        <f t="shared" si="44"/>
        <v>3.1255652114093886</v>
      </c>
      <c r="K418" s="14">
        <f t="shared" si="45"/>
        <v>0.95670805369127299</v>
      </c>
      <c r="L418" s="12" t="str">
        <f t="shared" si="46"/>
        <v/>
      </c>
      <c r="M418" s="12" t="str">
        <f t="shared" si="47"/>
        <v/>
      </c>
    </row>
    <row r="419" spans="1:13" ht="31.5">
      <c r="A419" s="3">
        <v>413</v>
      </c>
      <c r="B419" s="11" t="s">
        <v>372</v>
      </c>
      <c r="C419" s="3">
        <v>3</v>
      </c>
      <c r="D419" s="3">
        <v>13</v>
      </c>
      <c r="E419" s="11" t="s">
        <v>485</v>
      </c>
      <c r="F419" s="14">
        <v>701.63800000000003</v>
      </c>
      <c r="G419" s="14">
        <f t="shared" si="48"/>
        <v>0.55700000000001637</v>
      </c>
      <c r="H419" s="14">
        <f t="shared" si="42"/>
        <v>701.26350083752141</v>
      </c>
      <c r="I419" s="14">
        <f t="shared" si="43"/>
        <v>703.80793715053017</v>
      </c>
      <c r="J419" s="14">
        <f t="shared" si="44"/>
        <v>3.1255652114093886</v>
      </c>
      <c r="K419" s="14">
        <f t="shared" si="45"/>
        <v>0.95670805369127299</v>
      </c>
      <c r="L419" s="12" t="str">
        <f t="shared" si="46"/>
        <v/>
      </c>
      <c r="M419" s="12" t="str">
        <f t="shared" si="47"/>
        <v/>
      </c>
    </row>
    <row r="420" spans="1:13" ht="31.5">
      <c r="A420" s="3">
        <v>414</v>
      </c>
      <c r="B420" s="11" t="s">
        <v>372</v>
      </c>
      <c r="C420" s="3">
        <v>3</v>
      </c>
      <c r="D420" s="3">
        <v>12</v>
      </c>
      <c r="E420" s="11" t="s">
        <v>486</v>
      </c>
      <c r="F420" s="14">
        <v>702.76800000000003</v>
      </c>
      <c r="G420" s="14">
        <f t="shared" si="48"/>
        <v>1.1299999999999955</v>
      </c>
      <c r="H420" s="14">
        <f t="shared" si="42"/>
        <v>701.26350083752141</v>
      </c>
      <c r="I420" s="14">
        <f t="shared" si="43"/>
        <v>703.80793715053017</v>
      </c>
      <c r="J420" s="14">
        <f t="shared" si="44"/>
        <v>3.1255652114093886</v>
      </c>
      <c r="K420" s="14">
        <f t="shared" si="45"/>
        <v>0.95670805369127299</v>
      </c>
      <c r="L420" s="12" t="str">
        <f t="shared" si="46"/>
        <v/>
      </c>
      <c r="M420" s="12" t="str">
        <f t="shared" si="47"/>
        <v/>
      </c>
    </row>
    <row r="421" spans="1:13" ht="31.5">
      <c r="A421" s="3">
        <v>415</v>
      </c>
      <c r="B421" s="11" t="s">
        <v>372</v>
      </c>
      <c r="C421" s="3">
        <v>3</v>
      </c>
      <c r="D421" s="3">
        <v>11</v>
      </c>
      <c r="E421" s="11" t="s">
        <v>487</v>
      </c>
      <c r="F421" s="14">
        <v>702.87599999999998</v>
      </c>
      <c r="G421" s="14">
        <f t="shared" si="48"/>
        <v>0.10799999999994725</v>
      </c>
      <c r="H421" s="14">
        <f t="shared" si="42"/>
        <v>701.26350083752141</v>
      </c>
      <c r="I421" s="14">
        <f t="shared" si="43"/>
        <v>703.80793715053017</v>
      </c>
      <c r="J421" s="14">
        <f t="shared" si="44"/>
        <v>3.1255652114093886</v>
      </c>
      <c r="K421" s="14">
        <f t="shared" si="45"/>
        <v>0.95670805369127299</v>
      </c>
      <c r="L421" s="12" t="str">
        <f t="shared" si="46"/>
        <v/>
      </c>
      <c r="M421" s="12" t="str">
        <f t="shared" si="47"/>
        <v/>
      </c>
    </row>
    <row r="422" spans="1:13" ht="31.5">
      <c r="A422" s="3">
        <v>416</v>
      </c>
      <c r="B422" s="11" t="s">
        <v>372</v>
      </c>
      <c r="C422" s="3">
        <v>3</v>
      </c>
      <c r="D422" s="3">
        <v>10</v>
      </c>
      <c r="E422" s="11" t="s">
        <v>488</v>
      </c>
      <c r="F422" s="14">
        <v>702.625</v>
      </c>
      <c r="G422" s="14">
        <f t="shared" si="48"/>
        <v>0.25099999999997635</v>
      </c>
      <c r="H422" s="14">
        <f t="shared" si="42"/>
        <v>701.26350083752141</v>
      </c>
      <c r="I422" s="14">
        <f t="shared" si="43"/>
        <v>703.80793715053017</v>
      </c>
      <c r="J422" s="14">
        <f t="shared" si="44"/>
        <v>3.1255652114093886</v>
      </c>
      <c r="K422" s="14">
        <f t="shared" si="45"/>
        <v>0.95670805369127299</v>
      </c>
      <c r="L422" s="12" t="str">
        <f t="shared" si="46"/>
        <v/>
      </c>
      <c r="M422" s="12" t="str">
        <f t="shared" si="47"/>
        <v/>
      </c>
    </row>
    <row r="423" spans="1:13" ht="31.5">
      <c r="A423" s="3">
        <v>417</v>
      </c>
      <c r="B423" s="11" t="s">
        <v>372</v>
      </c>
      <c r="C423" s="3">
        <v>3</v>
      </c>
      <c r="D423" s="3">
        <v>9</v>
      </c>
      <c r="E423" s="11" t="s">
        <v>489</v>
      </c>
      <c r="F423" s="14">
        <v>699.02</v>
      </c>
      <c r="G423" s="14">
        <f t="shared" si="48"/>
        <v>3.6050000000000182</v>
      </c>
      <c r="H423" s="14">
        <f t="shared" si="42"/>
        <v>701.26350083752141</v>
      </c>
      <c r="I423" s="14">
        <f t="shared" si="43"/>
        <v>703.80793715053017</v>
      </c>
      <c r="J423" s="14">
        <f t="shared" si="44"/>
        <v>3.1255652114093886</v>
      </c>
      <c r="K423" s="14">
        <f t="shared" si="45"/>
        <v>0.95670805369127299</v>
      </c>
      <c r="L423" s="12" t="str">
        <f t="shared" si="46"/>
        <v/>
      </c>
      <c r="M423" s="12" t="str">
        <f t="shared" si="47"/>
        <v/>
      </c>
    </row>
    <row r="424" spans="1:13" ht="31.5">
      <c r="A424" s="3">
        <v>418</v>
      </c>
      <c r="B424" s="11" t="s">
        <v>372</v>
      </c>
      <c r="C424" s="3">
        <v>3</v>
      </c>
      <c r="D424" s="3">
        <v>8</v>
      </c>
      <c r="E424" s="11" t="s">
        <v>490</v>
      </c>
      <c r="F424" s="14">
        <v>699.18899999999996</v>
      </c>
      <c r="G424" s="14">
        <f t="shared" si="48"/>
        <v>0.16899999999998272</v>
      </c>
      <c r="H424" s="14">
        <f t="shared" si="42"/>
        <v>701.26350083752141</v>
      </c>
      <c r="I424" s="14">
        <f t="shared" si="43"/>
        <v>703.80793715053017</v>
      </c>
      <c r="J424" s="14">
        <f t="shared" si="44"/>
        <v>3.1255652114093886</v>
      </c>
      <c r="K424" s="14">
        <f t="shared" si="45"/>
        <v>0.95670805369127299</v>
      </c>
      <c r="L424" s="12" t="str">
        <f t="shared" si="46"/>
        <v/>
      </c>
      <c r="M424" s="12" t="str">
        <f t="shared" si="47"/>
        <v/>
      </c>
    </row>
    <row r="425" spans="1:13" ht="31.5">
      <c r="A425" s="3">
        <v>419</v>
      </c>
      <c r="B425" s="11" t="s">
        <v>372</v>
      </c>
      <c r="C425" s="3">
        <v>3</v>
      </c>
      <c r="D425" s="3">
        <v>7</v>
      </c>
      <c r="E425" s="11" t="s">
        <v>491</v>
      </c>
      <c r="F425" s="14">
        <v>698.79600000000005</v>
      </c>
      <c r="G425" s="14">
        <f t="shared" si="48"/>
        <v>0.39299999999991542</v>
      </c>
      <c r="H425" s="14">
        <f t="shared" si="42"/>
        <v>701.26350083752141</v>
      </c>
      <c r="I425" s="14">
        <f t="shared" si="43"/>
        <v>703.80793715053017</v>
      </c>
      <c r="J425" s="14">
        <f t="shared" si="44"/>
        <v>3.1255652114093886</v>
      </c>
      <c r="K425" s="14">
        <f t="shared" si="45"/>
        <v>0.95670805369127299</v>
      </c>
      <c r="L425" s="12" t="str">
        <f t="shared" si="46"/>
        <v/>
      </c>
      <c r="M425" s="12" t="str">
        <f t="shared" si="47"/>
        <v/>
      </c>
    </row>
    <row r="426" spans="1:13" ht="31.5">
      <c r="A426" s="3">
        <v>420</v>
      </c>
      <c r="B426" s="11" t="s">
        <v>372</v>
      </c>
      <c r="C426" s="3">
        <v>3</v>
      </c>
      <c r="D426" s="3">
        <v>6</v>
      </c>
      <c r="E426" s="11" t="s">
        <v>492</v>
      </c>
      <c r="F426" s="14">
        <v>701</v>
      </c>
      <c r="G426" s="14">
        <f t="shared" si="48"/>
        <v>2.2039999999999509</v>
      </c>
      <c r="H426" s="14">
        <f t="shared" si="42"/>
        <v>701.26350083752141</v>
      </c>
      <c r="I426" s="14">
        <f t="shared" si="43"/>
        <v>703.80793715053017</v>
      </c>
      <c r="J426" s="14">
        <f t="shared" si="44"/>
        <v>3.1255652114093886</v>
      </c>
      <c r="K426" s="14">
        <f t="shared" si="45"/>
        <v>0.95670805369127299</v>
      </c>
      <c r="L426" s="12" t="str">
        <f t="shared" si="46"/>
        <v/>
      </c>
      <c r="M426" s="12" t="str">
        <f t="shared" si="47"/>
        <v/>
      </c>
    </row>
    <row r="427" spans="1:13" ht="31.5">
      <c r="A427" s="3">
        <v>421</v>
      </c>
      <c r="B427" s="11" t="s">
        <v>372</v>
      </c>
      <c r="C427" s="3">
        <v>3</v>
      </c>
      <c r="D427" s="3">
        <v>5</v>
      </c>
      <c r="E427" s="11" t="s">
        <v>493</v>
      </c>
      <c r="F427" s="14">
        <v>701.25</v>
      </c>
      <c r="G427" s="14">
        <f t="shared" si="48"/>
        <v>0.25</v>
      </c>
      <c r="H427" s="14">
        <f t="shared" si="42"/>
        <v>701.26350083752141</v>
      </c>
      <c r="I427" s="14">
        <f t="shared" si="43"/>
        <v>703.80793715053017</v>
      </c>
      <c r="J427" s="14">
        <f t="shared" si="44"/>
        <v>3.1255652114093886</v>
      </c>
      <c r="K427" s="14">
        <f t="shared" si="45"/>
        <v>0.95670805369127299</v>
      </c>
      <c r="L427" s="12" t="str">
        <f t="shared" si="46"/>
        <v/>
      </c>
      <c r="M427" s="12" t="str">
        <f t="shared" si="47"/>
        <v/>
      </c>
    </row>
    <row r="428" spans="1:13" ht="31.5">
      <c r="A428" s="3">
        <v>422</v>
      </c>
      <c r="B428" s="11" t="s">
        <v>372</v>
      </c>
      <c r="C428" s="3">
        <v>3</v>
      </c>
      <c r="D428" s="3">
        <v>4</v>
      </c>
      <c r="E428" s="11" t="s">
        <v>494</v>
      </c>
      <c r="F428" s="14">
        <v>701.15099999999995</v>
      </c>
      <c r="G428" s="14">
        <f t="shared" si="48"/>
        <v>9.9000000000046384E-2</v>
      </c>
      <c r="H428" s="14">
        <f t="shared" si="42"/>
        <v>701.26350083752141</v>
      </c>
      <c r="I428" s="14">
        <f t="shared" si="43"/>
        <v>703.80793715053017</v>
      </c>
      <c r="J428" s="14">
        <f t="shared" si="44"/>
        <v>3.1255652114093886</v>
      </c>
      <c r="K428" s="14">
        <f t="shared" si="45"/>
        <v>0.95670805369127299</v>
      </c>
      <c r="L428" s="12" t="str">
        <f t="shared" si="46"/>
        <v/>
      </c>
      <c r="M428" s="12" t="str">
        <f t="shared" si="47"/>
        <v/>
      </c>
    </row>
    <row r="429" spans="1:13" ht="31.5">
      <c r="A429" s="3">
        <v>423</v>
      </c>
      <c r="B429" s="11" t="s">
        <v>372</v>
      </c>
      <c r="C429" s="3">
        <v>3</v>
      </c>
      <c r="D429" s="3">
        <v>3</v>
      </c>
      <c r="E429" s="11" t="s">
        <v>495</v>
      </c>
      <c r="F429" s="14">
        <v>700.63599999999997</v>
      </c>
      <c r="G429" s="14">
        <f t="shared" si="48"/>
        <v>0.51499999999998636</v>
      </c>
      <c r="H429" s="14">
        <f t="shared" si="42"/>
        <v>701.26350083752141</v>
      </c>
      <c r="I429" s="14">
        <f t="shared" si="43"/>
        <v>703.80793715053017</v>
      </c>
      <c r="J429" s="14">
        <f t="shared" si="44"/>
        <v>3.1255652114093886</v>
      </c>
      <c r="K429" s="14">
        <f t="shared" si="45"/>
        <v>0.95670805369127299</v>
      </c>
      <c r="L429" s="12" t="str">
        <f t="shared" si="46"/>
        <v/>
      </c>
      <c r="M429" s="12" t="str">
        <f t="shared" si="47"/>
        <v/>
      </c>
    </row>
    <row r="430" spans="1:13" ht="31.5">
      <c r="A430" s="3">
        <v>424</v>
      </c>
      <c r="B430" s="11" t="s">
        <v>372</v>
      </c>
      <c r="C430" s="3">
        <v>3</v>
      </c>
      <c r="D430" s="3">
        <v>2</v>
      </c>
      <c r="E430" s="11" t="s">
        <v>496</v>
      </c>
      <c r="F430" s="14">
        <v>701.11500000000001</v>
      </c>
      <c r="G430" s="14">
        <f t="shared" si="48"/>
        <v>0.47900000000004184</v>
      </c>
      <c r="H430" s="14">
        <f t="shared" si="42"/>
        <v>701.26350083752141</v>
      </c>
      <c r="I430" s="14">
        <f t="shared" si="43"/>
        <v>703.80793715053017</v>
      </c>
      <c r="J430" s="14">
        <f t="shared" si="44"/>
        <v>3.1255652114093886</v>
      </c>
      <c r="K430" s="14">
        <f t="shared" si="45"/>
        <v>0.95670805369127299</v>
      </c>
      <c r="L430" s="12" t="str">
        <f t="shared" si="46"/>
        <v/>
      </c>
      <c r="M430" s="12" t="str">
        <f t="shared" si="47"/>
        <v/>
      </c>
    </row>
    <row r="431" spans="1:13" ht="31.5">
      <c r="A431" s="3">
        <v>425</v>
      </c>
      <c r="B431" s="11" t="s">
        <v>372</v>
      </c>
      <c r="C431" s="3">
        <v>3</v>
      </c>
      <c r="D431" s="3">
        <v>1</v>
      </c>
      <c r="E431" s="11" t="s">
        <v>497</v>
      </c>
      <c r="F431" s="14">
        <v>701.29499999999996</v>
      </c>
      <c r="G431" s="14">
        <f t="shared" si="48"/>
        <v>0.17999999999994998</v>
      </c>
      <c r="H431" s="14">
        <f t="shared" si="42"/>
        <v>701.26350083752141</v>
      </c>
      <c r="I431" s="14">
        <f t="shared" si="43"/>
        <v>703.80793715053017</v>
      </c>
      <c r="J431" s="14">
        <f t="shared" si="44"/>
        <v>3.1255652114093886</v>
      </c>
      <c r="K431" s="14">
        <f t="shared" si="45"/>
        <v>0.95670805369127299</v>
      </c>
      <c r="L431" s="12" t="str">
        <f t="shared" si="46"/>
        <v/>
      </c>
      <c r="M431" s="12" t="str">
        <f t="shared" si="47"/>
        <v/>
      </c>
    </row>
    <row r="432" spans="1:13" ht="31.5">
      <c r="A432" s="3">
        <v>426</v>
      </c>
      <c r="B432" s="11" t="s">
        <v>372</v>
      </c>
      <c r="C432" s="3">
        <v>3</v>
      </c>
      <c r="D432" s="3">
        <v>25</v>
      </c>
      <c r="E432" s="11" t="s">
        <v>498</v>
      </c>
      <c r="F432" s="14">
        <v>701.16700000000003</v>
      </c>
      <c r="G432" s="14">
        <f t="shared" si="48"/>
        <v>0.12799999999992906</v>
      </c>
      <c r="H432" s="14">
        <f t="shared" si="42"/>
        <v>701.26350083752141</v>
      </c>
      <c r="I432" s="14">
        <f t="shared" si="43"/>
        <v>703.80793715053017</v>
      </c>
      <c r="J432" s="14">
        <f t="shared" si="44"/>
        <v>3.1255652114093886</v>
      </c>
      <c r="K432" s="14">
        <f t="shared" si="45"/>
        <v>0.95670805369127299</v>
      </c>
      <c r="L432" s="12" t="str">
        <f t="shared" si="46"/>
        <v/>
      </c>
      <c r="M432" s="12" t="str">
        <f t="shared" si="47"/>
        <v/>
      </c>
    </row>
    <row r="433" spans="1:13" ht="31.5">
      <c r="A433" s="3">
        <v>427</v>
      </c>
      <c r="B433" s="11" t="s">
        <v>372</v>
      </c>
      <c r="C433" s="3">
        <v>3</v>
      </c>
      <c r="D433" s="3">
        <v>24</v>
      </c>
      <c r="E433" s="11" t="s">
        <v>499</v>
      </c>
      <c r="F433" s="14">
        <v>700.37800000000004</v>
      </c>
      <c r="G433" s="14">
        <f t="shared" si="48"/>
        <v>0.78899999999998727</v>
      </c>
      <c r="H433" s="14">
        <f t="shared" si="42"/>
        <v>701.26350083752141</v>
      </c>
      <c r="I433" s="14">
        <f t="shared" si="43"/>
        <v>703.80793715053017</v>
      </c>
      <c r="J433" s="14">
        <f t="shared" si="44"/>
        <v>3.1255652114093886</v>
      </c>
      <c r="K433" s="14">
        <f t="shared" si="45"/>
        <v>0.95670805369127299</v>
      </c>
      <c r="L433" s="12" t="str">
        <f t="shared" si="46"/>
        <v/>
      </c>
      <c r="M433" s="12" t="str">
        <f t="shared" si="47"/>
        <v/>
      </c>
    </row>
    <row r="434" spans="1:13" ht="31.5">
      <c r="A434" s="3">
        <v>428</v>
      </c>
      <c r="B434" s="11" t="s">
        <v>372</v>
      </c>
      <c r="C434" s="3">
        <v>3</v>
      </c>
      <c r="D434" s="3">
        <v>23</v>
      </c>
      <c r="E434" s="11" t="s">
        <v>500</v>
      </c>
      <c r="F434" s="14">
        <v>700.76900000000001</v>
      </c>
      <c r="G434" s="14">
        <f t="shared" si="48"/>
        <v>0.39099999999996271</v>
      </c>
      <c r="H434" s="14">
        <f t="shared" si="42"/>
        <v>701.26350083752141</v>
      </c>
      <c r="I434" s="14">
        <f t="shared" si="43"/>
        <v>703.80793715053017</v>
      </c>
      <c r="J434" s="14">
        <f t="shared" si="44"/>
        <v>3.1255652114093886</v>
      </c>
      <c r="K434" s="14">
        <f t="shared" si="45"/>
        <v>0.95670805369127299</v>
      </c>
      <c r="L434" s="12" t="str">
        <f t="shared" si="46"/>
        <v/>
      </c>
      <c r="M434" s="12" t="str">
        <f t="shared" si="47"/>
        <v/>
      </c>
    </row>
    <row r="435" spans="1:13" ht="31.5">
      <c r="A435" s="3">
        <v>429</v>
      </c>
      <c r="B435" s="11" t="s">
        <v>372</v>
      </c>
      <c r="C435" s="3">
        <v>3</v>
      </c>
      <c r="D435" s="3">
        <v>22</v>
      </c>
      <c r="E435" s="11" t="s">
        <v>501</v>
      </c>
      <c r="F435" s="14">
        <v>700.37599999999998</v>
      </c>
      <c r="G435" s="14">
        <f t="shared" si="48"/>
        <v>0.3930000000000291</v>
      </c>
      <c r="H435" s="14">
        <f t="shared" si="42"/>
        <v>701.26350083752141</v>
      </c>
      <c r="I435" s="14">
        <f t="shared" si="43"/>
        <v>703.80793715053017</v>
      </c>
      <c r="J435" s="14">
        <f t="shared" si="44"/>
        <v>3.1255652114093886</v>
      </c>
      <c r="K435" s="14">
        <f t="shared" si="45"/>
        <v>0.95670805369127299</v>
      </c>
      <c r="L435" s="12" t="str">
        <f t="shared" si="46"/>
        <v/>
      </c>
      <c r="M435" s="12" t="str">
        <f t="shared" si="47"/>
        <v/>
      </c>
    </row>
    <row r="436" spans="1:13" ht="31.5">
      <c r="A436" s="3">
        <v>430</v>
      </c>
      <c r="B436" s="11" t="s">
        <v>372</v>
      </c>
      <c r="C436" s="3">
        <v>3</v>
      </c>
      <c r="D436" s="3">
        <v>21</v>
      </c>
      <c r="E436" s="11" t="s">
        <v>502</v>
      </c>
      <c r="F436" s="14">
        <v>702.27800000000002</v>
      </c>
      <c r="G436" s="14">
        <f t="shared" si="48"/>
        <v>1.9020000000000437</v>
      </c>
      <c r="H436" s="14">
        <f t="shared" si="42"/>
        <v>701.26350083752141</v>
      </c>
      <c r="I436" s="14">
        <f t="shared" si="43"/>
        <v>703.80793715053017</v>
      </c>
      <c r="J436" s="14">
        <f t="shared" si="44"/>
        <v>3.1255652114093886</v>
      </c>
      <c r="K436" s="14">
        <f t="shared" si="45"/>
        <v>0.95670805369127299</v>
      </c>
      <c r="L436" s="12" t="str">
        <f t="shared" si="46"/>
        <v/>
      </c>
      <c r="M436" s="12" t="str">
        <f t="shared" si="47"/>
        <v/>
      </c>
    </row>
    <row r="437" spans="1:13" ht="31.5">
      <c r="A437" s="3">
        <v>431</v>
      </c>
      <c r="B437" s="11" t="s">
        <v>372</v>
      </c>
      <c r="C437" s="3">
        <v>3</v>
      </c>
      <c r="D437" s="3">
        <v>20</v>
      </c>
      <c r="E437" s="11" t="s">
        <v>503</v>
      </c>
      <c r="F437" s="14">
        <v>700.63900000000001</v>
      </c>
      <c r="G437" s="14">
        <f t="shared" si="48"/>
        <v>1.63900000000001</v>
      </c>
      <c r="H437" s="14">
        <f t="shared" si="42"/>
        <v>701.26350083752141</v>
      </c>
      <c r="I437" s="14">
        <f t="shared" si="43"/>
        <v>703.80793715053017</v>
      </c>
      <c r="J437" s="14">
        <f t="shared" si="44"/>
        <v>3.1255652114093886</v>
      </c>
      <c r="K437" s="14">
        <f t="shared" si="45"/>
        <v>0.95670805369127299</v>
      </c>
      <c r="L437" s="12" t="str">
        <f t="shared" si="46"/>
        <v/>
      </c>
      <c r="M437" s="12" t="str">
        <f t="shared" si="47"/>
        <v/>
      </c>
    </row>
    <row r="438" spans="1:13" ht="31.5">
      <c r="A438" s="3">
        <v>432</v>
      </c>
      <c r="B438" s="11" t="s">
        <v>372</v>
      </c>
      <c r="C438" s="3">
        <v>3</v>
      </c>
      <c r="D438" s="3">
        <v>19</v>
      </c>
      <c r="E438" s="11" t="s">
        <v>504</v>
      </c>
      <c r="F438" s="14">
        <v>702.32399999999996</v>
      </c>
      <c r="G438" s="14">
        <f t="shared" si="48"/>
        <v>1.6849999999999454</v>
      </c>
      <c r="H438" s="14">
        <f t="shared" si="42"/>
        <v>701.26350083752141</v>
      </c>
      <c r="I438" s="14">
        <f t="shared" si="43"/>
        <v>703.80793715053017</v>
      </c>
      <c r="J438" s="14">
        <f t="shared" si="44"/>
        <v>3.1255652114093886</v>
      </c>
      <c r="K438" s="14">
        <f t="shared" si="45"/>
        <v>0.95670805369127299</v>
      </c>
      <c r="L438" s="12" t="str">
        <f t="shared" si="46"/>
        <v/>
      </c>
      <c r="M438" s="12" t="str">
        <f t="shared" si="47"/>
        <v/>
      </c>
    </row>
    <row r="439" spans="1:13" ht="31.5">
      <c r="A439" s="3">
        <v>433</v>
      </c>
      <c r="B439" s="11" t="s">
        <v>372</v>
      </c>
      <c r="C439" s="3">
        <v>3</v>
      </c>
      <c r="D439" s="3">
        <v>18</v>
      </c>
      <c r="E439" s="11" t="s">
        <v>505</v>
      </c>
      <c r="F439" s="14">
        <v>700.65800000000002</v>
      </c>
      <c r="G439" s="14">
        <f t="shared" si="48"/>
        <v>1.66599999999994</v>
      </c>
      <c r="H439" s="14">
        <f t="shared" si="42"/>
        <v>701.26350083752141</v>
      </c>
      <c r="I439" s="14">
        <f t="shared" si="43"/>
        <v>703.80793715053017</v>
      </c>
      <c r="J439" s="14">
        <f t="shared" si="44"/>
        <v>3.1255652114093886</v>
      </c>
      <c r="K439" s="14">
        <f t="shared" si="45"/>
        <v>0.95670805369127299</v>
      </c>
      <c r="L439" s="12" t="str">
        <f t="shared" si="46"/>
        <v/>
      </c>
      <c r="M439" s="12" t="str">
        <f t="shared" si="47"/>
        <v/>
      </c>
    </row>
    <row r="440" spans="1:13" ht="31.5">
      <c r="A440" s="3">
        <v>434</v>
      </c>
      <c r="B440" s="11" t="s">
        <v>372</v>
      </c>
      <c r="C440" s="3">
        <v>3</v>
      </c>
      <c r="D440" s="3">
        <v>17</v>
      </c>
      <c r="E440" s="11" t="s">
        <v>506</v>
      </c>
      <c r="F440" s="14">
        <v>702.29700000000003</v>
      </c>
      <c r="G440" s="14">
        <f t="shared" si="48"/>
        <v>1.63900000000001</v>
      </c>
      <c r="H440" s="14">
        <f t="shared" si="42"/>
        <v>701.26350083752141</v>
      </c>
      <c r="I440" s="14">
        <f t="shared" si="43"/>
        <v>703.80793715053017</v>
      </c>
      <c r="J440" s="14">
        <f t="shared" si="44"/>
        <v>3.1255652114093886</v>
      </c>
      <c r="K440" s="14">
        <f t="shared" si="45"/>
        <v>0.95670805369127299</v>
      </c>
      <c r="L440" s="12" t="str">
        <f t="shared" si="46"/>
        <v/>
      </c>
      <c r="M440" s="12" t="str">
        <f t="shared" si="47"/>
        <v/>
      </c>
    </row>
    <row r="441" spans="1:13" ht="31.5">
      <c r="A441" s="3">
        <v>435</v>
      </c>
      <c r="B441" s="11" t="s">
        <v>372</v>
      </c>
      <c r="C441" s="3">
        <v>3</v>
      </c>
      <c r="D441" s="3">
        <v>16</v>
      </c>
      <c r="E441" s="11" t="s">
        <v>507</v>
      </c>
      <c r="F441" s="14">
        <v>701.48500000000001</v>
      </c>
      <c r="G441" s="14">
        <f t="shared" si="48"/>
        <v>0.81200000000001182</v>
      </c>
      <c r="H441" s="14">
        <f t="shared" si="42"/>
        <v>701.26350083752141</v>
      </c>
      <c r="I441" s="14">
        <f t="shared" si="43"/>
        <v>703.80793715053017</v>
      </c>
      <c r="J441" s="14">
        <f t="shared" si="44"/>
        <v>3.1255652114093886</v>
      </c>
      <c r="K441" s="14">
        <f t="shared" si="45"/>
        <v>0.95670805369127299</v>
      </c>
      <c r="L441" s="12" t="str">
        <f t="shared" si="46"/>
        <v/>
      </c>
      <c r="M441" s="12" t="str">
        <f t="shared" si="47"/>
        <v/>
      </c>
    </row>
    <row r="442" spans="1:13" ht="31.5">
      <c r="A442" s="3">
        <v>436</v>
      </c>
      <c r="B442" s="11" t="s">
        <v>372</v>
      </c>
      <c r="C442" s="3">
        <v>3</v>
      </c>
      <c r="D442" s="3">
        <v>15</v>
      </c>
      <c r="E442" s="11" t="s">
        <v>508</v>
      </c>
      <c r="F442" s="14">
        <v>700.97400000000005</v>
      </c>
      <c r="G442" s="14">
        <f t="shared" si="48"/>
        <v>0.51099999999996726</v>
      </c>
      <c r="H442" s="14">
        <f t="shared" si="42"/>
        <v>701.26350083752141</v>
      </c>
      <c r="I442" s="14">
        <f t="shared" si="43"/>
        <v>703.80793715053017</v>
      </c>
      <c r="J442" s="14">
        <f t="shared" si="44"/>
        <v>3.1255652114093886</v>
      </c>
      <c r="K442" s="14">
        <f t="shared" si="45"/>
        <v>0.95670805369127299</v>
      </c>
      <c r="L442" s="12" t="str">
        <f t="shared" si="46"/>
        <v/>
      </c>
      <c r="M442" s="12" t="str">
        <f t="shared" si="47"/>
        <v/>
      </c>
    </row>
    <row r="443" spans="1:13" ht="31.5">
      <c r="A443" s="3">
        <v>437</v>
      </c>
      <c r="B443" s="11" t="s">
        <v>372</v>
      </c>
      <c r="C443" s="3">
        <v>3</v>
      </c>
      <c r="D443" s="3">
        <v>14</v>
      </c>
      <c r="E443" s="11" t="s">
        <v>509</v>
      </c>
      <c r="F443" s="14">
        <v>700.95299999999997</v>
      </c>
      <c r="G443" s="14">
        <f t="shared" si="48"/>
        <v>2.100000000007185E-2</v>
      </c>
      <c r="H443" s="14">
        <f t="shared" si="42"/>
        <v>701.26350083752141</v>
      </c>
      <c r="I443" s="14">
        <f t="shared" si="43"/>
        <v>703.80793715053017</v>
      </c>
      <c r="J443" s="14">
        <f t="shared" si="44"/>
        <v>3.1255652114093886</v>
      </c>
      <c r="K443" s="14">
        <f t="shared" si="45"/>
        <v>0.95670805369127299</v>
      </c>
      <c r="L443" s="12" t="str">
        <f t="shared" si="46"/>
        <v/>
      </c>
      <c r="M443" s="12" t="str">
        <f t="shared" si="47"/>
        <v/>
      </c>
    </row>
    <row r="444" spans="1:13" ht="31.5">
      <c r="A444" s="3">
        <v>438</v>
      </c>
      <c r="B444" s="11" t="s">
        <v>372</v>
      </c>
      <c r="C444" s="3">
        <v>3</v>
      </c>
      <c r="D444" s="3">
        <v>13</v>
      </c>
      <c r="E444" s="11" t="s">
        <v>510</v>
      </c>
      <c r="F444" s="14">
        <v>701.476</v>
      </c>
      <c r="G444" s="14">
        <f t="shared" si="48"/>
        <v>0.52300000000002456</v>
      </c>
      <c r="H444" s="14">
        <f t="shared" si="42"/>
        <v>701.26350083752141</v>
      </c>
      <c r="I444" s="14">
        <f t="shared" si="43"/>
        <v>703.80793715053017</v>
      </c>
      <c r="J444" s="14">
        <f t="shared" si="44"/>
        <v>3.1255652114093886</v>
      </c>
      <c r="K444" s="14">
        <f t="shared" si="45"/>
        <v>0.95670805369127299</v>
      </c>
      <c r="L444" s="12" t="str">
        <f t="shared" si="46"/>
        <v/>
      </c>
      <c r="M444" s="12" t="str">
        <f t="shared" si="47"/>
        <v/>
      </c>
    </row>
    <row r="445" spans="1:13" ht="31.5">
      <c r="A445" s="3">
        <v>439</v>
      </c>
      <c r="B445" s="11" t="s">
        <v>372</v>
      </c>
      <c r="C445" s="3">
        <v>3</v>
      </c>
      <c r="D445" s="3">
        <v>12</v>
      </c>
      <c r="E445" s="11" t="s">
        <v>511</v>
      </c>
      <c r="F445" s="14">
        <v>701.84199999999998</v>
      </c>
      <c r="G445" s="14">
        <f t="shared" si="48"/>
        <v>0.36599999999998545</v>
      </c>
      <c r="H445" s="14">
        <f t="shared" si="42"/>
        <v>701.26350083752141</v>
      </c>
      <c r="I445" s="14">
        <f t="shared" si="43"/>
        <v>703.80793715053017</v>
      </c>
      <c r="J445" s="14">
        <f t="shared" si="44"/>
        <v>3.1255652114093886</v>
      </c>
      <c r="K445" s="14">
        <f t="shared" si="45"/>
        <v>0.95670805369127299</v>
      </c>
      <c r="L445" s="12" t="str">
        <f t="shared" si="46"/>
        <v/>
      </c>
      <c r="M445" s="12" t="str">
        <f t="shared" si="47"/>
        <v/>
      </c>
    </row>
    <row r="446" spans="1:13" ht="31.5">
      <c r="A446" s="3">
        <v>440</v>
      </c>
      <c r="B446" s="11" t="s">
        <v>372</v>
      </c>
      <c r="C446" s="3">
        <v>3</v>
      </c>
      <c r="D446" s="3">
        <v>11</v>
      </c>
      <c r="E446" s="11" t="s">
        <v>512</v>
      </c>
      <c r="F446" s="14">
        <v>701.25099999999998</v>
      </c>
      <c r="G446" s="14">
        <f t="shared" si="48"/>
        <v>0.59100000000000819</v>
      </c>
      <c r="H446" s="14">
        <f t="shared" si="42"/>
        <v>701.26350083752141</v>
      </c>
      <c r="I446" s="14">
        <f t="shared" si="43"/>
        <v>703.80793715053017</v>
      </c>
      <c r="J446" s="14">
        <f t="shared" si="44"/>
        <v>3.1255652114093886</v>
      </c>
      <c r="K446" s="14">
        <f t="shared" si="45"/>
        <v>0.95670805369127299</v>
      </c>
      <c r="L446" s="12" t="str">
        <f t="shared" si="46"/>
        <v/>
      </c>
      <c r="M446" s="12" t="str">
        <f t="shared" si="47"/>
        <v/>
      </c>
    </row>
    <row r="447" spans="1:13" ht="31.5">
      <c r="A447" s="3">
        <v>441</v>
      </c>
      <c r="B447" s="11" t="s">
        <v>372</v>
      </c>
      <c r="C447" s="3">
        <v>3</v>
      </c>
      <c r="D447" s="3">
        <v>10</v>
      </c>
      <c r="E447" s="11" t="s">
        <v>513</v>
      </c>
      <c r="F447" s="14">
        <v>700.76400000000001</v>
      </c>
      <c r="G447" s="14">
        <f t="shared" si="48"/>
        <v>0.48699999999996635</v>
      </c>
      <c r="H447" s="14">
        <f t="shared" si="42"/>
        <v>701.26350083752141</v>
      </c>
      <c r="I447" s="14">
        <f t="shared" si="43"/>
        <v>703.80793715053017</v>
      </c>
      <c r="J447" s="14">
        <f t="shared" si="44"/>
        <v>3.1255652114093886</v>
      </c>
      <c r="K447" s="14">
        <f t="shared" si="45"/>
        <v>0.95670805369127299</v>
      </c>
      <c r="L447" s="12" t="str">
        <f t="shared" si="46"/>
        <v/>
      </c>
      <c r="M447" s="12" t="str">
        <f t="shared" si="47"/>
        <v/>
      </c>
    </row>
    <row r="448" spans="1:13" ht="31.5">
      <c r="A448" s="3">
        <v>442</v>
      </c>
      <c r="B448" s="11" t="s">
        <v>372</v>
      </c>
      <c r="C448" s="3">
        <v>3</v>
      </c>
      <c r="D448" s="3">
        <v>9</v>
      </c>
      <c r="E448" s="11" t="s">
        <v>514</v>
      </c>
      <c r="F448" s="14">
        <v>699.90599999999995</v>
      </c>
      <c r="G448" s="14">
        <f t="shared" si="48"/>
        <v>0.85800000000006094</v>
      </c>
      <c r="H448" s="14">
        <f t="shared" si="42"/>
        <v>701.26350083752141</v>
      </c>
      <c r="I448" s="14">
        <f t="shared" si="43"/>
        <v>703.80793715053017</v>
      </c>
      <c r="J448" s="14">
        <f t="shared" si="44"/>
        <v>3.1255652114093886</v>
      </c>
      <c r="K448" s="14">
        <f t="shared" si="45"/>
        <v>0.95670805369127299</v>
      </c>
      <c r="L448" s="12" t="str">
        <f t="shared" si="46"/>
        <v/>
      </c>
      <c r="M448" s="12" t="str">
        <f t="shared" si="47"/>
        <v/>
      </c>
    </row>
    <row r="449" spans="1:13" ht="31.5">
      <c r="A449" s="3">
        <v>443</v>
      </c>
      <c r="B449" s="11" t="s">
        <v>372</v>
      </c>
      <c r="C449" s="3">
        <v>3</v>
      </c>
      <c r="D449" s="3">
        <v>8</v>
      </c>
      <c r="E449" s="11" t="s">
        <v>515</v>
      </c>
      <c r="F449" s="14">
        <v>700.5</v>
      </c>
      <c r="G449" s="14">
        <f t="shared" si="48"/>
        <v>0.59400000000005093</v>
      </c>
      <c r="H449" s="14">
        <f t="shared" si="42"/>
        <v>701.26350083752141</v>
      </c>
      <c r="I449" s="14">
        <f t="shared" si="43"/>
        <v>703.80793715053017</v>
      </c>
      <c r="J449" s="14">
        <f t="shared" si="44"/>
        <v>3.1255652114093886</v>
      </c>
      <c r="K449" s="14">
        <f t="shared" si="45"/>
        <v>0.95670805369127299</v>
      </c>
      <c r="L449" s="12" t="str">
        <f t="shared" si="46"/>
        <v/>
      </c>
      <c r="M449" s="12" t="str">
        <f t="shared" si="47"/>
        <v/>
      </c>
    </row>
    <row r="450" spans="1:13" ht="31.5">
      <c r="A450" s="3">
        <v>444</v>
      </c>
      <c r="B450" s="11" t="s">
        <v>372</v>
      </c>
      <c r="C450" s="3">
        <v>3</v>
      </c>
      <c r="D450" s="3">
        <v>7</v>
      </c>
      <c r="E450" s="11" t="s">
        <v>516</v>
      </c>
      <c r="F450" s="14">
        <v>701.41</v>
      </c>
      <c r="G450" s="14">
        <f t="shared" si="48"/>
        <v>0.90999999999996817</v>
      </c>
      <c r="H450" s="14">
        <f t="shared" si="42"/>
        <v>701.26350083752141</v>
      </c>
      <c r="I450" s="14">
        <f t="shared" si="43"/>
        <v>703.80793715053017</v>
      </c>
      <c r="J450" s="14">
        <f t="shared" si="44"/>
        <v>3.1255652114093886</v>
      </c>
      <c r="K450" s="14">
        <f t="shared" si="45"/>
        <v>0.95670805369127299</v>
      </c>
      <c r="L450" s="12" t="str">
        <f t="shared" si="46"/>
        <v/>
      </c>
      <c r="M450" s="12" t="str">
        <f t="shared" si="47"/>
        <v/>
      </c>
    </row>
    <row r="451" spans="1:13" ht="31.5">
      <c r="A451" s="3">
        <v>445</v>
      </c>
      <c r="B451" s="11" t="s">
        <v>372</v>
      </c>
      <c r="C451" s="3">
        <v>3</v>
      </c>
      <c r="D451" s="3">
        <v>6</v>
      </c>
      <c r="E451" s="11" t="s">
        <v>517</v>
      </c>
      <c r="F451" s="14">
        <v>701.77200000000005</v>
      </c>
      <c r="G451" s="14">
        <f t="shared" si="48"/>
        <v>0.36200000000008004</v>
      </c>
      <c r="H451" s="14">
        <f t="shared" si="42"/>
        <v>701.26350083752141</v>
      </c>
      <c r="I451" s="14">
        <f t="shared" si="43"/>
        <v>703.80793715053017</v>
      </c>
      <c r="J451" s="14">
        <f t="shared" si="44"/>
        <v>3.1255652114093886</v>
      </c>
      <c r="K451" s="14">
        <f t="shared" si="45"/>
        <v>0.95670805369127299</v>
      </c>
      <c r="L451" s="12" t="str">
        <f t="shared" si="46"/>
        <v/>
      </c>
      <c r="M451" s="12" t="str">
        <f t="shared" si="47"/>
        <v/>
      </c>
    </row>
    <row r="452" spans="1:13" ht="31.5">
      <c r="A452" s="3">
        <v>446</v>
      </c>
      <c r="B452" s="11" t="s">
        <v>372</v>
      </c>
      <c r="C452" s="3">
        <v>3</v>
      </c>
      <c r="D452" s="3">
        <v>5</v>
      </c>
      <c r="E452" s="11" t="s">
        <v>518</v>
      </c>
      <c r="F452" s="14">
        <v>699.73400000000004</v>
      </c>
      <c r="G452" s="14">
        <f t="shared" si="48"/>
        <v>2.0380000000000109</v>
      </c>
      <c r="H452" s="14">
        <f t="shared" si="42"/>
        <v>701.26350083752141</v>
      </c>
      <c r="I452" s="14">
        <f t="shared" si="43"/>
        <v>703.80793715053017</v>
      </c>
      <c r="J452" s="14">
        <f t="shared" si="44"/>
        <v>3.1255652114093886</v>
      </c>
      <c r="K452" s="14">
        <f t="shared" si="45"/>
        <v>0.95670805369127299</v>
      </c>
      <c r="L452" s="12" t="str">
        <f t="shared" si="46"/>
        <v/>
      </c>
      <c r="M452" s="12" t="str">
        <f t="shared" si="47"/>
        <v/>
      </c>
    </row>
    <row r="453" spans="1:13" ht="31.5">
      <c r="A453" s="3">
        <v>447</v>
      </c>
      <c r="B453" s="11" t="s">
        <v>372</v>
      </c>
      <c r="C453" s="3">
        <v>3</v>
      </c>
      <c r="D453" s="3">
        <v>4</v>
      </c>
      <c r="E453" s="11" t="s">
        <v>519</v>
      </c>
      <c r="F453" s="14">
        <v>701.81399999999996</v>
      </c>
      <c r="G453" s="14">
        <f t="shared" si="48"/>
        <v>2.0799999999999272</v>
      </c>
      <c r="H453" s="14">
        <f t="shared" si="42"/>
        <v>701.26350083752141</v>
      </c>
      <c r="I453" s="14">
        <f t="shared" si="43"/>
        <v>703.80793715053017</v>
      </c>
      <c r="J453" s="14">
        <f t="shared" si="44"/>
        <v>3.1255652114093886</v>
      </c>
      <c r="K453" s="14">
        <f t="shared" si="45"/>
        <v>0.95670805369127299</v>
      </c>
      <c r="L453" s="12" t="str">
        <f t="shared" si="46"/>
        <v/>
      </c>
      <c r="M453" s="12" t="str">
        <f t="shared" si="47"/>
        <v/>
      </c>
    </row>
    <row r="454" spans="1:13" ht="31.5">
      <c r="A454" s="3">
        <v>448</v>
      </c>
      <c r="B454" s="11" t="s">
        <v>372</v>
      </c>
      <c r="C454" s="3">
        <v>3</v>
      </c>
      <c r="D454" s="3">
        <v>3</v>
      </c>
      <c r="E454" s="11" t="s">
        <v>520</v>
      </c>
      <c r="F454" s="14">
        <v>702.23800000000006</v>
      </c>
      <c r="G454" s="14">
        <f t="shared" si="48"/>
        <v>0.42400000000009186</v>
      </c>
      <c r="H454" s="14">
        <f t="shared" si="42"/>
        <v>701.26350083752141</v>
      </c>
      <c r="I454" s="14">
        <f t="shared" si="43"/>
        <v>703.80793715053017</v>
      </c>
      <c r="J454" s="14">
        <f t="shared" si="44"/>
        <v>3.1255652114093886</v>
      </c>
      <c r="K454" s="14">
        <f t="shared" si="45"/>
        <v>0.95670805369127299</v>
      </c>
      <c r="L454" s="12" t="str">
        <f t="shared" si="46"/>
        <v/>
      </c>
      <c r="M454" s="12" t="str">
        <f t="shared" si="47"/>
        <v/>
      </c>
    </row>
    <row r="455" spans="1:13" ht="31.5">
      <c r="A455" s="3">
        <v>449</v>
      </c>
      <c r="B455" s="11" t="s">
        <v>372</v>
      </c>
      <c r="C455" s="3">
        <v>3</v>
      </c>
      <c r="D455" s="3">
        <v>2</v>
      </c>
      <c r="E455" s="11" t="s">
        <v>521</v>
      </c>
      <c r="F455" s="14">
        <v>701.34500000000003</v>
      </c>
      <c r="G455" s="14">
        <f t="shared" si="48"/>
        <v>0.8930000000000291</v>
      </c>
      <c r="H455" s="14">
        <f t="shared" si="42"/>
        <v>701.26350083752141</v>
      </c>
      <c r="I455" s="14">
        <f t="shared" si="43"/>
        <v>703.80793715053017</v>
      </c>
      <c r="J455" s="14">
        <f t="shared" si="44"/>
        <v>3.1255652114093886</v>
      </c>
      <c r="K455" s="14">
        <f t="shared" si="45"/>
        <v>0.95670805369127299</v>
      </c>
      <c r="L455" s="12" t="str">
        <f t="shared" si="46"/>
        <v/>
      </c>
      <c r="M455" s="12" t="str">
        <f t="shared" si="47"/>
        <v/>
      </c>
    </row>
    <row r="456" spans="1:13" ht="31.5">
      <c r="A456" s="3">
        <v>450</v>
      </c>
      <c r="B456" s="11" t="s">
        <v>372</v>
      </c>
      <c r="C456" s="3">
        <v>3</v>
      </c>
      <c r="D456" s="3">
        <v>1</v>
      </c>
      <c r="E456" s="11" t="s">
        <v>522</v>
      </c>
      <c r="F456" s="14">
        <v>700.51499999999999</v>
      </c>
      <c r="G456" s="14">
        <f t="shared" si="48"/>
        <v>0.83000000000004093</v>
      </c>
      <c r="H456" s="14">
        <f t="shared" si="42"/>
        <v>701.26350083752141</v>
      </c>
      <c r="I456" s="14">
        <f t="shared" si="43"/>
        <v>703.80793715053017</v>
      </c>
      <c r="J456" s="14">
        <f t="shared" si="44"/>
        <v>3.1255652114093886</v>
      </c>
      <c r="K456" s="14">
        <f t="shared" si="45"/>
        <v>0.95670805369127299</v>
      </c>
      <c r="L456" s="12" t="str">
        <f t="shared" si="46"/>
        <v/>
      </c>
      <c r="M456" s="12" t="str">
        <f t="shared" si="47"/>
        <v/>
      </c>
    </row>
    <row r="457" spans="1:13" ht="31.5">
      <c r="A457" s="3">
        <v>451</v>
      </c>
      <c r="B457" s="11" t="s">
        <v>372</v>
      </c>
      <c r="C457" s="3">
        <v>4</v>
      </c>
      <c r="D457" s="3">
        <v>25</v>
      </c>
      <c r="E457" s="11" t="s">
        <v>523</v>
      </c>
      <c r="F457" s="14">
        <v>700.77099999999996</v>
      </c>
      <c r="G457" s="14">
        <f t="shared" si="48"/>
        <v>0.25599999999997181</v>
      </c>
      <c r="H457" s="14">
        <f t="shared" si="42"/>
        <v>701.26350083752141</v>
      </c>
      <c r="I457" s="14">
        <f t="shared" si="43"/>
        <v>703.80793715053017</v>
      </c>
      <c r="J457" s="14">
        <f t="shared" si="44"/>
        <v>3.1255652114093886</v>
      </c>
      <c r="K457" s="14">
        <f t="shared" si="45"/>
        <v>0.95670805369127299</v>
      </c>
      <c r="L457" s="12" t="str">
        <f t="shared" si="46"/>
        <v/>
      </c>
      <c r="M457" s="12" t="str">
        <f t="shared" si="47"/>
        <v/>
      </c>
    </row>
    <row r="458" spans="1:13" ht="31.5">
      <c r="A458" s="3">
        <v>452</v>
      </c>
      <c r="B458" s="11" t="s">
        <v>372</v>
      </c>
      <c r="C458" s="3">
        <v>4</v>
      </c>
      <c r="D458" s="3">
        <v>24</v>
      </c>
      <c r="E458" s="11" t="s">
        <v>524</v>
      </c>
      <c r="F458" s="14">
        <v>701.19899999999996</v>
      </c>
      <c r="G458" s="14">
        <f t="shared" si="48"/>
        <v>0.42799999999999727</v>
      </c>
      <c r="H458" s="14">
        <f t="shared" ref="H458:H521" si="49">$F$4</f>
        <v>701.26350083752141</v>
      </c>
      <c r="I458" s="14">
        <f t="shared" ref="I458:I521" si="50">$F$7</f>
        <v>703.80793715053017</v>
      </c>
      <c r="J458" s="14">
        <f t="shared" ref="J458:J521" si="51">$F$8</f>
        <v>3.1255652114093886</v>
      </c>
      <c r="K458" s="14">
        <f t="shared" ref="K458:K521" si="52">$F$5</f>
        <v>0.95670805369127299</v>
      </c>
      <c r="L458" s="12" t="str">
        <f t="shared" ref="L458:L521" si="53">IF(F458&gt;$F$7,"OOC","" )</f>
        <v/>
      </c>
      <c r="M458" s="12" t="str">
        <f t="shared" ref="M458:M521" si="54">IF(F458&gt;$B$4,"OOS","" )</f>
        <v/>
      </c>
    </row>
    <row r="459" spans="1:13" ht="31.5">
      <c r="A459" s="3">
        <v>453</v>
      </c>
      <c r="B459" s="11" t="s">
        <v>372</v>
      </c>
      <c r="C459" s="3">
        <v>4</v>
      </c>
      <c r="D459" s="3">
        <v>23</v>
      </c>
      <c r="E459" s="11" t="s">
        <v>525</v>
      </c>
      <c r="F459" s="14">
        <v>701.41700000000003</v>
      </c>
      <c r="G459" s="14">
        <f t="shared" ref="G459:G522" si="55">ABS(F459-F458)</f>
        <v>0.21800000000007458</v>
      </c>
      <c r="H459" s="14">
        <f t="shared" si="49"/>
        <v>701.26350083752141</v>
      </c>
      <c r="I459" s="14">
        <f t="shared" si="50"/>
        <v>703.80793715053017</v>
      </c>
      <c r="J459" s="14">
        <f t="shared" si="51"/>
        <v>3.1255652114093886</v>
      </c>
      <c r="K459" s="14">
        <f t="shared" si="52"/>
        <v>0.95670805369127299</v>
      </c>
      <c r="L459" s="12" t="str">
        <f t="shared" si="53"/>
        <v/>
      </c>
      <c r="M459" s="12" t="str">
        <f t="shared" si="54"/>
        <v/>
      </c>
    </row>
    <row r="460" spans="1:13" ht="31.5">
      <c r="A460" s="3">
        <v>454</v>
      </c>
      <c r="B460" s="11" t="s">
        <v>372</v>
      </c>
      <c r="C460" s="3">
        <v>4</v>
      </c>
      <c r="D460" s="3">
        <v>22</v>
      </c>
      <c r="E460" s="11" t="s">
        <v>526</v>
      </c>
      <c r="F460" s="14">
        <v>699.23900000000003</v>
      </c>
      <c r="G460" s="14">
        <f t="shared" si="55"/>
        <v>2.1779999999999973</v>
      </c>
      <c r="H460" s="14">
        <f t="shared" si="49"/>
        <v>701.26350083752141</v>
      </c>
      <c r="I460" s="14">
        <f t="shared" si="50"/>
        <v>703.80793715053017</v>
      </c>
      <c r="J460" s="14">
        <f t="shared" si="51"/>
        <v>3.1255652114093886</v>
      </c>
      <c r="K460" s="14">
        <f t="shared" si="52"/>
        <v>0.95670805369127299</v>
      </c>
      <c r="L460" s="12" t="str">
        <f t="shared" si="53"/>
        <v/>
      </c>
      <c r="M460" s="12" t="str">
        <f t="shared" si="54"/>
        <v/>
      </c>
    </row>
    <row r="461" spans="1:13" ht="31.5">
      <c r="A461" s="3">
        <v>455</v>
      </c>
      <c r="B461" s="11" t="s">
        <v>372</v>
      </c>
      <c r="C461" s="3">
        <v>4</v>
      </c>
      <c r="D461" s="3">
        <v>21</v>
      </c>
      <c r="E461" s="11" t="s">
        <v>527</v>
      </c>
      <c r="F461" s="14">
        <v>698.36300000000006</v>
      </c>
      <c r="G461" s="14">
        <f t="shared" si="55"/>
        <v>0.87599999999997635</v>
      </c>
      <c r="H461" s="14">
        <f t="shared" si="49"/>
        <v>701.26350083752141</v>
      </c>
      <c r="I461" s="14">
        <f t="shared" si="50"/>
        <v>703.80793715053017</v>
      </c>
      <c r="J461" s="14">
        <f t="shared" si="51"/>
        <v>3.1255652114093886</v>
      </c>
      <c r="K461" s="14">
        <f t="shared" si="52"/>
        <v>0.95670805369127299</v>
      </c>
      <c r="L461" s="12" t="str">
        <f t="shared" si="53"/>
        <v/>
      </c>
      <c r="M461" s="12" t="str">
        <f t="shared" si="54"/>
        <v/>
      </c>
    </row>
    <row r="462" spans="1:13" ht="31.5">
      <c r="A462" s="3">
        <v>456</v>
      </c>
      <c r="B462" s="11" t="s">
        <v>372</v>
      </c>
      <c r="C462" s="3">
        <v>4</v>
      </c>
      <c r="D462" s="3">
        <v>20</v>
      </c>
      <c r="E462" s="11" t="s">
        <v>528</v>
      </c>
      <c r="F462" s="14">
        <v>699.99300000000005</v>
      </c>
      <c r="G462" s="14">
        <f t="shared" si="55"/>
        <v>1.6299999999999955</v>
      </c>
      <c r="H462" s="14">
        <f t="shared" si="49"/>
        <v>701.26350083752141</v>
      </c>
      <c r="I462" s="14">
        <f t="shared" si="50"/>
        <v>703.80793715053017</v>
      </c>
      <c r="J462" s="14">
        <f t="shared" si="51"/>
        <v>3.1255652114093886</v>
      </c>
      <c r="K462" s="14">
        <f t="shared" si="52"/>
        <v>0.95670805369127299</v>
      </c>
      <c r="L462" s="12" t="str">
        <f t="shared" si="53"/>
        <v/>
      </c>
      <c r="M462" s="12" t="str">
        <f t="shared" si="54"/>
        <v/>
      </c>
    </row>
    <row r="463" spans="1:13" ht="31.5">
      <c r="A463" s="3">
        <v>457</v>
      </c>
      <c r="B463" s="11" t="s">
        <v>372</v>
      </c>
      <c r="C463" s="3">
        <v>4</v>
      </c>
      <c r="D463" s="3">
        <v>19</v>
      </c>
      <c r="E463" s="11" t="s">
        <v>529</v>
      </c>
      <c r="F463" s="14">
        <v>700.56299999999999</v>
      </c>
      <c r="G463" s="14">
        <f t="shared" si="55"/>
        <v>0.56999999999993634</v>
      </c>
      <c r="H463" s="14">
        <f t="shared" si="49"/>
        <v>701.26350083752141</v>
      </c>
      <c r="I463" s="14">
        <f t="shared" si="50"/>
        <v>703.80793715053017</v>
      </c>
      <c r="J463" s="14">
        <f t="shared" si="51"/>
        <v>3.1255652114093886</v>
      </c>
      <c r="K463" s="14">
        <f t="shared" si="52"/>
        <v>0.95670805369127299</v>
      </c>
      <c r="L463" s="12" t="str">
        <f t="shared" si="53"/>
        <v/>
      </c>
      <c r="M463" s="12" t="str">
        <f t="shared" si="54"/>
        <v/>
      </c>
    </row>
    <row r="464" spans="1:13" ht="31.5">
      <c r="A464" s="3">
        <v>458</v>
      </c>
      <c r="B464" s="11" t="s">
        <v>372</v>
      </c>
      <c r="C464" s="3">
        <v>4</v>
      </c>
      <c r="D464" s="3">
        <v>18</v>
      </c>
      <c r="E464" s="11" t="s">
        <v>530</v>
      </c>
      <c r="F464" s="14">
        <v>700.65300000000002</v>
      </c>
      <c r="G464" s="14">
        <f t="shared" si="55"/>
        <v>9.0000000000031832E-2</v>
      </c>
      <c r="H464" s="14">
        <f t="shared" si="49"/>
        <v>701.26350083752141</v>
      </c>
      <c r="I464" s="14">
        <f t="shared" si="50"/>
        <v>703.80793715053017</v>
      </c>
      <c r="J464" s="14">
        <f t="shared" si="51"/>
        <v>3.1255652114093886</v>
      </c>
      <c r="K464" s="14">
        <f t="shared" si="52"/>
        <v>0.95670805369127299</v>
      </c>
      <c r="L464" s="12" t="str">
        <f t="shared" si="53"/>
        <v/>
      </c>
      <c r="M464" s="12" t="str">
        <f t="shared" si="54"/>
        <v/>
      </c>
    </row>
    <row r="465" spans="1:13" ht="31.5">
      <c r="A465" s="3">
        <v>459</v>
      </c>
      <c r="B465" s="11" t="s">
        <v>372</v>
      </c>
      <c r="C465" s="3">
        <v>4</v>
      </c>
      <c r="D465" s="3">
        <v>17</v>
      </c>
      <c r="E465" s="11" t="s">
        <v>531</v>
      </c>
      <c r="F465" s="14">
        <v>702.21199999999999</v>
      </c>
      <c r="G465" s="14">
        <f t="shared" si="55"/>
        <v>1.5589999999999691</v>
      </c>
      <c r="H465" s="14">
        <f t="shared" si="49"/>
        <v>701.26350083752141</v>
      </c>
      <c r="I465" s="14">
        <f t="shared" si="50"/>
        <v>703.80793715053017</v>
      </c>
      <c r="J465" s="14">
        <f t="shared" si="51"/>
        <v>3.1255652114093886</v>
      </c>
      <c r="K465" s="14">
        <f t="shared" si="52"/>
        <v>0.95670805369127299</v>
      </c>
      <c r="L465" s="12" t="str">
        <f t="shared" si="53"/>
        <v/>
      </c>
      <c r="M465" s="12" t="str">
        <f t="shared" si="54"/>
        <v/>
      </c>
    </row>
    <row r="466" spans="1:13" ht="31.5">
      <c r="A466" s="3">
        <v>460</v>
      </c>
      <c r="B466" s="11" t="s">
        <v>372</v>
      </c>
      <c r="C466" s="3">
        <v>4</v>
      </c>
      <c r="D466" s="3">
        <v>16</v>
      </c>
      <c r="E466" s="11" t="s">
        <v>532</v>
      </c>
      <c r="F466" s="14">
        <v>701.60400000000004</v>
      </c>
      <c r="G466" s="14">
        <f t="shared" si="55"/>
        <v>0.60799999999994725</v>
      </c>
      <c r="H466" s="14">
        <f t="shared" si="49"/>
        <v>701.26350083752141</v>
      </c>
      <c r="I466" s="14">
        <f t="shared" si="50"/>
        <v>703.80793715053017</v>
      </c>
      <c r="J466" s="14">
        <f t="shared" si="51"/>
        <v>3.1255652114093886</v>
      </c>
      <c r="K466" s="14">
        <f t="shared" si="52"/>
        <v>0.95670805369127299</v>
      </c>
      <c r="L466" s="12" t="str">
        <f t="shared" si="53"/>
        <v/>
      </c>
      <c r="M466" s="12" t="str">
        <f t="shared" si="54"/>
        <v/>
      </c>
    </row>
    <row r="467" spans="1:13" ht="31.5">
      <c r="A467" s="3">
        <v>461</v>
      </c>
      <c r="B467" s="11" t="s">
        <v>372</v>
      </c>
      <c r="C467" s="3">
        <v>4</v>
      </c>
      <c r="D467" s="3">
        <v>15</v>
      </c>
      <c r="E467" s="11" t="s">
        <v>533</v>
      </c>
      <c r="F467" s="14">
        <v>702.18399999999997</v>
      </c>
      <c r="G467" s="14">
        <f t="shared" si="55"/>
        <v>0.57999999999992724</v>
      </c>
      <c r="H467" s="14">
        <f t="shared" si="49"/>
        <v>701.26350083752141</v>
      </c>
      <c r="I467" s="14">
        <f t="shared" si="50"/>
        <v>703.80793715053017</v>
      </c>
      <c r="J467" s="14">
        <f t="shared" si="51"/>
        <v>3.1255652114093886</v>
      </c>
      <c r="K467" s="14">
        <f t="shared" si="52"/>
        <v>0.95670805369127299</v>
      </c>
      <c r="L467" s="12" t="str">
        <f t="shared" si="53"/>
        <v/>
      </c>
      <c r="M467" s="12" t="str">
        <f t="shared" si="54"/>
        <v/>
      </c>
    </row>
    <row r="468" spans="1:13" ht="31.5">
      <c r="A468" s="3">
        <v>462</v>
      </c>
      <c r="B468" s="11" t="s">
        <v>372</v>
      </c>
      <c r="C468" s="3">
        <v>4</v>
      </c>
      <c r="D468" s="3">
        <v>14</v>
      </c>
      <c r="E468" s="11" t="s">
        <v>534</v>
      </c>
      <c r="F468" s="14">
        <v>702.37199999999996</v>
      </c>
      <c r="G468" s="14">
        <f t="shared" si="55"/>
        <v>0.18799999999998818</v>
      </c>
      <c r="H468" s="14">
        <f t="shared" si="49"/>
        <v>701.26350083752141</v>
      </c>
      <c r="I468" s="14">
        <f t="shared" si="50"/>
        <v>703.80793715053017</v>
      </c>
      <c r="J468" s="14">
        <f t="shared" si="51"/>
        <v>3.1255652114093886</v>
      </c>
      <c r="K468" s="14">
        <f t="shared" si="52"/>
        <v>0.95670805369127299</v>
      </c>
      <c r="L468" s="12" t="str">
        <f t="shared" si="53"/>
        <v/>
      </c>
      <c r="M468" s="12" t="str">
        <f t="shared" si="54"/>
        <v/>
      </c>
    </row>
    <row r="469" spans="1:13" ht="31.5">
      <c r="A469" s="3">
        <v>463</v>
      </c>
      <c r="B469" s="11" t="s">
        <v>372</v>
      </c>
      <c r="C469" s="3">
        <v>4</v>
      </c>
      <c r="D469" s="3">
        <v>13</v>
      </c>
      <c r="E469" s="11" t="s">
        <v>535</v>
      </c>
      <c r="F469" s="14">
        <v>701.101</v>
      </c>
      <c r="G469" s="14">
        <f t="shared" si="55"/>
        <v>1.2709999999999582</v>
      </c>
      <c r="H469" s="14">
        <f t="shared" si="49"/>
        <v>701.26350083752141</v>
      </c>
      <c r="I469" s="14">
        <f t="shared" si="50"/>
        <v>703.80793715053017</v>
      </c>
      <c r="J469" s="14">
        <f t="shared" si="51"/>
        <v>3.1255652114093886</v>
      </c>
      <c r="K469" s="14">
        <f t="shared" si="52"/>
        <v>0.95670805369127299</v>
      </c>
      <c r="L469" s="12" t="str">
        <f t="shared" si="53"/>
        <v/>
      </c>
      <c r="M469" s="12" t="str">
        <f t="shared" si="54"/>
        <v/>
      </c>
    </row>
    <row r="470" spans="1:13" ht="31.5">
      <c r="A470" s="3">
        <v>464</v>
      </c>
      <c r="B470" s="11" t="s">
        <v>372</v>
      </c>
      <c r="C470" s="3">
        <v>4</v>
      </c>
      <c r="D470" s="3">
        <v>12</v>
      </c>
      <c r="E470" s="11" t="s">
        <v>536</v>
      </c>
      <c r="F470" s="14">
        <v>701.68600000000004</v>
      </c>
      <c r="G470" s="14">
        <f t="shared" si="55"/>
        <v>0.58500000000003638</v>
      </c>
      <c r="H470" s="14">
        <f t="shared" si="49"/>
        <v>701.26350083752141</v>
      </c>
      <c r="I470" s="14">
        <f t="shared" si="50"/>
        <v>703.80793715053017</v>
      </c>
      <c r="J470" s="14">
        <f t="shared" si="51"/>
        <v>3.1255652114093886</v>
      </c>
      <c r="K470" s="14">
        <f t="shared" si="52"/>
        <v>0.95670805369127299</v>
      </c>
      <c r="L470" s="12" t="str">
        <f t="shared" si="53"/>
        <v/>
      </c>
      <c r="M470" s="12" t="str">
        <f t="shared" si="54"/>
        <v/>
      </c>
    </row>
    <row r="471" spans="1:13" ht="31.5">
      <c r="A471" s="3">
        <v>465</v>
      </c>
      <c r="B471" s="11" t="s">
        <v>372</v>
      </c>
      <c r="C471" s="3">
        <v>4</v>
      </c>
      <c r="D471" s="3">
        <v>11</v>
      </c>
      <c r="E471" s="11" t="s">
        <v>537</v>
      </c>
      <c r="F471" s="14">
        <v>703.01599999999996</v>
      </c>
      <c r="G471" s="14">
        <f t="shared" si="55"/>
        <v>1.3299999999999272</v>
      </c>
      <c r="H471" s="14">
        <f t="shared" si="49"/>
        <v>701.26350083752141</v>
      </c>
      <c r="I471" s="14">
        <f t="shared" si="50"/>
        <v>703.80793715053017</v>
      </c>
      <c r="J471" s="14">
        <f t="shared" si="51"/>
        <v>3.1255652114093886</v>
      </c>
      <c r="K471" s="14">
        <f t="shared" si="52"/>
        <v>0.95670805369127299</v>
      </c>
      <c r="L471" s="12" t="str">
        <f t="shared" si="53"/>
        <v/>
      </c>
      <c r="M471" s="12" t="str">
        <f t="shared" si="54"/>
        <v/>
      </c>
    </row>
    <row r="472" spans="1:13" ht="31.5">
      <c r="A472" s="3">
        <v>466</v>
      </c>
      <c r="B472" s="11" t="s">
        <v>372</v>
      </c>
      <c r="C472" s="3">
        <v>4</v>
      </c>
      <c r="D472" s="3">
        <v>10</v>
      </c>
      <c r="E472" s="11" t="s">
        <v>538</v>
      </c>
      <c r="F472" s="14">
        <v>701.14599999999996</v>
      </c>
      <c r="G472" s="14">
        <f t="shared" si="55"/>
        <v>1.8700000000000045</v>
      </c>
      <c r="H472" s="14">
        <f t="shared" si="49"/>
        <v>701.26350083752141</v>
      </c>
      <c r="I472" s="14">
        <f t="shared" si="50"/>
        <v>703.80793715053017</v>
      </c>
      <c r="J472" s="14">
        <f t="shared" si="51"/>
        <v>3.1255652114093886</v>
      </c>
      <c r="K472" s="14">
        <f t="shared" si="52"/>
        <v>0.95670805369127299</v>
      </c>
      <c r="L472" s="12" t="str">
        <f t="shared" si="53"/>
        <v/>
      </c>
      <c r="M472" s="12" t="str">
        <f t="shared" si="54"/>
        <v/>
      </c>
    </row>
    <row r="473" spans="1:13" ht="31.5">
      <c r="A473" s="3">
        <v>467</v>
      </c>
      <c r="B473" s="11" t="s">
        <v>372</v>
      </c>
      <c r="C473" s="3">
        <v>4</v>
      </c>
      <c r="D473" s="3">
        <v>9</v>
      </c>
      <c r="E473" s="11" t="s">
        <v>539</v>
      </c>
      <c r="F473" s="14">
        <v>701.17200000000003</v>
      </c>
      <c r="G473" s="14">
        <f t="shared" si="55"/>
        <v>2.6000000000067303E-2</v>
      </c>
      <c r="H473" s="14">
        <f t="shared" si="49"/>
        <v>701.26350083752141</v>
      </c>
      <c r="I473" s="14">
        <f t="shared" si="50"/>
        <v>703.80793715053017</v>
      </c>
      <c r="J473" s="14">
        <f t="shared" si="51"/>
        <v>3.1255652114093886</v>
      </c>
      <c r="K473" s="14">
        <f t="shared" si="52"/>
        <v>0.95670805369127299</v>
      </c>
      <c r="L473" s="12" t="str">
        <f t="shared" si="53"/>
        <v/>
      </c>
      <c r="M473" s="12" t="str">
        <f t="shared" si="54"/>
        <v/>
      </c>
    </row>
    <row r="474" spans="1:13" ht="31.5">
      <c r="A474" s="3">
        <v>468</v>
      </c>
      <c r="B474" s="11" t="s">
        <v>372</v>
      </c>
      <c r="C474" s="3">
        <v>4</v>
      </c>
      <c r="D474" s="3">
        <v>8</v>
      </c>
      <c r="E474" s="11" t="s">
        <v>540</v>
      </c>
      <c r="F474" s="14">
        <v>701.61500000000001</v>
      </c>
      <c r="G474" s="14">
        <f t="shared" si="55"/>
        <v>0.44299999999998363</v>
      </c>
      <c r="H474" s="14">
        <f t="shared" si="49"/>
        <v>701.26350083752141</v>
      </c>
      <c r="I474" s="14">
        <f t="shared" si="50"/>
        <v>703.80793715053017</v>
      </c>
      <c r="J474" s="14">
        <f t="shared" si="51"/>
        <v>3.1255652114093886</v>
      </c>
      <c r="K474" s="14">
        <f t="shared" si="52"/>
        <v>0.95670805369127299</v>
      </c>
      <c r="L474" s="12" t="str">
        <f t="shared" si="53"/>
        <v/>
      </c>
      <c r="M474" s="12" t="str">
        <f t="shared" si="54"/>
        <v/>
      </c>
    </row>
    <row r="475" spans="1:13" ht="31.5">
      <c r="A475" s="3">
        <v>469</v>
      </c>
      <c r="B475" s="11" t="s">
        <v>372</v>
      </c>
      <c r="C475" s="3">
        <v>4</v>
      </c>
      <c r="D475" s="3">
        <v>7</v>
      </c>
      <c r="E475" s="11" t="s">
        <v>541</v>
      </c>
      <c r="F475" s="14">
        <v>702.97</v>
      </c>
      <c r="G475" s="14">
        <f t="shared" si="55"/>
        <v>1.3550000000000182</v>
      </c>
      <c r="H475" s="14">
        <f t="shared" si="49"/>
        <v>701.26350083752141</v>
      </c>
      <c r="I475" s="14">
        <f t="shared" si="50"/>
        <v>703.80793715053017</v>
      </c>
      <c r="J475" s="14">
        <f t="shared" si="51"/>
        <v>3.1255652114093886</v>
      </c>
      <c r="K475" s="14">
        <f t="shared" si="52"/>
        <v>0.95670805369127299</v>
      </c>
      <c r="L475" s="12" t="str">
        <f t="shared" si="53"/>
        <v/>
      </c>
      <c r="M475" s="12" t="str">
        <f t="shared" si="54"/>
        <v/>
      </c>
    </row>
    <row r="476" spans="1:13" ht="31.5">
      <c r="A476" s="3">
        <v>470</v>
      </c>
      <c r="B476" s="11" t="s">
        <v>372</v>
      </c>
      <c r="C476" s="3">
        <v>4</v>
      </c>
      <c r="D476" s="3">
        <v>6</v>
      </c>
      <c r="E476" s="11" t="s">
        <v>542</v>
      </c>
      <c r="F476" s="14">
        <v>701.50400000000002</v>
      </c>
      <c r="G476" s="14">
        <f t="shared" si="55"/>
        <v>1.4660000000000082</v>
      </c>
      <c r="H476" s="14">
        <f t="shared" si="49"/>
        <v>701.26350083752141</v>
      </c>
      <c r="I476" s="14">
        <f t="shared" si="50"/>
        <v>703.80793715053017</v>
      </c>
      <c r="J476" s="14">
        <f t="shared" si="51"/>
        <v>3.1255652114093886</v>
      </c>
      <c r="K476" s="14">
        <f t="shared" si="52"/>
        <v>0.95670805369127299</v>
      </c>
      <c r="L476" s="12" t="str">
        <f t="shared" si="53"/>
        <v/>
      </c>
      <c r="M476" s="12" t="str">
        <f t="shared" si="54"/>
        <v/>
      </c>
    </row>
    <row r="477" spans="1:13" ht="31.5">
      <c r="A477" s="3">
        <v>471</v>
      </c>
      <c r="B477" s="11" t="s">
        <v>372</v>
      </c>
      <c r="C477" s="3">
        <v>4</v>
      </c>
      <c r="D477" s="3">
        <v>5</v>
      </c>
      <c r="E477" s="11" t="s">
        <v>543</v>
      </c>
      <c r="F477" s="14">
        <v>701.54100000000005</v>
      </c>
      <c r="G477" s="14">
        <f t="shared" si="55"/>
        <v>3.7000000000034561E-2</v>
      </c>
      <c r="H477" s="14">
        <f t="shared" si="49"/>
        <v>701.26350083752141</v>
      </c>
      <c r="I477" s="14">
        <f t="shared" si="50"/>
        <v>703.80793715053017</v>
      </c>
      <c r="J477" s="14">
        <f t="shared" si="51"/>
        <v>3.1255652114093886</v>
      </c>
      <c r="K477" s="14">
        <f t="shared" si="52"/>
        <v>0.95670805369127299</v>
      </c>
      <c r="L477" s="12" t="str">
        <f t="shared" si="53"/>
        <v/>
      </c>
      <c r="M477" s="12" t="str">
        <f t="shared" si="54"/>
        <v/>
      </c>
    </row>
    <row r="478" spans="1:13" ht="31.5">
      <c r="A478" s="3">
        <v>472</v>
      </c>
      <c r="B478" s="11" t="s">
        <v>372</v>
      </c>
      <c r="C478" s="3">
        <v>4</v>
      </c>
      <c r="D478" s="3">
        <v>4</v>
      </c>
      <c r="E478" s="11" t="s">
        <v>544</v>
      </c>
      <c r="F478" s="14">
        <v>702.44799999999998</v>
      </c>
      <c r="G478" s="14">
        <f t="shared" si="55"/>
        <v>0.90699999999992542</v>
      </c>
      <c r="H478" s="14">
        <f t="shared" si="49"/>
        <v>701.26350083752141</v>
      </c>
      <c r="I478" s="14">
        <f t="shared" si="50"/>
        <v>703.80793715053017</v>
      </c>
      <c r="J478" s="14">
        <f t="shared" si="51"/>
        <v>3.1255652114093886</v>
      </c>
      <c r="K478" s="14">
        <f t="shared" si="52"/>
        <v>0.95670805369127299</v>
      </c>
      <c r="L478" s="12" t="str">
        <f t="shared" si="53"/>
        <v/>
      </c>
      <c r="M478" s="12" t="str">
        <f t="shared" si="54"/>
        <v/>
      </c>
    </row>
    <row r="479" spans="1:13" ht="31.5">
      <c r="A479" s="3">
        <v>473</v>
      </c>
      <c r="B479" s="11" t="s">
        <v>372</v>
      </c>
      <c r="C479" s="3">
        <v>4</v>
      </c>
      <c r="D479" s="3">
        <v>3</v>
      </c>
      <c r="E479" s="11" t="s">
        <v>545</v>
      </c>
      <c r="F479" s="14">
        <v>702.06600000000003</v>
      </c>
      <c r="G479" s="14">
        <f t="shared" si="55"/>
        <v>0.38199999999994816</v>
      </c>
      <c r="H479" s="14">
        <f t="shared" si="49"/>
        <v>701.26350083752141</v>
      </c>
      <c r="I479" s="14">
        <f t="shared" si="50"/>
        <v>703.80793715053017</v>
      </c>
      <c r="J479" s="14">
        <f t="shared" si="51"/>
        <v>3.1255652114093886</v>
      </c>
      <c r="K479" s="14">
        <f t="shared" si="52"/>
        <v>0.95670805369127299</v>
      </c>
      <c r="L479" s="12" t="str">
        <f t="shared" si="53"/>
        <v/>
      </c>
      <c r="M479" s="12" t="str">
        <f t="shared" si="54"/>
        <v/>
      </c>
    </row>
    <row r="480" spans="1:13" ht="31.5">
      <c r="A480" s="3">
        <v>474</v>
      </c>
      <c r="B480" s="11" t="s">
        <v>372</v>
      </c>
      <c r="C480" s="3">
        <v>4</v>
      </c>
      <c r="D480" s="3">
        <v>2</v>
      </c>
      <c r="E480" s="11" t="s">
        <v>546</v>
      </c>
      <c r="F480" s="14">
        <v>701.36300000000006</v>
      </c>
      <c r="G480" s="14">
        <f t="shared" si="55"/>
        <v>0.70299999999997453</v>
      </c>
      <c r="H480" s="14">
        <f t="shared" si="49"/>
        <v>701.26350083752141</v>
      </c>
      <c r="I480" s="14">
        <f t="shared" si="50"/>
        <v>703.80793715053017</v>
      </c>
      <c r="J480" s="14">
        <f t="shared" si="51"/>
        <v>3.1255652114093886</v>
      </c>
      <c r="K480" s="14">
        <f t="shared" si="52"/>
        <v>0.95670805369127299</v>
      </c>
      <c r="L480" s="12" t="str">
        <f t="shared" si="53"/>
        <v/>
      </c>
      <c r="M480" s="12" t="str">
        <f t="shared" si="54"/>
        <v/>
      </c>
    </row>
    <row r="481" spans="1:13" ht="31.5">
      <c r="A481" s="3">
        <v>475</v>
      </c>
      <c r="B481" s="11" t="s">
        <v>372</v>
      </c>
      <c r="C481" s="3">
        <v>4</v>
      </c>
      <c r="D481" s="3">
        <v>1</v>
      </c>
      <c r="E481" s="11" t="s">
        <v>547</v>
      </c>
      <c r="F481" s="14">
        <v>700.74400000000003</v>
      </c>
      <c r="G481" s="14">
        <f t="shared" si="55"/>
        <v>0.61900000000002819</v>
      </c>
      <c r="H481" s="14">
        <f t="shared" si="49"/>
        <v>701.26350083752141</v>
      </c>
      <c r="I481" s="14">
        <f t="shared" si="50"/>
        <v>703.80793715053017</v>
      </c>
      <c r="J481" s="14">
        <f t="shared" si="51"/>
        <v>3.1255652114093886</v>
      </c>
      <c r="K481" s="14">
        <f t="shared" si="52"/>
        <v>0.95670805369127299</v>
      </c>
      <c r="L481" s="12" t="str">
        <f t="shared" si="53"/>
        <v/>
      </c>
      <c r="M481" s="12" t="str">
        <f t="shared" si="54"/>
        <v/>
      </c>
    </row>
    <row r="482" spans="1:13" ht="31.5">
      <c r="A482" s="3">
        <v>476</v>
      </c>
      <c r="B482" s="11" t="s">
        <v>372</v>
      </c>
      <c r="C482" s="3">
        <v>4</v>
      </c>
      <c r="D482" s="3">
        <v>25</v>
      </c>
      <c r="E482" s="11" t="s">
        <v>548</v>
      </c>
      <c r="F482" s="14">
        <v>701.37599999999998</v>
      </c>
      <c r="G482" s="14">
        <f t="shared" si="55"/>
        <v>0.63199999999994816</v>
      </c>
      <c r="H482" s="14">
        <f t="shared" si="49"/>
        <v>701.26350083752141</v>
      </c>
      <c r="I482" s="14">
        <f t="shared" si="50"/>
        <v>703.80793715053017</v>
      </c>
      <c r="J482" s="14">
        <f t="shared" si="51"/>
        <v>3.1255652114093886</v>
      </c>
      <c r="K482" s="14">
        <f t="shared" si="52"/>
        <v>0.95670805369127299</v>
      </c>
      <c r="L482" s="12" t="str">
        <f t="shared" si="53"/>
        <v/>
      </c>
      <c r="M482" s="12" t="str">
        <f t="shared" si="54"/>
        <v/>
      </c>
    </row>
    <row r="483" spans="1:13" ht="31.5">
      <c r="A483" s="3">
        <v>477</v>
      </c>
      <c r="B483" s="11" t="s">
        <v>372</v>
      </c>
      <c r="C483" s="3">
        <v>4</v>
      </c>
      <c r="D483" s="3">
        <v>24</v>
      </c>
      <c r="E483" s="11" t="s">
        <v>549</v>
      </c>
      <c r="F483" s="14">
        <v>700.04600000000005</v>
      </c>
      <c r="G483" s="14">
        <f t="shared" si="55"/>
        <v>1.3299999999999272</v>
      </c>
      <c r="H483" s="14">
        <f t="shared" si="49"/>
        <v>701.26350083752141</v>
      </c>
      <c r="I483" s="14">
        <f t="shared" si="50"/>
        <v>703.80793715053017</v>
      </c>
      <c r="J483" s="14">
        <f t="shared" si="51"/>
        <v>3.1255652114093886</v>
      </c>
      <c r="K483" s="14">
        <f t="shared" si="52"/>
        <v>0.95670805369127299</v>
      </c>
      <c r="L483" s="12" t="str">
        <f t="shared" si="53"/>
        <v/>
      </c>
      <c r="M483" s="12" t="str">
        <f t="shared" si="54"/>
        <v/>
      </c>
    </row>
    <row r="484" spans="1:13" ht="31.5">
      <c r="A484" s="3">
        <v>478</v>
      </c>
      <c r="B484" s="11" t="s">
        <v>372</v>
      </c>
      <c r="C484" s="3">
        <v>4</v>
      </c>
      <c r="D484" s="3">
        <v>23</v>
      </c>
      <c r="E484" s="11" t="s">
        <v>550</v>
      </c>
      <c r="F484" s="14">
        <v>699.98199999999997</v>
      </c>
      <c r="G484" s="14">
        <f t="shared" si="55"/>
        <v>6.4000000000078217E-2</v>
      </c>
      <c r="H484" s="14">
        <f t="shared" si="49"/>
        <v>701.26350083752141</v>
      </c>
      <c r="I484" s="14">
        <f t="shared" si="50"/>
        <v>703.80793715053017</v>
      </c>
      <c r="J484" s="14">
        <f t="shared" si="51"/>
        <v>3.1255652114093886</v>
      </c>
      <c r="K484" s="14">
        <f t="shared" si="52"/>
        <v>0.95670805369127299</v>
      </c>
      <c r="L484" s="12" t="str">
        <f t="shared" si="53"/>
        <v/>
      </c>
      <c r="M484" s="12" t="str">
        <f t="shared" si="54"/>
        <v/>
      </c>
    </row>
    <row r="485" spans="1:13" ht="31.5">
      <c r="A485" s="3">
        <v>479</v>
      </c>
      <c r="B485" s="11" t="s">
        <v>372</v>
      </c>
      <c r="C485" s="3">
        <v>4</v>
      </c>
      <c r="D485" s="3">
        <v>22</v>
      </c>
      <c r="E485" s="11" t="s">
        <v>551</v>
      </c>
      <c r="F485" s="14">
        <v>700.78899999999999</v>
      </c>
      <c r="G485" s="14">
        <f t="shared" si="55"/>
        <v>0.80700000000001637</v>
      </c>
      <c r="H485" s="14">
        <f t="shared" si="49"/>
        <v>701.26350083752141</v>
      </c>
      <c r="I485" s="14">
        <f t="shared" si="50"/>
        <v>703.80793715053017</v>
      </c>
      <c r="J485" s="14">
        <f t="shared" si="51"/>
        <v>3.1255652114093886</v>
      </c>
      <c r="K485" s="14">
        <f t="shared" si="52"/>
        <v>0.95670805369127299</v>
      </c>
      <c r="L485" s="12" t="str">
        <f t="shared" si="53"/>
        <v/>
      </c>
      <c r="M485" s="12" t="str">
        <f t="shared" si="54"/>
        <v/>
      </c>
    </row>
    <row r="486" spans="1:13" ht="31.5">
      <c r="A486" s="3">
        <v>480</v>
      </c>
      <c r="B486" s="11" t="s">
        <v>372</v>
      </c>
      <c r="C486" s="3">
        <v>4</v>
      </c>
      <c r="D486" s="3">
        <v>21</v>
      </c>
      <c r="E486" s="11" t="s">
        <v>552</v>
      </c>
      <c r="F486" s="14">
        <v>699.97699999999998</v>
      </c>
      <c r="G486" s="14">
        <f t="shared" si="55"/>
        <v>0.81200000000001182</v>
      </c>
      <c r="H486" s="14">
        <f t="shared" si="49"/>
        <v>701.26350083752141</v>
      </c>
      <c r="I486" s="14">
        <f t="shared" si="50"/>
        <v>703.80793715053017</v>
      </c>
      <c r="J486" s="14">
        <f t="shared" si="51"/>
        <v>3.1255652114093886</v>
      </c>
      <c r="K486" s="14">
        <f t="shared" si="52"/>
        <v>0.95670805369127299</v>
      </c>
      <c r="L486" s="12" t="str">
        <f t="shared" si="53"/>
        <v/>
      </c>
      <c r="M486" s="12" t="str">
        <f t="shared" si="54"/>
        <v/>
      </c>
    </row>
    <row r="487" spans="1:13" ht="31.5">
      <c r="A487" s="3">
        <v>481</v>
      </c>
      <c r="B487" s="11" t="s">
        <v>372</v>
      </c>
      <c r="C487" s="3">
        <v>4</v>
      </c>
      <c r="D487" s="3">
        <v>20</v>
      </c>
      <c r="E487" s="11" t="s">
        <v>553</v>
      </c>
      <c r="F487" s="14">
        <v>701.11900000000003</v>
      </c>
      <c r="G487" s="14">
        <f t="shared" si="55"/>
        <v>1.1420000000000528</v>
      </c>
      <c r="H487" s="14">
        <f t="shared" si="49"/>
        <v>701.26350083752141</v>
      </c>
      <c r="I487" s="14">
        <f t="shared" si="50"/>
        <v>703.80793715053017</v>
      </c>
      <c r="J487" s="14">
        <f t="shared" si="51"/>
        <v>3.1255652114093886</v>
      </c>
      <c r="K487" s="14">
        <f t="shared" si="52"/>
        <v>0.95670805369127299</v>
      </c>
      <c r="L487" s="12" t="str">
        <f t="shared" si="53"/>
        <v/>
      </c>
      <c r="M487" s="12" t="str">
        <f t="shared" si="54"/>
        <v/>
      </c>
    </row>
    <row r="488" spans="1:13" ht="31.5">
      <c r="A488" s="3">
        <v>482</v>
      </c>
      <c r="B488" s="11" t="s">
        <v>372</v>
      </c>
      <c r="C488" s="3">
        <v>4</v>
      </c>
      <c r="D488" s="3">
        <v>19</v>
      </c>
      <c r="E488" s="11" t="s">
        <v>554</v>
      </c>
      <c r="F488" s="14">
        <v>703.29700000000003</v>
      </c>
      <c r="G488" s="14">
        <f t="shared" si="55"/>
        <v>2.1779999999999973</v>
      </c>
      <c r="H488" s="14">
        <f t="shared" si="49"/>
        <v>701.26350083752141</v>
      </c>
      <c r="I488" s="14">
        <f t="shared" si="50"/>
        <v>703.80793715053017</v>
      </c>
      <c r="J488" s="14">
        <f t="shared" si="51"/>
        <v>3.1255652114093886</v>
      </c>
      <c r="K488" s="14">
        <f t="shared" si="52"/>
        <v>0.95670805369127299</v>
      </c>
      <c r="L488" s="12" t="str">
        <f t="shared" si="53"/>
        <v/>
      </c>
      <c r="M488" s="12" t="str">
        <f t="shared" si="54"/>
        <v/>
      </c>
    </row>
    <row r="489" spans="1:13" ht="31.5">
      <c r="A489" s="3">
        <v>483</v>
      </c>
      <c r="B489" s="11" t="s">
        <v>372</v>
      </c>
      <c r="C489" s="3">
        <v>4</v>
      </c>
      <c r="D489" s="3">
        <v>18</v>
      </c>
      <c r="E489" s="11" t="s">
        <v>555</v>
      </c>
      <c r="F489" s="14">
        <v>701.56899999999996</v>
      </c>
      <c r="G489" s="14">
        <f t="shared" si="55"/>
        <v>1.7280000000000655</v>
      </c>
      <c r="H489" s="14">
        <f t="shared" si="49"/>
        <v>701.26350083752141</v>
      </c>
      <c r="I489" s="14">
        <f t="shared" si="50"/>
        <v>703.80793715053017</v>
      </c>
      <c r="J489" s="14">
        <f t="shared" si="51"/>
        <v>3.1255652114093886</v>
      </c>
      <c r="K489" s="14">
        <f t="shared" si="52"/>
        <v>0.95670805369127299</v>
      </c>
      <c r="L489" s="12" t="str">
        <f t="shared" si="53"/>
        <v/>
      </c>
      <c r="M489" s="12" t="str">
        <f t="shared" si="54"/>
        <v/>
      </c>
    </row>
    <row r="490" spans="1:13" ht="31.5">
      <c r="A490" s="3">
        <v>484</v>
      </c>
      <c r="B490" s="11" t="s">
        <v>372</v>
      </c>
      <c r="C490" s="3">
        <v>4</v>
      </c>
      <c r="D490" s="3">
        <v>17</v>
      </c>
      <c r="E490" s="11" t="s">
        <v>556</v>
      </c>
      <c r="F490" s="14">
        <v>701.20500000000004</v>
      </c>
      <c r="G490" s="14">
        <f t="shared" si="55"/>
        <v>0.36399999999991905</v>
      </c>
      <c r="H490" s="14">
        <f t="shared" si="49"/>
        <v>701.26350083752141</v>
      </c>
      <c r="I490" s="14">
        <f t="shared" si="50"/>
        <v>703.80793715053017</v>
      </c>
      <c r="J490" s="14">
        <f t="shared" si="51"/>
        <v>3.1255652114093886</v>
      </c>
      <c r="K490" s="14">
        <f t="shared" si="52"/>
        <v>0.95670805369127299</v>
      </c>
      <c r="L490" s="12" t="str">
        <f t="shared" si="53"/>
        <v/>
      </c>
      <c r="M490" s="12" t="str">
        <f t="shared" si="54"/>
        <v/>
      </c>
    </row>
    <row r="491" spans="1:13" ht="31.5">
      <c r="A491" s="3">
        <v>485</v>
      </c>
      <c r="B491" s="11" t="s">
        <v>372</v>
      </c>
      <c r="C491" s="3">
        <v>4</v>
      </c>
      <c r="D491" s="3">
        <v>16</v>
      </c>
      <c r="E491" s="11" t="s">
        <v>557</v>
      </c>
      <c r="F491" s="14">
        <v>702.48900000000003</v>
      </c>
      <c r="G491" s="14">
        <f t="shared" si="55"/>
        <v>1.2839999999999918</v>
      </c>
      <c r="H491" s="14">
        <f t="shared" si="49"/>
        <v>701.26350083752141</v>
      </c>
      <c r="I491" s="14">
        <f t="shared" si="50"/>
        <v>703.80793715053017</v>
      </c>
      <c r="J491" s="14">
        <f t="shared" si="51"/>
        <v>3.1255652114093886</v>
      </c>
      <c r="K491" s="14">
        <f t="shared" si="52"/>
        <v>0.95670805369127299</v>
      </c>
      <c r="L491" s="12" t="str">
        <f t="shared" si="53"/>
        <v/>
      </c>
      <c r="M491" s="12" t="str">
        <f t="shared" si="54"/>
        <v/>
      </c>
    </row>
    <row r="492" spans="1:13" ht="31.5">
      <c r="A492" s="3">
        <v>486</v>
      </c>
      <c r="B492" s="11" t="s">
        <v>372</v>
      </c>
      <c r="C492" s="3">
        <v>4</v>
      </c>
      <c r="D492" s="3">
        <v>15</v>
      </c>
      <c r="E492" s="11" t="s">
        <v>558</v>
      </c>
      <c r="F492" s="14">
        <v>702.48099999999999</v>
      </c>
      <c r="G492" s="14">
        <f t="shared" si="55"/>
        <v>8.0000000000381988E-3</v>
      </c>
      <c r="H492" s="14">
        <f t="shared" si="49"/>
        <v>701.26350083752141</v>
      </c>
      <c r="I492" s="14">
        <f t="shared" si="50"/>
        <v>703.80793715053017</v>
      </c>
      <c r="J492" s="14">
        <f t="shared" si="51"/>
        <v>3.1255652114093886</v>
      </c>
      <c r="K492" s="14">
        <f t="shared" si="52"/>
        <v>0.95670805369127299</v>
      </c>
      <c r="L492" s="12" t="str">
        <f t="shared" si="53"/>
        <v/>
      </c>
      <c r="M492" s="12" t="str">
        <f t="shared" si="54"/>
        <v/>
      </c>
    </row>
    <row r="493" spans="1:13" ht="31.5">
      <c r="A493" s="3">
        <v>487</v>
      </c>
      <c r="B493" s="11" t="s">
        <v>372</v>
      </c>
      <c r="C493" s="3">
        <v>4</v>
      </c>
      <c r="D493" s="3">
        <v>14</v>
      </c>
      <c r="E493" s="11" t="s">
        <v>559</v>
      </c>
      <c r="F493" s="14">
        <v>701.04</v>
      </c>
      <c r="G493" s="14">
        <f t="shared" si="55"/>
        <v>1.4410000000000309</v>
      </c>
      <c r="H493" s="14">
        <f t="shared" si="49"/>
        <v>701.26350083752141</v>
      </c>
      <c r="I493" s="14">
        <f t="shared" si="50"/>
        <v>703.80793715053017</v>
      </c>
      <c r="J493" s="14">
        <f t="shared" si="51"/>
        <v>3.1255652114093886</v>
      </c>
      <c r="K493" s="14">
        <f t="shared" si="52"/>
        <v>0.95670805369127299</v>
      </c>
      <c r="L493" s="12" t="str">
        <f t="shared" si="53"/>
        <v/>
      </c>
      <c r="M493" s="12" t="str">
        <f t="shared" si="54"/>
        <v/>
      </c>
    </row>
    <row r="494" spans="1:13" ht="31.5">
      <c r="A494" s="3">
        <v>488</v>
      </c>
      <c r="B494" s="11" t="s">
        <v>372</v>
      </c>
      <c r="C494" s="3">
        <v>4</v>
      </c>
      <c r="D494" s="3">
        <v>13</v>
      </c>
      <c r="E494" s="11" t="s">
        <v>560</v>
      </c>
      <c r="F494" s="14">
        <v>702.02</v>
      </c>
      <c r="G494" s="14">
        <f t="shared" si="55"/>
        <v>0.98000000000001819</v>
      </c>
      <c r="H494" s="14">
        <f t="shared" si="49"/>
        <v>701.26350083752141</v>
      </c>
      <c r="I494" s="14">
        <f t="shared" si="50"/>
        <v>703.80793715053017</v>
      </c>
      <c r="J494" s="14">
        <f t="shared" si="51"/>
        <v>3.1255652114093886</v>
      </c>
      <c r="K494" s="14">
        <f t="shared" si="52"/>
        <v>0.95670805369127299</v>
      </c>
      <c r="L494" s="12" t="str">
        <f t="shared" si="53"/>
        <v/>
      </c>
      <c r="M494" s="12" t="str">
        <f t="shared" si="54"/>
        <v/>
      </c>
    </row>
    <row r="495" spans="1:13" ht="31.5">
      <c r="A495" s="3">
        <v>489</v>
      </c>
      <c r="B495" s="11" t="s">
        <v>372</v>
      </c>
      <c r="C495" s="3">
        <v>4</v>
      </c>
      <c r="D495" s="3">
        <v>12</v>
      </c>
      <c r="E495" s="11" t="s">
        <v>561</v>
      </c>
      <c r="F495" s="14">
        <v>700.90200000000004</v>
      </c>
      <c r="G495" s="14">
        <f t="shared" si="55"/>
        <v>1.1179999999999382</v>
      </c>
      <c r="H495" s="14">
        <f t="shared" si="49"/>
        <v>701.26350083752141</v>
      </c>
      <c r="I495" s="14">
        <f t="shared" si="50"/>
        <v>703.80793715053017</v>
      </c>
      <c r="J495" s="14">
        <f t="shared" si="51"/>
        <v>3.1255652114093886</v>
      </c>
      <c r="K495" s="14">
        <f t="shared" si="52"/>
        <v>0.95670805369127299</v>
      </c>
      <c r="L495" s="12" t="str">
        <f t="shared" si="53"/>
        <v/>
      </c>
      <c r="M495" s="12" t="str">
        <f t="shared" si="54"/>
        <v/>
      </c>
    </row>
    <row r="496" spans="1:13" ht="31.5">
      <c r="A496" s="3">
        <v>490</v>
      </c>
      <c r="B496" s="11" t="s">
        <v>372</v>
      </c>
      <c r="C496" s="3">
        <v>4</v>
      </c>
      <c r="D496" s="3">
        <v>11</v>
      </c>
      <c r="E496" s="11" t="s">
        <v>562</v>
      </c>
      <c r="F496" s="14">
        <v>703.00900000000001</v>
      </c>
      <c r="G496" s="14">
        <f t="shared" si="55"/>
        <v>2.1069999999999709</v>
      </c>
      <c r="H496" s="14">
        <f t="shared" si="49"/>
        <v>701.26350083752141</v>
      </c>
      <c r="I496" s="14">
        <f t="shared" si="50"/>
        <v>703.80793715053017</v>
      </c>
      <c r="J496" s="14">
        <f t="shared" si="51"/>
        <v>3.1255652114093886</v>
      </c>
      <c r="K496" s="14">
        <f t="shared" si="52"/>
        <v>0.95670805369127299</v>
      </c>
      <c r="L496" s="12" t="str">
        <f t="shared" si="53"/>
        <v/>
      </c>
      <c r="M496" s="12" t="str">
        <f t="shared" si="54"/>
        <v/>
      </c>
    </row>
    <row r="497" spans="1:13" ht="31.5">
      <c r="A497" s="3">
        <v>491</v>
      </c>
      <c r="B497" s="11" t="s">
        <v>372</v>
      </c>
      <c r="C497" s="3">
        <v>4</v>
      </c>
      <c r="D497" s="3">
        <v>10</v>
      </c>
      <c r="E497" s="11" t="s">
        <v>563</v>
      </c>
      <c r="F497" s="14">
        <v>700.20399999999995</v>
      </c>
      <c r="G497" s="14">
        <f t="shared" si="55"/>
        <v>2.8050000000000637</v>
      </c>
      <c r="H497" s="14">
        <f t="shared" si="49"/>
        <v>701.26350083752141</v>
      </c>
      <c r="I497" s="14">
        <f t="shared" si="50"/>
        <v>703.80793715053017</v>
      </c>
      <c r="J497" s="14">
        <f t="shared" si="51"/>
        <v>3.1255652114093886</v>
      </c>
      <c r="K497" s="14">
        <f t="shared" si="52"/>
        <v>0.95670805369127299</v>
      </c>
      <c r="L497" s="12" t="str">
        <f t="shared" si="53"/>
        <v/>
      </c>
      <c r="M497" s="12" t="str">
        <f t="shared" si="54"/>
        <v/>
      </c>
    </row>
    <row r="498" spans="1:13" ht="31.5">
      <c r="A498" s="3">
        <v>492</v>
      </c>
      <c r="B498" s="11" t="s">
        <v>372</v>
      </c>
      <c r="C498" s="3">
        <v>4</v>
      </c>
      <c r="D498" s="3">
        <v>9</v>
      </c>
      <c r="E498" s="11" t="s">
        <v>564</v>
      </c>
      <c r="F498" s="14">
        <v>701.399</v>
      </c>
      <c r="G498" s="14">
        <f t="shared" si="55"/>
        <v>1.19500000000005</v>
      </c>
      <c r="H498" s="14">
        <f t="shared" si="49"/>
        <v>701.26350083752141</v>
      </c>
      <c r="I498" s="14">
        <f t="shared" si="50"/>
        <v>703.80793715053017</v>
      </c>
      <c r="J498" s="14">
        <f t="shared" si="51"/>
        <v>3.1255652114093886</v>
      </c>
      <c r="K498" s="14">
        <f t="shared" si="52"/>
        <v>0.95670805369127299</v>
      </c>
      <c r="L498" s="12" t="str">
        <f t="shared" si="53"/>
        <v/>
      </c>
      <c r="M498" s="12" t="str">
        <f t="shared" si="54"/>
        <v/>
      </c>
    </row>
    <row r="499" spans="1:13" ht="31.5">
      <c r="A499" s="3">
        <v>493</v>
      </c>
      <c r="B499" s="11" t="s">
        <v>372</v>
      </c>
      <c r="C499" s="3">
        <v>4</v>
      </c>
      <c r="D499" s="3">
        <v>8</v>
      </c>
      <c r="E499" s="11" t="s">
        <v>565</v>
      </c>
      <c r="F499" s="14">
        <v>701.10400000000004</v>
      </c>
      <c r="G499" s="14">
        <f t="shared" si="55"/>
        <v>0.29499999999995907</v>
      </c>
      <c r="H499" s="14">
        <f t="shared" si="49"/>
        <v>701.26350083752141</v>
      </c>
      <c r="I499" s="14">
        <f t="shared" si="50"/>
        <v>703.80793715053017</v>
      </c>
      <c r="J499" s="14">
        <f t="shared" si="51"/>
        <v>3.1255652114093886</v>
      </c>
      <c r="K499" s="14">
        <f t="shared" si="52"/>
        <v>0.95670805369127299</v>
      </c>
      <c r="L499" s="12" t="str">
        <f t="shared" si="53"/>
        <v/>
      </c>
      <c r="M499" s="12" t="str">
        <f t="shared" si="54"/>
        <v/>
      </c>
    </row>
    <row r="500" spans="1:13" ht="31.5">
      <c r="A500" s="3">
        <v>494</v>
      </c>
      <c r="B500" s="11" t="s">
        <v>372</v>
      </c>
      <c r="C500" s="3">
        <v>4</v>
      </c>
      <c r="D500" s="3">
        <v>7</v>
      </c>
      <c r="E500" s="11" t="s">
        <v>566</v>
      </c>
      <c r="F500" s="14">
        <v>701.70399999999995</v>
      </c>
      <c r="G500" s="14">
        <f t="shared" si="55"/>
        <v>0.59999999999990905</v>
      </c>
      <c r="H500" s="14">
        <f t="shared" si="49"/>
        <v>701.26350083752141</v>
      </c>
      <c r="I500" s="14">
        <f t="shared" si="50"/>
        <v>703.80793715053017</v>
      </c>
      <c r="J500" s="14">
        <f t="shared" si="51"/>
        <v>3.1255652114093886</v>
      </c>
      <c r="K500" s="14">
        <f t="shared" si="52"/>
        <v>0.95670805369127299</v>
      </c>
      <c r="L500" s="12" t="str">
        <f t="shared" si="53"/>
        <v/>
      </c>
      <c r="M500" s="12" t="str">
        <f t="shared" si="54"/>
        <v/>
      </c>
    </row>
    <row r="501" spans="1:13" ht="31.5">
      <c r="A501" s="3">
        <v>495</v>
      </c>
      <c r="B501" s="11" t="s">
        <v>372</v>
      </c>
      <c r="C501" s="3">
        <v>4</v>
      </c>
      <c r="D501" s="3">
        <v>6</v>
      </c>
      <c r="E501" s="11" t="s">
        <v>567</v>
      </c>
      <c r="F501" s="14">
        <v>700.03899999999999</v>
      </c>
      <c r="G501" s="14">
        <f t="shared" si="55"/>
        <v>1.6649999999999636</v>
      </c>
      <c r="H501" s="14">
        <f t="shared" si="49"/>
        <v>701.26350083752141</v>
      </c>
      <c r="I501" s="14">
        <f t="shared" si="50"/>
        <v>703.80793715053017</v>
      </c>
      <c r="J501" s="14">
        <f t="shared" si="51"/>
        <v>3.1255652114093886</v>
      </c>
      <c r="K501" s="14">
        <f t="shared" si="52"/>
        <v>0.95670805369127299</v>
      </c>
      <c r="L501" s="12" t="str">
        <f t="shared" si="53"/>
        <v/>
      </c>
      <c r="M501" s="12" t="str">
        <f t="shared" si="54"/>
        <v/>
      </c>
    </row>
    <row r="502" spans="1:13" ht="31.5">
      <c r="A502" s="3">
        <v>496</v>
      </c>
      <c r="B502" s="11" t="s">
        <v>372</v>
      </c>
      <c r="C502" s="3">
        <v>4</v>
      </c>
      <c r="D502" s="3">
        <v>5</v>
      </c>
      <c r="E502" s="11" t="s">
        <v>568</v>
      </c>
      <c r="F502" s="14">
        <v>699.61</v>
      </c>
      <c r="G502" s="14">
        <f t="shared" si="55"/>
        <v>0.42899999999997362</v>
      </c>
      <c r="H502" s="14">
        <f t="shared" si="49"/>
        <v>701.26350083752141</v>
      </c>
      <c r="I502" s="14">
        <f t="shared" si="50"/>
        <v>703.80793715053017</v>
      </c>
      <c r="J502" s="14">
        <f t="shared" si="51"/>
        <v>3.1255652114093886</v>
      </c>
      <c r="K502" s="14">
        <f t="shared" si="52"/>
        <v>0.95670805369127299</v>
      </c>
      <c r="L502" s="12" t="str">
        <f t="shared" si="53"/>
        <v/>
      </c>
      <c r="M502" s="12" t="str">
        <f t="shared" si="54"/>
        <v/>
      </c>
    </row>
    <row r="503" spans="1:13" ht="31.5">
      <c r="A503" s="3">
        <v>497</v>
      </c>
      <c r="B503" s="11" t="s">
        <v>372</v>
      </c>
      <c r="C503" s="3">
        <v>4</v>
      </c>
      <c r="D503" s="3">
        <v>4</v>
      </c>
      <c r="E503" s="11" t="s">
        <v>569</v>
      </c>
      <c r="F503" s="14">
        <v>703.66899999999998</v>
      </c>
      <c r="G503" s="14">
        <f t="shared" si="55"/>
        <v>4.0589999999999691</v>
      </c>
      <c r="H503" s="14">
        <f t="shared" si="49"/>
        <v>701.26350083752141</v>
      </c>
      <c r="I503" s="14">
        <f t="shared" si="50"/>
        <v>703.80793715053017</v>
      </c>
      <c r="J503" s="14">
        <f t="shared" si="51"/>
        <v>3.1255652114093886</v>
      </c>
      <c r="K503" s="14">
        <f t="shared" si="52"/>
        <v>0.95670805369127299</v>
      </c>
      <c r="L503" s="12" t="str">
        <f t="shared" si="53"/>
        <v/>
      </c>
      <c r="M503" s="12" t="str">
        <f t="shared" si="54"/>
        <v/>
      </c>
    </row>
    <row r="504" spans="1:13" ht="31.5">
      <c r="A504" s="3">
        <v>498</v>
      </c>
      <c r="B504" s="11" t="s">
        <v>372</v>
      </c>
      <c r="C504" s="3">
        <v>4</v>
      </c>
      <c r="D504" s="3">
        <v>3</v>
      </c>
      <c r="E504" s="11" t="s">
        <v>570</v>
      </c>
      <c r="F504" s="14">
        <v>703.03499999999997</v>
      </c>
      <c r="G504" s="14">
        <f t="shared" si="55"/>
        <v>0.63400000000001455</v>
      </c>
      <c r="H504" s="14">
        <f t="shared" si="49"/>
        <v>701.26350083752141</v>
      </c>
      <c r="I504" s="14">
        <f t="shared" si="50"/>
        <v>703.80793715053017</v>
      </c>
      <c r="J504" s="14">
        <f t="shared" si="51"/>
        <v>3.1255652114093886</v>
      </c>
      <c r="K504" s="14">
        <f t="shared" si="52"/>
        <v>0.95670805369127299</v>
      </c>
      <c r="L504" s="12" t="str">
        <f t="shared" si="53"/>
        <v/>
      </c>
      <c r="M504" s="12" t="str">
        <f t="shared" si="54"/>
        <v/>
      </c>
    </row>
    <row r="505" spans="1:13" ht="31.5">
      <c r="A505" s="3">
        <v>499</v>
      </c>
      <c r="B505" s="11" t="s">
        <v>372</v>
      </c>
      <c r="C505" s="3">
        <v>4</v>
      </c>
      <c r="D505" s="3">
        <v>2</v>
      </c>
      <c r="E505" s="11" t="s">
        <v>571</v>
      </c>
      <c r="F505" s="14">
        <v>703.64099999999996</v>
      </c>
      <c r="G505" s="14">
        <f t="shared" si="55"/>
        <v>0.60599999999999454</v>
      </c>
      <c r="H505" s="14">
        <f t="shared" si="49"/>
        <v>701.26350083752141</v>
      </c>
      <c r="I505" s="14">
        <f t="shared" si="50"/>
        <v>703.80793715053017</v>
      </c>
      <c r="J505" s="14">
        <f t="shared" si="51"/>
        <v>3.1255652114093886</v>
      </c>
      <c r="K505" s="14">
        <f t="shared" si="52"/>
        <v>0.95670805369127299</v>
      </c>
      <c r="L505" s="12" t="str">
        <f t="shared" si="53"/>
        <v/>
      </c>
      <c r="M505" s="12" t="str">
        <f t="shared" si="54"/>
        <v/>
      </c>
    </row>
    <row r="506" spans="1:13" ht="31.5">
      <c r="A506" s="3">
        <v>500</v>
      </c>
      <c r="B506" s="11" t="s">
        <v>372</v>
      </c>
      <c r="C506" s="3">
        <v>4</v>
      </c>
      <c r="D506" s="3">
        <v>1</v>
      </c>
      <c r="E506" s="11" t="s">
        <v>572</v>
      </c>
      <c r="F506" s="14">
        <v>702.86500000000001</v>
      </c>
      <c r="G506" s="14">
        <f t="shared" si="55"/>
        <v>0.77599999999995362</v>
      </c>
      <c r="H506" s="14">
        <f t="shared" si="49"/>
        <v>701.26350083752141</v>
      </c>
      <c r="I506" s="14">
        <f t="shared" si="50"/>
        <v>703.80793715053017</v>
      </c>
      <c r="J506" s="14">
        <f t="shared" si="51"/>
        <v>3.1255652114093886</v>
      </c>
      <c r="K506" s="14">
        <f t="shared" si="52"/>
        <v>0.95670805369127299</v>
      </c>
      <c r="L506" s="12" t="str">
        <f t="shared" si="53"/>
        <v/>
      </c>
      <c r="M506" s="12" t="str">
        <f t="shared" si="54"/>
        <v/>
      </c>
    </row>
    <row r="507" spans="1:13" ht="31.5">
      <c r="A507" s="3">
        <v>501</v>
      </c>
      <c r="B507" s="11" t="s">
        <v>372</v>
      </c>
      <c r="C507" s="3">
        <v>5</v>
      </c>
      <c r="D507" s="3">
        <v>25</v>
      </c>
      <c r="E507" s="11" t="s">
        <v>573</v>
      </c>
      <c r="F507" s="14">
        <v>700.846</v>
      </c>
      <c r="G507" s="14">
        <f t="shared" si="55"/>
        <v>2.0190000000000055</v>
      </c>
      <c r="H507" s="14">
        <f t="shared" si="49"/>
        <v>701.26350083752141</v>
      </c>
      <c r="I507" s="14">
        <f t="shared" si="50"/>
        <v>703.80793715053017</v>
      </c>
      <c r="J507" s="14">
        <f t="shared" si="51"/>
        <v>3.1255652114093886</v>
      </c>
      <c r="K507" s="14">
        <f t="shared" si="52"/>
        <v>0.95670805369127299</v>
      </c>
      <c r="L507" s="12" t="str">
        <f t="shared" si="53"/>
        <v/>
      </c>
      <c r="M507" s="12" t="str">
        <f t="shared" si="54"/>
        <v/>
      </c>
    </row>
    <row r="508" spans="1:13" ht="31.5">
      <c r="A508" s="3">
        <v>502</v>
      </c>
      <c r="B508" s="11" t="s">
        <v>372</v>
      </c>
      <c r="C508" s="3">
        <v>5</v>
      </c>
      <c r="D508" s="3">
        <v>24</v>
      </c>
      <c r="E508" s="11" t="s">
        <v>574</v>
      </c>
      <c r="F508" s="14">
        <v>701.22400000000005</v>
      </c>
      <c r="G508" s="14">
        <f t="shared" si="55"/>
        <v>0.37800000000004275</v>
      </c>
      <c r="H508" s="14">
        <f t="shared" si="49"/>
        <v>701.26350083752141</v>
      </c>
      <c r="I508" s="14">
        <f t="shared" si="50"/>
        <v>703.80793715053017</v>
      </c>
      <c r="J508" s="14">
        <f t="shared" si="51"/>
        <v>3.1255652114093886</v>
      </c>
      <c r="K508" s="14">
        <f t="shared" si="52"/>
        <v>0.95670805369127299</v>
      </c>
      <c r="L508" s="12" t="str">
        <f t="shared" si="53"/>
        <v/>
      </c>
      <c r="M508" s="12" t="str">
        <f t="shared" si="54"/>
        <v/>
      </c>
    </row>
    <row r="509" spans="1:13" ht="31.5">
      <c r="A509" s="3">
        <v>503</v>
      </c>
      <c r="B509" s="11" t="s">
        <v>372</v>
      </c>
      <c r="C509" s="3">
        <v>5</v>
      </c>
      <c r="D509" s="3">
        <v>23</v>
      </c>
      <c r="E509" s="11" t="s">
        <v>575</v>
      </c>
      <c r="F509" s="14">
        <v>703.40499999999997</v>
      </c>
      <c r="G509" s="14">
        <f t="shared" si="55"/>
        <v>2.1809999999999263</v>
      </c>
      <c r="H509" s="14">
        <f t="shared" si="49"/>
        <v>701.26350083752141</v>
      </c>
      <c r="I509" s="14">
        <f t="shared" si="50"/>
        <v>703.80793715053017</v>
      </c>
      <c r="J509" s="14">
        <f t="shared" si="51"/>
        <v>3.1255652114093886</v>
      </c>
      <c r="K509" s="14">
        <f t="shared" si="52"/>
        <v>0.95670805369127299</v>
      </c>
      <c r="L509" s="12" t="str">
        <f t="shared" si="53"/>
        <v/>
      </c>
      <c r="M509" s="12" t="str">
        <f t="shared" si="54"/>
        <v/>
      </c>
    </row>
    <row r="510" spans="1:13" ht="31.5">
      <c r="A510" s="3">
        <v>504</v>
      </c>
      <c r="B510" s="11" t="s">
        <v>372</v>
      </c>
      <c r="C510" s="3">
        <v>5</v>
      </c>
      <c r="D510" s="3">
        <v>22</v>
      </c>
      <c r="E510" s="11" t="s">
        <v>576</v>
      </c>
      <c r="F510" s="14">
        <v>702.28899999999999</v>
      </c>
      <c r="G510" s="14">
        <f t="shared" si="55"/>
        <v>1.1159999999999854</v>
      </c>
      <c r="H510" s="14">
        <f t="shared" si="49"/>
        <v>701.26350083752141</v>
      </c>
      <c r="I510" s="14">
        <f t="shared" si="50"/>
        <v>703.80793715053017</v>
      </c>
      <c r="J510" s="14">
        <f t="shared" si="51"/>
        <v>3.1255652114093886</v>
      </c>
      <c r="K510" s="14">
        <f t="shared" si="52"/>
        <v>0.95670805369127299</v>
      </c>
      <c r="L510" s="12" t="str">
        <f t="shared" si="53"/>
        <v/>
      </c>
      <c r="M510" s="12" t="str">
        <f t="shared" si="54"/>
        <v/>
      </c>
    </row>
    <row r="511" spans="1:13" ht="31.5">
      <c r="A511" s="3">
        <v>505</v>
      </c>
      <c r="B511" s="11" t="s">
        <v>372</v>
      </c>
      <c r="C511" s="3">
        <v>5</v>
      </c>
      <c r="D511" s="3">
        <v>21</v>
      </c>
      <c r="E511" s="11" t="s">
        <v>577</v>
      </c>
      <c r="F511" s="14">
        <v>700.85599999999999</v>
      </c>
      <c r="G511" s="14">
        <f t="shared" si="55"/>
        <v>1.4329999999999927</v>
      </c>
      <c r="H511" s="14">
        <f t="shared" si="49"/>
        <v>701.26350083752141</v>
      </c>
      <c r="I511" s="14">
        <f t="shared" si="50"/>
        <v>703.80793715053017</v>
      </c>
      <c r="J511" s="14">
        <f t="shared" si="51"/>
        <v>3.1255652114093886</v>
      </c>
      <c r="K511" s="14">
        <f t="shared" si="52"/>
        <v>0.95670805369127299</v>
      </c>
      <c r="L511" s="12" t="str">
        <f t="shared" si="53"/>
        <v/>
      </c>
      <c r="M511" s="12" t="str">
        <f t="shared" si="54"/>
        <v/>
      </c>
    </row>
    <row r="512" spans="1:13" ht="31.5">
      <c r="A512" s="3">
        <v>506</v>
      </c>
      <c r="B512" s="11" t="s">
        <v>372</v>
      </c>
      <c r="C512" s="3">
        <v>5</v>
      </c>
      <c r="D512" s="3">
        <v>20</v>
      </c>
      <c r="E512" s="11" t="s">
        <v>578</v>
      </c>
      <c r="F512" s="14">
        <v>700.75900000000001</v>
      </c>
      <c r="G512" s="14">
        <f t="shared" si="55"/>
        <v>9.6999999999979991E-2</v>
      </c>
      <c r="H512" s="14">
        <f t="shared" si="49"/>
        <v>701.26350083752141</v>
      </c>
      <c r="I512" s="14">
        <f t="shared" si="50"/>
        <v>703.80793715053017</v>
      </c>
      <c r="J512" s="14">
        <f t="shared" si="51"/>
        <v>3.1255652114093886</v>
      </c>
      <c r="K512" s="14">
        <f t="shared" si="52"/>
        <v>0.95670805369127299</v>
      </c>
      <c r="L512" s="12" t="str">
        <f t="shared" si="53"/>
        <v/>
      </c>
      <c r="M512" s="12" t="str">
        <f t="shared" si="54"/>
        <v/>
      </c>
    </row>
    <row r="513" spans="1:13" ht="31.5">
      <c r="A513" s="3">
        <v>507</v>
      </c>
      <c r="B513" s="11" t="s">
        <v>372</v>
      </c>
      <c r="C513" s="3">
        <v>5</v>
      </c>
      <c r="D513" s="3">
        <v>19</v>
      </c>
      <c r="E513" s="11" t="s">
        <v>579</v>
      </c>
      <c r="F513" s="14">
        <v>701.41099999999994</v>
      </c>
      <c r="G513" s="14">
        <f t="shared" si="55"/>
        <v>0.65199999999992997</v>
      </c>
      <c r="H513" s="14">
        <f t="shared" si="49"/>
        <v>701.26350083752141</v>
      </c>
      <c r="I513" s="14">
        <f t="shared" si="50"/>
        <v>703.80793715053017</v>
      </c>
      <c r="J513" s="14">
        <f t="shared" si="51"/>
        <v>3.1255652114093886</v>
      </c>
      <c r="K513" s="14">
        <f t="shared" si="52"/>
        <v>0.95670805369127299</v>
      </c>
      <c r="L513" s="12" t="str">
        <f t="shared" si="53"/>
        <v/>
      </c>
      <c r="M513" s="12" t="str">
        <f t="shared" si="54"/>
        <v/>
      </c>
    </row>
    <row r="514" spans="1:13" ht="31.5">
      <c r="A514" s="3">
        <v>508</v>
      </c>
      <c r="B514" s="11" t="s">
        <v>372</v>
      </c>
      <c r="C514" s="3">
        <v>5</v>
      </c>
      <c r="D514" s="3">
        <v>18</v>
      </c>
      <c r="E514" s="11" t="s">
        <v>580</v>
      </c>
      <c r="F514" s="14">
        <v>700.428</v>
      </c>
      <c r="G514" s="14">
        <f t="shared" si="55"/>
        <v>0.98299999999994725</v>
      </c>
      <c r="H514" s="14">
        <f t="shared" si="49"/>
        <v>701.26350083752141</v>
      </c>
      <c r="I514" s="14">
        <f t="shared" si="50"/>
        <v>703.80793715053017</v>
      </c>
      <c r="J514" s="14">
        <f t="shared" si="51"/>
        <v>3.1255652114093886</v>
      </c>
      <c r="K514" s="14">
        <f t="shared" si="52"/>
        <v>0.95670805369127299</v>
      </c>
      <c r="L514" s="12" t="str">
        <f t="shared" si="53"/>
        <v/>
      </c>
      <c r="M514" s="12" t="str">
        <f t="shared" si="54"/>
        <v/>
      </c>
    </row>
    <row r="515" spans="1:13" ht="31.5">
      <c r="A515" s="3">
        <v>509</v>
      </c>
      <c r="B515" s="11" t="s">
        <v>372</v>
      </c>
      <c r="C515" s="3">
        <v>5</v>
      </c>
      <c r="D515" s="3">
        <v>17</v>
      </c>
      <c r="E515" s="11" t="s">
        <v>581</v>
      </c>
      <c r="F515" s="14">
        <v>701.28399999999999</v>
      </c>
      <c r="G515" s="14">
        <f t="shared" si="55"/>
        <v>0.85599999999999454</v>
      </c>
      <c r="H515" s="14">
        <f t="shared" si="49"/>
        <v>701.26350083752141</v>
      </c>
      <c r="I515" s="14">
        <f t="shared" si="50"/>
        <v>703.80793715053017</v>
      </c>
      <c r="J515" s="14">
        <f t="shared" si="51"/>
        <v>3.1255652114093886</v>
      </c>
      <c r="K515" s="14">
        <f t="shared" si="52"/>
        <v>0.95670805369127299</v>
      </c>
      <c r="L515" s="12" t="str">
        <f t="shared" si="53"/>
        <v/>
      </c>
      <c r="M515" s="12" t="str">
        <f t="shared" si="54"/>
        <v/>
      </c>
    </row>
    <row r="516" spans="1:13" ht="31.5">
      <c r="A516" s="3">
        <v>510</v>
      </c>
      <c r="B516" s="11" t="s">
        <v>372</v>
      </c>
      <c r="C516" s="3">
        <v>5</v>
      </c>
      <c r="D516" s="3">
        <v>16</v>
      </c>
      <c r="E516" s="11" t="s">
        <v>582</v>
      </c>
      <c r="F516" s="14">
        <v>703.02300000000002</v>
      </c>
      <c r="G516" s="14">
        <f t="shared" si="55"/>
        <v>1.7390000000000327</v>
      </c>
      <c r="H516" s="14">
        <f t="shared" si="49"/>
        <v>701.26350083752141</v>
      </c>
      <c r="I516" s="14">
        <f t="shared" si="50"/>
        <v>703.80793715053017</v>
      </c>
      <c r="J516" s="14">
        <f t="shared" si="51"/>
        <v>3.1255652114093886</v>
      </c>
      <c r="K516" s="14">
        <f t="shared" si="52"/>
        <v>0.95670805369127299</v>
      </c>
      <c r="L516" s="12" t="str">
        <f t="shared" si="53"/>
        <v/>
      </c>
      <c r="M516" s="12" t="str">
        <f t="shared" si="54"/>
        <v/>
      </c>
    </row>
    <row r="517" spans="1:13" ht="31.5">
      <c r="A517" s="3">
        <v>511</v>
      </c>
      <c r="B517" s="11" t="s">
        <v>372</v>
      </c>
      <c r="C517" s="3">
        <v>5</v>
      </c>
      <c r="D517" s="3">
        <v>15</v>
      </c>
      <c r="E517" s="11" t="s">
        <v>583</v>
      </c>
      <c r="F517" s="14">
        <v>700.65700000000004</v>
      </c>
      <c r="G517" s="14">
        <f t="shared" si="55"/>
        <v>2.3659999999999854</v>
      </c>
      <c r="H517" s="14">
        <f t="shared" si="49"/>
        <v>701.26350083752141</v>
      </c>
      <c r="I517" s="14">
        <f t="shared" si="50"/>
        <v>703.80793715053017</v>
      </c>
      <c r="J517" s="14">
        <f t="shared" si="51"/>
        <v>3.1255652114093886</v>
      </c>
      <c r="K517" s="14">
        <f t="shared" si="52"/>
        <v>0.95670805369127299</v>
      </c>
      <c r="L517" s="12" t="str">
        <f t="shared" si="53"/>
        <v/>
      </c>
      <c r="M517" s="12" t="str">
        <f t="shared" si="54"/>
        <v/>
      </c>
    </row>
    <row r="518" spans="1:13" ht="31.5">
      <c r="A518" s="3">
        <v>512</v>
      </c>
      <c r="B518" s="11" t="s">
        <v>372</v>
      </c>
      <c r="C518" s="3">
        <v>5</v>
      </c>
      <c r="D518" s="3">
        <v>14</v>
      </c>
      <c r="E518" s="11" t="s">
        <v>584</v>
      </c>
      <c r="F518" s="14">
        <v>700.49300000000005</v>
      </c>
      <c r="G518" s="14">
        <f t="shared" si="55"/>
        <v>0.16399999999998727</v>
      </c>
      <c r="H518" s="14">
        <f t="shared" si="49"/>
        <v>701.26350083752141</v>
      </c>
      <c r="I518" s="14">
        <f t="shared" si="50"/>
        <v>703.80793715053017</v>
      </c>
      <c r="J518" s="14">
        <f t="shared" si="51"/>
        <v>3.1255652114093886</v>
      </c>
      <c r="K518" s="14">
        <f t="shared" si="52"/>
        <v>0.95670805369127299</v>
      </c>
      <c r="L518" s="12" t="str">
        <f t="shared" si="53"/>
        <v/>
      </c>
      <c r="M518" s="12" t="str">
        <f t="shared" si="54"/>
        <v/>
      </c>
    </row>
    <row r="519" spans="1:13" ht="31.5">
      <c r="A519" s="3">
        <v>513</v>
      </c>
      <c r="B519" s="11" t="s">
        <v>372</v>
      </c>
      <c r="C519" s="3">
        <v>5</v>
      </c>
      <c r="D519" s="3">
        <v>13</v>
      </c>
      <c r="E519" s="11" t="s">
        <v>585</v>
      </c>
      <c r="F519" s="14">
        <v>701.83900000000006</v>
      </c>
      <c r="G519" s="14">
        <f t="shared" si="55"/>
        <v>1.3460000000000036</v>
      </c>
      <c r="H519" s="14">
        <f t="shared" si="49"/>
        <v>701.26350083752141</v>
      </c>
      <c r="I519" s="14">
        <f t="shared" si="50"/>
        <v>703.80793715053017</v>
      </c>
      <c r="J519" s="14">
        <f t="shared" si="51"/>
        <v>3.1255652114093886</v>
      </c>
      <c r="K519" s="14">
        <f t="shared" si="52"/>
        <v>0.95670805369127299</v>
      </c>
      <c r="L519" s="12" t="str">
        <f t="shared" si="53"/>
        <v/>
      </c>
      <c r="M519" s="12" t="str">
        <f t="shared" si="54"/>
        <v/>
      </c>
    </row>
    <row r="520" spans="1:13" ht="31.5">
      <c r="A520" s="3">
        <v>514</v>
      </c>
      <c r="B520" s="11" t="s">
        <v>372</v>
      </c>
      <c r="C520" s="3">
        <v>5</v>
      </c>
      <c r="D520" s="3">
        <v>12</v>
      </c>
      <c r="E520" s="11" t="s">
        <v>586</v>
      </c>
      <c r="F520" s="14">
        <v>702.20399999999995</v>
      </c>
      <c r="G520" s="14">
        <f t="shared" si="55"/>
        <v>0.36499999999989541</v>
      </c>
      <c r="H520" s="14">
        <f t="shared" si="49"/>
        <v>701.26350083752141</v>
      </c>
      <c r="I520" s="14">
        <f t="shared" si="50"/>
        <v>703.80793715053017</v>
      </c>
      <c r="J520" s="14">
        <f t="shared" si="51"/>
        <v>3.1255652114093886</v>
      </c>
      <c r="K520" s="14">
        <f t="shared" si="52"/>
        <v>0.95670805369127299</v>
      </c>
      <c r="L520" s="12" t="str">
        <f t="shared" si="53"/>
        <v/>
      </c>
      <c r="M520" s="12" t="str">
        <f t="shared" si="54"/>
        <v/>
      </c>
    </row>
    <row r="521" spans="1:13" ht="31.5">
      <c r="A521" s="3">
        <v>515</v>
      </c>
      <c r="B521" s="11" t="s">
        <v>372</v>
      </c>
      <c r="C521" s="3">
        <v>5</v>
      </c>
      <c r="D521" s="3">
        <v>11</v>
      </c>
      <c r="E521" s="11" t="s">
        <v>587</v>
      </c>
      <c r="F521" s="14">
        <v>701.31500000000005</v>
      </c>
      <c r="G521" s="14">
        <f t="shared" si="55"/>
        <v>0.88899999999989632</v>
      </c>
      <c r="H521" s="14">
        <f t="shared" si="49"/>
        <v>701.26350083752141</v>
      </c>
      <c r="I521" s="14">
        <f t="shared" si="50"/>
        <v>703.80793715053017</v>
      </c>
      <c r="J521" s="14">
        <f t="shared" si="51"/>
        <v>3.1255652114093886</v>
      </c>
      <c r="K521" s="14">
        <f t="shared" si="52"/>
        <v>0.95670805369127299</v>
      </c>
      <c r="L521" s="12" t="str">
        <f t="shared" si="53"/>
        <v/>
      </c>
      <c r="M521" s="12" t="str">
        <f t="shared" si="54"/>
        <v/>
      </c>
    </row>
    <row r="522" spans="1:13" ht="31.5">
      <c r="A522" s="3">
        <v>516</v>
      </c>
      <c r="B522" s="11" t="s">
        <v>372</v>
      </c>
      <c r="C522" s="3">
        <v>5</v>
      </c>
      <c r="D522" s="3">
        <v>10</v>
      </c>
      <c r="E522" s="11" t="s">
        <v>588</v>
      </c>
      <c r="F522" s="14">
        <v>701.72</v>
      </c>
      <c r="G522" s="14">
        <f t="shared" si="55"/>
        <v>0.40499999999997272</v>
      </c>
      <c r="H522" s="14">
        <f t="shared" ref="H522:H585" si="56">$F$4</f>
        <v>701.26350083752141</v>
      </c>
      <c r="I522" s="14">
        <f t="shared" ref="I522:I585" si="57">$F$7</f>
        <v>703.80793715053017</v>
      </c>
      <c r="J522" s="14">
        <f t="shared" ref="J522:J585" si="58">$F$8</f>
        <v>3.1255652114093886</v>
      </c>
      <c r="K522" s="14">
        <f t="shared" ref="K522:K585" si="59">$F$5</f>
        <v>0.95670805369127299</v>
      </c>
      <c r="L522" s="12" t="str">
        <f t="shared" ref="L522:L585" si="60">IF(F522&gt;$F$7,"OOC","" )</f>
        <v/>
      </c>
      <c r="M522" s="12" t="str">
        <f t="shared" ref="M522:M585" si="61">IF(F522&gt;$B$4,"OOS","" )</f>
        <v/>
      </c>
    </row>
    <row r="523" spans="1:13" ht="31.5">
      <c r="A523" s="3">
        <v>517</v>
      </c>
      <c r="B523" s="11" t="s">
        <v>372</v>
      </c>
      <c r="C523" s="3">
        <v>5</v>
      </c>
      <c r="D523" s="3">
        <v>9</v>
      </c>
      <c r="E523" s="11" t="s">
        <v>589</v>
      </c>
      <c r="F523" s="14">
        <v>702.88499999999999</v>
      </c>
      <c r="G523" s="14">
        <f t="shared" ref="G523:G586" si="62">ABS(F523-F522)</f>
        <v>1.1649999999999636</v>
      </c>
      <c r="H523" s="14">
        <f t="shared" si="56"/>
        <v>701.26350083752141</v>
      </c>
      <c r="I523" s="14">
        <f t="shared" si="57"/>
        <v>703.80793715053017</v>
      </c>
      <c r="J523" s="14">
        <f t="shared" si="58"/>
        <v>3.1255652114093886</v>
      </c>
      <c r="K523" s="14">
        <f t="shared" si="59"/>
        <v>0.95670805369127299</v>
      </c>
      <c r="L523" s="12" t="str">
        <f t="shared" si="60"/>
        <v/>
      </c>
      <c r="M523" s="12" t="str">
        <f t="shared" si="61"/>
        <v/>
      </c>
    </row>
    <row r="524" spans="1:13" ht="31.5">
      <c r="A524" s="3">
        <v>518</v>
      </c>
      <c r="B524" s="11" t="s">
        <v>372</v>
      </c>
      <c r="C524" s="3">
        <v>5</v>
      </c>
      <c r="D524" s="3">
        <v>8</v>
      </c>
      <c r="E524" s="11" t="s">
        <v>590</v>
      </c>
      <c r="F524" s="14">
        <v>700.89800000000002</v>
      </c>
      <c r="G524" s="14">
        <f t="shared" si="62"/>
        <v>1.9869999999999663</v>
      </c>
      <c r="H524" s="14">
        <f t="shared" si="56"/>
        <v>701.26350083752141</v>
      </c>
      <c r="I524" s="14">
        <f t="shared" si="57"/>
        <v>703.80793715053017</v>
      </c>
      <c r="J524" s="14">
        <f t="shared" si="58"/>
        <v>3.1255652114093886</v>
      </c>
      <c r="K524" s="14">
        <f t="shared" si="59"/>
        <v>0.95670805369127299</v>
      </c>
      <c r="L524" s="12" t="str">
        <f t="shared" si="60"/>
        <v/>
      </c>
      <c r="M524" s="12" t="str">
        <f t="shared" si="61"/>
        <v/>
      </c>
    </row>
    <row r="525" spans="1:13" ht="31.5">
      <c r="A525" s="3">
        <v>519</v>
      </c>
      <c r="B525" s="11" t="s">
        <v>372</v>
      </c>
      <c r="C525" s="3">
        <v>5</v>
      </c>
      <c r="D525" s="3">
        <v>7</v>
      </c>
      <c r="E525" s="11" t="s">
        <v>591</v>
      </c>
      <c r="F525" s="14">
        <v>701.06600000000003</v>
      </c>
      <c r="G525" s="14">
        <f t="shared" si="62"/>
        <v>0.16800000000000637</v>
      </c>
      <c r="H525" s="14">
        <f t="shared" si="56"/>
        <v>701.26350083752141</v>
      </c>
      <c r="I525" s="14">
        <f t="shared" si="57"/>
        <v>703.80793715053017</v>
      </c>
      <c r="J525" s="14">
        <f t="shared" si="58"/>
        <v>3.1255652114093886</v>
      </c>
      <c r="K525" s="14">
        <f t="shared" si="59"/>
        <v>0.95670805369127299</v>
      </c>
      <c r="L525" s="12" t="str">
        <f t="shared" si="60"/>
        <v/>
      </c>
      <c r="M525" s="12" t="str">
        <f t="shared" si="61"/>
        <v/>
      </c>
    </row>
    <row r="526" spans="1:13" ht="31.5">
      <c r="A526" s="3">
        <v>520</v>
      </c>
      <c r="B526" s="11" t="s">
        <v>372</v>
      </c>
      <c r="C526" s="3">
        <v>5</v>
      </c>
      <c r="D526" s="3">
        <v>6</v>
      </c>
      <c r="E526" s="11" t="s">
        <v>592</v>
      </c>
      <c r="F526" s="14">
        <v>703.28300000000002</v>
      </c>
      <c r="G526" s="14">
        <f t="shared" si="62"/>
        <v>2.2169999999999845</v>
      </c>
      <c r="H526" s="14">
        <f t="shared" si="56"/>
        <v>701.26350083752141</v>
      </c>
      <c r="I526" s="14">
        <f t="shared" si="57"/>
        <v>703.80793715053017</v>
      </c>
      <c r="J526" s="14">
        <f t="shared" si="58"/>
        <v>3.1255652114093886</v>
      </c>
      <c r="K526" s="14">
        <f t="shared" si="59"/>
        <v>0.95670805369127299</v>
      </c>
      <c r="L526" s="12" t="str">
        <f t="shared" si="60"/>
        <v/>
      </c>
      <c r="M526" s="12" t="str">
        <f t="shared" si="61"/>
        <v/>
      </c>
    </row>
    <row r="527" spans="1:13" ht="31.5">
      <c r="A527" s="3">
        <v>521</v>
      </c>
      <c r="B527" s="11" t="s">
        <v>372</v>
      </c>
      <c r="C527" s="3">
        <v>5</v>
      </c>
      <c r="D527" s="3">
        <v>5</v>
      </c>
      <c r="E527" s="11" t="s">
        <v>593</v>
      </c>
      <c r="F527" s="14">
        <v>701.79</v>
      </c>
      <c r="G527" s="14">
        <f t="shared" si="62"/>
        <v>1.4930000000000518</v>
      </c>
      <c r="H527" s="14">
        <f t="shared" si="56"/>
        <v>701.26350083752141</v>
      </c>
      <c r="I527" s="14">
        <f t="shared" si="57"/>
        <v>703.80793715053017</v>
      </c>
      <c r="J527" s="14">
        <f t="shared" si="58"/>
        <v>3.1255652114093886</v>
      </c>
      <c r="K527" s="14">
        <f t="shared" si="59"/>
        <v>0.95670805369127299</v>
      </c>
      <c r="L527" s="12" t="str">
        <f t="shared" si="60"/>
        <v/>
      </c>
      <c r="M527" s="12" t="str">
        <f t="shared" si="61"/>
        <v/>
      </c>
    </row>
    <row r="528" spans="1:13" ht="31.5">
      <c r="A528" s="3">
        <v>522</v>
      </c>
      <c r="B528" s="11" t="s">
        <v>372</v>
      </c>
      <c r="C528" s="3">
        <v>5</v>
      </c>
      <c r="D528" s="3">
        <v>4</v>
      </c>
      <c r="E528" s="11" t="s">
        <v>594</v>
      </c>
      <c r="F528" s="14">
        <v>700.85500000000002</v>
      </c>
      <c r="G528" s="14">
        <f t="shared" si="62"/>
        <v>0.93499999999994543</v>
      </c>
      <c r="H528" s="14">
        <f t="shared" si="56"/>
        <v>701.26350083752141</v>
      </c>
      <c r="I528" s="14">
        <f t="shared" si="57"/>
        <v>703.80793715053017</v>
      </c>
      <c r="J528" s="14">
        <f t="shared" si="58"/>
        <v>3.1255652114093886</v>
      </c>
      <c r="K528" s="14">
        <f t="shared" si="59"/>
        <v>0.95670805369127299</v>
      </c>
      <c r="L528" s="12" t="str">
        <f t="shared" si="60"/>
        <v/>
      </c>
      <c r="M528" s="12" t="str">
        <f t="shared" si="61"/>
        <v/>
      </c>
    </row>
    <row r="529" spans="1:13" ht="31.5">
      <c r="A529" s="3">
        <v>523</v>
      </c>
      <c r="B529" s="11" t="s">
        <v>372</v>
      </c>
      <c r="C529" s="3">
        <v>5</v>
      </c>
      <c r="D529" s="3">
        <v>3</v>
      </c>
      <c r="E529" s="11" t="s">
        <v>595</v>
      </c>
      <c r="F529" s="14">
        <v>701.14200000000005</v>
      </c>
      <c r="G529" s="14">
        <f t="shared" si="62"/>
        <v>0.28700000000003456</v>
      </c>
      <c r="H529" s="14">
        <f t="shared" si="56"/>
        <v>701.26350083752141</v>
      </c>
      <c r="I529" s="14">
        <f t="shared" si="57"/>
        <v>703.80793715053017</v>
      </c>
      <c r="J529" s="14">
        <f t="shared" si="58"/>
        <v>3.1255652114093886</v>
      </c>
      <c r="K529" s="14">
        <f t="shared" si="59"/>
        <v>0.95670805369127299</v>
      </c>
      <c r="L529" s="12" t="str">
        <f t="shared" si="60"/>
        <v/>
      </c>
      <c r="M529" s="12" t="str">
        <f t="shared" si="61"/>
        <v/>
      </c>
    </row>
    <row r="530" spans="1:13" ht="31.5">
      <c r="A530" s="3">
        <v>524</v>
      </c>
      <c r="B530" s="11" t="s">
        <v>372</v>
      </c>
      <c r="C530" s="3">
        <v>5</v>
      </c>
      <c r="D530" s="3">
        <v>2</v>
      </c>
      <c r="E530" s="11" t="s">
        <v>596</v>
      </c>
      <c r="F530" s="14">
        <v>700.01</v>
      </c>
      <c r="G530" s="14">
        <f t="shared" si="62"/>
        <v>1.1320000000000618</v>
      </c>
      <c r="H530" s="14">
        <f t="shared" si="56"/>
        <v>701.26350083752141</v>
      </c>
      <c r="I530" s="14">
        <f t="shared" si="57"/>
        <v>703.80793715053017</v>
      </c>
      <c r="J530" s="14">
        <f t="shared" si="58"/>
        <v>3.1255652114093886</v>
      </c>
      <c r="K530" s="14">
        <f t="shared" si="59"/>
        <v>0.95670805369127299</v>
      </c>
      <c r="L530" s="12" t="str">
        <f t="shared" si="60"/>
        <v/>
      </c>
      <c r="M530" s="12" t="str">
        <f t="shared" si="61"/>
        <v/>
      </c>
    </row>
    <row r="531" spans="1:13" ht="31.5">
      <c r="A531" s="3">
        <v>525</v>
      </c>
      <c r="B531" s="11" t="s">
        <v>372</v>
      </c>
      <c r="C531" s="3">
        <v>5</v>
      </c>
      <c r="D531" s="3">
        <v>1</v>
      </c>
      <c r="E531" s="11" t="s">
        <v>597</v>
      </c>
      <c r="F531" s="14">
        <v>701.62300000000005</v>
      </c>
      <c r="G531" s="14">
        <f t="shared" si="62"/>
        <v>1.6130000000000564</v>
      </c>
      <c r="H531" s="14">
        <f t="shared" si="56"/>
        <v>701.26350083752141</v>
      </c>
      <c r="I531" s="14">
        <f t="shared" si="57"/>
        <v>703.80793715053017</v>
      </c>
      <c r="J531" s="14">
        <f t="shared" si="58"/>
        <v>3.1255652114093886</v>
      </c>
      <c r="K531" s="14">
        <f t="shared" si="59"/>
        <v>0.95670805369127299</v>
      </c>
      <c r="L531" s="12" t="str">
        <f t="shared" si="60"/>
        <v/>
      </c>
      <c r="M531" s="12" t="str">
        <f t="shared" si="61"/>
        <v/>
      </c>
    </row>
    <row r="532" spans="1:13" ht="31.5">
      <c r="A532" s="3">
        <v>526</v>
      </c>
      <c r="B532" s="11" t="s">
        <v>372</v>
      </c>
      <c r="C532" s="3">
        <v>5</v>
      </c>
      <c r="D532" s="3">
        <v>25</v>
      </c>
      <c r="E532" s="11" t="s">
        <v>598</v>
      </c>
      <c r="F532" s="14">
        <v>700.55200000000002</v>
      </c>
      <c r="G532" s="14">
        <f t="shared" si="62"/>
        <v>1.0710000000000264</v>
      </c>
      <c r="H532" s="14">
        <f t="shared" si="56"/>
        <v>701.26350083752141</v>
      </c>
      <c r="I532" s="14">
        <f t="shared" si="57"/>
        <v>703.80793715053017</v>
      </c>
      <c r="J532" s="14">
        <f t="shared" si="58"/>
        <v>3.1255652114093886</v>
      </c>
      <c r="K532" s="14">
        <f t="shared" si="59"/>
        <v>0.95670805369127299</v>
      </c>
      <c r="L532" s="12" t="str">
        <f t="shared" si="60"/>
        <v/>
      </c>
      <c r="M532" s="12" t="str">
        <f t="shared" si="61"/>
        <v/>
      </c>
    </row>
    <row r="533" spans="1:13" ht="31.5">
      <c r="A533" s="3">
        <v>527</v>
      </c>
      <c r="B533" s="11" t="s">
        <v>372</v>
      </c>
      <c r="C533" s="3">
        <v>5</v>
      </c>
      <c r="D533" s="3">
        <v>24</v>
      </c>
      <c r="E533" s="11" t="s">
        <v>599</v>
      </c>
      <c r="F533" s="14">
        <v>701.221</v>
      </c>
      <c r="G533" s="14">
        <f t="shared" si="62"/>
        <v>0.66899999999998272</v>
      </c>
      <c r="H533" s="14">
        <f t="shared" si="56"/>
        <v>701.26350083752141</v>
      </c>
      <c r="I533" s="14">
        <f t="shared" si="57"/>
        <v>703.80793715053017</v>
      </c>
      <c r="J533" s="14">
        <f t="shared" si="58"/>
        <v>3.1255652114093886</v>
      </c>
      <c r="K533" s="14">
        <f t="shared" si="59"/>
        <v>0.95670805369127299</v>
      </c>
      <c r="L533" s="12" t="str">
        <f t="shared" si="60"/>
        <v/>
      </c>
      <c r="M533" s="12" t="str">
        <f t="shared" si="61"/>
        <v/>
      </c>
    </row>
    <row r="534" spans="1:13" ht="31.5">
      <c r="A534" s="3">
        <v>528</v>
      </c>
      <c r="B534" s="11" t="s">
        <v>372</v>
      </c>
      <c r="C534" s="3">
        <v>5</v>
      </c>
      <c r="D534" s="3">
        <v>23</v>
      </c>
      <c r="E534" s="11" t="s">
        <v>600</v>
      </c>
      <c r="F534" s="14">
        <v>700.98500000000001</v>
      </c>
      <c r="G534" s="14">
        <f t="shared" si="62"/>
        <v>0.23599999999999</v>
      </c>
      <c r="H534" s="14">
        <f t="shared" si="56"/>
        <v>701.26350083752141</v>
      </c>
      <c r="I534" s="14">
        <f t="shared" si="57"/>
        <v>703.80793715053017</v>
      </c>
      <c r="J534" s="14">
        <f t="shared" si="58"/>
        <v>3.1255652114093886</v>
      </c>
      <c r="K534" s="14">
        <f t="shared" si="59"/>
        <v>0.95670805369127299</v>
      </c>
      <c r="L534" s="12" t="str">
        <f t="shared" si="60"/>
        <v/>
      </c>
      <c r="M534" s="12" t="str">
        <f t="shared" si="61"/>
        <v/>
      </c>
    </row>
    <row r="535" spans="1:13" ht="31.5">
      <c r="A535" s="3">
        <v>529</v>
      </c>
      <c r="B535" s="11" t="s">
        <v>372</v>
      </c>
      <c r="C535" s="3">
        <v>5</v>
      </c>
      <c r="D535" s="3">
        <v>22</v>
      </c>
      <c r="E535" s="11" t="s">
        <v>601</v>
      </c>
      <c r="F535" s="14">
        <v>701.26199999999994</v>
      </c>
      <c r="G535" s="14">
        <f t="shared" si="62"/>
        <v>0.27699999999992997</v>
      </c>
      <c r="H535" s="14">
        <f t="shared" si="56"/>
        <v>701.26350083752141</v>
      </c>
      <c r="I535" s="14">
        <f t="shared" si="57"/>
        <v>703.80793715053017</v>
      </c>
      <c r="J535" s="14">
        <f t="shared" si="58"/>
        <v>3.1255652114093886</v>
      </c>
      <c r="K535" s="14">
        <f t="shared" si="59"/>
        <v>0.95670805369127299</v>
      </c>
      <c r="L535" s="12" t="str">
        <f t="shared" si="60"/>
        <v/>
      </c>
      <c r="M535" s="12" t="str">
        <f t="shared" si="61"/>
        <v/>
      </c>
    </row>
    <row r="536" spans="1:13" ht="31.5">
      <c r="A536" s="3">
        <v>530</v>
      </c>
      <c r="B536" s="11" t="s">
        <v>372</v>
      </c>
      <c r="C536" s="3">
        <v>5</v>
      </c>
      <c r="D536" s="3">
        <v>21</v>
      </c>
      <c r="E536" s="11" t="s">
        <v>602</v>
      </c>
      <c r="F536" s="14">
        <v>701.61300000000006</v>
      </c>
      <c r="G536" s="14">
        <f t="shared" si="62"/>
        <v>0.35100000000011278</v>
      </c>
      <c r="H536" s="14">
        <f t="shared" si="56"/>
        <v>701.26350083752141</v>
      </c>
      <c r="I536" s="14">
        <f t="shared" si="57"/>
        <v>703.80793715053017</v>
      </c>
      <c r="J536" s="14">
        <f t="shared" si="58"/>
        <v>3.1255652114093886</v>
      </c>
      <c r="K536" s="14">
        <f t="shared" si="59"/>
        <v>0.95670805369127299</v>
      </c>
      <c r="L536" s="12" t="str">
        <f t="shared" si="60"/>
        <v/>
      </c>
      <c r="M536" s="12" t="str">
        <f t="shared" si="61"/>
        <v/>
      </c>
    </row>
    <row r="537" spans="1:13" ht="31.5">
      <c r="A537" s="3">
        <v>531</v>
      </c>
      <c r="B537" s="11" t="s">
        <v>372</v>
      </c>
      <c r="C537" s="3">
        <v>5</v>
      </c>
      <c r="D537" s="3">
        <v>20</v>
      </c>
      <c r="E537" s="11" t="s">
        <v>603</v>
      </c>
      <c r="F537" s="14">
        <v>701.39099999999996</v>
      </c>
      <c r="G537" s="14">
        <f t="shared" si="62"/>
        <v>0.22200000000009368</v>
      </c>
      <c r="H537" s="14">
        <f t="shared" si="56"/>
        <v>701.26350083752141</v>
      </c>
      <c r="I537" s="14">
        <f t="shared" si="57"/>
        <v>703.80793715053017</v>
      </c>
      <c r="J537" s="14">
        <f t="shared" si="58"/>
        <v>3.1255652114093886</v>
      </c>
      <c r="K537" s="14">
        <f t="shared" si="59"/>
        <v>0.95670805369127299</v>
      </c>
      <c r="L537" s="12" t="str">
        <f t="shared" si="60"/>
        <v/>
      </c>
      <c r="M537" s="12" t="str">
        <f t="shared" si="61"/>
        <v/>
      </c>
    </row>
    <row r="538" spans="1:13" ht="31.5">
      <c r="A538" s="3">
        <v>532</v>
      </c>
      <c r="B538" s="11" t="s">
        <v>372</v>
      </c>
      <c r="C538" s="3">
        <v>5</v>
      </c>
      <c r="D538" s="3">
        <v>19</v>
      </c>
      <c r="E538" s="11" t="s">
        <v>604</v>
      </c>
      <c r="F538" s="14">
        <v>701.63</v>
      </c>
      <c r="G538" s="14">
        <f t="shared" si="62"/>
        <v>0.23900000000003274</v>
      </c>
      <c r="H538" s="14">
        <f t="shared" si="56"/>
        <v>701.26350083752141</v>
      </c>
      <c r="I538" s="14">
        <f t="shared" si="57"/>
        <v>703.80793715053017</v>
      </c>
      <c r="J538" s="14">
        <f t="shared" si="58"/>
        <v>3.1255652114093886</v>
      </c>
      <c r="K538" s="14">
        <f t="shared" si="59"/>
        <v>0.95670805369127299</v>
      </c>
      <c r="L538" s="12" t="str">
        <f t="shared" si="60"/>
        <v/>
      </c>
      <c r="M538" s="12" t="str">
        <f t="shared" si="61"/>
        <v/>
      </c>
    </row>
    <row r="539" spans="1:13" ht="31.5">
      <c r="A539" s="3">
        <v>533</v>
      </c>
      <c r="B539" s="11" t="s">
        <v>372</v>
      </c>
      <c r="C539" s="3">
        <v>5</v>
      </c>
      <c r="D539" s="3">
        <v>18</v>
      </c>
      <c r="E539" s="11" t="s">
        <v>605</v>
      </c>
      <c r="F539" s="14">
        <v>700.09299999999996</v>
      </c>
      <c r="G539" s="14">
        <f t="shared" si="62"/>
        <v>1.5370000000000346</v>
      </c>
      <c r="H539" s="14">
        <f t="shared" si="56"/>
        <v>701.26350083752141</v>
      </c>
      <c r="I539" s="14">
        <f t="shared" si="57"/>
        <v>703.80793715053017</v>
      </c>
      <c r="J539" s="14">
        <f t="shared" si="58"/>
        <v>3.1255652114093886</v>
      </c>
      <c r="K539" s="14">
        <f t="shared" si="59"/>
        <v>0.95670805369127299</v>
      </c>
      <c r="L539" s="12" t="str">
        <f t="shared" si="60"/>
        <v/>
      </c>
      <c r="M539" s="12" t="str">
        <f t="shared" si="61"/>
        <v/>
      </c>
    </row>
    <row r="540" spans="1:13" ht="31.5">
      <c r="A540" s="3">
        <v>534</v>
      </c>
      <c r="B540" s="11" t="s">
        <v>372</v>
      </c>
      <c r="C540" s="3">
        <v>5</v>
      </c>
      <c r="D540" s="3">
        <v>17</v>
      </c>
      <c r="E540" s="11" t="s">
        <v>606</v>
      </c>
      <c r="F540" s="14">
        <v>703.41700000000003</v>
      </c>
      <c r="G540" s="14">
        <f t="shared" si="62"/>
        <v>3.3240000000000691</v>
      </c>
      <c r="H540" s="14">
        <f t="shared" si="56"/>
        <v>701.26350083752141</v>
      </c>
      <c r="I540" s="14">
        <f t="shared" si="57"/>
        <v>703.80793715053017</v>
      </c>
      <c r="J540" s="14">
        <f t="shared" si="58"/>
        <v>3.1255652114093886</v>
      </c>
      <c r="K540" s="14">
        <f t="shared" si="59"/>
        <v>0.95670805369127299</v>
      </c>
      <c r="L540" s="12" t="str">
        <f t="shared" si="60"/>
        <v/>
      </c>
      <c r="M540" s="12" t="str">
        <f t="shared" si="61"/>
        <v/>
      </c>
    </row>
    <row r="541" spans="1:13" ht="31.5">
      <c r="A541" s="3">
        <v>535</v>
      </c>
      <c r="B541" s="11" t="s">
        <v>372</v>
      </c>
      <c r="C541" s="3">
        <v>5</v>
      </c>
      <c r="D541" s="3">
        <v>16</v>
      </c>
      <c r="E541" s="11" t="s">
        <v>607</v>
      </c>
      <c r="F541" s="14">
        <v>701.55</v>
      </c>
      <c r="G541" s="14">
        <f t="shared" si="62"/>
        <v>1.8670000000000755</v>
      </c>
      <c r="H541" s="14">
        <f t="shared" si="56"/>
        <v>701.26350083752141</v>
      </c>
      <c r="I541" s="14">
        <f t="shared" si="57"/>
        <v>703.80793715053017</v>
      </c>
      <c r="J541" s="14">
        <f t="shared" si="58"/>
        <v>3.1255652114093886</v>
      </c>
      <c r="K541" s="14">
        <f t="shared" si="59"/>
        <v>0.95670805369127299</v>
      </c>
      <c r="L541" s="12" t="str">
        <f t="shared" si="60"/>
        <v/>
      </c>
      <c r="M541" s="12" t="str">
        <f t="shared" si="61"/>
        <v/>
      </c>
    </row>
    <row r="542" spans="1:13" ht="31.5">
      <c r="A542" s="3">
        <v>536</v>
      </c>
      <c r="B542" s="11" t="s">
        <v>372</v>
      </c>
      <c r="C542" s="3">
        <v>5</v>
      </c>
      <c r="D542" s="3">
        <v>15</v>
      </c>
      <c r="E542" s="11" t="s">
        <v>608</v>
      </c>
      <c r="F542" s="14">
        <v>701.62400000000002</v>
      </c>
      <c r="G542" s="14">
        <f t="shared" si="62"/>
        <v>7.4000000000069122E-2</v>
      </c>
      <c r="H542" s="14">
        <f t="shared" si="56"/>
        <v>701.26350083752141</v>
      </c>
      <c r="I542" s="14">
        <f t="shared" si="57"/>
        <v>703.80793715053017</v>
      </c>
      <c r="J542" s="14">
        <f t="shared" si="58"/>
        <v>3.1255652114093886</v>
      </c>
      <c r="K542" s="14">
        <f t="shared" si="59"/>
        <v>0.95670805369127299</v>
      </c>
      <c r="L542" s="12" t="str">
        <f t="shared" si="60"/>
        <v/>
      </c>
      <c r="M542" s="12" t="str">
        <f t="shared" si="61"/>
        <v/>
      </c>
    </row>
    <row r="543" spans="1:13" ht="31.5">
      <c r="A543" s="3">
        <v>537</v>
      </c>
      <c r="B543" s="11" t="s">
        <v>372</v>
      </c>
      <c r="C543" s="3">
        <v>5</v>
      </c>
      <c r="D543" s="3">
        <v>14</v>
      </c>
      <c r="E543" s="11" t="s">
        <v>609</v>
      </c>
      <c r="F543" s="14">
        <v>701.15599999999995</v>
      </c>
      <c r="G543" s="14">
        <f t="shared" si="62"/>
        <v>0.46800000000007458</v>
      </c>
      <c r="H543" s="14">
        <f t="shared" si="56"/>
        <v>701.26350083752141</v>
      </c>
      <c r="I543" s="14">
        <f t="shared" si="57"/>
        <v>703.80793715053017</v>
      </c>
      <c r="J543" s="14">
        <f t="shared" si="58"/>
        <v>3.1255652114093886</v>
      </c>
      <c r="K543" s="14">
        <f t="shared" si="59"/>
        <v>0.95670805369127299</v>
      </c>
      <c r="L543" s="12" t="str">
        <f t="shared" si="60"/>
        <v/>
      </c>
      <c r="M543" s="12" t="str">
        <f t="shared" si="61"/>
        <v/>
      </c>
    </row>
    <row r="544" spans="1:13" ht="31.5">
      <c r="A544" s="3">
        <v>538</v>
      </c>
      <c r="B544" s="11" t="s">
        <v>372</v>
      </c>
      <c r="C544" s="3">
        <v>5</v>
      </c>
      <c r="D544" s="3">
        <v>13</v>
      </c>
      <c r="E544" s="11" t="s">
        <v>610</v>
      </c>
      <c r="F544" s="14">
        <v>701.22500000000002</v>
      </c>
      <c r="G544" s="14">
        <f t="shared" si="62"/>
        <v>6.9000000000073669E-2</v>
      </c>
      <c r="H544" s="14">
        <f t="shared" si="56"/>
        <v>701.26350083752141</v>
      </c>
      <c r="I544" s="14">
        <f t="shared" si="57"/>
        <v>703.80793715053017</v>
      </c>
      <c r="J544" s="14">
        <f t="shared" si="58"/>
        <v>3.1255652114093886</v>
      </c>
      <c r="K544" s="14">
        <f t="shared" si="59"/>
        <v>0.95670805369127299</v>
      </c>
      <c r="L544" s="12" t="str">
        <f t="shared" si="60"/>
        <v/>
      </c>
      <c r="M544" s="12" t="str">
        <f t="shared" si="61"/>
        <v/>
      </c>
    </row>
    <row r="545" spans="1:13" ht="31.5">
      <c r="A545" s="3">
        <v>539</v>
      </c>
      <c r="B545" s="11" t="s">
        <v>372</v>
      </c>
      <c r="C545" s="3">
        <v>5</v>
      </c>
      <c r="D545" s="3">
        <v>12</v>
      </c>
      <c r="E545" s="11" t="s">
        <v>611</v>
      </c>
      <c r="F545" s="14">
        <v>701.47400000000005</v>
      </c>
      <c r="G545" s="14">
        <f t="shared" si="62"/>
        <v>0.24900000000002365</v>
      </c>
      <c r="H545" s="14">
        <f t="shared" si="56"/>
        <v>701.26350083752141</v>
      </c>
      <c r="I545" s="14">
        <f t="shared" si="57"/>
        <v>703.80793715053017</v>
      </c>
      <c r="J545" s="14">
        <f t="shared" si="58"/>
        <v>3.1255652114093886</v>
      </c>
      <c r="K545" s="14">
        <f t="shared" si="59"/>
        <v>0.95670805369127299</v>
      </c>
      <c r="L545" s="12" t="str">
        <f t="shared" si="60"/>
        <v/>
      </c>
      <c r="M545" s="12" t="str">
        <f t="shared" si="61"/>
        <v/>
      </c>
    </row>
    <row r="546" spans="1:13" ht="31.5">
      <c r="A546" s="3">
        <v>540</v>
      </c>
      <c r="B546" s="11" t="s">
        <v>372</v>
      </c>
      <c r="C546" s="3">
        <v>5</v>
      </c>
      <c r="D546" s="3">
        <v>11</v>
      </c>
      <c r="E546" s="11" t="s">
        <v>612</v>
      </c>
      <c r="F546" s="14">
        <v>700.08500000000004</v>
      </c>
      <c r="G546" s="14">
        <f t="shared" si="62"/>
        <v>1.38900000000001</v>
      </c>
      <c r="H546" s="14">
        <f t="shared" si="56"/>
        <v>701.26350083752141</v>
      </c>
      <c r="I546" s="14">
        <f t="shared" si="57"/>
        <v>703.80793715053017</v>
      </c>
      <c r="J546" s="14">
        <f t="shared" si="58"/>
        <v>3.1255652114093886</v>
      </c>
      <c r="K546" s="14">
        <f t="shared" si="59"/>
        <v>0.95670805369127299</v>
      </c>
      <c r="L546" s="12" t="str">
        <f t="shared" si="60"/>
        <v/>
      </c>
      <c r="M546" s="12" t="str">
        <f t="shared" si="61"/>
        <v/>
      </c>
    </row>
    <row r="547" spans="1:13" ht="31.5">
      <c r="A547" s="3">
        <v>541</v>
      </c>
      <c r="B547" s="11" t="s">
        <v>372</v>
      </c>
      <c r="C547" s="3">
        <v>5</v>
      </c>
      <c r="D547" s="3">
        <v>10</v>
      </c>
      <c r="E547" s="11" t="s">
        <v>613</v>
      </c>
      <c r="F547" s="14">
        <v>701.46299999999997</v>
      </c>
      <c r="G547" s="14">
        <f t="shared" si="62"/>
        <v>1.3779999999999291</v>
      </c>
      <c r="H547" s="14">
        <f t="shared" si="56"/>
        <v>701.26350083752141</v>
      </c>
      <c r="I547" s="14">
        <f t="shared" si="57"/>
        <v>703.80793715053017</v>
      </c>
      <c r="J547" s="14">
        <f t="shared" si="58"/>
        <v>3.1255652114093886</v>
      </c>
      <c r="K547" s="14">
        <f t="shared" si="59"/>
        <v>0.95670805369127299</v>
      </c>
      <c r="L547" s="12" t="str">
        <f t="shared" si="60"/>
        <v/>
      </c>
      <c r="M547" s="12" t="str">
        <f t="shared" si="61"/>
        <v/>
      </c>
    </row>
    <row r="548" spans="1:13" ht="31.5">
      <c r="A548" s="3">
        <v>542</v>
      </c>
      <c r="B548" s="11" t="s">
        <v>372</v>
      </c>
      <c r="C548" s="3">
        <v>5</v>
      </c>
      <c r="D548" s="3">
        <v>9</v>
      </c>
      <c r="E548" s="11" t="s">
        <v>614</v>
      </c>
      <c r="F548" s="14">
        <v>701.505</v>
      </c>
      <c r="G548" s="14">
        <f t="shared" si="62"/>
        <v>4.2000000000030013E-2</v>
      </c>
      <c r="H548" s="14">
        <f t="shared" si="56"/>
        <v>701.26350083752141</v>
      </c>
      <c r="I548" s="14">
        <f t="shared" si="57"/>
        <v>703.80793715053017</v>
      </c>
      <c r="J548" s="14">
        <f t="shared" si="58"/>
        <v>3.1255652114093886</v>
      </c>
      <c r="K548" s="14">
        <f t="shared" si="59"/>
        <v>0.95670805369127299</v>
      </c>
      <c r="L548" s="12" t="str">
        <f t="shared" si="60"/>
        <v/>
      </c>
      <c r="M548" s="12" t="str">
        <f t="shared" si="61"/>
        <v/>
      </c>
    </row>
    <row r="549" spans="1:13" ht="31.5">
      <c r="A549" s="3">
        <v>543</v>
      </c>
      <c r="B549" s="11" t="s">
        <v>372</v>
      </c>
      <c r="C549" s="3">
        <v>5</v>
      </c>
      <c r="D549" s="3">
        <v>8</v>
      </c>
      <c r="E549" s="11" t="s">
        <v>615</v>
      </c>
      <c r="F549" s="14">
        <v>701.49599999999998</v>
      </c>
      <c r="G549" s="14">
        <f t="shared" si="62"/>
        <v>9.0000000000145519E-3</v>
      </c>
      <c r="H549" s="14">
        <f t="shared" si="56"/>
        <v>701.26350083752141</v>
      </c>
      <c r="I549" s="14">
        <f t="shared" si="57"/>
        <v>703.80793715053017</v>
      </c>
      <c r="J549" s="14">
        <f t="shared" si="58"/>
        <v>3.1255652114093886</v>
      </c>
      <c r="K549" s="14">
        <f t="shared" si="59"/>
        <v>0.95670805369127299</v>
      </c>
      <c r="L549" s="12" t="str">
        <f t="shared" si="60"/>
        <v/>
      </c>
      <c r="M549" s="12" t="str">
        <f t="shared" si="61"/>
        <v/>
      </c>
    </row>
    <row r="550" spans="1:13" ht="31.5">
      <c r="A550" s="3">
        <v>544</v>
      </c>
      <c r="B550" s="11" t="s">
        <v>372</v>
      </c>
      <c r="C550" s="3">
        <v>5</v>
      </c>
      <c r="D550" s="3">
        <v>7</v>
      </c>
      <c r="E550" s="11" t="s">
        <v>616</v>
      </c>
      <c r="F550" s="14">
        <v>702.57899999999995</v>
      </c>
      <c r="G550" s="14">
        <f t="shared" si="62"/>
        <v>1.08299999999997</v>
      </c>
      <c r="H550" s="14">
        <f t="shared" si="56"/>
        <v>701.26350083752141</v>
      </c>
      <c r="I550" s="14">
        <f t="shared" si="57"/>
        <v>703.80793715053017</v>
      </c>
      <c r="J550" s="14">
        <f t="shared" si="58"/>
        <v>3.1255652114093886</v>
      </c>
      <c r="K550" s="14">
        <f t="shared" si="59"/>
        <v>0.95670805369127299</v>
      </c>
      <c r="L550" s="12" t="str">
        <f t="shared" si="60"/>
        <v/>
      </c>
      <c r="M550" s="12" t="str">
        <f t="shared" si="61"/>
        <v/>
      </c>
    </row>
    <row r="551" spans="1:13" ht="31.5">
      <c r="A551" s="3">
        <v>545</v>
      </c>
      <c r="B551" s="11" t="s">
        <v>372</v>
      </c>
      <c r="C551" s="3">
        <v>5</v>
      </c>
      <c r="D551" s="3">
        <v>6</v>
      </c>
      <c r="E551" s="11" t="s">
        <v>617</v>
      </c>
      <c r="F551" s="14">
        <v>699.76599999999996</v>
      </c>
      <c r="G551" s="14">
        <f t="shared" si="62"/>
        <v>2.8129999999999882</v>
      </c>
      <c r="H551" s="14">
        <f t="shared" si="56"/>
        <v>701.26350083752141</v>
      </c>
      <c r="I551" s="14">
        <f t="shared" si="57"/>
        <v>703.80793715053017</v>
      </c>
      <c r="J551" s="14">
        <f t="shared" si="58"/>
        <v>3.1255652114093886</v>
      </c>
      <c r="K551" s="14">
        <f t="shared" si="59"/>
        <v>0.95670805369127299</v>
      </c>
      <c r="L551" s="12" t="str">
        <f t="shared" si="60"/>
        <v/>
      </c>
      <c r="M551" s="12" t="str">
        <f t="shared" si="61"/>
        <v/>
      </c>
    </row>
    <row r="552" spans="1:13" ht="31.5">
      <c r="A552" s="3">
        <v>546</v>
      </c>
      <c r="B552" s="11" t="s">
        <v>372</v>
      </c>
      <c r="C552" s="3">
        <v>5</v>
      </c>
      <c r="D552" s="3">
        <v>5</v>
      </c>
      <c r="E552" s="11" t="s">
        <v>618</v>
      </c>
      <c r="F552" s="14">
        <v>701.255</v>
      </c>
      <c r="G552" s="14">
        <f t="shared" si="62"/>
        <v>1.4890000000000327</v>
      </c>
      <c r="H552" s="14">
        <f t="shared" si="56"/>
        <v>701.26350083752141</v>
      </c>
      <c r="I552" s="14">
        <f t="shared" si="57"/>
        <v>703.80793715053017</v>
      </c>
      <c r="J552" s="14">
        <f t="shared" si="58"/>
        <v>3.1255652114093886</v>
      </c>
      <c r="K552" s="14">
        <f t="shared" si="59"/>
        <v>0.95670805369127299</v>
      </c>
      <c r="L552" s="12" t="str">
        <f t="shared" si="60"/>
        <v/>
      </c>
      <c r="M552" s="12" t="str">
        <f t="shared" si="61"/>
        <v/>
      </c>
    </row>
    <row r="553" spans="1:13" ht="31.5">
      <c r="A553" s="3">
        <v>547</v>
      </c>
      <c r="B553" s="11" t="s">
        <v>372</v>
      </c>
      <c r="C553" s="3">
        <v>5</v>
      </c>
      <c r="D553" s="3">
        <v>4</v>
      </c>
      <c r="E553" s="11" t="s">
        <v>619</v>
      </c>
      <c r="F553" s="14">
        <v>700.42200000000003</v>
      </c>
      <c r="G553" s="14">
        <f t="shared" si="62"/>
        <v>0.83299999999996999</v>
      </c>
      <c r="H553" s="14">
        <f t="shared" si="56"/>
        <v>701.26350083752141</v>
      </c>
      <c r="I553" s="14">
        <f t="shared" si="57"/>
        <v>703.80793715053017</v>
      </c>
      <c r="J553" s="14">
        <f t="shared" si="58"/>
        <v>3.1255652114093886</v>
      </c>
      <c r="K553" s="14">
        <f t="shared" si="59"/>
        <v>0.95670805369127299</v>
      </c>
      <c r="L553" s="12" t="str">
        <f t="shared" si="60"/>
        <v/>
      </c>
      <c r="M553" s="12" t="str">
        <f t="shared" si="61"/>
        <v/>
      </c>
    </row>
    <row r="554" spans="1:13" ht="31.5">
      <c r="A554" s="3">
        <v>548</v>
      </c>
      <c r="B554" s="11" t="s">
        <v>372</v>
      </c>
      <c r="C554" s="3">
        <v>5</v>
      </c>
      <c r="D554" s="3">
        <v>3</v>
      </c>
      <c r="E554" s="11" t="s">
        <v>620</v>
      </c>
      <c r="F554" s="14">
        <v>702.26</v>
      </c>
      <c r="G554" s="14">
        <f t="shared" si="62"/>
        <v>1.8379999999999654</v>
      </c>
      <c r="H554" s="14">
        <f t="shared" si="56"/>
        <v>701.26350083752141</v>
      </c>
      <c r="I554" s="14">
        <f t="shared" si="57"/>
        <v>703.80793715053017</v>
      </c>
      <c r="J554" s="14">
        <f t="shared" si="58"/>
        <v>3.1255652114093886</v>
      </c>
      <c r="K554" s="14">
        <f t="shared" si="59"/>
        <v>0.95670805369127299</v>
      </c>
      <c r="L554" s="12" t="str">
        <f t="shared" si="60"/>
        <v/>
      </c>
      <c r="M554" s="12" t="str">
        <f t="shared" si="61"/>
        <v/>
      </c>
    </row>
    <row r="555" spans="1:13" ht="31.5">
      <c r="A555" s="3">
        <v>549</v>
      </c>
      <c r="B555" s="11" t="s">
        <v>372</v>
      </c>
      <c r="C555" s="3">
        <v>5</v>
      </c>
      <c r="D555" s="3">
        <v>2</v>
      </c>
      <c r="E555" s="11" t="s">
        <v>621</v>
      </c>
      <c r="F555" s="14">
        <v>700.58699999999999</v>
      </c>
      <c r="G555" s="14">
        <f t="shared" si="62"/>
        <v>1.6730000000000018</v>
      </c>
      <c r="H555" s="14">
        <f t="shared" si="56"/>
        <v>701.26350083752141</v>
      </c>
      <c r="I555" s="14">
        <f t="shared" si="57"/>
        <v>703.80793715053017</v>
      </c>
      <c r="J555" s="14">
        <f t="shared" si="58"/>
        <v>3.1255652114093886</v>
      </c>
      <c r="K555" s="14">
        <f t="shared" si="59"/>
        <v>0.95670805369127299</v>
      </c>
      <c r="L555" s="12" t="str">
        <f t="shared" si="60"/>
        <v/>
      </c>
      <c r="M555" s="12" t="str">
        <f t="shared" si="61"/>
        <v/>
      </c>
    </row>
    <row r="556" spans="1:13" ht="31.5">
      <c r="A556" s="3">
        <v>550</v>
      </c>
      <c r="B556" s="11" t="s">
        <v>372</v>
      </c>
      <c r="C556" s="3">
        <v>5</v>
      </c>
      <c r="D556" s="3">
        <v>1</v>
      </c>
      <c r="E556" s="11" t="s">
        <v>622</v>
      </c>
      <c r="F556" s="14">
        <v>701.95</v>
      </c>
      <c r="G556" s="14">
        <f t="shared" si="62"/>
        <v>1.3630000000000564</v>
      </c>
      <c r="H556" s="14">
        <f t="shared" si="56"/>
        <v>701.26350083752141</v>
      </c>
      <c r="I556" s="14">
        <f t="shared" si="57"/>
        <v>703.80793715053017</v>
      </c>
      <c r="J556" s="14">
        <f t="shared" si="58"/>
        <v>3.1255652114093886</v>
      </c>
      <c r="K556" s="14">
        <f t="shared" si="59"/>
        <v>0.95670805369127299</v>
      </c>
      <c r="L556" s="12" t="str">
        <f t="shared" si="60"/>
        <v/>
      </c>
      <c r="M556" s="12" t="str">
        <f t="shared" si="61"/>
        <v/>
      </c>
    </row>
    <row r="557" spans="1:13" ht="31.5">
      <c r="A557" s="3">
        <v>551</v>
      </c>
      <c r="B557" s="11" t="s">
        <v>372</v>
      </c>
      <c r="C557" s="3">
        <v>6</v>
      </c>
      <c r="D557" s="3">
        <v>25</v>
      </c>
      <c r="E557" s="11" t="s">
        <v>623</v>
      </c>
      <c r="F557" s="14">
        <v>701.52700000000004</v>
      </c>
      <c r="G557" s="14">
        <f t="shared" si="62"/>
        <v>0.42300000000000182</v>
      </c>
      <c r="H557" s="14">
        <f t="shared" si="56"/>
        <v>701.26350083752141</v>
      </c>
      <c r="I557" s="14">
        <f t="shared" si="57"/>
        <v>703.80793715053017</v>
      </c>
      <c r="J557" s="14">
        <f t="shared" si="58"/>
        <v>3.1255652114093886</v>
      </c>
      <c r="K557" s="14">
        <f t="shared" si="59"/>
        <v>0.95670805369127299</v>
      </c>
      <c r="L557" s="12" t="str">
        <f t="shared" si="60"/>
        <v/>
      </c>
      <c r="M557" s="12" t="str">
        <f t="shared" si="61"/>
        <v/>
      </c>
    </row>
    <row r="558" spans="1:13" ht="31.5">
      <c r="A558" s="3">
        <v>552</v>
      </c>
      <c r="B558" s="11" t="s">
        <v>372</v>
      </c>
      <c r="C558" s="3">
        <v>6</v>
      </c>
      <c r="D558" s="3">
        <v>24</v>
      </c>
      <c r="E558" s="11" t="s">
        <v>624</v>
      </c>
      <c r="F558" s="14">
        <v>700.024</v>
      </c>
      <c r="G558" s="14">
        <f t="shared" si="62"/>
        <v>1.5030000000000427</v>
      </c>
      <c r="H558" s="14">
        <f t="shared" si="56"/>
        <v>701.26350083752141</v>
      </c>
      <c r="I558" s="14">
        <f t="shared" si="57"/>
        <v>703.80793715053017</v>
      </c>
      <c r="J558" s="14">
        <f t="shared" si="58"/>
        <v>3.1255652114093886</v>
      </c>
      <c r="K558" s="14">
        <f t="shared" si="59"/>
        <v>0.95670805369127299</v>
      </c>
      <c r="L558" s="12" t="str">
        <f t="shared" si="60"/>
        <v/>
      </c>
      <c r="M558" s="12" t="str">
        <f t="shared" si="61"/>
        <v/>
      </c>
    </row>
    <row r="559" spans="1:13" ht="31.5">
      <c r="A559" s="3">
        <v>553</v>
      </c>
      <c r="B559" s="11" t="s">
        <v>372</v>
      </c>
      <c r="C559" s="3">
        <v>6</v>
      </c>
      <c r="D559" s="3">
        <v>23</v>
      </c>
      <c r="E559" s="11" t="s">
        <v>625</v>
      </c>
      <c r="F559" s="14">
        <v>700.92</v>
      </c>
      <c r="G559" s="14">
        <f t="shared" si="62"/>
        <v>0.89599999999995816</v>
      </c>
      <c r="H559" s="14">
        <f t="shared" si="56"/>
        <v>701.26350083752141</v>
      </c>
      <c r="I559" s="14">
        <f t="shared" si="57"/>
        <v>703.80793715053017</v>
      </c>
      <c r="J559" s="14">
        <f t="shared" si="58"/>
        <v>3.1255652114093886</v>
      </c>
      <c r="K559" s="14">
        <f t="shared" si="59"/>
        <v>0.95670805369127299</v>
      </c>
      <c r="L559" s="12" t="str">
        <f t="shared" si="60"/>
        <v/>
      </c>
      <c r="M559" s="12" t="str">
        <f t="shared" si="61"/>
        <v/>
      </c>
    </row>
    <row r="560" spans="1:13" ht="31.5">
      <c r="A560" s="3">
        <v>554</v>
      </c>
      <c r="B560" s="11" t="s">
        <v>372</v>
      </c>
      <c r="C560" s="3">
        <v>6</v>
      </c>
      <c r="D560" s="3">
        <v>22</v>
      </c>
      <c r="E560" s="11" t="s">
        <v>626</v>
      </c>
      <c r="F560" s="14">
        <v>699.72500000000002</v>
      </c>
      <c r="G560" s="14">
        <f t="shared" si="62"/>
        <v>1.1949999999999363</v>
      </c>
      <c r="H560" s="14">
        <f t="shared" si="56"/>
        <v>701.26350083752141</v>
      </c>
      <c r="I560" s="14">
        <f t="shared" si="57"/>
        <v>703.80793715053017</v>
      </c>
      <c r="J560" s="14">
        <f t="shared" si="58"/>
        <v>3.1255652114093886</v>
      </c>
      <c r="K560" s="14">
        <f t="shared" si="59"/>
        <v>0.95670805369127299</v>
      </c>
      <c r="L560" s="12" t="str">
        <f t="shared" si="60"/>
        <v/>
      </c>
      <c r="M560" s="12" t="str">
        <f t="shared" si="61"/>
        <v/>
      </c>
    </row>
    <row r="561" spans="1:13" ht="31.5">
      <c r="A561" s="3">
        <v>555</v>
      </c>
      <c r="B561" s="11" t="s">
        <v>372</v>
      </c>
      <c r="C561" s="3">
        <v>6</v>
      </c>
      <c r="D561" s="3">
        <v>21</v>
      </c>
      <c r="E561" s="11" t="s">
        <v>627</v>
      </c>
      <c r="F561" s="14">
        <v>700.19</v>
      </c>
      <c r="G561" s="14">
        <f t="shared" si="62"/>
        <v>0.46500000000003183</v>
      </c>
      <c r="H561" s="14">
        <f t="shared" si="56"/>
        <v>701.26350083752141</v>
      </c>
      <c r="I561" s="14">
        <f t="shared" si="57"/>
        <v>703.80793715053017</v>
      </c>
      <c r="J561" s="14">
        <f t="shared" si="58"/>
        <v>3.1255652114093886</v>
      </c>
      <c r="K561" s="14">
        <f t="shared" si="59"/>
        <v>0.95670805369127299</v>
      </c>
      <c r="L561" s="12" t="str">
        <f t="shared" si="60"/>
        <v/>
      </c>
      <c r="M561" s="12" t="str">
        <f t="shared" si="61"/>
        <v/>
      </c>
    </row>
    <row r="562" spans="1:13" ht="31.5">
      <c r="A562" s="3">
        <v>556</v>
      </c>
      <c r="B562" s="11" t="s">
        <v>372</v>
      </c>
      <c r="C562" s="3">
        <v>6</v>
      </c>
      <c r="D562" s="3">
        <v>20</v>
      </c>
      <c r="E562" s="11" t="s">
        <v>628</v>
      </c>
      <c r="F562" s="14">
        <v>700.35799999999995</v>
      </c>
      <c r="G562" s="14">
        <f t="shared" si="62"/>
        <v>0.16799999999989268</v>
      </c>
      <c r="H562" s="14">
        <f t="shared" si="56"/>
        <v>701.26350083752141</v>
      </c>
      <c r="I562" s="14">
        <f t="shared" si="57"/>
        <v>703.80793715053017</v>
      </c>
      <c r="J562" s="14">
        <f t="shared" si="58"/>
        <v>3.1255652114093886</v>
      </c>
      <c r="K562" s="14">
        <f t="shared" si="59"/>
        <v>0.95670805369127299</v>
      </c>
      <c r="L562" s="12" t="str">
        <f t="shared" si="60"/>
        <v/>
      </c>
      <c r="M562" s="12" t="str">
        <f t="shared" si="61"/>
        <v/>
      </c>
    </row>
    <row r="563" spans="1:13" ht="31.5">
      <c r="A563" s="3">
        <v>557</v>
      </c>
      <c r="B563" s="11" t="s">
        <v>372</v>
      </c>
      <c r="C563" s="3">
        <v>6</v>
      </c>
      <c r="D563" s="3">
        <v>19</v>
      </c>
      <c r="E563" s="11" t="s">
        <v>629</v>
      </c>
      <c r="F563" s="14">
        <v>700.19500000000005</v>
      </c>
      <c r="G563" s="14">
        <f t="shared" si="62"/>
        <v>0.16299999999989723</v>
      </c>
      <c r="H563" s="14">
        <f t="shared" si="56"/>
        <v>701.26350083752141</v>
      </c>
      <c r="I563" s="14">
        <f t="shared" si="57"/>
        <v>703.80793715053017</v>
      </c>
      <c r="J563" s="14">
        <f t="shared" si="58"/>
        <v>3.1255652114093886</v>
      </c>
      <c r="K563" s="14">
        <f t="shared" si="59"/>
        <v>0.95670805369127299</v>
      </c>
      <c r="L563" s="12" t="str">
        <f t="shared" si="60"/>
        <v/>
      </c>
      <c r="M563" s="12" t="str">
        <f t="shared" si="61"/>
        <v/>
      </c>
    </row>
    <row r="564" spans="1:13" ht="31.5">
      <c r="A564" s="3">
        <v>558</v>
      </c>
      <c r="B564" s="11" t="s">
        <v>372</v>
      </c>
      <c r="C564" s="3">
        <v>6</v>
      </c>
      <c r="D564" s="3">
        <v>18</v>
      </c>
      <c r="E564" s="11" t="s">
        <v>630</v>
      </c>
      <c r="F564" s="14">
        <v>699.29700000000003</v>
      </c>
      <c r="G564" s="14">
        <f t="shared" si="62"/>
        <v>0.89800000000002456</v>
      </c>
      <c r="H564" s="14">
        <f t="shared" si="56"/>
        <v>701.26350083752141</v>
      </c>
      <c r="I564" s="14">
        <f t="shared" si="57"/>
        <v>703.80793715053017</v>
      </c>
      <c r="J564" s="14">
        <f t="shared" si="58"/>
        <v>3.1255652114093886</v>
      </c>
      <c r="K564" s="14">
        <f t="shared" si="59"/>
        <v>0.95670805369127299</v>
      </c>
      <c r="L564" s="12" t="str">
        <f t="shared" si="60"/>
        <v/>
      </c>
      <c r="M564" s="12" t="str">
        <f t="shared" si="61"/>
        <v/>
      </c>
    </row>
    <row r="565" spans="1:13" ht="31.5">
      <c r="A565" s="3">
        <v>559</v>
      </c>
      <c r="B565" s="11" t="s">
        <v>372</v>
      </c>
      <c r="C565" s="3">
        <v>6</v>
      </c>
      <c r="D565" s="3">
        <v>17</v>
      </c>
      <c r="E565" s="11" t="s">
        <v>631</v>
      </c>
      <c r="F565" s="14">
        <v>700.70799999999997</v>
      </c>
      <c r="G565" s="14">
        <f t="shared" si="62"/>
        <v>1.4109999999999445</v>
      </c>
      <c r="H565" s="14">
        <f t="shared" si="56"/>
        <v>701.26350083752141</v>
      </c>
      <c r="I565" s="14">
        <f t="shared" si="57"/>
        <v>703.80793715053017</v>
      </c>
      <c r="J565" s="14">
        <f t="shared" si="58"/>
        <v>3.1255652114093886</v>
      </c>
      <c r="K565" s="14">
        <f t="shared" si="59"/>
        <v>0.95670805369127299</v>
      </c>
      <c r="L565" s="12" t="str">
        <f t="shared" si="60"/>
        <v/>
      </c>
      <c r="M565" s="12" t="str">
        <f t="shared" si="61"/>
        <v/>
      </c>
    </row>
    <row r="566" spans="1:13" ht="31.5">
      <c r="A566" s="3">
        <v>560</v>
      </c>
      <c r="B566" s="11" t="s">
        <v>372</v>
      </c>
      <c r="C566" s="3">
        <v>6</v>
      </c>
      <c r="D566" s="3">
        <v>16</v>
      </c>
      <c r="E566" s="11" t="s">
        <v>632</v>
      </c>
      <c r="F566" s="14">
        <v>701.33</v>
      </c>
      <c r="G566" s="14">
        <f t="shared" si="62"/>
        <v>0.62200000000007094</v>
      </c>
      <c r="H566" s="14">
        <f t="shared" si="56"/>
        <v>701.26350083752141</v>
      </c>
      <c r="I566" s="14">
        <f t="shared" si="57"/>
        <v>703.80793715053017</v>
      </c>
      <c r="J566" s="14">
        <f t="shared" si="58"/>
        <v>3.1255652114093886</v>
      </c>
      <c r="K566" s="14">
        <f t="shared" si="59"/>
        <v>0.95670805369127299</v>
      </c>
      <c r="L566" s="12" t="str">
        <f t="shared" si="60"/>
        <v/>
      </c>
      <c r="M566" s="12" t="str">
        <f t="shared" si="61"/>
        <v/>
      </c>
    </row>
    <row r="567" spans="1:13" ht="31.5">
      <c r="A567" s="3">
        <v>561</v>
      </c>
      <c r="B567" s="11" t="s">
        <v>372</v>
      </c>
      <c r="C567" s="3">
        <v>6</v>
      </c>
      <c r="D567" s="3">
        <v>15</v>
      </c>
      <c r="E567" s="11" t="s">
        <v>633</v>
      </c>
      <c r="F567" s="14">
        <v>702.06899999999996</v>
      </c>
      <c r="G567" s="14">
        <f t="shared" si="62"/>
        <v>0.73899999999991905</v>
      </c>
      <c r="H567" s="14">
        <f t="shared" si="56"/>
        <v>701.26350083752141</v>
      </c>
      <c r="I567" s="14">
        <f t="shared" si="57"/>
        <v>703.80793715053017</v>
      </c>
      <c r="J567" s="14">
        <f t="shared" si="58"/>
        <v>3.1255652114093886</v>
      </c>
      <c r="K567" s="14">
        <f t="shared" si="59"/>
        <v>0.95670805369127299</v>
      </c>
      <c r="L567" s="12" t="str">
        <f t="shared" si="60"/>
        <v/>
      </c>
      <c r="M567" s="12" t="str">
        <f t="shared" si="61"/>
        <v/>
      </c>
    </row>
    <row r="568" spans="1:13" ht="31.5">
      <c r="A568" s="3">
        <v>562</v>
      </c>
      <c r="B568" s="11" t="s">
        <v>372</v>
      </c>
      <c r="C568" s="3">
        <v>6</v>
      </c>
      <c r="D568" s="3">
        <v>14</v>
      </c>
      <c r="E568" s="11" t="s">
        <v>634</v>
      </c>
      <c r="F568" s="14">
        <v>699.21</v>
      </c>
      <c r="G568" s="14">
        <f t="shared" si="62"/>
        <v>2.8589999999999236</v>
      </c>
      <c r="H568" s="14">
        <f t="shared" si="56"/>
        <v>701.26350083752141</v>
      </c>
      <c r="I568" s="14">
        <f t="shared" si="57"/>
        <v>703.80793715053017</v>
      </c>
      <c r="J568" s="14">
        <f t="shared" si="58"/>
        <v>3.1255652114093886</v>
      </c>
      <c r="K568" s="14">
        <f t="shared" si="59"/>
        <v>0.95670805369127299</v>
      </c>
      <c r="L568" s="12" t="str">
        <f t="shared" si="60"/>
        <v/>
      </c>
      <c r="M568" s="12" t="str">
        <f t="shared" si="61"/>
        <v/>
      </c>
    </row>
    <row r="569" spans="1:13" ht="31.5">
      <c r="A569" s="3">
        <v>563</v>
      </c>
      <c r="B569" s="11" t="s">
        <v>372</v>
      </c>
      <c r="C569" s="3">
        <v>6</v>
      </c>
      <c r="D569" s="3">
        <v>13</v>
      </c>
      <c r="E569" s="11" t="s">
        <v>635</v>
      </c>
      <c r="F569" s="14">
        <v>699.15599999999995</v>
      </c>
      <c r="G569" s="14">
        <f t="shared" si="62"/>
        <v>5.4000000000087311E-2</v>
      </c>
      <c r="H569" s="14">
        <f t="shared" si="56"/>
        <v>701.26350083752141</v>
      </c>
      <c r="I569" s="14">
        <f t="shared" si="57"/>
        <v>703.80793715053017</v>
      </c>
      <c r="J569" s="14">
        <f t="shared" si="58"/>
        <v>3.1255652114093886</v>
      </c>
      <c r="K569" s="14">
        <f t="shared" si="59"/>
        <v>0.95670805369127299</v>
      </c>
      <c r="L569" s="12" t="str">
        <f t="shared" si="60"/>
        <v/>
      </c>
      <c r="M569" s="12" t="str">
        <f t="shared" si="61"/>
        <v/>
      </c>
    </row>
    <row r="570" spans="1:13" ht="31.5">
      <c r="A570" s="3">
        <v>564</v>
      </c>
      <c r="B570" s="11" t="s">
        <v>372</v>
      </c>
      <c r="C570" s="3">
        <v>6</v>
      </c>
      <c r="D570" s="3">
        <v>12</v>
      </c>
      <c r="E570" s="11" t="s">
        <v>636</v>
      </c>
      <c r="F570" s="14">
        <v>701.51099999999997</v>
      </c>
      <c r="G570" s="14">
        <f t="shared" si="62"/>
        <v>2.3550000000000182</v>
      </c>
      <c r="H570" s="14">
        <f t="shared" si="56"/>
        <v>701.26350083752141</v>
      </c>
      <c r="I570" s="14">
        <f t="shared" si="57"/>
        <v>703.80793715053017</v>
      </c>
      <c r="J570" s="14">
        <f t="shared" si="58"/>
        <v>3.1255652114093886</v>
      </c>
      <c r="K570" s="14">
        <f t="shared" si="59"/>
        <v>0.95670805369127299</v>
      </c>
      <c r="L570" s="12" t="str">
        <f t="shared" si="60"/>
        <v/>
      </c>
      <c r="M570" s="12" t="str">
        <f t="shared" si="61"/>
        <v/>
      </c>
    </row>
    <row r="571" spans="1:13" ht="31.5">
      <c r="A571" s="3">
        <v>565</v>
      </c>
      <c r="B571" s="11" t="s">
        <v>372</v>
      </c>
      <c r="C571" s="3">
        <v>6</v>
      </c>
      <c r="D571" s="3">
        <v>11</v>
      </c>
      <c r="E571" s="11" t="s">
        <v>637</v>
      </c>
      <c r="F571" s="14">
        <v>699.64599999999996</v>
      </c>
      <c r="G571" s="14">
        <f t="shared" si="62"/>
        <v>1.8650000000000091</v>
      </c>
      <c r="H571" s="14">
        <f t="shared" si="56"/>
        <v>701.26350083752141</v>
      </c>
      <c r="I571" s="14">
        <f t="shared" si="57"/>
        <v>703.80793715053017</v>
      </c>
      <c r="J571" s="14">
        <f t="shared" si="58"/>
        <v>3.1255652114093886</v>
      </c>
      <c r="K571" s="14">
        <f t="shared" si="59"/>
        <v>0.95670805369127299</v>
      </c>
      <c r="L571" s="12" t="str">
        <f t="shared" si="60"/>
        <v/>
      </c>
      <c r="M571" s="12" t="str">
        <f t="shared" si="61"/>
        <v/>
      </c>
    </row>
    <row r="572" spans="1:13" ht="31.5">
      <c r="A572" s="3">
        <v>566</v>
      </c>
      <c r="B572" s="11" t="s">
        <v>372</v>
      </c>
      <c r="C572" s="3">
        <v>6</v>
      </c>
      <c r="D572" s="3">
        <v>10</v>
      </c>
      <c r="E572" s="11" t="s">
        <v>638</v>
      </c>
      <c r="F572" s="14">
        <v>699.00599999999997</v>
      </c>
      <c r="G572" s="14">
        <f t="shared" si="62"/>
        <v>0.63999999999998636</v>
      </c>
      <c r="H572" s="14">
        <f t="shared" si="56"/>
        <v>701.26350083752141</v>
      </c>
      <c r="I572" s="14">
        <f t="shared" si="57"/>
        <v>703.80793715053017</v>
      </c>
      <c r="J572" s="14">
        <f t="shared" si="58"/>
        <v>3.1255652114093886</v>
      </c>
      <c r="K572" s="14">
        <f t="shared" si="59"/>
        <v>0.95670805369127299</v>
      </c>
      <c r="L572" s="12" t="str">
        <f t="shared" si="60"/>
        <v/>
      </c>
      <c r="M572" s="12" t="str">
        <f t="shared" si="61"/>
        <v/>
      </c>
    </row>
    <row r="573" spans="1:13" ht="31.5">
      <c r="A573" s="3">
        <v>567</v>
      </c>
      <c r="B573" s="11" t="s">
        <v>372</v>
      </c>
      <c r="C573" s="3">
        <v>6</v>
      </c>
      <c r="D573" s="3">
        <v>9</v>
      </c>
      <c r="E573" s="11" t="s">
        <v>639</v>
      </c>
      <c r="F573" s="14">
        <v>699.47400000000005</v>
      </c>
      <c r="G573" s="14">
        <f t="shared" si="62"/>
        <v>0.46800000000007458</v>
      </c>
      <c r="H573" s="14">
        <f t="shared" si="56"/>
        <v>701.26350083752141</v>
      </c>
      <c r="I573" s="14">
        <f t="shared" si="57"/>
        <v>703.80793715053017</v>
      </c>
      <c r="J573" s="14">
        <f t="shared" si="58"/>
        <v>3.1255652114093886</v>
      </c>
      <c r="K573" s="14">
        <f t="shared" si="59"/>
        <v>0.95670805369127299</v>
      </c>
      <c r="L573" s="12" t="str">
        <f t="shared" si="60"/>
        <v/>
      </c>
      <c r="M573" s="12" t="str">
        <f t="shared" si="61"/>
        <v/>
      </c>
    </row>
    <row r="574" spans="1:13" ht="31.5">
      <c r="A574" s="3">
        <v>568</v>
      </c>
      <c r="B574" s="11" t="s">
        <v>372</v>
      </c>
      <c r="C574" s="3">
        <v>6</v>
      </c>
      <c r="D574" s="3">
        <v>8</v>
      </c>
      <c r="E574" s="11" t="s">
        <v>640</v>
      </c>
      <c r="F574" s="14">
        <v>699.65800000000002</v>
      </c>
      <c r="G574" s="14">
        <f t="shared" si="62"/>
        <v>0.18399999999996908</v>
      </c>
      <c r="H574" s="14">
        <f t="shared" si="56"/>
        <v>701.26350083752141</v>
      </c>
      <c r="I574" s="14">
        <f t="shared" si="57"/>
        <v>703.80793715053017</v>
      </c>
      <c r="J574" s="14">
        <f t="shared" si="58"/>
        <v>3.1255652114093886</v>
      </c>
      <c r="K574" s="14">
        <f t="shared" si="59"/>
        <v>0.95670805369127299</v>
      </c>
      <c r="L574" s="12" t="str">
        <f t="shared" si="60"/>
        <v/>
      </c>
      <c r="M574" s="12" t="str">
        <f t="shared" si="61"/>
        <v/>
      </c>
    </row>
    <row r="575" spans="1:13" ht="31.5">
      <c r="A575" s="3">
        <v>569</v>
      </c>
      <c r="B575" s="11" t="s">
        <v>372</v>
      </c>
      <c r="C575" s="3">
        <v>6</v>
      </c>
      <c r="D575" s="3">
        <v>7</v>
      </c>
      <c r="E575" s="11" t="s">
        <v>641</v>
      </c>
      <c r="F575" s="14">
        <v>699.67200000000003</v>
      </c>
      <c r="G575" s="14">
        <f t="shared" si="62"/>
        <v>1.4000000000010004E-2</v>
      </c>
      <c r="H575" s="14">
        <f t="shared" si="56"/>
        <v>701.26350083752141</v>
      </c>
      <c r="I575" s="14">
        <f t="shared" si="57"/>
        <v>703.80793715053017</v>
      </c>
      <c r="J575" s="14">
        <f t="shared" si="58"/>
        <v>3.1255652114093886</v>
      </c>
      <c r="K575" s="14">
        <f t="shared" si="59"/>
        <v>0.95670805369127299</v>
      </c>
      <c r="L575" s="12" t="str">
        <f t="shared" si="60"/>
        <v/>
      </c>
      <c r="M575" s="12" t="str">
        <f t="shared" si="61"/>
        <v/>
      </c>
    </row>
    <row r="576" spans="1:13" ht="31.5">
      <c r="A576" s="3">
        <v>570</v>
      </c>
      <c r="B576" s="11" t="s">
        <v>372</v>
      </c>
      <c r="C576" s="3">
        <v>6</v>
      </c>
      <c r="D576" s="3">
        <v>6</v>
      </c>
      <c r="E576" s="11" t="s">
        <v>642</v>
      </c>
      <c r="F576" s="14">
        <v>700.36</v>
      </c>
      <c r="G576" s="14">
        <f t="shared" si="62"/>
        <v>0.68799999999998818</v>
      </c>
      <c r="H576" s="14">
        <f t="shared" si="56"/>
        <v>701.26350083752141</v>
      </c>
      <c r="I576" s="14">
        <f t="shared" si="57"/>
        <v>703.80793715053017</v>
      </c>
      <c r="J576" s="14">
        <f t="shared" si="58"/>
        <v>3.1255652114093886</v>
      </c>
      <c r="K576" s="14">
        <f t="shared" si="59"/>
        <v>0.95670805369127299</v>
      </c>
      <c r="L576" s="12" t="str">
        <f t="shared" si="60"/>
        <v/>
      </c>
      <c r="M576" s="12" t="str">
        <f t="shared" si="61"/>
        <v/>
      </c>
    </row>
    <row r="577" spans="1:13" ht="31.5">
      <c r="A577" s="3">
        <v>571</v>
      </c>
      <c r="B577" s="11" t="s">
        <v>372</v>
      </c>
      <c r="C577" s="3">
        <v>6</v>
      </c>
      <c r="D577" s="3">
        <v>5</v>
      </c>
      <c r="E577" s="11" t="s">
        <v>643</v>
      </c>
      <c r="F577" s="14">
        <v>700.12800000000004</v>
      </c>
      <c r="G577" s="14">
        <f t="shared" si="62"/>
        <v>0.2319999999999709</v>
      </c>
      <c r="H577" s="14">
        <f t="shared" si="56"/>
        <v>701.26350083752141</v>
      </c>
      <c r="I577" s="14">
        <f t="shared" si="57"/>
        <v>703.80793715053017</v>
      </c>
      <c r="J577" s="14">
        <f t="shared" si="58"/>
        <v>3.1255652114093886</v>
      </c>
      <c r="K577" s="14">
        <f t="shared" si="59"/>
        <v>0.95670805369127299</v>
      </c>
      <c r="L577" s="12" t="str">
        <f t="shared" si="60"/>
        <v/>
      </c>
      <c r="M577" s="12" t="str">
        <f t="shared" si="61"/>
        <v/>
      </c>
    </row>
    <row r="578" spans="1:13" ht="31.5">
      <c r="A578" s="3">
        <v>572</v>
      </c>
      <c r="B578" s="11" t="s">
        <v>372</v>
      </c>
      <c r="C578" s="3">
        <v>6</v>
      </c>
      <c r="D578" s="3">
        <v>4</v>
      </c>
      <c r="E578" s="11" t="s">
        <v>644</v>
      </c>
      <c r="F578" s="14">
        <v>700.39499999999998</v>
      </c>
      <c r="G578" s="14">
        <f t="shared" si="62"/>
        <v>0.26699999999993906</v>
      </c>
      <c r="H578" s="14">
        <f t="shared" si="56"/>
        <v>701.26350083752141</v>
      </c>
      <c r="I578" s="14">
        <f t="shared" si="57"/>
        <v>703.80793715053017</v>
      </c>
      <c r="J578" s="14">
        <f t="shared" si="58"/>
        <v>3.1255652114093886</v>
      </c>
      <c r="K578" s="14">
        <f t="shared" si="59"/>
        <v>0.95670805369127299</v>
      </c>
      <c r="L578" s="12" t="str">
        <f t="shared" si="60"/>
        <v/>
      </c>
      <c r="M578" s="12" t="str">
        <f t="shared" si="61"/>
        <v/>
      </c>
    </row>
    <row r="579" spans="1:13" ht="31.5">
      <c r="A579" s="3">
        <v>573</v>
      </c>
      <c r="B579" s="11" t="s">
        <v>372</v>
      </c>
      <c r="C579" s="3">
        <v>6</v>
      </c>
      <c r="D579" s="3">
        <v>3</v>
      </c>
      <c r="E579" s="11" t="s">
        <v>645</v>
      </c>
      <c r="F579" s="14">
        <v>700.85</v>
      </c>
      <c r="G579" s="14">
        <f t="shared" si="62"/>
        <v>0.45500000000004093</v>
      </c>
      <c r="H579" s="14">
        <f t="shared" si="56"/>
        <v>701.26350083752141</v>
      </c>
      <c r="I579" s="14">
        <f t="shared" si="57"/>
        <v>703.80793715053017</v>
      </c>
      <c r="J579" s="14">
        <f t="shared" si="58"/>
        <v>3.1255652114093886</v>
      </c>
      <c r="K579" s="14">
        <f t="shared" si="59"/>
        <v>0.95670805369127299</v>
      </c>
      <c r="L579" s="12" t="str">
        <f t="shared" si="60"/>
        <v/>
      </c>
      <c r="M579" s="12" t="str">
        <f t="shared" si="61"/>
        <v/>
      </c>
    </row>
    <row r="580" spans="1:13" ht="31.5">
      <c r="A580" s="3">
        <v>574</v>
      </c>
      <c r="B580" s="11" t="s">
        <v>372</v>
      </c>
      <c r="C580" s="3">
        <v>6</v>
      </c>
      <c r="D580" s="3">
        <v>2</v>
      </c>
      <c r="E580" s="11" t="s">
        <v>646</v>
      </c>
      <c r="F580" s="14">
        <v>699.53700000000003</v>
      </c>
      <c r="G580" s="14">
        <f t="shared" si="62"/>
        <v>1.3129999999999882</v>
      </c>
      <c r="H580" s="14">
        <f t="shared" si="56"/>
        <v>701.26350083752141</v>
      </c>
      <c r="I580" s="14">
        <f t="shared" si="57"/>
        <v>703.80793715053017</v>
      </c>
      <c r="J580" s="14">
        <f t="shared" si="58"/>
        <v>3.1255652114093886</v>
      </c>
      <c r="K580" s="14">
        <f t="shared" si="59"/>
        <v>0.95670805369127299</v>
      </c>
      <c r="L580" s="12" t="str">
        <f t="shared" si="60"/>
        <v/>
      </c>
      <c r="M580" s="12" t="str">
        <f t="shared" si="61"/>
        <v/>
      </c>
    </row>
    <row r="581" spans="1:13" ht="31.5">
      <c r="A581" s="3">
        <v>575</v>
      </c>
      <c r="B581" s="11" t="s">
        <v>372</v>
      </c>
      <c r="C581" s="3">
        <v>6</v>
      </c>
      <c r="D581" s="3">
        <v>1</v>
      </c>
      <c r="E581" s="11" t="s">
        <v>647</v>
      </c>
      <c r="F581" s="14">
        <v>701.90800000000002</v>
      </c>
      <c r="G581" s="14">
        <f t="shared" si="62"/>
        <v>2.3709999999999809</v>
      </c>
      <c r="H581" s="14">
        <f t="shared" si="56"/>
        <v>701.26350083752141</v>
      </c>
      <c r="I581" s="14">
        <f t="shared" si="57"/>
        <v>703.80793715053017</v>
      </c>
      <c r="J581" s="14">
        <f t="shared" si="58"/>
        <v>3.1255652114093886</v>
      </c>
      <c r="K581" s="14">
        <f t="shared" si="59"/>
        <v>0.95670805369127299</v>
      </c>
      <c r="L581" s="12" t="str">
        <f t="shared" si="60"/>
        <v/>
      </c>
      <c r="M581" s="12" t="str">
        <f t="shared" si="61"/>
        <v/>
      </c>
    </row>
    <row r="582" spans="1:13" ht="31.5">
      <c r="A582" s="3">
        <v>576</v>
      </c>
      <c r="B582" s="11" t="s">
        <v>372</v>
      </c>
      <c r="C582" s="3">
        <v>6</v>
      </c>
      <c r="D582" s="3">
        <v>25</v>
      </c>
      <c r="E582" s="11" t="s">
        <v>648</v>
      </c>
      <c r="F582" s="14">
        <v>701.67200000000003</v>
      </c>
      <c r="G582" s="14">
        <f t="shared" si="62"/>
        <v>0.23599999999999</v>
      </c>
      <c r="H582" s="14">
        <f t="shared" si="56"/>
        <v>701.26350083752141</v>
      </c>
      <c r="I582" s="14">
        <f t="shared" si="57"/>
        <v>703.80793715053017</v>
      </c>
      <c r="J582" s="14">
        <f t="shared" si="58"/>
        <v>3.1255652114093886</v>
      </c>
      <c r="K582" s="14">
        <f t="shared" si="59"/>
        <v>0.95670805369127299</v>
      </c>
      <c r="L582" s="12" t="str">
        <f t="shared" si="60"/>
        <v/>
      </c>
      <c r="M582" s="12" t="str">
        <f t="shared" si="61"/>
        <v/>
      </c>
    </row>
    <row r="583" spans="1:13" ht="31.5">
      <c r="A583" s="3">
        <v>577</v>
      </c>
      <c r="B583" s="11" t="s">
        <v>372</v>
      </c>
      <c r="C583" s="3">
        <v>6</v>
      </c>
      <c r="D583" s="3">
        <v>24</v>
      </c>
      <c r="E583" s="11" t="s">
        <v>649</v>
      </c>
      <c r="F583" s="14">
        <v>701.03399999999999</v>
      </c>
      <c r="G583" s="14">
        <f t="shared" si="62"/>
        <v>0.63800000000003365</v>
      </c>
      <c r="H583" s="14">
        <f t="shared" si="56"/>
        <v>701.26350083752141</v>
      </c>
      <c r="I583" s="14">
        <f t="shared" si="57"/>
        <v>703.80793715053017</v>
      </c>
      <c r="J583" s="14">
        <f t="shared" si="58"/>
        <v>3.1255652114093886</v>
      </c>
      <c r="K583" s="14">
        <f t="shared" si="59"/>
        <v>0.95670805369127299</v>
      </c>
      <c r="L583" s="12" t="str">
        <f t="shared" si="60"/>
        <v/>
      </c>
      <c r="M583" s="12" t="str">
        <f t="shared" si="61"/>
        <v/>
      </c>
    </row>
    <row r="584" spans="1:13" ht="31.5">
      <c r="A584" s="3">
        <v>578</v>
      </c>
      <c r="B584" s="11" t="s">
        <v>372</v>
      </c>
      <c r="C584" s="3">
        <v>6</v>
      </c>
      <c r="D584" s="3">
        <v>23</v>
      </c>
      <c r="E584" s="11" t="s">
        <v>650</v>
      </c>
      <c r="F584" s="14">
        <v>701.95600000000002</v>
      </c>
      <c r="G584" s="14">
        <f t="shared" si="62"/>
        <v>0.92200000000002547</v>
      </c>
      <c r="H584" s="14">
        <f t="shared" si="56"/>
        <v>701.26350083752141</v>
      </c>
      <c r="I584" s="14">
        <f t="shared" si="57"/>
        <v>703.80793715053017</v>
      </c>
      <c r="J584" s="14">
        <f t="shared" si="58"/>
        <v>3.1255652114093886</v>
      </c>
      <c r="K584" s="14">
        <f t="shared" si="59"/>
        <v>0.95670805369127299</v>
      </c>
      <c r="L584" s="12" t="str">
        <f t="shared" si="60"/>
        <v/>
      </c>
      <c r="M584" s="12" t="str">
        <f t="shared" si="61"/>
        <v/>
      </c>
    </row>
    <row r="585" spans="1:13" ht="31.5">
      <c r="A585" s="3">
        <v>579</v>
      </c>
      <c r="B585" s="11" t="s">
        <v>372</v>
      </c>
      <c r="C585" s="3">
        <v>6</v>
      </c>
      <c r="D585" s="3">
        <v>22</v>
      </c>
      <c r="E585" s="11" t="s">
        <v>651</v>
      </c>
      <c r="F585" s="14">
        <v>701.904</v>
      </c>
      <c r="G585" s="14">
        <f t="shared" si="62"/>
        <v>5.2000000000020918E-2</v>
      </c>
      <c r="H585" s="14">
        <f t="shared" si="56"/>
        <v>701.26350083752141</v>
      </c>
      <c r="I585" s="14">
        <f t="shared" si="57"/>
        <v>703.80793715053017</v>
      </c>
      <c r="J585" s="14">
        <f t="shared" si="58"/>
        <v>3.1255652114093886</v>
      </c>
      <c r="K585" s="14">
        <f t="shared" si="59"/>
        <v>0.95670805369127299</v>
      </c>
      <c r="L585" s="12" t="str">
        <f t="shared" si="60"/>
        <v/>
      </c>
      <c r="M585" s="12" t="str">
        <f t="shared" si="61"/>
        <v/>
      </c>
    </row>
    <row r="586" spans="1:13" ht="31.5">
      <c r="A586" s="3">
        <v>580</v>
      </c>
      <c r="B586" s="11" t="s">
        <v>372</v>
      </c>
      <c r="C586" s="3">
        <v>6</v>
      </c>
      <c r="D586" s="3">
        <v>21</v>
      </c>
      <c r="E586" s="11" t="s">
        <v>652</v>
      </c>
      <c r="F586" s="14">
        <v>701.08699999999999</v>
      </c>
      <c r="G586" s="14">
        <f t="shared" si="62"/>
        <v>0.81700000000000728</v>
      </c>
      <c r="H586" s="14">
        <f t="shared" ref="H586:H606" si="63">$F$4</f>
        <v>701.26350083752141</v>
      </c>
      <c r="I586" s="14">
        <f t="shared" ref="I586:I606" si="64">$F$7</f>
        <v>703.80793715053017</v>
      </c>
      <c r="J586" s="14">
        <f t="shared" ref="J586:J606" si="65">$F$8</f>
        <v>3.1255652114093886</v>
      </c>
      <c r="K586" s="14">
        <f t="shared" ref="K586:K606" si="66">$F$5</f>
        <v>0.95670805369127299</v>
      </c>
      <c r="L586" s="12" t="str">
        <f t="shared" ref="L586:L606" si="67">IF(F586&gt;$F$7,"OOC","" )</f>
        <v/>
      </c>
      <c r="M586" s="12" t="str">
        <f t="shared" ref="M586:M606" si="68">IF(F586&gt;$B$4,"OOS","" )</f>
        <v/>
      </c>
    </row>
    <row r="587" spans="1:13" ht="31.5">
      <c r="A587" s="3">
        <v>581</v>
      </c>
      <c r="B587" s="11" t="s">
        <v>372</v>
      </c>
      <c r="C587" s="3">
        <v>6</v>
      </c>
      <c r="D587" s="3">
        <v>20</v>
      </c>
      <c r="E587" s="11" t="s">
        <v>653</v>
      </c>
      <c r="F587" s="14">
        <v>701.44200000000001</v>
      </c>
      <c r="G587" s="14">
        <f t="shared" ref="G587:G606" si="69">ABS(F587-F586)</f>
        <v>0.35500000000001819</v>
      </c>
      <c r="H587" s="14">
        <f t="shared" si="63"/>
        <v>701.26350083752141</v>
      </c>
      <c r="I587" s="14">
        <f t="shared" si="64"/>
        <v>703.80793715053017</v>
      </c>
      <c r="J587" s="14">
        <f t="shared" si="65"/>
        <v>3.1255652114093886</v>
      </c>
      <c r="K587" s="14">
        <f t="shared" si="66"/>
        <v>0.95670805369127299</v>
      </c>
      <c r="L587" s="12" t="str">
        <f t="shared" si="67"/>
        <v/>
      </c>
      <c r="M587" s="12" t="str">
        <f t="shared" si="68"/>
        <v/>
      </c>
    </row>
    <row r="588" spans="1:13" ht="31.5">
      <c r="A588" s="3">
        <v>582</v>
      </c>
      <c r="B588" s="11" t="s">
        <v>372</v>
      </c>
      <c r="C588" s="3">
        <v>6</v>
      </c>
      <c r="D588" s="3">
        <v>19</v>
      </c>
      <c r="E588" s="11" t="s">
        <v>654</v>
      </c>
      <c r="F588" s="14">
        <v>702.54</v>
      </c>
      <c r="G588" s="14">
        <f t="shared" si="69"/>
        <v>1.0979999999999563</v>
      </c>
      <c r="H588" s="14">
        <f t="shared" si="63"/>
        <v>701.26350083752141</v>
      </c>
      <c r="I588" s="14">
        <f t="shared" si="64"/>
        <v>703.80793715053017</v>
      </c>
      <c r="J588" s="14">
        <f t="shared" si="65"/>
        <v>3.1255652114093886</v>
      </c>
      <c r="K588" s="14">
        <f t="shared" si="66"/>
        <v>0.95670805369127299</v>
      </c>
      <c r="L588" s="12" t="str">
        <f t="shared" si="67"/>
        <v/>
      </c>
      <c r="M588" s="12" t="str">
        <f t="shared" si="68"/>
        <v/>
      </c>
    </row>
    <row r="589" spans="1:13" ht="31.5">
      <c r="A589" s="3">
        <v>583</v>
      </c>
      <c r="B589" s="11" t="s">
        <v>372</v>
      </c>
      <c r="C589" s="3">
        <v>6</v>
      </c>
      <c r="D589" s="3">
        <v>18</v>
      </c>
      <c r="E589" s="11" t="s">
        <v>655</v>
      </c>
      <c r="F589" s="14">
        <v>702.31799999999998</v>
      </c>
      <c r="G589" s="14">
        <f t="shared" si="69"/>
        <v>0.22199999999997999</v>
      </c>
      <c r="H589" s="14">
        <f t="shared" si="63"/>
        <v>701.26350083752141</v>
      </c>
      <c r="I589" s="14">
        <f t="shared" si="64"/>
        <v>703.80793715053017</v>
      </c>
      <c r="J589" s="14">
        <f t="shared" si="65"/>
        <v>3.1255652114093886</v>
      </c>
      <c r="K589" s="14">
        <f t="shared" si="66"/>
        <v>0.95670805369127299</v>
      </c>
      <c r="L589" s="12" t="str">
        <f t="shared" si="67"/>
        <v/>
      </c>
      <c r="M589" s="12" t="str">
        <f t="shared" si="68"/>
        <v/>
      </c>
    </row>
    <row r="590" spans="1:13" ht="31.5">
      <c r="A590" s="3">
        <v>584</v>
      </c>
      <c r="B590" s="11" t="s">
        <v>372</v>
      </c>
      <c r="C590" s="3">
        <v>6</v>
      </c>
      <c r="D590" s="3">
        <v>17</v>
      </c>
      <c r="E590" s="11" t="s">
        <v>656</v>
      </c>
      <c r="F590" s="14">
        <v>702.43899999999996</v>
      </c>
      <c r="G590" s="14">
        <f t="shared" si="69"/>
        <v>0.1209999999999809</v>
      </c>
      <c r="H590" s="14">
        <f t="shared" si="63"/>
        <v>701.26350083752141</v>
      </c>
      <c r="I590" s="14">
        <f t="shared" si="64"/>
        <v>703.80793715053017</v>
      </c>
      <c r="J590" s="14">
        <f t="shared" si="65"/>
        <v>3.1255652114093886</v>
      </c>
      <c r="K590" s="14">
        <f t="shared" si="66"/>
        <v>0.95670805369127299</v>
      </c>
      <c r="L590" s="12" t="str">
        <f t="shared" si="67"/>
        <v/>
      </c>
      <c r="M590" s="12" t="str">
        <f t="shared" si="68"/>
        <v/>
      </c>
    </row>
    <row r="591" spans="1:13" ht="31.5">
      <c r="A591" s="3">
        <v>585</v>
      </c>
      <c r="B591" s="11" t="s">
        <v>372</v>
      </c>
      <c r="C591" s="3">
        <v>6</v>
      </c>
      <c r="D591" s="3">
        <v>16</v>
      </c>
      <c r="E591" s="11" t="s">
        <v>657</v>
      </c>
      <c r="F591" s="14">
        <v>702.875</v>
      </c>
      <c r="G591" s="14">
        <f t="shared" si="69"/>
        <v>0.43600000000003547</v>
      </c>
      <c r="H591" s="14">
        <f t="shared" si="63"/>
        <v>701.26350083752141</v>
      </c>
      <c r="I591" s="14">
        <f t="shared" si="64"/>
        <v>703.80793715053017</v>
      </c>
      <c r="J591" s="14">
        <f t="shared" si="65"/>
        <v>3.1255652114093886</v>
      </c>
      <c r="K591" s="14">
        <f t="shared" si="66"/>
        <v>0.95670805369127299</v>
      </c>
      <c r="L591" s="12" t="str">
        <f t="shared" si="67"/>
        <v/>
      </c>
      <c r="M591" s="12" t="str">
        <f t="shared" si="68"/>
        <v/>
      </c>
    </row>
    <row r="592" spans="1:13" ht="31.5">
      <c r="A592" s="3">
        <v>586</v>
      </c>
      <c r="B592" s="11" t="s">
        <v>372</v>
      </c>
      <c r="C592" s="3">
        <v>6</v>
      </c>
      <c r="D592" s="3">
        <v>15</v>
      </c>
      <c r="E592" s="11" t="s">
        <v>658</v>
      </c>
      <c r="F592" s="14">
        <v>702.423</v>
      </c>
      <c r="G592" s="14">
        <f t="shared" si="69"/>
        <v>0.45199999999999818</v>
      </c>
      <c r="H592" s="14">
        <f t="shared" si="63"/>
        <v>701.26350083752141</v>
      </c>
      <c r="I592" s="14">
        <f t="shared" si="64"/>
        <v>703.80793715053017</v>
      </c>
      <c r="J592" s="14">
        <f t="shared" si="65"/>
        <v>3.1255652114093886</v>
      </c>
      <c r="K592" s="14">
        <f t="shared" si="66"/>
        <v>0.95670805369127299</v>
      </c>
      <c r="L592" s="12" t="str">
        <f t="shared" si="67"/>
        <v/>
      </c>
      <c r="M592" s="12" t="str">
        <f t="shared" si="68"/>
        <v/>
      </c>
    </row>
    <row r="593" spans="1:13" ht="31.5">
      <c r="A593" s="3">
        <v>587</v>
      </c>
      <c r="B593" s="11" t="s">
        <v>372</v>
      </c>
      <c r="C593" s="3">
        <v>6</v>
      </c>
      <c r="D593" s="3">
        <v>14</v>
      </c>
      <c r="E593" s="11" t="s">
        <v>659</v>
      </c>
      <c r="F593" s="14">
        <v>702.87800000000004</v>
      </c>
      <c r="G593" s="14">
        <f t="shared" si="69"/>
        <v>0.45500000000004093</v>
      </c>
      <c r="H593" s="14">
        <f t="shared" si="63"/>
        <v>701.26350083752141</v>
      </c>
      <c r="I593" s="14">
        <f t="shared" si="64"/>
        <v>703.80793715053017</v>
      </c>
      <c r="J593" s="14">
        <f t="shared" si="65"/>
        <v>3.1255652114093886</v>
      </c>
      <c r="K593" s="14">
        <f t="shared" si="66"/>
        <v>0.95670805369127299</v>
      </c>
      <c r="L593" s="12" t="str">
        <f t="shared" si="67"/>
        <v/>
      </c>
      <c r="M593" s="12" t="str">
        <f t="shared" si="68"/>
        <v/>
      </c>
    </row>
    <row r="594" spans="1:13" ht="31.5">
      <c r="A594" s="3">
        <v>588</v>
      </c>
      <c r="B594" s="11" t="s">
        <v>372</v>
      </c>
      <c r="C594" s="3">
        <v>6</v>
      </c>
      <c r="D594" s="3">
        <v>13</v>
      </c>
      <c r="E594" s="11" t="s">
        <v>660</v>
      </c>
      <c r="F594" s="14">
        <v>702.34500000000003</v>
      </c>
      <c r="G594" s="14">
        <f t="shared" si="69"/>
        <v>0.53300000000001546</v>
      </c>
      <c r="H594" s="14">
        <f t="shared" si="63"/>
        <v>701.26350083752141</v>
      </c>
      <c r="I594" s="14">
        <f t="shared" si="64"/>
        <v>703.80793715053017</v>
      </c>
      <c r="J594" s="14">
        <f t="shared" si="65"/>
        <v>3.1255652114093886</v>
      </c>
      <c r="K594" s="14">
        <f t="shared" si="66"/>
        <v>0.95670805369127299</v>
      </c>
      <c r="L594" s="12" t="str">
        <f t="shared" si="67"/>
        <v/>
      </c>
      <c r="M594" s="12" t="str">
        <f t="shared" si="68"/>
        <v/>
      </c>
    </row>
    <row r="595" spans="1:13" ht="31.5">
      <c r="A595" s="3">
        <v>589</v>
      </c>
      <c r="B595" s="11" t="s">
        <v>372</v>
      </c>
      <c r="C595" s="3">
        <v>6</v>
      </c>
      <c r="D595" s="3">
        <v>12</v>
      </c>
      <c r="E595" s="11" t="s">
        <v>661</v>
      </c>
      <c r="F595" s="14">
        <v>702.24400000000003</v>
      </c>
      <c r="G595" s="14">
        <f t="shared" si="69"/>
        <v>0.10099999999999909</v>
      </c>
      <c r="H595" s="14">
        <f t="shared" si="63"/>
        <v>701.26350083752141</v>
      </c>
      <c r="I595" s="14">
        <f t="shared" si="64"/>
        <v>703.80793715053017</v>
      </c>
      <c r="J595" s="14">
        <f t="shared" si="65"/>
        <v>3.1255652114093886</v>
      </c>
      <c r="K595" s="14">
        <f t="shared" si="66"/>
        <v>0.95670805369127299</v>
      </c>
      <c r="L595" s="12" t="str">
        <f t="shared" si="67"/>
        <v/>
      </c>
      <c r="M595" s="12" t="str">
        <f t="shared" si="68"/>
        <v/>
      </c>
    </row>
    <row r="596" spans="1:13" ht="31.5">
      <c r="A596" s="3">
        <v>590</v>
      </c>
      <c r="B596" s="11" t="s">
        <v>372</v>
      </c>
      <c r="C596" s="3">
        <v>6</v>
      </c>
      <c r="D596" s="3">
        <v>11</v>
      </c>
      <c r="E596" s="11" t="s">
        <v>662</v>
      </c>
      <c r="F596" s="14">
        <v>700.91399999999999</v>
      </c>
      <c r="G596" s="14">
        <f t="shared" si="69"/>
        <v>1.3300000000000409</v>
      </c>
      <c r="H596" s="14">
        <f t="shared" si="63"/>
        <v>701.26350083752141</v>
      </c>
      <c r="I596" s="14">
        <f t="shared" si="64"/>
        <v>703.80793715053017</v>
      </c>
      <c r="J596" s="14">
        <f t="shared" si="65"/>
        <v>3.1255652114093886</v>
      </c>
      <c r="K596" s="14">
        <f t="shared" si="66"/>
        <v>0.95670805369127299</v>
      </c>
      <c r="L596" s="12" t="str">
        <f t="shared" si="67"/>
        <v/>
      </c>
      <c r="M596" s="12" t="str">
        <f t="shared" si="68"/>
        <v/>
      </c>
    </row>
    <row r="597" spans="1:13" ht="31.5">
      <c r="A597" s="3">
        <v>591</v>
      </c>
      <c r="B597" s="11" t="s">
        <v>372</v>
      </c>
      <c r="C597" s="3">
        <v>6</v>
      </c>
      <c r="D597" s="3">
        <v>10</v>
      </c>
      <c r="E597" s="11" t="s">
        <v>663</v>
      </c>
      <c r="F597" s="14">
        <v>701.38800000000003</v>
      </c>
      <c r="G597" s="14">
        <f t="shared" si="69"/>
        <v>0.47400000000004638</v>
      </c>
      <c r="H597" s="14">
        <f t="shared" si="63"/>
        <v>701.26350083752141</v>
      </c>
      <c r="I597" s="14">
        <f t="shared" si="64"/>
        <v>703.80793715053017</v>
      </c>
      <c r="J597" s="14">
        <f t="shared" si="65"/>
        <v>3.1255652114093886</v>
      </c>
      <c r="K597" s="14">
        <f t="shared" si="66"/>
        <v>0.95670805369127299</v>
      </c>
      <c r="L597" s="12" t="str">
        <f t="shared" si="67"/>
        <v/>
      </c>
      <c r="M597" s="12" t="str">
        <f t="shared" si="68"/>
        <v/>
      </c>
    </row>
    <row r="598" spans="1:13" ht="31.5">
      <c r="A598" s="3">
        <v>592</v>
      </c>
      <c r="B598" s="11" t="s">
        <v>372</v>
      </c>
      <c r="C598" s="3">
        <v>6</v>
      </c>
      <c r="D598" s="3">
        <v>9</v>
      </c>
      <c r="E598" s="11" t="s">
        <v>664</v>
      </c>
      <c r="F598" s="14">
        <v>699.63800000000003</v>
      </c>
      <c r="G598" s="14">
        <f t="shared" si="69"/>
        <v>1.75</v>
      </c>
      <c r="H598" s="14">
        <f t="shared" si="63"/>
        <v>701.26350083752141</v>
      </c>
      <c r="I598" s="14">
        <f t="shared" si="64"/>
        <v>703.80793715053017</v>
      </c>
      <c r="J598" s="14">
        <f t="shared" si="65"/>
        <v>3.1255652114093886</v>
      </c>
      <c r="K598" s="14">
        <f t="shared" si="66"/>
        <v>0.95670805369127299</v>
      </c>
      <c r="L598" s="12" t="str">
        <f t="shared" si="67"/>
        <v/>
      </c>
      <c r="M598" s="12" t="str">
        <f t="shared" si="68"/>
        <v/>
      </c>
    </row>
    <row r="599" spans="1:13" ht="31.5">
      <c r="A599" s="3">
        <v>593</v>
      </c>
      <c r="B599" s="11" t="s">
        <v>372</v>
      </c>
      <c r="C599" s="3">
        <v>6</v>
      </c>
      <c r="D599" s="3">
        <v>8</v>
      </c>
      <c r="E599" s="11" t="s">
        <v>665</v>
      </c>
      <c r="F599" s="14">
        <v>699.92399999999998</v>
      </c>
      <c r="G599" s="14">
        <f t="shared" si="69"/>
        <v>0.28599999999994452</v>
      </c>
      <c r="H599" s="14">
        <f t="shared" si="63"/>
        <v>701.26350083752141</v>
      </c>
      <c r="I599" s="14">
        <f t="shared" si="64"/>
        <v>703.80793715053017</v>
      </c>
      <c r="J599" s="14">
        <f t="shared" si="65"/>
        <v>3.1255652114093886</v>
      </c>
      <c r="K599" s="14">
        <f t="shared" si="66"/>
        <v>0.95670805369127299</v>
      </c>
      <c r="L599" s="12" t="str">
        <f t="shared" si="67"/>
        <v/>
      </c>
      <c r="M599" s="12" t="str">
        <f t="shared" si="68"/>
        <v/>
      </c>
    </row>
    <row r="600" spans="1:13" ht="31.5">
      <c r="A600" s="3">
        <v>594</v>
      </c>
      <c r="B600" s="11" t="s">
        <v>372</v>
      </c>
      <c r="C600" s="3">
        <v>6</v>
      </c>
      <c r="D600" s="3">
        <v>7</v>
      </c>
      <c r="E600" s="11" t="s">
        <v>666</v>
      </c>
      <c r="F600" s="14">
        <v>703.28399999999999</v>
      </c>
      <c r="G600" s="14">
        <f t="shared" si="69"/>
        <v>3.3600000000000136</v>
      </c>
      <c r="H600" s="14">
        <f t="shared" si="63"/>
        <v>701.26350083752141</v>
      </c>
      <c r="I600" s="14">
        <f t="shared" si="64"/>
        <v>703.80793715053017</v>
      </c>
      <c r="J600" s="14">
        <f t="shared" si="65"/>
        <v>3.1255652114093886</v>
      </c>
      <c r="K600" s="14">
        <f t="shared" si="66"/>
        <v>0.95670805369127299</v>
      </c>
      <c r="L600" s="12" t="str">
        <f t="shared" si="67"/>
        <v/>
      </c>
      <c r="M600" s="12" t="str">
        <f t="shared" si="68"/>
        <v/>
      </c>
    </row>
    <row r="601" spans="1:13" ht="31.5">
      <c r="A601" s="3">
        <v>595</v>
      </c>
      <c r="B601" s="11" t="s">
        <v>372</v>
      </c>
      <c r="C601" s="3">
        <v>6</v>
      </c>
      <c r="D601" s="3">
        <v>6</v>
      </c>
      <c r="E601" s="11" t="s">
        <v>667</v>
      </c>
      <c r="F601" s="14">
        <v>700.46</v>
      </c>
      <c r="G601" s="14">
        <f t="shared" si="69"/>
        <v>2.8239999999999554</v>
      </c>
      <c r="H601" s="14">
        <f t="shared" si="63"/>
        <v>701.26350083752141</v>
      </c>
      <c r="I601" s="14">
        <f t="shared" si="64"/>
        <v>703.80793715053017</v>
      </c>
      <c r="J601" s="14">
        <f t="shared" si="65"/>
        <v>3.1255652114093886</v>
      </c>
      <c r="K601" s="14">
        <f t="shared" si="66"/>
        <v>0.95670805369127299</v>
      </c>
      <c r="L601" s="12" t="str">
        <f t="shared" si="67"/>
        <v/>
      </c>
      <c r="M601" s="12" t="str">
        <f t="shared" si="68"/>
        <v/>
      </c>
    </row>
    <row r="602" spans="1:13" ht="31.5">
      <c r="A602" s="3">
        <v>596</v>
      </c>
      <c r="B602" s="11" t="s">
        <v>372</v>
      </c>
      <c r="C602" s="3">
        <v>6</v>
      </c>
      <c r="D602" s="3">
        <v>5</v>
      </c>
      <c r="E602" s="11" t="s">
        <v>668</v>
      </c>
      <c r="F602" s="14">
        <v>700.46199999999999</v>
      </c>
      <c r="G602" s="14">
        <f t="shared" si="69"/>
        <v>1.9999999999527063E-3</v>
      </c>
      <c r="H602" s="14">
        <f t="shared" si="63"/>
        <v>701.26350083752141</v>
      </c>
      <c r="I602" s="14">
        <f t="shared" si="64"/>
        <v>703.80793715053017</v>
      </c>
      <c r="J602" s="14">
        <f t="shared" si="65"/>
        <v>3.1255652114093886</v>
      </c>
      <c r="K602" s="14">
        <f t="shared" si="66"/>
        <v>0.95670805369127299</v>
      </c>
      <c r="L602" s="12" t="str">
        <f t="shared" si="67"/>
        <v/>
      </c>
      <c r="M602" s="12" t="str">
        <f t="shared" si="68"/>
        <v/>
      </c>
    </row>
    <row r="603" spans="1:13" ht="31.5">
      <c r="A603" s="3">
        <v>597</v>
      </c>
      <c r="B603" s="11" t="s">
        <v>372</v>
      </c>
      <c r="C603" s="3">
        <v>6</v>
      </c>
      <c r="D603" s="3">
        <v>4</v>
      </c>
      <c r="E603" s="11" t="s">
        <v>669</v>
      </c>
      <c r="F603" s="14">
        <v>699.64700000000005</v>
      </c>
      <c r="G603" s="14">
        <f t="shared" si="69"/>
        <v>0.81499999999994088</v>
      </c>
      <c r="H603" s="14">
        <f t="shared" si="63"/>
        <v>701.26350083752141</v>
      </c>
      <c r="I603" s="14">
        <f t="shared" si="64"/>
        <v>703.80793715053017</v>
      </c>
      <c r="J603" s="14">
        <f t="shared" si="65"/>
        <v>3.1255652114093886</v>
      </c>
      <c r="K603" s="14">
        <f t="shared" si="66"/>
        <v>0.95670805369127299</v>
      </c>
      <c r="L603" s="12" t="str">
        <f t="shared" si="67"/>
        <v/>
      </c>
      <c r="M603" s="12" t="str">
        <f t="shared" si="68"/>
        <v/>
      </c>
    </row>
    <row r="604" spans="1:13" ht="31.5">
      <c r="A604" s="3">
        <v>598</v>
      </c>
      <c r="B604" s="11" t="s">
        <v>372</v>
      </c>
      <c r="C604" s="3">
        <v>6</v>
      </c>
      <c r="D604" s="3">
        <v>3</v>
      </c>
      <c r="E604" s="11" t="s">
        <v>670</v>
      </c>
      <c r="F604" s="14">
        <v>700.56700000000001</v>
      </c>
      <c r="G604" s="14">
        <f t="shared" si="69"/>
        <v>0.91999999999995907</v>
      </c>
      <c r="H604" s="14">
        <f t="shared" si="63"/>
        <v>701.26350083752141</v>
      </c>
      <c r="I604" s="14">
        <f t="shared" si="64"/>
        <v>703.80793715053017</v>
      </c>
      <c r="J604" s="14">
        <f t="shared" si="65"/>
        <v>3.1255652114093886</v>
      </c>
      <c r="K604" s="14">
        <f t="shared" si="66"/>
        <v>0.95670805369127299</v>
      </c>
      <c r="L604" s="12" t="str">
        <f t="shared" si="67"/>
        <v/>
      </c>
      <c r="M604" s="12" t="str">
        <f t="shared" si="68"/>
        <v/>
      </c>
    </row>
    <row r="605" spans="1:13" ht="31.5">
      <c r="A605" s="3">
        <v>599</v>
      </c>
      <c r="B605" s="11" t="s">
        <v>372</v>
      </c>
      <c r="C605" s="3">
        <v>6</v>
      </c>
      <c r="D605" s="3">
        <v>2</v>
      </c>
      <c r="E605" s="11" t="s">
        <v>671</v>
      </c>
      <c r="F605" s="14">
        <v>701.49699999999996</v>
      </c>
      <c r="G605" s="14">
        <f t="shared" si="69"/>
        <v>0.92999999999994998</v>
      </c>
      <c r="H605" s="14">
        <f t="shared" si="63"/>
        <v>701.26350083752141</v>
      </c>
      <c r="I605" s="14">
        <f t="shared" si="64"/>
        <v>703.80793715053017</v>
      </c>
      <c r="J605" s="14">
        <f t="shared" si="65"/>
        <v>3.1255652114093886</v>
      </c>
      <c r="K605" s="14">
        <f t="shared" si="66"/>
        <v>0.95670805369127299</v>
      </c>
      <c r="L605" s="12" t="str">
        <f t="shared" si="67"/>
        <v/>
      </c>
      <c r="M605" s="12" t="str">
        <f t="shared" si="68"/>
        <v/>
      </c>
    </row>
    <row r="606" spans="1:13" ht="31.5">
      <c r="A606" s="3">
        <v>600</v>
      </c>
      <c r="B606" s="11" t="s">
        <v>372</v>
      </c>
      <c r="C606" s="3">
        <v>6</v>
      </c>
      <c r="D606" s="3">
        <v>1</v>
      </c>
      <c r="E606" s="11" t="s">
        <v>672</v>
      </c>
      <c r="F606" s="14">
        <v>701.11699999999996</v>
      </c>
      <c r="G606" s="14">
        <f t="shared" si="69"/>
        <v>0.37999999999999545</v>
      </c>
      <c r="H606" s="14">
        <f t="shared" si="63"/>
        <v>701.26350083752141</v>
      </c>
      <c r="I606" s="14">
        <f t="shared" si="64"/>
        <v>703.80793715053017</v>
      </c>
      <c r="J606" s="14">
        <f t="shared" si="65"/>
        <v>3.1255652114093886</v>
      </c>
      <c r="K606" s="14">
        <f t="shared" si="66"/>
        <v>0.95670805369127299</v>
      </c>
      <c r="L606" s="12" t="str">
        <f t="shared" si="67"/>
        <v/>
      </c>
      <c r="M606" s="12" t="str">
        <f t="shared" si="68"/>
        <v/>
      </c>
    </row>
  </sheetData>
  <mergeCells count="9">
    <mergeCell ref="A1:M1"/>
    <mergeCell ref="A2:D2"/>
    <mergeCell ref="B4:D4"/>
    <mergeCell ref="B5:D5"/>
    <mergeCell ref="B6:D6"/>
    <mergeCell ref="B3:D3"/>
    <mergeCell ref="H6:H8"/>
    <mergeCell ref="G6:G8"/>
    <mergeCell ref="E2:H2"/>
  </mergeCells>
  <phoneticPr fontId="4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8"/>
  <sheetViews>
    <sheetView showGridLines="0" workbookViewId="0">
      <pane ySplit="9" topLeftCell="A10" activePane="bottomLeft" state="frozen"/>
      <selection pane="bottomLeft" activeCell="M8" sqref="M8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>
      <c r="A1" s="71" t="s">
        <v>678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59" t="s">
        <v>47</v>
      </c>
      <c r="Q1" s="69"/>
    </row>
    <row r="2" spans="1:17" ht="15.75" customHeight="1">
      <c r="A2" s="62" t="s">
        <v>46</v>
      </c>
      <c r="B2" s="63"/>
      <c r="C2" s="63"/>
      <c r="D2" s="63"/>
      <c r="P2" s="16" t="s">
        <v>48</v>
      </c>
      <c r="Q2" s="17">
        <f>COUNT(E10:E308)</f>
        <v>299</v>
      </c>
    </row>
    <row r="3" spans="1:17">
      <c r="A3" s="16" t="s">
        <v>23</v>
      </c>
      <c r="B3" s="70">
        <v>705</v>
      </c>
      <c r="C3" s="63"/>
      <c r="D3" s="63"/>
      <c r="P3" s="16" t="s">
        <v>24</v>
      </c>
      <c r="Q3" s="17">
        <f>AVERAGE(E10:E308)</f>
        <v>701.35859866220744</v>
      </c>
    </row>
    <row r="4" spans="1:17" ht="31.5">
      <c r="A4" s="16" t="s">
        <v>49</v>
      </c>
      <c r="B4" s="66">
        <v>1.1279999999999999</v>
      </c>
      <c r="C4" s="63"/>
      <c r="D4" s="63"/>
      <c r="P4" s="16" t="s">
        <v>53</v>
      </c>
      <c r="Q4" s="17">
        <f>IFERROR(AVERAGE(F11:F308),0)</f>
        <v>0.96252013422818306</v>
      </c>
    </row>
    <row r="5" spans="1:17" ht="63">
      <c r="A5" s="16" t="s">
        <v>52</v>
      </c>
      <c r="B5" s="66">
        <v>3.2669999999999999</v>
      </c>
      <c r="C5" s="63"/>
      <c r="D5" s="63"/>
      <c r="P5" s="16" t="s">
        <v>679</v>
      </c>
      <c r="Q5" s="17">
        <f>Q4/$B$4</f>
        <v>0.85329799133704176</v>
      </c>
    </row>
    <row r="6" spans="1:17">
      <c r="P6" s="16" t="s">
        <v>680</v>
      </c>
      <c r="Q6" s="17">
        <f>Q3+3*Q5</f>
        <v>703.91849263621862</v>
      </c>
    </row>
    <row r="7" spans="1:17">
      <c r="P7" s="16" t="s">
        <v>681</v>
      </c>
      <c r="Q7" s="17">
        <f>$B$5*Q4</f>
        <v>3.1445532785234738</v>
      </c>
    </row>
    <row r="8" spans="1:17">
      <c r="P8" s="16" t="s">
        <v>682</v>
      </c>
      <c r="Q8" s="17">
        <f>($B$3-Q3)/(3*Q5)</f>
        <v>1.422481311632922</v>
      </c>
    </row>
    <row r="9" spans="1:17" ht="31.5">
      <c r="A9" s="18" t="s">
        <v>57</v>
      </c>
      <c r="B9" s="18" t="s">
        <v>59</v>
      </c>
      <c r="C9" s="18" t="s">
        <v>60</v>
      </c>
      <c r="D9" s="18" t="s">
        <v>61</v>
      </c>
      <c r="E9" s="18" t="s">
        <v>62</v>
      </c>
      <c r="F9" s="18" t="s">
        <v>63</v>
      </c>
      <c r="G9" s="18" t="s">
        <v>64</v>
      </c>
      <c r="H9" s="18" t="s">
        <v>65</v>
      </c>
      <c r="I9" s="18" t="s">
        <v>66</v>
      </c>
      <c r="J9" s="18" t="s">
        <v>67</v>
      </c>
      <c r="K9" s="18" t="s">
        <v>68</v>
      </c>
      <c r="L9" s="18" t="s">
        <v>69</v>
      </c>
      <c r="P9" s="16" t="s">
        <v>683</v>
      </c>
      <c r="Q9" s="17">
        <f>($B$3-Q3)/(3*_xlfn.STDEV.S(E10:E308))*3</f>
        <v>3.4524928219685629</v>
      </c>
    </row>
    <row r="10" spans="1:17">
      <c r="A10" s="17">
        <v>1</v>
      </c>
      <c r="B10" s="17">
        <v>1</v>
      </c>
      <c r="C10" s="17">
        <v>25</v>
      </c>
      <c r="D10" s="17" t="s">
        <v>72</v>
      </c>
      <c r="E10" s="17">
        <v>701.13300000000004</v>
      </c>
      <c r="F10" s="17"/>
      <c r="G10" s="19">
        <f t="shared" ref="G10:G73" si="0">$Q$3</f>
        <v>701.35859866220744</v>
      </c>
      <c r="H10" s="19">
        <f t="shared" ref="H10:H73" si="1">$Q$6</f>
        <v>703.91849263621862</v>
      </c>
      <c r="I10" s="19">
        <f t="shared" ref="I10:I73" si="2">$Q$7</f>
        <v>3.1445532785234738</v>
      </c>
      <c r="J10" s="19">
        <f t="shared" ref="J10:J73" si="3">$Q$4</f>
        <v>0.96252013422818306</v>
      </c>
      <c r="K10" s="17" t="str">
        <f t="shared" ref="K10:K73" si="4">IF(E10&gt;$Q$6,"OOC","" )</f>
        <v/>
      </c>
      <c r="L10" s="17" t="str">
        <f t="shared" ref="L10:L73" si="5">IF(E10&gt;$B$3,"OOS","" )</f>
        <v/>
      </c>
    </row>
    <row r="11" spans="1:17">
      <c r="A11" s="17">
        <v>2</v>
      </c>
      <c r="B11" s="17">
        <v>1</v>
      </c>
      <c r="C11" s="17">
        <v>24</v>
      </c>
      <c r="D11" s="17" t="s">
        <v>73</v>
      </c>
      <c r="E11" s="17">
        <v>702.01700000000005</v>
      </c>
      <c r="F11" s="17">
        <f t="shared" ref="F11:F74" si="6">ABS(E11-E10)</f>
        <v>0.88400000000001455</v>
      </c>
      <c r="G11" s="19">
        <f t="shared" si="0"/>
        <v>701.35859866220744</v>
      </c>
      <c r="H11" s="19">
        <f t="shared" si="1"/>
        <v>703.91849263621862</v>
      </c>
      <c r="I11" s="19">
        <f t="shared" si="2"/>
        <v>3.1445532785234738</v>
      </c>
      <c r="J11" s="19">
        <f t="shared" si="3"/>
        <v>0.96252013422818306</v>
      </c>
      <c r="K11" s="17" t="str">
        <f t="shared" si="4"/>
        <v/>
      </c>
      <c r="L11" s="17" t="str">
        <f t="shared" si="5"/>
        <v/>
      </c>
    </row>
    <row r="12" spans="1:17">
      <c r="A12" s="17">
        <v>3</v>
      </c>
      <c r="B12" s="17">
        <v>1</v>
      </c>
      <c r="C12" s="17">
        <v>23</v>
      </c>
      <c r="D12" s="17" t="s">
        <v>74</v>
      </c>
      <c r="E12" s="17">
        <v>701.52</v>
      </c>
      <c r="F12" s="17">
        <f t="shared" si="6"/>
        <v>0.49700000000007094</v>
      </c>
      <c r="G12" s="19">
        <f t="shared" si="0"/>
        <v>701.35859866220744</v>
      </c>
      <c r="H12" s="19">
        <f t="shared" si="1"/>
        <v>703.91849263621862</v>
      </c>
      <c r="I12" s="19">
        <f t="shared" si="2"/>
        <v>3.1445532785234738</v>
      </c>
      <c r="J12" s="19">
        <f t="shared" si="3"/>
        <v>0.96252013422818306</v>
      </c>
      <c r="K12" s="17" t="str">
        <f t="shared" si="4"/>
        <v/>
      </c>
      <c r="L12" s="17" t="str">
        <f t="shared" si="5"/>
        <v/>
      </c>
    </row>
    <row r="13" spans="1:17">
      <c r="A13" s="17">
        <v>4</v>
      </c>
      <c r="B13" s="17">
        <v>1</v>
      </c>
      <c r="C13" s="17">
        <v>22</v>
      </c>
      <c r="D13" s="17" t="s">
        <v>75</v>
      </c>
      <c r="E13" s="17">
        <v>702.60500000000002</v>
      </c>
      <c r="F13" s="17">
        <f t="shared" si="6"/>
        <v>1.0850000000000364</v>
      </c>
      <c r="G13" s="19">
        <f t="shared" si="0"/>
        <v>701.35859866220744</v>
      </c>
      <c r="H13" s="19">
        <f t="shared" si="1"/>
        <v>703.91849263621862</v>
      </c>
      <c r="I13" s="19">
        <f t="shared" si="2"/>
        <v>3.1445532785234738</v>
      </c>
      <c r="J13" s="19">
        <f t="shared" si="3"/>
        <v>0.96252013422818306</v>
      </c>
      <c r="K13" s="17" t="str">
        <f t="shared" si="4"/>
        <v/>
      </c>
      <c r="L13" s="17" t="str">
        <f t="shared" si="5"/>
        <v/>
      </c>
    </row>
    <row r="14" spans="1:17">
      <c r="A14" s="17">
        <v>5</v>
      </c>
      <c r="B14" s="17">
        <v>1</v>
      </c>
      <c r="C14" s="17">
        <v>21</v>
      </c>
      <c r="D14" s="17" t="s">
        <v>76</v>
      </c>
      <c r="E14" s="17">
        <v>700.69</v>
      </c>
      <c r="F14" s="17">
        <f t="shared" si="6"/>
        <v>1.9149999999999636</v>
      </c>
      <c r="G14" s="19">
        <f t="shared" si="0"/>
        <v>701.35859866220744</v>
      </c>
      <c r="H14" s="19">
        <f t="shared" si="1"/>
        <v>703.91849263621862</v>
      </c>
      <c r="I14" s="19">
        <f t="shared" si="2"/>
        <v>3.1445532785234738</v>
      </c>
      <c r="J14" s="19">
        <f t="shared" si="3"/>
        <v>0.96252013422818306</v>
      </c>
      <c r="K14" s="17" t="str">
        <f t="shared" si="4"/>
        <v/>
      </c>
      <c r="L14" s="17" t="str">
        <f t="shared" si="5"/>
        <v/>
      </c>
    </row>
    <row r="15" spans="1:17">
      <c r="A15" s="17">
        <v>6</v>
      </c>
      <c r="B15" s="17">
        <v>1</v>
      </c>
      <c r="C15" s="17">
        <v>20</v>
      </c>
      <c r="D15" s="17" t="s">
        <v>77</v>
      </c>
      <c r="E15" s="17">
        <v>702.31700000000001</v>
      </c>
      <c r="F15" s="17">
        <f t="shared" si="6"/>
        <v>1.6269999999999527</v>
      </c>
      <c r="G15" s="19">
        <f t="shared" si="0"/>
        <v>701.35859866220744</v>
      </c>
      <c r="H15" s="19">
        <f t="shared" si="1"/>
        <v>703.91849263621862</v>
      </c>
      <c r="I15" s="19">
        <f t="shared" si="2"/>
        <v>3.1445532785234738</v>
      </c>
      <c r="J15" s="19">
        <f t="shared" si="3"/>
        <v>0.96252013422818306</v>
      </c>
      <c r="K15" s="17" t="str">
        <f t="shared" si="4"/>
        <v/>
      </c>
      <c r="L15" s="17" t="str">
        <f t="shared" si="5"/>
        <v/>
      </c>
    </row>
    <row r="16" spans="1:17">
      <c r="A16" s="17">
        <v>7</v>
      </c>
      <c r="B16" s="17">
        <v>1</v>
      </c>
      <c r="C16" s="17">
        <v>19</v>
      </c>
      <c r="D16" s="17" t="s">
        <v>78</v>
      </c>
      <c r="E16" s="17">
        <v>702.18100000000004</v>
      </c>
      <c r="F16" s="17">
        <f t="shared" si="6"/>
        <v>0.13599999999996726</v>
      </c>
      <c r="G16" s="19">
        <f t="shared" si="0"/>
        <v>701.35859866220744</v>
      </c>
      <c r="H16" s="19">
        <f t="shared" si="1"/>
        <v>703.91849263621862</v>
      </c>
      <c r="I16" s="19">
        <f t="shared" si="2"/>
        <v>3.1445532785234738</v>
      </c>
      <c r="J16" s="19">
        <f t="shared" si="3"/>
        <v>0.96252013422818306</v>
      </c>
      <c r="K16" s="17" t="str">
        <f t="shared" si="4"/>
        <v/>
      </c>
      <c r="L16" s="17" t="str">
        <f t="shared" si="5"/>
        <v/>
      </c>
    </row>
    <row r="17" spans="1:12">
      <c r="A17" s="17">
        <v>8</v>
      </c>
      <c r="B17" s="17">
        <v>1</v>
      </c>
      <c r="C17" s="17">
        <v>18</v>
      </c>
      <c r="D17" s="17" t="s">
        <v>79</v>
      </c>
      <c r="E17" s="17">
        <v>702.471</v>
      </c>
      <c r="F17" s="17">
        <f t="shared" si="6"/>
        <v>0.28999999999996362</v>
      </c>
      <c r="G17" s="19">
        <f t="shared" si="0"/>
        <v>701.35859866220744</v>
      </c>
      <c r="H17" s="19">
        <f t="shared" si="1"/>
        <v>703.91849263621862</v>
      </c>
      <c r="I17" s="19">
        <f t="shared" si="2"/>
        <v>3.1445532785234738</v>
      </c>
      <c r="J17" s="19">
        <f t="shared" si="3"/>
        <v>0.96252013422818306</v>
      </c>
      <c r="K17" s="17" t="str">
        <f t="shared" si="4"/>
        <v/>
      </c>
      <c r="L17" s="17" t="str">
        <f t="shared" si="5"/>
        <v/>
      </c>
    </row>
    <row r="18" spans="1:12">
      <c r="A18" s="17">
        <v>9</v>
      </c>
      <c r="B18" s="17">
        <v>1</v>
      </c>
      <c r="C18" s="17">
        <v>17</v>
      </c>
      <c r="D18" s="17" t="s">
        <v>80</v>
      </c>
      <c r="E18" s="17">
        <v>702.06100000000004</v>
      </c>
      <c r="F18" s="17">
        <f t="shared" si="6"/>
        <v>0.40999999999996817</v>
      </c>
      <c r="G18" s="19">
        <f t="shared" si="0"/>
        <v>701.35859866220744</v>
      </c>
      <c r="H18" s="19">
        <f t="shared" si="1"/>
        <v>703.91849263621862</v>
      </c>
      <c r="I18" s="19">
        <f t="shared" si="2"/>
        <v>3.1445532785234738</v>
      </c>
      <c r="J18" s="19">
        <f t="shared" si="3"/>
        <v>0.96252013422818306</v>
      </c>
      <c r="K18" s="17" t="str">
        <f t="shared" si="4"/>
        <v/>
      </c>
      <c r="L18" s="17" t="str">
        <f t="shared" si="5"/>
        <v/>
      </c>
    </row>
    <row r="19" spans="1:12">
      <c r="A19" s="17">
        <v>10</v>
      </c>
      <c r="B19" s="17">
        <v>1</v>
      </c>
      <c r="C19" s="17">
        <v>16</v>
      </c>
      <c r="D19" s="17" t="s">
        <v>81</v>
      </c>
      <c r="E19" s="17">
        <v>702.64200000000005</v>
      </c>
      <c r="F19" s="17">
        <f t="shared" si="6"/>
        <v>0.58100000000001728</v>
      </c>
      <c r="G19" s="19">
        <f t="shared" si="0"/>
        <v>701.35859866220744</v>
      </c>
      <c r="H19" s="19">
        <f t="shared" si="1"/>
        <v>703.91849263621862</v>
      </c>
      <c r="I19" s="19">
        <f t="shared" si="2"/>
        <v>3.1445532785234738</v>
      </c>
      <c r="J19" s="19">
        <f t="shared" si="3"/>
        <v>0.96252013422818306</v>
      </c>
      <c r="K19" s="17" t="str">
        <f t="shared" si="4"/>
        <v/>
      </c>
      <c r="L19" s="17" t="str">
        <f t="shared" si="5"/>
        <v/>
      </c>
    </row>
    <row r="20" spans="1:12">
      <c r="A20" s="17">
        <v>11</v>
      </c>
      <c r="B20" s="17">
        <v>1</v>
      </c>
      <c r="C20" s="17">
        <v>15</v>
      </c>
      <c r="D20" s="17" t="s">
        <v>82</v>
      </c>
      <c r="E20" s="17">
        <v>701.79200000000003</v>
      </c>
      <c r="F20" s="17">
        <f t="shared" si="6"/>
        <v>0.85000000000002274</v>
      </c>
      <c r="G20" s="19">
        <f t="shared" si="0"/>
        <v>701.35859866220744</v>
      </c>
      <c r="H20" s="19">
        <f t="shared" si="1"/>
        <v>703.91849263621862</v>
      </c>
      <c r="I20" s="19">
        <f t="shared" si="2"/>
        <v>3.1445532785234738</v>
      </c>
      <c r="J20" s="19">
        <f t="shared" si="3"/>
        <v>0.96252013422818306</v>
      </c>
      <c r="K20" s="17" t="str">
        <f t="shared" si="4"/>
        <v/>
      </c>
      <c r="L20" s="17" t="str">
        <f t="shared" si="5"/>
        <v/>
      </c>
    </row>
    <row r="21" spans="1:12">
      <c r="A21" s="17">
        <v>12</v>
      </c>
      <c r="B21" s="17">
        <v>1</v>
      </c>
      <c r="C21" s="17">
        <v>14</v>
      </c>
      <c r="D21" s="17" t="s">
        <v>83</v>
      </c>
      <c r="E21" s="17">
        <v>701.70299999999997</v>
      </c>
      <c r="F21" s="17">
        <f t="shared" si="6"/>
        <v>8.9000000000055479E-2</v>
      </c>
      <c r="G21" s="19">
        <f t="shared" si="0"/>
        <v>701.35859866220744</v>
      </c>
      <c r="H21" s="19">
        <f t="shared" si="1"/>
        <v>703.91849263621862</v>
      </c>
      <c r="I21" s="19">
        <f t="shared" si="2"/>
        <v>3.1445532785234738</v>
      </c>
      <c r="J21" s="19">
        <f t="shared" si="3"/>
        <v>0.96252013422818306</v>
      </c>
      <c r="K21" s="17" t="str">
        <f t="shared" si="4"/>
        <v/>
      </c>
      <c r="L21" s="17" t="str">
        <f t="shared" si="5"/>
        <v/>
      </c>
    </row>
    <row r="22" spans="1:12">
      <c r="A22" s="17">
        <v>13</v>
      </c>
      <c r="B22" s="17">
        <v>1</v>
      </c>
      <c r="C22" s="17">
        <v>13</v>
      </c>
      <c r="D22" s="17" t="s">
        <v>84</v>
      </c>
      <c r="E22" s="17">
        <v>702.45299999999997</v>
      </c>
      <c r="F22" s="17">
        <f t="shared" si="6"/>
        <v>0.75</v>
      </c>
      <c r="G22" s="19">
        <f t="shared" si="0"/>
        <v>701.35859866220744</v>
      </c>
      <c r="H22" s="19">
        <f t="shared" si="1"/>
        <v>703.91849263621862</v>
      </c>
      <c r="I22" s="19">
        <f t="shared" si="2"/>
        <v>3.1445532785234738</v>
      </c>
      <c r="J22" s="19">
        <f t="shared" si="3"/>
        <v>0.96252013422818306</v>
      </c>
      <c r="K22" s="17" t="str">
        <f t="shared" si="4"/>
        <v/>
      </c>
      <c r="L22" s="17" t="str">
        <f t="shared" si="5"/>
        <v/>
      </c>
    </row>
    <row r="23" spans="1:12">
      <c r="A23" s="17">
        <v>14</v>
      </c>
      <c r="B23" s="17">
        <v>1</v>
      </c>
      <c r="C23" s="17">
        <v>12</v>
      </c>
      <c r="D23" s="17" t="s">
        <v>85</v>
      </c>
      <c r="E23" s="17">
        <v>704.29</v>
      </c>
      <c r="F23" s="17">
        <f t="shared" si="6"/>
        <v>1.8369999999999891</v>
      </c>
      <c r="G23" s="19">
        <f t="shared" si="0"/>
        <v>701.35859866220744</v>
      </c>
      <c r="H23" s="19">
        <f t="shared" si="1"/>
        <v>703.91849263621862</v>
      </c>
      <c r="I23" s="19">
        <f t="shared" si="2"/>
        <v>3.1445532785234738</v>
      </c>
      <c r="J23" s="19">
        <f t="shared" si="3"/>
        <v>0.96252013422818306</v>
      </c>
      <c r="K23" s="17" t="str">
        <f t="shared" si="4"/>
        <v>OOC</v>
      </c>
      <c r="L23" s="17" t="str">
        <f t="shared" si="5"/>
        <v/>
      </c>
    </row>
    <row r="24" spans="1:12">
      <c r="A24" s="17">
        <v>15</v>
      </c>
      <c r="B24" s="17">
        <v>1</v>
      </c>
      <c r="C24" s="17">
        <v>11</v>
      </c>
      <c r="D24" s="17" t="s">
        <v>86</v>
      </c>
      <c r="E24" s="17">
        <v>701.53200000000004</v>
      </c>
      <c r="F24" s="17">
        <f t="shared" si="6"/>
        <v>2.7579999999999245</v>
      </c>
      <c r="G24" s="19">
        <f t="shared" si="0"/>
        <v>701.35859866220744</v>
      </c>
      <c r="H24" s="19">
        <f t="shared" si="1"/>
        <v>703.91849263621862</v>
      </c>
      <c r="I24" s="19">
        <f t="shared" si="2"/>
        <v>3.1445532785234738</v>
      </c>
      <c r="J24" s="19">
        <f t="shared" si="3"/>
        <v>0.96252013422818306</v>
      </c>
      <c r="K24" s="17" t="str">
        <f t="shared" si="4"/>
        <v/>
      </c>
      <c r="L24" s="17" t="str">
        <f t="shared" si="5"/>
        <v/>
      </c>
    </row>
    <row r="25" spans="1:12">
      <c r="A25" s="17">
        <v>16</v>
      </c>
      <c r="B25" s="17">
        <v>1</v>
      </c>
      <c r="C25" s="17">
        <v>10</v>
      </c>
      <c r="D25" s="17" t="s">
        <v>87</v>
      </c>
      <c r="E25" s="17">
        <v>702.375</v>
      </c>
      <c r="F25" s="17">
        <f t="shared" si="6"/>
        <v>0.84299999999996089</v>
      </c>
      <c r="G25" s="19">
        <f t="shared" si="0"/>
        <v>701.35859866220744</v>
      </c>
      <c r="H25" s="19">
        <f t="shared" si="1"/>
        <v>703.91849263621862</v>
      </c>
      <c r="I25" s="19">
        <f t="shared" si="2"/>
        <v>3.1445532785234738</v>
      </c>
      <c r="J25" s="19">
        <f t="shared" si="3"/>
        <v>0.96252013422818306</v>
      </c>
      <c r="K25" s="17" t="str">
        <f t="shared" si="4"/>
        <v/>
      </c>
      <c r="L25" s="17" t="str">
        <f t="shared" si="5"/>
        <v/>
      </c>
    </row>
    <row r="26" spans="1:12">
      <c r="A26" s="17">
        <v>17</v>
      </c>
      <c r="B26" s="17">
        <v>1</v>
      </c>
      <c r="C26" s="17">
        <v>9</v>
      </c>
      <c r="D26" s="17" t="s">
        <v>88</v>
      </c>
      <c r="E26" s="17">
        <v>701.55499999999995</v>
      </c>
      <c r="F26" s="17">
        <f t="shared" si="6"/>
        <v>0.82000000000005002</v>
      </c>
      <c r="G26" s="19">
        <f t="shared" si="0"/>
        <v>701.35859866220744</v>
      </c>
      <c r="H26" s="19">
        <f t="shared" si="1"/>
        <v>703.91849263621862</v>
      </c>
      <c r="I26" s="19">
        <f t="shared" si="2"/>
        <v>3.1445532785234738</v>
      </c>
      <c r="J26" s="19">
        <f t="shared" si="3"/>
        <v>0.96252013422818306</v>
      </c>
      <c r="K26" s="17" t="str">
        <f t="shared" si="4"/>
        <v/>
      </c>
      <c r="L26" s="17" t="str">
        <f t="shared" si="5"/>
        <v/>
      </c>
    </row>
    <row r="27" spans="1:12">
      <c r="A27" s="17">
        <v>18</v>
      </c>
      <c r="B27" s="17">
        <v>1</v>
      </c>
      <c r="C27" s="17">
        <v>8</v>
      </c>
      <c r="D27" s="17" t="s">
        <v>89</v>
      </c>
      <c r="E27" s="17">
        <v>702.11</v>
      </c>
      <c r="F27" s="17">
        <f t="shared" si="6"/>
        <v>0.55500000000006366</v>
      </c>
      <c r="G27" s="19">
        <f t="shared" si="0"/>
        <v>701.35859866220744</v>
      </c>
      <c r="H27" s="19">
        <f t="shared" si="1"/>
        <v>703.91849263621862</v>
      </c>
      <c r="I27" s="19">
        <f t="shared" si="2"/>
        <v>3.1445532785234738</v>
      </c>
      <c r="J27" s="19">
        <f t="shared" si="3"/>
        <v>0.96252013422818306</v>
      </c>
      <c r="K27" s="17" t="str">
        <f t="shared" si="4"/>
        <v/>
      </c>
      <c r="L27" s="17" t="str">
        <f t="shared" si="5"/>
        <v/>
      </c>
    </row>
    <row r="28" spans="1:12">
      <c r="A28" s="17">
        <v>19</v>
      </c>
      <c r="B28" s="17">
        <v>1</v>
      </c>
      <c r="C28" s="17">
        <v>7</v>
      </c>
      <c r="D28" s="17" t="s">
        <v>90</v>
      </c>
      <c r="E28" s="17">
        <v>701.48199999999997</v>
      </c>
      <c r="F28" s="17">
        <f t="shared" si="6"/>
        <v>0.62800000000004275</v>
      </c>
      <c r="G28" s="19">
        <f t="shared" si="0"/>
        <v>701.35859866220744</v>
      </c>
      <c r="H28" s="19">
        <f t="shared" si="1"/>
        <v>703.91849263621862</v>
      </c>
      <c r="I28" s="19">
        <f t="shared" si="2"/>
        <v>3.1445532785234738</v>
      </c>
      <c r="J28" s="19">
        <f t="shared" si="3"/>
        <v>0.96252013422818306</v>
      </c>
      <c r="K28" s="17" t="str">
        <f t="shared" si="4"/>
        <v/>
      </c>
      <c r="L28" s="17" t="str">
        <f t="shared" si="5"/>
        <v/>
      </c>
    </row>
    <row r="29" spans="1:12">
      <c r="A29" s="17">
        <v>20</v>
      </c>
      <c r="B29" s="17">
        <v>1</v>
      </c>
      <c r="C29" s="17">
        <v>5</v>
      </c>
      <c r="D29" s="17" t="s">
        <v>92</v>
      </c>
      <c r="E29" s="17">
        <v>702.97900000000004</v>
      </c>
      <c r="F29" s="17">
        <f t="shared" si="6"/>
        <v>1.4970000000000709</v>
      </c>
      <c r="G29" s="19">
        <f t="shared" si="0"/>
        <v>701.35859866220744</v>
      </c>
      <c r="H29" s="19">
        <f t="shared" si="1"/>
        <v>703.91849263621862</v>
      </c>
      <c r="I29" s="19">
        <f t="shared" si="2"/>
        <v>3.1445532785234738</v>
      </c>
      <c r="J29" s="19">
        <f t="shared" si="3"/>
        <v>0.96252013422818306</v>
      </c>
      <c r="K29" s="17" t="str">
        <f t="shared" si="4"/>
        <v/>
      </c>
      <c r="L29" s="17" t="str">
        <f t="shared" si="5"/>
        <v/>
      </c>
    </row>
    <row r="30" spans="1:12">
      <c r="A30" s="17">
        <v>21</v>
      </c>
      <c r="B30" s="17">
        <v>1</v>
      </c>
      <c r="C30" s="17">
        <v>4</v>
      </c>
      <c r="D30" s="17" t="s">
        <v>93</v>
      </c>
      <c r="E30" s="17">
        <v>701.66099999999994</v>
      </c>
      <c r="F30" s="17">
        <f t="shared" si="6"/>
        <v>1.3180000000000973</v>
      </c>
      <c r="G30" s="19">
        <f t="shared" si="0"/>
        <v>701.35859866220744</v>
      </c>
      <c r="H30" s="19">
        <f t="shared" si="1"/>
        <v>703.91849263621862</v>
      </c>
      <c r="I30" s="19">
        <f t="shared" si="2"/>
        <v>3.1445532785234738</v>
      </c>
      <c r="J30" s="19">
        <f t="shared" si="3"/>
        <v>0.96252013422818306</v>
      </c>
      <c r="K30" s="17" t="str">
        <f t="shared" si="4"/>
        <v/>
      </c>
      <c r="L30" s="17" t="str">
        <f t="shared" si="5"/>
        <v/>
      </c>
    </row>
    <row r="31" spans="1:12">
      <c r="A31" s="17">
        <v>22</v>
      </c>
      <c r="B31" s="17">
        <v>1</v>
      </c>
      <c r="C31" s="17">
        <v>3</v>
      </c>
      <c r="D31" s="17" t="s">
        <v>94</v>
      </c>
      <c r="E31" s="17">
        <v>702.726</v>
      </c>
      <c r="F31" s="17">
        <f t="shared" si="6"/>
        <v>1.0650000000000546</v>
      </c>
      <c r="G31" s="19">
        <f t="shared" si="0"/>
        <v>701.35859866220744</v>
      </c>
      <c r="H31" s="19">
        <f t="shared" si="1"/>
        <v>703.91849263621862</v>
      </c>
      <c r="I31" s="19">
        <f t="shared" si="2"/>
        <v>3.1445532785234738</v>
      </c>
      <c r="J31" s="19">
        <f t="shared" si="3"/>
        <v>0.96252013422818306</v>
      </c>
      <c r="K31" s="17" t="str">
        <f t="shared" si="4"/>
        <v/>
      </c>
      <c r="L31" s="17" t="str">
        <f t="shared" si="5"/>
        <v/>
      </c>
    </row>
    <row r="32" spans="1:12">
      <c r="A32" s="17">
        <v>23</v>
      </c>
      <c r="B32" s="17">
        <v>1</v>
      </c>
      <c r="C32" s="17">
        <v>2</v>
      </c>
      <c r="D32" s="17" t="s">
        <v>95</v>
      </c>
      <c r="E32" s="17">
        <v>700.65700000000004</v>
      </c>
      <c r="F32" s="17">
        <f t="shared" si="6"/>
        <v>2.06899999999996</v>
      </c>
      <c r="G32" s="19">
        <f t="shared" si="0"/>
        <v>701.35859866220744</v>
      </c>
      <c r="H32" s="19">
        <f t="shared" si="1"/>
        <v>703.91849263621862</v>
      </c>
      <c r="I32" s="19">
        <f t="shared" si="2"/>
        <v>3.1445532785234738</v>
      </c>
      <c r="J32" s="19">
        <f t="shared" si="3"/>
        <v>0.96252013422818306</v>
      </c>
      <c r="K32" s="17" t="str">
        <f t="shared" si="4"/>
        <v/>
      </c>
      <c r="L32" s="17" t="str">
        <f t="shared" si="5"/>
        <v/>
      </c>
    </row>
    <row r="33" spans="1:12">
      <c r="A33" s="17">
        <v>24</v>
      </c>
      <c r="B33" s="17">
        <v>1</v>
      </c>
      <c r="C33" s="17">
        <v>1</v>
      </c>
      <c r="D33" s="17" t="s">
        <v>96</v>
      </c>
      <c r="E33" s="17">
        <v>702.29200000000003</v>
      </c>
      <c r="F33" s="17">
        <f t="shared" si="6"/>
        <v>1.6349999999999909</v>
      </c>
      <c r="G33" s="19">
        <f t="shared" si="0"/>
        <v>701.35859866220744</v>
      </c>
      <c r="H33" s="19">
        <f t="shared" si="1"/>
        <v>703.91849263621862</v>
      </c>
      <c r="I33" s="19">
        <f t="shared" si="2"/>
        <v>3.1445532785234738</v>
      </c>
      <c r="J33" s="19">
        <f t="shared" si="3"/>
        <v>0.96252013422818306</v>
      </c>
      <c r="K33" s="17" t="str">
        <f t="shared" si="4"/>
        <v/>
      </c>
      <c r="L33" s="17" t="str">
        <f t="shared" si="5"/>
        <v/>
      </c>
    </row>
    <row r="34" spans="1:12">
      <c r="A34" s="17">
        <v>25</v>
      </c>
      <c r="B34" s="17">
        <v>1</v>
      </c>
      <c r="C34" s="17">
        <v>25</v>
      </c>
      <c r="D34" s="17" t="s">
        <v>97</v>
      </c>
      <c r="E34" s="17">
        <v>700.31700000000001</v>
      </c>
      <c r="F34" s="17">
        <f t="shared" si="6"/>
        <v>1.9750000000000227</v>
      </c>
      <c r="G34" s="19">
        <f t="shared" si="0"/>
        <v>701.35859866220744</v>
      </c>
      <c r="H34" s="19">
        <f t="shared" si="1"/>
        <v>703.91849263621862</v>
      </c>
      <c r="I34" s="19">
        <f t="shared" si="2"/>
        <v>3.1445532785234738</v>
      </c>
      <c r="J34" s="19">
        <f t="shared" si="3"/>
        <v>0.96252013422818306</v>
      </c>
      <c r="K34" s="17" t="str">
        <f t="shared" si="4"/>
        <v/>
      </c>
      <c r="L34" s="17" t="str">
        <f t="shared" si="5"/>
        <v/>
      </c>
    </row>
    <row r="35" spans="1:12">
      <c r="A35" s="17">
        <v>26</v>
      </c>
      <c r="B35" s="17">
        <v>1</v>
      </c>
      <c r="C35" s="17">
        <v>24</v>
      </c>
      <c r="D35" s="17" t="s">
        <v>98</v>
      </c>
      <c r="E35" s="17">
        <v>700.06399999999996</v>
      </c>
      <c r="F35" s="17">
        <f t="shared" si="6"/>
        <v>0.25300000000004275</v>
      </c>
      <c r="G35" s="19">
        <f t="shared" si="0"/>
        <v>701.35859866220744</v>
      </c>
      <c r="H35" s="19">
        <f t="shared" si="1"/>
        <v>703.91849263621862</v>
      </c>
      <c r="I35" s="19">
        <f t="shared" si="2"/>
        <v>3.1445532785234738</v>
      </c>
      <c r="J35" s="19">
        <f t="shared" si="3"/>
        <v>0.96252013422818306</v>
      </c>
      <c r="K35" s="17" t="str">
        <f t="shared" si="4"/>
        <v/>
      </c>
      <c r="L35" s="17" t="str">
        <f t="shared" si="5"/>
        <v/>
      </c>
    </row>
    <row r="36" spans="1:12">
      <c r="A36" s="17">
        <v>27</v>
      </c>
      <c r="B36" s="17">
        <v>1</v>
      </c>
      <c r="C36" s="17">
        <v>23</v>
      </c>
      <c r="D36" s="17" t="s">
        <v>99</v>
      </c>
      <c r="E36" s="17">
        <v>700.50699999999995</v>
      </c>
      <c r="F36" s="17">
        <f t="shared" si="6"/>
        <v>0.44299999999998363</v>
      </c>
      <c r="G36" s="19">
        <f t="shared" si="0"/>
        <v>701.35859866220744</v>
      </c>
      <c r="H36" s="19">
        <f t="shared" si="1"/>
        <v>703.91849263621862</v>
      </c>
      <c r="I36" s="19">
        <f t="shared" si="2"/>
        <v>3.1445532785234738</v>
      </c>
      <c r="J36" s="19">
        <f t="shared" si="3"/>
        <v>0.96252013422818306</v>
      </c>
      <c r="K36" s="17" t="str">
        <f t="shared" si="4"/>
        <v/>
      </c>
      <c r="L36" s="17" t="str">
        <f t="shared" si="5"/>
        <v/>
      </c>
    </row>
    <row r="37" spans="1:12">
      <c r="A37" s="17">
        <v>28</v>
      </c>
      <c r="B37" s="17">
        <v>1</v>
      </c>
      <c r="C37" s="17">
        <v>22</v>
      </c>
      <c r="D37" s="17" t="s">
        <v>100</v>
      </c>
      <c r="E37" s="17">
        <v>700.90499999999997</v>
      </c>
      <c r="F37" s="17">
        <f t="shared" si="6"/>
        <v>0.39800000000002456</v>
      </c>
      <c r="G37" s="19">
        <f t="shared" si="0"/>
        <v>701.35859866220744</v>
      </c>
      <c r="H37" s="19">
        <f t="shared" si="1"/>
        <v>703.91849263621862</v>
      </c>
      <c r="I37" s="19">
        <f t="shared" si="2"/>
        <v>3.1445532785234738</v>
      </c>
      <c r="J37" s="19">
        <f t="shared" si="3"/>
        <v>0.96252013422818306</v>
      </c>
      <c r="K37" s="17" t="str">
        <f t="shared" si="4"/>
        <v/>
      </c>
      <c r="L37" s="17" t="str">
        <f t="shared" si="5"/>
        <v/>
      </c>
    </row>
    <row r="38" spans="1:12">
      <c r="A38" s="17">
        <v>29</v>
      </c>
      <c r="B38" s="17">
        <v>1</v>
      </c>
      <c r="C38" s="17">
        <v>21</v>
      </c>
      <c r="D38" s="17" t="s">
        <v>101</v>
      </c>
      <c r="E38" s="17">
        <v>699.89</v>
      </c>
      <c r="F38" s="17">
        <f t="shared" si="6"/>
        <v>1.0149999999999864</v>
      </c>
      <c r="G38" s="19">
        <f t="shared" si="0"/>
        <v>701.35859866220744</v>
      </c>
      <c r="H38" s="19">
        <f t="shared" si="1"/>
        <v>703.91849263621862</v>
      </c>
      <c r="I38" s="19">
        <f t="shared" si="2"/>
        <v>3.1445532785234738</v>
      </c>
      <c r="J38" s="19">
        <f t="shared" si="3"/>
        <v>0.96252013422818306</v>
      </c>
      <c r="K38" s="17" t="str">
        <f t="shared" si="4"/>
        <v/>
      </c>
      <c r="L38" s="17" t="str">
        <f t="shared" si="5"/>
        <v/>
      </c>
    </row>
    <row r="39" spans="1:12">
      <c r="A39" s="17">
        <v>30</v>
      </c>
      <c r="B39" s="17">
        <v>1</v>
      </c>
      <c r="C39" s="17">
        <v>20</v>
      </c>
      <c r="D39" s="17" t="s">
        <v>102</v>
      </c>
      <c r="E39" s="17">
        <v>700.00300000000004</v>
      </c>
      <c r="F39" s="17">
        <f t="shared" si="6"/>
        <v>0.11300000000005639</v>
      </c>
      <c r="G39" s="19">
        <f t="shared" si="0"/>
        <v>701.35859866220744</v>
      </c>
      <c r="H39" s="19">
        <f t="shared" si="1"/>
        <v>703.91849263621862</v>
      </c>
      <c r="I39" s="19">
        <f t="shared" si="2"/>
        <v>3.1445532785234738</v>
      </c>
      <c r="J39" s="19">
        <f t="shared" si="3"/>
        <v>0.96252013422818306</v>
      </c>
      <c r="K39" s="17" t="str">
        <f t="shared" si="4"/>
        <v/>
      </c>
      <c r="L39" s="17" t="str">
        <f t="shared" si="5"/>
        <v/>
      </c>
    </row>
    <row r="40" spans="1:12">
      <c r="A40" s="17">
        <v>31</v>
      </c>
      <c r="B40" s="17">
        <v>1</v>
      </c>
      <c r="C40" s="17">
        <v>19</v>
      </c>
      <c r="D40" s="17" t="s">
        <v>103</v>
      </c>
      <c r="E40" s="17">
        <v>700.29399999999998</v>
      </c>
      <c r="F40" s="17">
        <f t="shared" si="6"/>
        <v>0.29099999999993997</v>
      </c>
      <c r="G40" s="19">
        <f t="shared" si="0"/>
        <v>701.35859866220744</v>
      </c>
      <c r="H40" s="19">
        <f t="shared" si="1"/>
        <v>703.91849263621862</v>
      </c>
      <c r="I40" s="19">
        <f t="shared" si="2"/>
        <v>3.1445532785234738</v>
      </c>
      <c r="J40" s="19">
        <f t="shared" si="3"/>
        <v>0.96252013422818306</v>
      </c>
      <c r="K40" s="17" t="str">
        <f t="shared" si="4"/>
        <v/>
      </c>
      <c r="L40" s="17" t="str">
        <f t="shared" si="5"/>
        <v/>
      </c>
    </row>
    <row r="41" spans="1:12">
      <c r="A41" s="17">
        <v>32</v>
      </c>
      <c r="B41" s="17">
        <v>1</v>
      </c>
      <c r="C41" s="17">
        <v>18</v>
      </c>
      <c r="D41" s="17" t="s">
        <v>104</v>
      </c>
      <c r="E41" s="17">
        <v>700.81100000000004</v>
      </c>
      <c r="F41" s="17">
        <f t="shared" si="6"/>
        <v>0.51700000000005275</v>
      </c>
      <c r="G41" s="19">
        <f t="shared" si="0"/>
        <v>701.35859866220744</v>
      </c>
      <c r="H41" s="19">
        <f t="shared" si="1"/>
        <v>703.91849263621862</v>
      </c>
      <c r="I41" s="19">
        <f t="shared" si="2"/>
        <v>3.1445532785234738</v>
      </c>
      <c r="J41" s="19">
        <f t="shared" si="3"/>
        <v>0.96252013422818306</v>
      </c>
      <c r="K41" s="17" t="str">
        <f t="shared" si="4"/>
        <v/>
      </c>
      <c r="L41" s="17" t="str">
        <f t="shared" si="5"/>
        <v/>
      </c>
    </row>
    <row r="42" spans="1:12">
      <c r="A42" s="17">
        <v>33</v>
      </c>
      <c r="B42" s="17">
        <v>1</v>
      </c>
      <c r="C42" s="17">
        <v>17</v>
      </c>
      <c r="D42" s="17" t="s">
        <v>105</v>
      </c>
      <c r="E42" s="17">
        <v>700.06200000000001</v>
      </c>
      <c r="F42" s="17">
        <f t="shared" si="6"/>
        <v>0.74900000000002365</v>
      </c>
      <c r="G42" s="19">
        <f t="shared" si="0"/>
        <v>701.35859866220744</v>
      </c>
      <c r="H42" s="19">
        <f t="shared" si="1"/>
        <v>703.91849263621862</v>
      </c>
      <c r="I42" s="19">
        <f t="shared" si="2"/>
        <v>3.1445532785234738</v>
      </c>
      <c r="J42" s="19">
        <f t="shared" si="3"/>
        <v>0.96252013422818306</v>
      </c>
      <c r="K42" s="17" t="str">
        <f t="shared" si="4"/>
        <v/>
      </c>
      <c r="L42" s="17" t="str">
        <f t="shared" si="5"/>
        <v/>
      </c>
    </row>
    <row r="43" spans="1:12">
      <c r="A43" s="17">
        <v>34</v>
      </c>
      <c r="B43" s="17">
        <v>1</v>
      </c>
      <c r="C43" s="17">
        <v>16</v>
      </c>
      <c r="D43" s="17" t="s">
        <v>106</v>
      </c>
      <c r="E43" s="17">
        <v>701.46900000000005</v>
      </c>
      <c r="F43" s="17">
        <f t="shared" si="6"/>
        <v>1.4070000000000391</v>
      </c>
      <c r="G43" s="19">
        <f t="shared" si="0"/>
        <v>701.35859866220744</v>
      </c>
      <c r="H43" s="19">
        <f t="shared" si="1"/>
        <v>703.91849263621862</v>
      </c>
      <c r="I43" s="19">
        <f t="shared" si="2"/>
        <v>3.1445532785234738</v>
      </c>
      <c r="J43" s="19">
        <f t="shared" si="3"/>
        <v>0.96252013422818306</v>
      </c>
      <c r="K43" s="17" t="str">
        <f t="shared" si="4"/>
        <v/>
      </c>
      <c r="L43" s="17" t="str">
        <f t="shared" si="5"/>
        <v/>
      </c>
    </row>
    <row r="44" spans="1:12">
      <c r="A44" s="17">
        <v>35</v>
      </c>
      <c r="B44" s="17">
        <v>1</v>
      </c>
      <c r="C44" s="17">
        <v>15</v>
      </c>
      <c r="D44" s="17" t="s">
        <v>107</v>
      </c>
      <c r="E44" s="17">
        <v>701.33100000000002</v>
      </c>
      <c r="F44" s="17">
        <f t="shared" si="6"/>
        <v>0.13800000000003365</v>
      </c>
      <c r="G44" s="19">
        <f t="shared" si="0"/>
        <v>701.35859866220744</v>
      </c>
      <c r="H44" s="19">
        <f t="shared" si="1"/>
        <v>703.91849263621862</v>
      </c>
      <c r="I44" s="19">
        <f t="shared" si="2"/>
        <v>3.1445532785234738</v>
      </c>
      <c r="J44" s="19">
        <f t="shared" si="3"/>
        <v>0.96252013422818306</v>
      </c>
      <c r="K44" s="17" t="str">
        <f t="shared" si="4"/>
        <v/>
      </c>
      <c r="L44" s="17" t="str">
        <f t="shared" si="5"/>
        <v/>
      </c>
    </row>
    <row r="45" spans="1:12">
      <c r="A45" s="17">
        <v>36</v>
      </c>
      <c r="B45" s="17">
        <v>1</v>
      </c>
      <c r="C45" s="17">
        <v>14</v>
      </c>
      <c r="D45" s="17" t="s">
        <v>108</v>
      </c>
      <c r="E45" s="17">
        <v>700.89800000000002</v>
      </c>
      <c r="F45" s="17">
        <f t="shared" si="6"/>
        <v>0.43299999999999272</v>
      </c>
      <c r="G45" s="19">
        <f t="shared" si="0"/>
        <v>701.35859866220744</v>
      </c>
      <c r="H45" s="19">
        <f t="shared" si="1"/>
        <v>703.91849263621862</v>
      </c>
      <c r="I45" s="19">
        <f t="shared" si="2"/>
        <v>3.1445532785234738</v>
      </c>
      <c r="J45" s="19">
        <f t="shared" si="3"/>
        <v>0.96252013422818306</v>
      </c>
      <c r="K45" s="17" t="str">
        <f t="shared" si="4"/>
        <v/>
      </c>
      <c r="L45" s="17" t="str">
        <f t="shared" si="5"/>
        <v/>
      </c>
    </row>
    <row r="46" spans="1:12">
      <c r="A46" s="17">
        <v>37</v>
      </c>
      <c r="B46" s="17">
        <v>1</v>
      </c>
      <c r="C46" s="17">
        <v>13</v>
      </c>
      <c r="D46" s="17" t="s">
        <v>109</v>
      </c>
      <c r="E46" s="17">
        <v>700.79399999999998</v>
      </c>
      <c r="F46" s="17">
        <f t="shared" si="6"/>
        <v>0.10400000000004184</v>
      </c>
      <c r="G46" s="19">
        <f t="shared" si="0"/>
        <v>701.35859866220744</v>
      </c>
      <c r="H46" s="19">
        <f t="shared" si="1"/>
        <v>703.91849263621862</v>
      </c>
      <c r="I46" s="19">
        <f t="shared" si="2"/>
        <v>3.1445532785234738</v>
      </c>
      <c r="J46" s="19">
        <f t="shared" si="3"/>
        <v>0.96252013422818306</v>
      </c>
      <c r="K46" s="17" t="str">
        <f t="shared" si="4"/>
        <v/>
      </c>
      <c r="L46" s="17" t="str">
        <f t="shared" si="5"/>
        <v/>
      </c>
    </row>
    <row r="47" spans="1:12">
      <c r="A47" s="17">
        <v>38</v>
      </c>
      <c r="B47" s="17">
        <v>1</v>
      </c>
      <c r="C47" s="17">
        <v>12</v>
      </c>
      <c r="D47" s="17" t="s">
        <v>110</v>
      </c>
      <c r="E47" s="17">
        <v>702.32</v>
      </c>
      <c r="F47" s="17">
        <f t="shared" si="6"/>
        <v>1.5260000000000673</v>
      </c>
      <c r="G47" s="19">
        <f t="shared" si="0"/>
        <v>701.35859866220744</v>
      </c>
      <c r="H47" s="19">
        <f t="shared" si="1"/>
        <v>703.91849263621862</v>
      </c>
      <c r="I47" s="19">
        <f t="shared" si="2"/>
        <v>3.1445532785234738</v>
      </c>
      <c r="J47" s="19">
        <f t="shared" si="3"/>
        <v>0.96252013422818306</v>
      </c>
      <c r="K47" s="17" t="str">
        <f t="shared" si="4"/>
        <v/>
      </c>
      <c r="L47" s="17" t="str">
        <f t="shared" si="5"/>
        <v/>
      </c>
    </row>
    <row r="48" spans="1:12">
      <c r="A48" s="17">
        <v>39</v>
      </c>
      <c r="B48" s="17">
        <v>1</v>
      </c>
      <c r="C48" s="17">
        <v>11</v>
      </c>
      <c r="D48" s="17" t="s">
        <v>111</v>
      </c>
      <c r="E48" s="17">
        <v>700.74199999999996</v>
      </c>
      <c r="F48" s="17">
        <f t="shared" si="6"/>
        <v>1.5780000000000882</v>
      </c>
      <c r="G48" s="19">
        <f t="shared" si="0"/>
        <v>701.35859866220744</v>
      </c>
      <c r="H48" s="19">
        <f t="shared" si="1"/>
        <v>703.91849263621862</v>
      </c>
      <c r="I48" s="19">
        <f t="shared" si="2"/>
        <v>3.1445532785234738</v>
      </c>
      <c r="J48" s="19">
        <f t="shared" si="3"/>
        <v>0.96252013422818306</v>
      </c>
      <c r="K48" s="17" t="str">
        <f t="shared" si="4"/>
        <v/>
      </c>
      <c r="L48" s="17" t="str">
        <f t="shared" si="5"/>
        <v/>
      </c>
    </row>
    <row r="49" spans="1:12">
      <c r="A49" s="17">
        <v>40</v>
      </c>
      <c r="B49" s="17">
        <v>1</v>
      </c>
      <c r="C49" s="17">
        <v>10</v>
      </c>
      <c r="D49" s="17" t="s">
        <v>112</v>
      </c>
      <c r="E49" s="17">
        <v>701.16</v>
      </c>
      <c r="F49" s="17">
        <f t="shared" si="6"/>
        <v>0.41800000000000637</v>
      </c>
      <c r="G49" s="19">
        <f t="shared" si="0"/>
        <v>701.35859866220744</v>
      </c>
      <c r="H49" s="19">
        <f t="shared" si="1"/>
        <v>703.91849263621862</v>
      </c>
      <c r="I49" s="19">
        <f t="shared" si="2"/>
        <v>3.1445532785234738</v>
      </c>
      <c r="J49" s="19">
        <f t="shared" si="3"/>
        <v>0.96252013422818306</v>
      </c>
      <c r="K49" s="17" t="str">
        <f t="shared" si="4"/>
        <v/>
      </c>
      <c r="L49" s="17" t="str">
        <f t="shared" si="5"/>
        <v/>
      </c>
    </row>
    <row r="50" spans="1:12">
      <c r="A50" s="17">
        <v>41</v>
      </c>
      <c r="B50" s="17">
        <v>1</v>
      </c>
      <c r="C50" s="17">
        <v>9</v>
      </c>
      <c r="D50" s="17" t="s">
        <v>113</v>
      </c>
      <c r="E50" s="17">
        <v>700.71</v>
      </c>
      <c r="F50" s="17">
        <f t="shared" si="6"/>
        <v>0.44999999999993179</v>
      </c>
      <c r="G50" s="19">
        <f t="shared" si="0"/>
        <v>701.35859866220744</v>
      </c>
      <c r="H50" s="19">
        <f t="shared" si="1"/>
        <v>703.91849263621862</v>
      </c>
      <c r="I50" s="19">
        <f t="shared" si="2"/>
        <v>3.1445532785234738</v>
      </c>
      <c r="J50" s="19">
        <f t="shared" si="3"/>
        <v>0.96252013422818306</v>
      </c>
      <c r="K50" s="17" t="str">
        <f t="shared" si="4"/>
        <v/>
      </c>
      <c r="L50" s="17" t="str">
        <f t="shared" si="5"/>
        <v/>
      </c>
    </row>
    <row r="51" spans="1:12">
      <c r="A51" s="17">
        <v>42</v>
      </c>
      <c r="B51" s="17">
        <v>1</v>
      </c>
      <c r="C51" s="17">
        <v>8</v>
      </c>
      <c r="D51" s="17" t="s">
        <v>114</v>
      </c>
      <c r="E51" s="17">
        <v>700.14</v>
      </c>
      <c r="F51" s="17">
        <f t="shared" si="6"/>
        <v>0.57000000000005002</v>
      </c>
      <c r="G51" s="19">
        <f t="shared" si="0"/>
        <v>701.35859866220744</v>
      </c>
      <c r="H51" s="19">
        <f t="shared" si="1"/>
        <v>703.91849263621862</v>
      </c>
      <c r="I51" s="19">
        <f t="shared" si="2"/>
        <v>3.1445532785234738</v>
      </c>
      <c r="J51" s="19">
        <f t="shared" si="3"/>
        <v>0.96252013422818306</v>
      </c>
      <c r="K51" s="17" t="str">
        <f t="shared" si="4"/>
        <v/>
      </c>
      <c r="L51" s="17" t="str">
        <f t="shared" si="5"/>
        <v/>
      </c>
    </row>
    <row r="52" spans="1:12">
      <c r="A52" s="17">
        <v>43</v>
      </c>
      <c r="B52" s="17">
        <v>1</v>
      </c>
      <c r="C52" s="17">
        <v>7</v>
      </c>
      <c r="D52" s="17" t="s">
        <v>115</v>
      </c>
      <c r="E52" s="17">
        <v>702.11900000000003</v>
      </c>
      <c r="F52" s="17">
        <f t="shared" si="6"/>
        <v>1.9790000000000418</v>
      </c>
      <c r="G52" s="19">
        <f t="shared" si="0"/>
        <v>701.35859866220744</v>
      </c>
      <c r="H52" s="19">
        <f t="shared" si="1"/>
        <v>703.91849263621862</v>
      </c>
      <c r="I52" s="19">
        <f t="shared" si="2"/>
        <v>3.1445532785234738</v>
      </c>
      <c r="J52" s="19">
        <f t="shared" si="3"/>
        <v>0.96252013422818306</v>
      </c>
      <c r="K52" s="17" t="str">
        <f t="shared" si="4"/>
        <v/>
      </c>
      <c r="L52" s="17" t="str">
        <f t="shared" si="5"/>
        <v/>
      </c>
    </row>
    <row r="53" spans="1:12">
      <c r="A53" s="17">
        <v>44</v>
      </c>
      <c r="B53" s="17">
        <v>1</v>
      </c>
      <c r="C53" s="17">
        <v>6</v>
      </c>
      <c r="D53" s="17" t="s">
        <v>116</v>
      </c>
      <c r="E53" s="17">
        <v>702.29600000000005</v>
      </c>
      <c r="F53" s="17">
        <f t="shared" si="6"/>
        <v>0.17700000000002092</v>
      </c>
      <c r="G53" s="19">
        <f t="shared" si="0"/>
        <v>701.35859866220744</v>
      </c>
      <c r="H53" s="19">
        <f t="shared" si="1"/>
        <v>703.91849263621862</v>
      </c>
      <c r="I53" s="19">
        <f t="shared" si="2"/>
        <v>3.1445532785234738</v>
      </c>
      <c r="J53" s="19">
        <f t="shared" si="3"/>
        <v>0.96252013422818306</v>
      </c>
      <c r="K53" s="17" t="str">
        <f t="shared" si="4"/>
        <v/>
      </c>
      <c r="L53" s="17" t="str">
        <f t="shared" si="5"/>
        <v/>
      </c>
    </row>
    <row r="54" spans="1:12">
      <c r="A54" s="17">
        <v>45</v>
      </c>
      <c r="B54" s="17">
        <v>1</v>
      </c>
      <c r="C54" s="17">
        <v>5</v>
      </c>
      <c r="D54" s="17" t="s">
        <v>117</v>
      </c>
      <c r="E54" s="17">
        <v>700.73199999999997</v>
      </c>
      <c r="F54" s="17">
        <f t="shared" si="6"/>
        <v>1.5640000000000782</v>
      </c>
      <c r="G54" s="19">
        <f t="shared" si="0"/>
        <v>701.35859866220744</v>
      </c>
      <c r="H54" s="19">
        <f t="shared" si="1"/>
        <v>703.91849263621862</v>
      </c>
      <c r="I54" s="19">
        <f t="shared" si="2"/>
        <v>3.1445532785234738</v>
      </c>
      <c r="J54" s="19">
        <f t="shared" si="3"/>
        <v>0.96252013422818306</v>
      </c>
      <c r="K54" s="17" t="str">
        <f t="shared" si="4"/>
        <v/>
      </c>
      <c r="L54" s="17" t="str">
        <f t="shared" si="5"/>
        <v/>
      </c>
    </row>
    <row r="55" spans="1:12">
      <c r="A55" s="17">
        <v>46</v>
      </c>
      <c r="B55" s="17">
        <v>1</v>
      </c>
      <c r="C55" s="17">
        <v>4</v>
      </c>
      <c r="D55" s="17" t="s">
        <v>118</v>
      </c>
      <c r="E55" s="17">
        <v>700.64099999999996</v>
      </c>
      <c r="F55" s="17">
        <f t="shared" si="6"/>
        <v>9.1000000000008185E-2</v>
      </c>
      <c r="G55" s="19">
        <f t="shared" si="0"/>
        <v>701.35859866220744</v>
      </c>
      <c r="H55" s="19">
        <f t="shared" si="1"/>
        <v>703.91849263621862</v>
      </c>
      <c r="I55" s="19">
        <f t="shared" si="2"/>
        <v>3.1445532785234738</v>
      </c>
      <c r="J55" s="19">
        <f t="shared" si="3"/>
        <v>0.96252013422818306</v>
      </c>
      <c r="K55" s="17" t="str">
        <f t="shared" si="4"/>
        <v/>
      </c>
      <c r="L55" s="17" t="str">
        <f t="shared" si="5"/>
        <v/>
      </c>
    </row>
    <row r="56" spans="1:12">
      <c r="A56" s="17">
        <v>47</v>
      </c>
      <c r="B56" s="17">
        <v>1</v>
      </c>
      <c r="C56" s="17">
        <v>3</v>
      </c>
      <c r="D56" s="17" t="s">
        <v>119</v>
      </c>
      <c r="E56" s="17">
        <v>700.77</v>
      </c>
      <c r="F56" s="17">
        <f t="shared" si="6"/>
        <v>0.1290000000000191</v>
      </c>
      <c r="G56" s="19">
        <f t="shared" si="0"/>
        <v>701.35859866220744</v>
      </c>
      <c r="H56" s="19">
        <f t="shared" si="1"/>
        <v>703.91849263621862</v>
      </c>
      <c r="I56" s="19">
        <f t="shared" si="2"/>
        <v>3.1445532785234738</v>
      </c>
      <c r="J56" s="19">
        <f t="shared" si="3"/>
        <v>0.96252013422818306</v>
      </c>
      <c r="K56" s="17" t="str">
        <f t="shared" si="4"/>
        <v/>
      </c>
      <c r="L56" s="17" t="str">
        <f t="shared" si="5"/>
        <v/>
      </c>
    </row>
    <row r="57" spans="1:12">
      <c r="A57" s="17">
        <v>48</v>
      </c>
      <c r="B57" s="17">
        <v>1</v>
      </c>
      <c r="C57" s="17">
        <v>2</v>
      </c>
      <c r="D57" s="17" t="s">
        <v>120</v>
      </c>
      <c r="E57" s="17">
        <v>700.48199999999997</v>
      </c>
      <c r="F57" s="17">
        <f t="shared" si="6"/>
        <v>0.28800000000001091</v>
      </c>
      <c r="G57" s="19">
        <f t="shared" si="0"/>
        <v>701.35859866220744</v>
      </c>
      <c r="H57" s="19">
        <f t="shared" si="1"/>
        <v>703.91849263621862</v>
      </c>
      <c r="I57" s="19">
        <f t="shared" si="2"/>
        <v>3.1445532785234738</v>
      </c>
      <c r="J57" s="19">
        <f t="shared" si="3"/>
        <v>0.96252013422818306</v>
      </c>
      <c r="K57" s="17" t="str">
        <f t="shared" si="4"/>
        <v/>
      </c>
      <c r="L57" s="17" t="str">
        <f t="shared" si="5"/>
        <v/>
      </c>
    </row>
    <row r="58" spans="1:12">
      <c r="A58" s="17">
        <v>49</v>
      </c>
      <c r="B58" s="17">
        <v>1</v>
      </c>
      <c r="C58" s="17">
        <v>1</v>
      </c>
      <c r="D58" s="17" t="s">
        <v>121</v>
      </c>
      <c r="E58" s="17">
        <v>701.96600000000001</v>
      </c>
      <c r="F58" s="17">
        <f t="shared" si="6"/>
        <v>1.4840000000000373</v>
      </c>
      <c r="G58" s="19">
        <f t="shared" si="0"/>
        <v>701.35859866220744</v>
      </c>
      <c r="H58" s="19">
        <f t="shared" si="1"/>
        <v>703.91849263621862</v>
      </c>
      <c r="I58" s="19">
        <f t="shared" si="2"/>
        <v>3.1445532785234738</v>
      </c>
      <c r="J58" s="19">
        <f t="shared" si="3"/>
        <v>0.96252013422818306</v>
      </c>
      <c r="K58" s="17" t="str">
        <f t="shared" si="4"/>
        <v/>
      </c>
      <c r="L58" s="17" t="str">
        <f t="shared" si="5"/>
        <v/>
      </c>
    </row>
    <row r="59" spans="1:12">
      <c r="A59" s="17">
        <v>50</v>
      </c>
      <c r="B59" s="17">
        <v>2</v>
      </c>
      <c r="C59" s="17">
        <v>25</v>
      </c>
      <c r="D59" s="17" t="s">
        <v>122</v>
      </c>
      <c r="E59" s="17">
        <v>702.35199999999998</v>
      </c>
      <c r="F59" s="17">
        <f t="shared" si="6"/>
        <v>0.38599999999996726</v>
      </c>
      <c r="G59" s="19">
        <f t="shared" si="0"/>
        <v>701.35859866220744</v>
      </c>
      <c r="H59" s="19">
        <f t="shared" si="1"/>
        <v>703.91849263621862</v>
      </c>
      <c r="I59" s="19">
        <f t="shared" si="2"/>
        <v>3.1445532785234738</v>
      </c>
      <c r="J59" s="19">
        <f t="shared" si="3"/>
        <v>0.96252013422818306</v>
      </c>
      <c r="K59" s="17" t="str">
        <f t="shared" si="4"/>
        <v/>
      </c>
      <c r="L59" s="17" t="str">
        <f t="shared" si="5"/>
        <v/>
      </c>
    </row>
    <row r="60" spans="1:12">
      <c r="A60" s="17">
        <v>51</v>
      </c>
      <c r="B60" s="17">
        <v>2</v>
      </c>
      <c r="C60" s="17">
        <v>24</v>
      </c>
      <c r="D60" s="17" t="s">
        <v>123</v>
      </c>
      <c r="E60" s="17">
        <v>700.39700000000005</v>
      </c>
      <c r="F60" s="17">
        <f t="shared" si="6"/>
        <v>1.9549999999999272</v>
      </c>
      <c r="G60" s="19">
        <f t="shared" si="0"/>
        <v>701.35859866220744</v>
      </c>
      <c r="H60" s="19">
        <f t="shared" si="1"/>
        <v>703.91849263621862</v>
      </c>
      <c r="I60" s="19">
        <f t="shared" si="2"/>
        <v>3.1445532785234738</v>
      </c>
      <c r="J60" s="19">
        <f t="shared" si="3"/>
        <v>0.96252013422818306</v>
      </c>
      <c r="K60" s="17" t="str">
        <f t="shared" si="4"/>
        <v/>
      </c>
      <c r="L60" s="17" t="str">
        <f t="shared" si="5"/>
        <v/>
      </c>
    </row>
    <row r="61" spans="1:12">
      <c r="A61" s="17">
        <v>52</v>
      </c>
      <c r="B61" s="17">
        <v>2</v>
      </c>
      <c r="C61" s="17">
        <v>23</v>
      </c>
      <c r="D61" s="17" t="s">
        <v>124</v>
      </c>
      <c r="E61" s="17">
        <v>702.48</v>
      </c>
      <c r="F61" s="17">
        <f t="shared" si="6"/>
        <v>2.08299999999997</v>
      </c>
      <c r="G61" s="19">
        <f t="shared" si="0"/>
        <v>701.35859866220744</v>
      </c>
      <c r="H61" s="19">
        <f t="shared" si="1"/>
        <v>703.91849263621862</v>
      </c>
      <c r="I61" s="19">
        <f t="shared" si="2"/>
        <v>3.1445532785234738</v>
      </c>
      <c r="J61" s="19">
        <f t="shared" si="3"/>
        <v>0.96252013422818306</v>
      </c>
      <c r="K61" s="17" t="str">
        <f t="shared" si="4"/>
        <v/>
      </c>
      <c r="L61" s="17" t="str">
        <f t="shared" si="5"/>
        <v/>
      </c>
    </row>
    <row r="62" spans="1:12">
      <c r="A62" s="17">
        <v>53</v>
      </c>
      <c r="B62" s="17">
        <v>2</v>
      </c>
      <c r="C62" s="17">
        <v>22</v>
      </c>
      <c r="D62" s="17" t="s">
        <v>125</v>
      </c>
      <c r="E62" s="17">
        <v>702.87199999999996</v>
      </c>
      <c r="F62" s="17">
        <f t="shared" si="6"/>
        <v>0.39199999999993906</v>
      </c>
      <c r="G62" s="19">
        <f t="shared" si="0"/>
        <v>701.35859866220744</v>
      </c>
      <c r="H62" s="19">
        <f t="shared" si="1"/>
        <v>703.91849263621862</v>
      </c>
      <c r="I62" s="19">
        <f t="shared" si="2"/>
        <v>3.1445532785234738</v>
      </c>
      <c r="J62" s="19">
        <f t="shared" si="3"/>
        <v>0.96252013422818306</v>
      </c>
      <c r="K62" s="17" t="str">
        <f t="shared" si="4"/>
        <v/>
      </c>
      <c r="L62" s="17" t="str">
        <f t="shared" si="5"/>
        <v/>
      </c>
    </row>
    <row r="63" spans="1:12">
      <c r="A63" s="17">
        <v>54</v>
      </c>
      <c r="B63" s="17">
        <v>2</v>
      </c>
      <c r="C63" s="17">
        <v>21</v>
      </c>
      <c r="D63" s="17" t="s">
        <v>126</v>
      </c>
      <c r="E63" s="17">
        <v>703.53700000000003</v>
      </c>
      <c r="F63" s="17">
        <f t="shared" si="6"/>
        <v>0.66500000000007731</v>
      </c>
      <c r="G63" s="19">
        <f t="shared" si="0"/>
        <v>701.35859866220744</v>
      </c>
      <c r="H63" s="19">
        <f t="shared" si="1"/>
        <v>703.91849263621862</v>
      </c>
      <c r="I63" s="19">
        <f t="shared" si="2"/>
        <v>3.1445532785234738</v>
      </c>
      <c r="J63" s="19">
        <f t="shared" si="3"/>
        <v>0.96252013422818306</v>
      </c>
      <c r="K63" s="17" t="str">
        <f t="shared" si="4"/>
        <v/>
      </c>
      <c r="L63" s="17" t="str">
        <f t="shared" si="5"/>
        <v/>
      </c>
    </row>
    <row r="64" spans="1:12">
      <c r="A64" s="17">
        <v>55</v>
      </c>
      <c r="B64" s="17">
        <v>2</v>
      </c>
      <c r="C64" s="17">
        <v>20</v>
      </c>
      <c r="D64" s="17" t="s">
        <v>127</v>
      </c>
      <c r="E64" s="17">
        <v>703.57500000000005</v>
      </c>
      <c r="F64" s="17">
        <f t="shared" si="6"/>
        <v>3.8000000000010914E-2</v>
      </c>
      <c r="G64" s="19">
        <f t="shared" si="0"/>
        <v>701.35859866220744</v>
      </c>
      <c r="H64" s="19">
        <f t="shared" si="1"/>
        <v>703.91849263621862</v>
      </c>
      <c r="I64" s="19">
        <f t="shared" si="2"/>
        <v>3.1445532785234738</v>
      </c>
      <c r="J64" s="19">
        <f t="shared" si="3"/>
        <v>0.96252013422818306</v>
      </c>
      <c r="K64" s="17" t="str">
        <f t="shared" si="4"/>
        <v/>
      </c>
      <c r="L64" s="17" t="str">
        <f t="shared" si="5"/>
        <v/>
      </c>
    </row>
    <row r="65" spans="1:12">
      <c r="A65" s="17">
        <v>56</v>
      </c>
      <c r="B65" s="17">
        <v>2</v>
      </c>
      <c r="C65" s="17">
        <v>19</v>
      </c>
      <c r="D65" s="17" t="s">
        <v>128</v>
      </c>
      <c r="E65" s="17">
        <v>700.62800000000004</v>
      </c>
      <c r="F65" s="17">
        <f t="shared" si="6"/>
        <v>2.9470000000000027</v>
      </c>
      <c r="G65" s="19">
        <f t="shared" si="0"/>
        <v>701.35859866220744</v>
      </c>
      <c r="H65" s="19">
        <f t="shared" si="1"/>
        <v>703.91849263621862</v>
      </c>
      <c r="I65" s="19">
        <f t="shared" si="2"/>
        <v>3.1445532785234738</v>
      </c>
      <c r="J65" s="19">
        <f t="shared" si="3"/>
        <v>0.96252013422818306</v>
      </c>
      <c r="K65" s="17" t="str">
        <f t="shared" si="4"/>
        <v/>
      </c>
      <c r="L65" s="17" t="str">
        <f t="shared" si="5"/>
        <v/>
      </c>
    </row>
    <row r="66" spans="1:12">
      <c r="A66" s="17">
        <v>57</v>
      </c>
      <c r="B66" s="17">
        <v>2</v>
      </c>
      <c r="C66" s="17">
        <v>18</v>
      </c>
      <c r="D66" s="17" t="s">
        <v>129</v>
      </c>
      <c r="E66" s="17">
        <v>701.47400000000005</v>
      </c>
      <c r="F66" s="17">
        <f t="shared" si="6"/>
        <v>0.84600000000000364</v>
      </c>
      <c r="G66" s="19">
        <f t="shared" si="0"/>
        <v>701.35859866220744</v>
      </c>
      <c r="H66" s="19">
        <f t="shared" si="1"/>
        <v>703.91849263621862</v>
      </c>
      <c r="I66" s="19">
        <f t="shared" si="2"/>
        <v>3.1445532785234738</v>
      </c>
      <c r="J66" s="19">
        <f t="shared" si="3"/>
        <v>0.96252013422818306</v>
      </c>
      <c r="K66" s="17" t="str">
        <f t="shared" si="4"/>
        <v/>
      </c>
      <c r="L66" s="17" t="str">
        <f t="shared" si="5"/>
        <v/>
      </c>
    </row>
    <row r="67" spans="1:12">
      <c r="A67" s="17">
        <v>58</v>
      </c>
      <c r="B67" s="17">
        <v>2</v>
      </c>
      <c r="C67" s="17">
        <v>17</v>
      </c>
      <c r="D67" s="17" t="s">
        <v>130</v>
      </c>
      <c r="E67" s="17">
        <v>703.125</v>
      </c>
      <c r="F67" s="17">
        <f t="shared" si="6"/>
        <v>1.6509999999999536</v>
      </c>
      <c r="G67" s="19">
        <f t="shared" si="0"/>
        <v>701.35859866220744</v>
      </c>
      <c r="H67" s="19">
        <f t="shared" si="1"/>
        <v>703.91849263621862</v>
      </c>
      <c r="I67" s="19">
        <f t="shared" si="2"/>
        <v>3.1445532785234738</v>
      </c>
      <c r="J67" s="19">
        <f t="shared" si="3"/>
        <v>0.96252013422818306</v>
      </c>
      <c r="K67" s="17" t="str">
        <f t="shared" si="4"/>
        <v/>
      </c>
      <c r="L67" s="17" t="str">
        <f t="shared" si="5"/>
        <v/>
      </c>
    </row>
    <row r="68" spans="1:12">
      <c r="A68" s="17">
        <v>59</v>
      </c>
      <c r="B68" s="17">
        <v>2</v>
      </c>
      <c r="C68" s="17">
        <v>16</v>
      </c>
      <c r="D68" s="17" t="s">
        <v>131</v>
      </c>
      <c r="E68" s="17">
        <v>701.42499999999995</v>
      </c>
      <c r="F68" s="17">
        <f t="shared" si="6"/>
        <v>1.7000000000000455</v>
      </c>
      <c r="G68" s="19">
        <f t="shared" si="0"/>
        <v>701.35859866220744</v>
      </c>
      <c r="H68" s="19">
        <f t="shared" si="1"/>
        <v>703.91849263621862</v>
      </c>
      <c r="I68" s="19">
        <f t="shared" si="2"/>
        <v>3.1445532785234738</v>
      </c>
      <c r="J68" s="19">
        <f t="shared" si="3"/>
        <v>0.96252013422818306</v>
      </c>
      <c r="K68" s="17" t="str">
        <f t="shared" si="4"/>
        <v/>
      </c>
      <c r="L68" s="17" t="str">
        <f t="shared" si="5"/>
        <v/>
      </c>
    </row>
    <row r="69" spans="1:12">
      <c r="A69" s="17">
        <v>60</v>
      </c>
      <c r="B69" s="17">
        <v>2</v>
      </c>
      <c r="C69" s="17">
        <v>15</v>
      </c>
      <c r="D69" s="17" t="s">
        <v>132</v>
      </c>
      <c r="E69" s="17">
        <v>702.64300000000003</v>
      </c>
      <c r="F69" s="17">
        <f t="shared" si="6"/>
        <v>1.2180000000000746</v>
      </c>
      <c r="G69" s="19">
        <f t="shared" si="0"/>
        <v>701.35859866220744</v>
      </c>
      <c r="H69" s="19">
        <f t="shared" si="1"/>
        <v>703.91849263621862</v>
      </c>
      <c r="I69" s="19">
        <f t="shared" si="2"/>
        <v>3.1445532785234738</v>
      </c>
      <c r="J69" s="19">
        <f t="shared" si="3"/>
        <v>0.96252013422818306</v>
      </c>
      <c r="K69" s="17" t="str">
        <f t="shared" si="4"/>
        <v/>
      </c>
      <c r="L69" s="17" t="str">
        <f t="shared" si="5"/>
        <v/>
      </c>
    </row>
    <row r="70" spans="1:12">
      <c r="A70" s="17">
        <v>61</v>
      </c>
      <c r="B70" s="17">
        <v>2</v>
      </c>
      <c r="C70" s="17">
        <v>14</v>
      </c>
      <c r="D70" s="17" t="s">
        <v>133</v>
      </c>
      <c r="E70" s="17">
        <v>702.07899999999995</v>
      </c>
      <c r="F70" s="17">
        <f t="shared" si="6"/>
        <v>0.56400000000007822</v>
      </c>
      <c r="G70" s="19">
        <f t="shared" si="0"/>
        <v>701.35859866220744</v>
      </c>
      <c r="H70" s="19">
        <f t="shared" si="1"/>
        <v>703.91849263621862</v>
      </c>
      <c r="I70" s="19">
        <f t="shared" si="2"/>
        <v>3.1445532785234738</v>
      </c>
      <c r="J70" s="19">
        <f t="shared" si="3"/>
        <v>0.96252013422818306</v>
      </c>
      <c r="K70" s="17" t="str">
        <f t="shared" si="4"/>
        <v/>
      </c>
      <c r="L70" s="17" t="str">
        <f t="shared" si="5"/>
        <v/>
      </c>
    </row>
    <row r="71" spans="1:12">
      <c r="A71" s="17">
        <v>62</v>
      </c>
      <c r="B71" s="17">
        <v>2</v>
      </c>
      <c r="C71" s="17">
        <v>13</v>
      </c>
      <c r="D71" s="17" t="s">
        <v>134</v>
      </c>
      <c r="E71" s="17">
        <v>701.07399999999996</v>
      </c>
      <c r="F71" s="17">
        <f t="shared" si="6"/>
        <v>1.0049999999999955</v>
      </c>
      <c r="G71" s="19">
        <f t="shared" si="0"/>
        <v>701.35859866220744</v>
      </c>
      <c r="H71" s="19">
        <f t="shared" si="1"/>
        <v>703.91849263621862</v>
      </c>
      <c r="I71" s="19">
        <f t="shared" si="2"/>
        <v>3.1445532785234738</v>
      </c>
      <c r="J71" s="19">
        <f t="shared" si="3"/>
        <v>0.96252013422818306</v>
      </c>
      <c r="K71" s="17" t="str">
        <f t="shared" si="4"/>
        <v/>
      </c>
      <c r="L71" s="17" t="str">
        <f t="shared" si="5"/>
        <v/>
      </c>
    </row>
    <row r="72" spans="1:12">
      <c r="A72" s="17">
        <v>63</v>
      </c>
      <c r="B72" s="17">
        <v>2</v>
      </c>
      <c r="C72" s="17">
        <v>12</v>
      </c>
      <c r="D72" s="17" t="s">
        <v>135</v>
      </c>
      <c r="E72" s="17">
        <v>701.56899999999996</v>
      </c>
      <c r="F72" s="17">
        <f t="shared" si="6"/>
        <v>0.49500000000000455</v>
      </c>
      <c r="G72" s="19">
        <f t="shared" si="0"/>
        <v>701.35859866220744</v>
      </c>
      <c r="H72" s="19">
        <f t="shared" si="1"/>
        <v>703.91849263621862</v>
      </c>
      <c r="I72" s="19">
        <f t="shared" si="2"/>
        <v>3.1445532785234738</v>
      </c>
      <c r="J72" s="19">
        <f t="shared" si="3"/>
        <v>0.96252013422818306</v>
      </c>
      <c r="K72" s="17" t="str">
        <f t="shared" si="4"/>
        <v/>
      </c>
      <c r="L72" s="17" t="str">
        <f t="shared" si="5"/>
        <v/>
      </c>
    </row>
    <row r="73" spans="1:12">
      <c r="A73" s="17">
        <v>64</v>
      </c>
      <c r="B73" s="17">
        <v>2</v>
      </c>
      <c r="C73" s="17">
        <v>11</v>
      </c>
      <c r="D73" s="17" t="s">
        <v>136</v>
      </c>
      <c r="E73" s="17">
        <v>703.54899999999998</v>
      </c>
      <c r="F73" s="17">
        <f t="shared" si="6"/>
        <v>1.9800000000000182</v>
      </c>
      <c r="G73" s="19">
        <f t="shared" si="0"/>
        <v>701.35859866220744</v>
      </c>
      <c r="H73" s="19">
        <f t="shared" si="1"/>
        <v>703.91849263621862</v>
      </c>
      <c r="I73" s="19">
        <f t="shared" si="2"/>
        <v>3.1445532785234738</v>
      </c>
      <c r="J73" s="19">
        <f t="shared" si="3"/>
        <v>0.96252013422818306</v>
      </c>
      <c r="K73" s="17" t="str">
        <f t="shared" si="4"/>
        <v/>
      </c>
      <c r="L73" s="17" t="str">
        <f t="shared" si="5"/>
        <v/>
      </c>
    </row>
    <row r="74" spans="1:12">
      <c r="A74" s="17">
        <v>65</v>
      </c>
      <c r="B74" s="17">
        <v>2</v>
      </c>
      <c r="C74" s="17">
        <v>10</v>
      </c>
      <c r="D74" s="17" t="s">
        <v>137</v>
      </c>
      <c r="E74" s="17">
        <v>703.048</v>
      </c>
      <c r="F74" s="17">
        <f t="shared" si="6"/>
        <v>0.50099999999997635</v>
      </c>
      <c r="G74" s="19">
        <f t="shared" ref="G74:G137" si="7">$Q$3</f>
        <v>701.35859866220744</v>
      </c>
      <c r="H74" s="19">
        <f t="shared" ref="H74:H137" si="8">$Q$6</f>
        <v>703.91849263621862</v>
      </c>
      <c r="I74" s="19">
        <f t="shared" ref="I74:I137" si="9">$Q$7</f>
        <v>3.1445532785234738</v>
      </c>
      <c r="J74" s="19">
        <f t="shared" ref="J74:J137" si="10">$Q$4</f>
        <v>0.96252013422818306</v>
      </c>
      <c r="K74" s="17" t="str">
        <f t="shared" ref="K74:K137" si="11">IF(E74&gt;$Q$6,"OOC","" )</f>
        <v/>
      </c>
      <c r="L74" s="17" t="str">
        <f t="shared" ref="L74:L137" si="12">IF(E74&gt;$B$3,"OOS","" )</f>
        <v/>
      </c>
    </row>
    <row r="75" spans="1:12">
      <c r="A75" s="17">
        <v>66</v>
      </c>
      <c r="B75" s="17">
        <v>2</v>
      </c>
      <c r="C75" s="17">
        <v>9</v>
      </c>
      <c r="D75" s="17" t="s">
        <v>138</v>
      </c>
      <c r="E75" s="17">
        <v>702.71400000000006</v>
      </c>
      <c r="F75" s="17">
        <f t="shared" ref="F75:F138" si="13">ABS(E75-E74)</f>
        <v>0.33399999999994634</v>
      </c>
      <c r="G75" s="19">
        <f t="shared" si="7"/>
        <v>701.35859866220744</v>
      </c>
      <c r="H75" s="19">
        <f t="shared" si="8"/>
        <v>703.91849263621862</v>
      </c>
      <c r="I75" s="19">
        <f t="shared" si="9"/>
        <v>3.1445532785234738</v>
      </c>
      <c r="J75" s="19">
        <f t="shared" si="10"/>
        <v>0.96252013422818306</v>
      </c>
      <c r="K75" s="17" t="str">
        <f t="shared" si="11"/>
        <v/>
      </c>
      <c r="L75" s="17" t="str">
        <f t="shared" si="12"/>
        <v/>
      </c>
    </row>
    <row r="76" spans="1:12">
      <c r="A76" s="17">
        <v>67</v>
      </c>
      <c r="B76" s="17">
        <v>2</v>
      </c>
      <c r="C76" s="17">
        <v>8</v>
      </c>
      <c r="D76" s="17" t="s">
        <v>139</v>
      </c>
      <c r="E76" s="17">
        <v>701.18299999999999</v>
      </c>
      <c r="F76" s="17">
        <f t="shared" si="13"/>
        <v>1.5310000000000628</v>
      </c>
      <c r="G76" s="19">
        <f t="shared" si="7"/>
        <v>701.35859866220744</v>
      </c>
      <c r="H76" s="19">
        <f t="shared" si="8"/>
        <v>703.91849263621862</v>
      </c>
      <c r="I76" s="19">
        <f t="shared" si="9"/>
        <v>3.1445532785234738</v>
      </c>
      <c r="J76" s="19">
        <f t="shared" si="10"/>
        <v>0.96252013422818306</v>
      </c>
      <c r="K76" s="17" t="str">
        <f t="shared" si="11"/>
        <v/>
      </c>
      <c r="L76" s="17" t="str">
        <f t="shared" si="12"/>
        <v/>
      </c>
    </row>
    <row r="77" spans="1:12">
      <c r="A77" s="17">
        <v>68</v>
      </c>
      <c r="B77" s="17">
        <v>2</v>
      </c>
      <c r="C77" s="17">
        <v>7</v>
      </c>
      <c r="D77" s="17" t="s">
        <v>140</v>
      </c>
      <c r="E77" s="17">
        <v>700.98699999999997</v>
      </c>
      <c r="F77" s="17">
        <f t="shared" si="13"/>
        <v>0.19600000000002638</v>
      </c>
      <c r="G77" s="19">
        <f t="shared" si="7"/>
        <v>701.35859866220744</v>
      </c>
      <c r="H77" s="19">
        <f t="shared" si="8"/>
        <v>703.91849263621862</v>
      </c>
      <c r="I77" s="19">
        <f t="shared" si="9"/>
        <v>3.1445532785234738</v>
      </c>
      <c r="J77" s="19">
        <f t="shared" si="10"/>
        <v>0.96252013422818306</v>
      </c>
      <c r="K77" s="17" t="str">
        <f t="shared" si="11"/>
        <v/>
      </c>
      <c r="L77" s="17" t="str">
        <f t="shared" si="12"/>
        <v/>
      </c>
    </row>
    <row r="78" spans="1:12">
      <c r="A78" s="17">
        <v>69</v>
      </c>
      <c r="B78" s="17">
        <v>2</v>
      </c>
      <c r="C78" s="17">
        <v>6</v>
      </c>
      <c r="D78" s="17" t="s">
        <v>141</v>
      </c>
      <c r="E78" s="17">
        <v>704.69399999999996</v>
      </c>
      <c r="F78" s="17">
        <f t="shared" si="13"/>
        <v>3.7069999999999936</v>
      </c>
      <c r="G78" s="19">
        <f t="shared" si="7"/>
        <v>701.35859866220744</v>
      </c>
      <c r="H78" s="19">
        <f t="shared" si="8"/>
        <v>703.91849263621862</v>
      </c>
      <c r="I78" s="19">
        <f t="shared" si="9"/>
        <v>3.1445532785234738</v>
      </c>
      <c r="J78" s="19">
        <f t="shared" si="10"/>
        <v>0.96252013422818306</v>
      </c>
      <c r="K78" s="17" t="str">
        <f t="shared" si="11"/>
        <v>OOC</v>
      </c>
      <c r="L78" s="17" t="str">
        <f t="shared" si="12"/>
        <v/>
      </c>
    </row>
    <row r="79" spans="1:12">
      <c r="A79" s="17">
        <v>70</v>
      </c>
      <c r="B79" s="17">
        <v>2</v>
      </c>
      <c r="C79" s="17">
        <v>5</v>
      </c>
      <c r="D79" s="17" t="s">
        <v>142</v>
      </c>
      <c r="E79" s="17">
        <v>702.21299999999997</v>
      </c>
      <c r="F79" s="17">
        <f t="shared" si="13"/>
        <v>2.4809999999999945</v>
      </c>
      <c r="G79" s="19">
        <f t="shared" si="7"/>
        <v>701.35859866220744</v>
      </c>
      <c r="H79" s="19">
        <f t="shared" si="8"/>
        <v>703.91849263621862</v>
      </c>
      <c r="I79" s="19">
        <f t="shared" si="9"/>
        <v>3.1445532785234738</v>
      </c>
      <c r="J79" s="19">
        <f t="shared" si="10"/>
        <v>0.96252013422818306</v>
      </c>
      <c r="K79" s="17" t="str">
        <f t="shared" si="11"/>
        <v/>
      </c>
      <c r="L79" s="17" t="str">
        <f t="shared" si="12"/>
        <v/>
      </c>
    </row>
    <row r="80" spans="1:12">
      <c r="A80" s="17">
        <v>71</v>
      </c>
      <c r="B80" s="17">
        <v>2</v>
      </c>
      <c r="C80" s="17">
        <v>4</v>
      </c>
      <c r="D80" s="17" t="s">
        <v>143</v>
      </c>
      <c r="E80" s="17">
        <v>701.18299999999999</v>
      </c>
      <c r="F80" s="17">
        <f t="shared" si="13"/>
        <v>1.0299999999999727</v>
      </c>
      <c r="G80" s="19">
        <f t="shared" si="7"/>
        <v>701.35859866220744</v>
      </c>
      <c r="H80" s="19">
        <f t="shared" si="8"/>
        <v>703.91849263621862</v>
      </c>
      <c r="I80" s="19">
        <f t="shared" si="9"/>
        <v>3.1445532785234738</v>
      </c>
      <c r="J80" s="19">
        <f t="shared" si="10"/>
        <v>0.96252013422818306</v>
      </c>
      <c r="K80" s="17" t="str">
        <f t="shared" si="11"/>
        <v/>
      </c>
      <c r="L80" s="17" t="str">
        <f t="shared" si="12"/>
        <v/>
      </c>
    </row>
    <row r="81" spans="1:12">
      <c r="A81" s="17">
        <v>72</v>
      </c>
      <c r="B81" s="17">
        <v>2</v>
      </c>
      <c r="C81" s="17">
        <v>3</v>
      </c>
      <c r="D81" s="17" t="s">
        <v>144</v>
      </c>
      <c r="E81" s="17">
        <v>699.81299999999999</v>
      </c>
      <c r="F81" s="17">
        <f t="shared" si="13"/>
        <v>1.3700000000000045</v>
      </c>
      <c r="G81" s="19">
        <f t="shared" si="7"/>
        <v>701.35859866220744</v>
      </c>
      <c r="H81" s="19">
        <f t="shared" si="8"/>
        <v>703.91849263621862</v>
      </c>
      <c r="I81" s="19">
        <f t="shared" si="9"/>
        <v>3.1445532785234738</v>
      </c>
      <c r="J81" s="19">
        <f t="shared" si="10"/>
        <v>0.96252013422818306</v>
      </c>
      <c r="K81" s="17" t="str">
        <f t="shared" si="11"/>
        <v/>
      </c>
      <c r="L81" s="17" t="str">
        <f t="shared" si="12"/>
        <v/>
      </c>
    </row>
    <row r="82" spans="1:12">
      <c r="A82" s="17">
        <v>73</v>
      </c>
      <c r="B82" s="17">
        <v>2</v>
      </c>
      <c r="C82" s="17">
        <v>2</v>
      </c>
      <c r="D82" s="17" t="s">
        <v>145</v>
      </c>
      <c r="E82" s="17">
        <v>700.87099999999998</v>
      </c>
      <c r="F82" s="17">
        <f t="shared" si="13"/>
        <v>1.0579999999999927</v>
      </c>
      <c r="G82" s="19">
        <f t="shared" si="7"/>
        <v>701.35859866220744</v>
      </c>
      <c r="H82" s="19">
        <f t="shared" si="8"/>
        <v>703.91849263621862</v>
      </c>
      <c r="I82" s="19">
        <f t="shared" si="9"/>
        <v>3.1445532785234738</v>
      </c>
      <c r="J82" s="19">
        <f t="shared" si="10"/>
        <v>0.96252013422818306</v>
      </c>
      <c r="K82" s="17" t="str">
        <f t="shared" si="11"/>
        <v/>
      </c>
      <c r="L82" s="17" t="str">
        <f t="shared" si="12"/>
        <v/>
      </c>
    </row>
    <row r="83" spans="1:12">
      <c r="A83" s="17">
        <v>74</v>
      </c>
      <c r="B83" s="17">
        <v>2</v>
      </c>
      <c r="C83" s="17">
        <v>1</v>
      </c>
      <c r="D83" s="17" t="s">
        <v>146</v>
      </c>
      <c r="E83" s="17">
        <v>702.30499999999995</v>
      </c>
      <c r="F83" s="17">
        <f t="shared" si="13"/>
        <v>1.4339999999999691</v>
      </c>
      <c r="G83" s="19">
        <f t="shared" si="7"/>
        <v>701.35859866220744</v>
      </c>
      <c r="H83" s="19">
        <f t="shared" si="8"/>
        <v>703.91849263621862</v>
      </c>
      <c r="I83" s="19">
        <f t="shared" si="9"/>
        <v>3.1445532785234738</v>
      </c>
      <c r="J83" s="19">
        <f t="shared" si="10"/>
        <v>0.96252013422818306</v>
      </c>
      <c r="K83" s="17" t="str">
        <f t="shared" si="11"/>
        <v/>
      </c>
      <c r="L83" s="17" t="str">
        <f t="shared" si="12"/>
        <v/>
      </c>
    </row>
    <row r="84" spans="1:12">
      <c r="A84" s="17">
        <v>75</v>
      </c>
      <c r="B84" s="17">
        <v>2</v>
      </c>
      <c r="C84" s="17">
        <v>25</v>
      </c>
      <c r="D84" s="17" t="s">
        <v>147</v>
      </c>
      <c r="E84" s="17">
        <v>701.09400000000005</v>
      </c>
      <c r="F84" s="17">
        <f t="shared" si="13"/>
        <v>1.210999999999899</v>
      </c>
      <c r="G84" s="19">
        <f t="shared" si="7"/>
        <v>701.35859866220744</v>
      </c>
      <c r="H84" s="19">
        <f t="shared" si="8"/>
        <v>703.91849263621862</v>
      </c>
      <c r="I84" s="19">
        <f t="shared" si="9"/>
        <v>3.1445532785234738</v>
      </c>
      <c r="J84" s="19">
        <f t="shared" si="10"/>
        <v>0.96252013422818306</v>
      </c>
      <c r="K84" s="17" t="str">
        <f t="shared" si="11"/>
        <v/>
      </c>
      <c r="L84" s="17" t="str">
        <f t="shared" si="12"/>
        <v/>
      </c>
    </row>
    <row r="85" spans="1:12">
      <c r="A85" s="17">
        <v>76</v>
      </c>
      <c r="B85" s="17">
        <v>2</v>
      </c>
      <c r="C85" s="17">
        <v>24</v>
      </c>
      <c r="D85" s="17" t="s">
        <v>148</v>
      </c>
      <c r="E85" s="17">
        <v>700.16800000000001</v>
      </c>
      <c r="F85" s="17">
        <f t="shared" si="13"/>
        <v>0.92600000000004457</v>
      </c>
      <c r="G85" s="19">
        <f t="shared" si="7"/>
        <v>701.35859866220744</v>
      </c>
      <c r="H85" s="19">
        <f t="shared" si="8"/>
        <v>703.91849263621862</v>
      </c>
      <c r="I85" s="19">
        <f t="shared" si="9"/>
        <v>3.1445532785234738</v>
      </c>
      <c r="J85" s="19">
        <f t="shared" si="10"/>
        <v>0.96252013422818306</v>
      </c>
      <c r="K85" s="17" t="str">
        <f t="shared" si="11"/>
        <v/>
      </c>
      <c r="L85" s="17" t="str">
        <f t="shared" si="12"/>
        <v/>
      </c>
    </row>
    <row r="86" spans="1:12">
      <c r="A86" s="17">
        <v>77</v>
      </c>
      <c r="B86" s="17">
        <v>2</v>
      </c>
      <c r="C86" s="17">
        <v>23</v>
      </c>
      <c r="D86" s="17" t="s">
        <v>149</v>
      </c>
      <c r="E86" s="17">
        <v>700.43499999999995</v>
      </c>
      <c r="F86" s="17">
        <f t="shared" si="13"/>
        <v>0.26699999999993906</v>
      </c>
      <c r="G86" s="19">
        <f t="shared" si="7"/>
        <v>701.35859866220744</v>
      </c>
      <c r="H86" s="19">
        <f t="shared" si="8"/>
        <v>703.91849263621862</v>
      </c>
      <c r="I86" s="19">
        <f t="shared" si="9"/>
        <v>3.1445532785234738</v>
      </c>
      <c r="J86" s="19">
        <f t="shared" si="10"/>
        <v>0.96252013422818306</v>
      </c>
      <c r="K86" s="17" t="str">
        <f t="shared" si="11"/>
        <v/>
      </c>
      <c r="L86" s="17" t="str">
        <f t="shared" si="12"/>
        <v/>
      </c>
    </row>
    <row r="87" spans="1:12">
      <c r="A87" s="17">
        <v>78</v>
      </c>
      <c r="B87" s="17">
        <v>2</v>
      </c>
      <c r="C87" s="17">
        <v>22</v>
      </c>
      <c r="D87" s="17" t="s">
        <v>150</v>
      </c>
      <c r="E87" s="17">
        <v>700.18299999999999</v>
      </c>
      <c r="F87" s="17">
        <f t="shared" si="13"/>
        <v>0.25199999999995271</v>
      </c>
      <c r="G87" s="19">
        <f t="shared" si="7"/>
        <v>701.35859866220744</v>
      </c>
      <c r="H87" s="19">
        <f t="shared" si="8"/>
        <v>703.91849263621862</v>
      </c>
      <c r="I87" s="19">
        <f t="shared" si="9"/>
        <v>3.1445532785234738</v>
      </c>
      <c r="J87" s="19">
        <f t="shared" si="10"/>
        <v>0.96252013422818306</v>
      </c>
      <c r="K87" s="17" t="str">
        <f t="shared" si="11"/>
        <v/>
      </c>
      <c r="L87" s="17" t="str">
        <f t="shared" si="12"/>
        <v/>
      </c>
    </row>
    <row r="88" spans="1:12">
      <c r="A88" s="17">
        <v>79</v>
      </c>
      <c r="B88" s="17">
        <v>2</v>
      </c>
      <c r="C88" s="17">
        <v>21</v>
      </c>
      <c r="D88" s="17" t="s">
        <v>151</v>
      </c>
      <c r="E88" s="17">
        <v>701.15300000000002</v>
      </c>
      <c r="F88" s="17">
        <f t="shared" si="13"/>
        <v>0.97000000000002728</v>
      </c>
      <c r="G88" s="19">
        <f t="shared" si="7"/>
        <v>701.35859866220744</v>
      </c>
      <c r="H88" s="19">
        <f t="shared" si="8"/>
        <v>703.91849263621862</v>
      </c>
      <c r="I88" s="19">
        <f t="shared" si="9"/>
        <v>3.1445532785234738</v>
      </c>
      <c r="J88" s="19">
        <f t="shared" si="10"/>
        <v>0.96252013422818306</v>
      </c>
      <c r="K88" s="17" t="str">
        <f t="shared" si="11"/>
        <v/>
      </c>
      <c r="L88" s="17" t="str">
        <f t="shared" si="12"/>
        <v/>
      </c>
    </row>
    <row r="89" spans="1:12">
      <c r="A89" s="17">
        <v>80</v>
      </c>
      <c r="B89" s="17">
        <v>2</v>
      </c>
      <c r="C89" s="17">
        <v>20</v>
      </c>
      <c r="D89" s="17" t="s">
        <v>152</v>
      </c>
      <c r="E89" s="17">
        <v>701.1</v>
      </c>
      <c r="F89" s="17">
        <f t="shared" si="13"/>
        <v>5.2999999999997272E-2</v>
      </c>
      <c r="G89" s="19">
        <f t="shared" si="7"/>
        <v>701.35859866220744</v>
      </c>
      <c r="H89" s="19">
        <f t="shared" si="8"/>
        <v>703.91849263621862</v>
      </c>
      <c r="I89" s="19">
        <f t="shared" si="9"/>
        <v>3.1445532785234738</v>
      </c>
      <c r="J89" s="19">
        <f t="shared" si="10"/>
        <v>0.96252013422818306</v>
      </c>
      <c r="K89" s="17" t="str">
        <f t="shared" si="11"/>
        <v/>
      </c>
      <c r="L89" s="17" t="str">
        <f t="shared" si="12"/>
        <v/>
      </c>
    </row>
    <row r="90" spans="1:12">
      <c r="A90" s="17">
        <v>81</v>
      </c>
      <c r="B90" s="17">
        <v>2</v>
      </c>
      <c r="C90" s="17">
        <v>19</v>
      </c>
      <c r="D90" s="17" t="s">
        <v>153</v>
      </c>
      <c r="E90" s="17">
        <v>700.15899999999999</v>
      </c>
      <c r="F90" s="17">
        <f t="shared" si="13"/>
        <v>0.94100000000003092</v>
      </c>
      <c r="G90" s="19">
        <f t="shared" si="7"/>
        <v>701.35859866220744</v>
      </c>
      <c r="H90" s="19">
        <f t="shared" si="8"/>
        <v>703.91849263621862</v>
      </c>
      <c r="I90" s="19">
        <f t="shared" si="9"/>
        <v>3.1445532785234738</v>
      </c>
      <c r="J90" s="19">
        <f t="shared" si="10"/>
        <v>0.96252013422818306</v>
      </c>
      <c r="K90" s="17" t="str">
        <f t="shared" si="11"/>
        <v/>
      </c>
      <c r="L90" s="17" t="str">
        <f t="shared" si="12"/>
        <v/>
      </c>
    </row>
    <row r="91" spans="1:12">
      <c r="A91" s="17">
        <v>82</v>
      </c>
      <c r="B91" s="17">
        <v>2</v>
      </c>
      <c r="C91" s="17">
        <v>18</v>
      </c>
      <c r="D91" s="17" t="s">
        <v>154</v>
      </c>
      <c r="E91" s="17">
        <v>700.53</v>
      </c>
      <c r="F91" s="17">
        <f t="shared" si="13"/>
        <v>0.3709999999999809</v>
      </c>
      <c r="G91" s="19">
        <f t="shared" si="7"/>
        <v>701.35859866220744</v>
      </c>
      <c r="H91" s="19">
        <f t="shared" si="8"/>
        <v>703.91849263621862</v>
      </c>
      <c r="I91" s="19">
        <f t="shared" si="9"/>
        <v>3.1445532785234738</v>
      </c>
      <c r="J91" s="19">
        <f t="shared" si="10"/>
        <v>0.96252013422818306</v>
      </c>
      <c r="K91" s="17" t="str">
        <f t="shared" si="11"/>
        <v/>
      </c>
      <c r="L91" s="17" t="str">
        <f t="shared" si="12"/>
        <v/>
      </c>
    </row>
    <row r="92" spans="1:12">
      <c r="A92" s="17">
        <v>83</v>
      </c>
      <c r="B92" s="17">
        <v>2</v>
      </c>
      <c r="C92" s="17">
        <v>17</v>
      </c>
      <c r="D92" s="17" t="s">
        <v>155</v>
      </c>
      <c r="E92" s="17">
        <v>701.88699999999994</v>
      </c>
      <c r="F92" s="17">
        <f t="shared" si="13"/>
        <v>1.3569999999999709</v>
      </c>
      <c r="G92" s="19">
        <f t="shared" si="7"/>
        <v>701.35859866220744</v>
      </c>
      <c r="H92" s="19">
        <f t="shared" si="8"/>
        <v>703.91849263621862</v>
      </c>
      <c r="I92" s="19">
        <f t="shared" si="9"/>
        <v>3.1445532785234738</v>
      </c>
      <c r="J92" s="19">
        <f t="shared" si="10"/>
        <v>0.96252013422818306</v>
      </c>
      <c r="K92" s="17" t="str">
        <f t="shared" si="11"/>
        <v/>
      </c>
      <c r="L92" s="17" t="str">
        <f t="shared" si="12"/>
        <v/>
      </c>
    </row>
    <row r="93" spans="1:12">
      <c r="A93" s="17">
        <v>84</v>
      </c>
      <c r="B93" s="17">
        <v>2</v>
      </c>
      <c r="C93" s="17">
        <v>16</v>
      </c>
      <c r="D93" s="17" t="s">
        <v>156</v>
      </c>
      <c r="E93" s="17">
        <v>700.44</v>
      </c>
      <c r="F93" s="17">
        <f t="shared" si="13"/>
        <v>1.446999999999889</v>
      </c>
      <c r="G93" s="19">
        <f t="shared" si="7"/>
        <v>701.35859866220744</v>
      </c>
      <c r="H93" s="19">
        <f t="shared" si="8"/>
        <v>703.91849263621862</v>
      </c>
      <c r="I93" s="19">
        <f t="shared" si="9"/>
        <v>3.1445532785234738</v>
      </c>
      <c r="J93" s="19">
        <f t="shared" si="10"/>
        <v>0.96252013422818306</v>
      </c>
      <c r="K93" s="17" t="str">
        <f t="shared" si="11"/>
        <v/>
      </c>
      <c r="L93" s="17" t="str">
        <f t="shared" si="12"/>
        <v/>
      </c>
    </row>
    <row r="94" spans="1:12">
      <c r="A94" s="17">
        <v>85</v>
      </c>
      <c r="B94" s="17">
        <v>2</v>
      </c>
      <c r="C94" s="17">
        <v>15</v>
      </c>
      <c r="D94" s="17" t="s">
        <v>157</v>
      </c>
      <c r="E94" s="17">
        <v>701.08699999999999</v>
      </c>
      <c r="F94" s="17">
        <f t="shared" si="13"/>
        <v>0.64699999999993452</v>
      </c>
      <c r="G94" s="19">
        <f t="shared" si="7"/>
        <v>701.35859866220744</v>
      </c>
      <c r="H94" s="19">
        <f t="shared" si="8"/>
        <v>703.91849263621862</v>
      </c>
      <c r="I94" s="19">
        <f t="shared" si="9"/>
        <v>3.1445532785234738</v>
      </c>
      <c r="J94" s="19">
        <f t="shared" si="10"/>
        <v>0.96252013422818306</v>
      </c>
      <c r="K94" s="17" t="str">
        <f t="shared" si="11"/>
        <v/>
      </c>
      <c r="L94" s="17" t="str">
        <f t="shared" si="12"/>
        <v/>
      </c>
    </row>
    <row r="95" spans="1:12">
      <c r="A95" s="17">
        <v>86</v>
      </c>
      <c r="B95" s="17">
        <v>2</v>
      </c>
      <c r="C95" s="17">
        <v>14</v>
      </c>
      <c r="D95" s="17" t="s">
        <v>158</v>
      </c>
      <c r="E95" s="17">
        <v>700.12</v>
      </c>
      <c r="F95" s="17">
        <f t="shared" si="13"/>
        <v>0.96699999999998454</v>
      </c>
      <c r="G95" s="19">
        <f t="shared" si="7"/>
        <v>701.35859866220744</v>
      </c>
      <c r="H95" s="19">
        <f t="shared" si="8"/>
        <v>703.91849263621862</v>
      </c>
      <c r="I95" s="19">
        <f t="shared" si="9"/>
        <v>3.1445532785234738</v>
      </c>
      <c r="J95" s="19">
        <f t="shared" si="10"/>
        <v>0.96252013422818306</v>
      </c>
      <c r="K95" s="17" t="str">
        <f t="shared" si="11"/>
        <v/>
      </c>
      <c r="L95" s="17" t="str">
        <f t="shared" si="12"/>
        <v/>
      </c>
    </row>
    <row r="96" spans="1:12">
      <c r="A96" s="17">
        <v>87</v>
      </c>
      <c r="B96" s="17">
        <v>2</v>
      </c>
      <c r="C96" s="17">
        <v>13</v>
      </c>
      <c r="D96" s="17" t="s">
        <v>159</v>
      </c>
      <c r="E96" s="17">
        <v>700.10299999999995</v>
      </c>
      <c r="F96" s="17">
        <f t="shared" si="13"/>
        <v>1.7000000000052751E-2</v>
      </c>
      <c r="G96" s="19">
        <f t="shared" si="7"/>
        <v>701.35859866220744</v>
      </c>
      <c r="H96" s="19">
        <f t="shared" si="8"/>
        <v>703.91849263621862</v>
      </c>
      <c r="I96" s="19">
        <f t="shared" si="9"/>
        <v>3.1445532785234738</v>
      </c>
      <c r="J96" s="19">
        <f t="shared" si="10"/>
        <v>0.96252013422818306</v>
      </c>
      <c r="K96" s="17" t="str">
        <f t="shared" si="11"/>
        <v/>
      </c>
      <c r="L96" s="17" t="str">
        <f t="shared" si="12"/>
        <v/>
      </c>
    </row>
    <row r="97" spans="1:12">
      <c r="A97" s="17">
        <v>88</v>
      </c>
      <c r="B97" s="17">
        <v>2</v>
      </c>
      <c r="C97" s="17">
        <v>12</v>
      </c>
      <c r="D97" s="17" t="s">
        <v>160</v>
      </c>
      <c r="E97" s="17">
        <v>702.596</v>
      </c>
      <c r="F97" s="17">
        <f t="shared" si="13"/>
        <v>2.4930000000000518</v>
      </c>
      <c r="G97" s="19">
        <f t="shared" si="7"/>
        <v>701.35859866220744</v>
      </c>
      <c r="H97" s="19">
        <f t="shared" si="8"/>
        <v>703.91849263621862</v>
      </c>
      <c r="I97" s="19">
        <f t="shared" si="9"/>
        <v>3.1445532785234738</v>
      </c>
      <c r="J97" s="19">
        <f t="shared" si="10"/>
        <v>0.96252013422818306</v>
      </c>
      <c r="K97" s="17" t="str">
        <f t="shared" si="11"/>
        <v/>
      </c>
      <c r="L97" s="17" t="str">
        <f t="shared" si="12"/>
        <v/>
      </c>
    </row>
    <row r="98" spans="1:12">
      <c r="A98" s="17">
        <v>89</v>
      </c>
      <c r="B98" s="17">
        <v>2</v>
      </c>
      <c r="C98" s="17">
        <v>11</v>
      </c>
      <c r="D98" s="17" t="s">
        <v>161</v>
      </c>
      <c r="E98" s="17">
        <v>700.32100000000003</v>
      </c>
      <c r="F98" s="17">
        <f t="shared" si="13"/>
        <v>2.2749999999999773</v>
      </c>
      <c r="G98" s="19">
        <f t="shared" si="7"/>
        <v>701.35859866220744</v>
      </c>
      <c r="H98" s="19">
        <f t="shared" si="8"/>
        <v>703.91849263621862</v>
      </c>
      <c r="I98" s="19">
        <f t="shared" si="9"/>
        <v>3.1445532785234738</v>
      </c>
      <c r="J98" s="19">
        <f t="shared" si="10"/>
        <v>0.96252013422818306</v>
      </c>
      <c r="K98" s="17" t="str">
        <f t="shared" si="11"/>
        <v/>
      </c>
      <c r="L98" s="17" t="str">
        <f t="shared" si="12"/>
        <v/>
      </c>
    </row>
    <row r="99" spans="1:12">
      <c r="A99" s="17">
        <v>90</v>
      </c>
      <c r="B99" s="17">
        <v>2</v>
      </c>
      <c r="C99" s="17">
        <v>10</v>
      </c>
      <c r="D99" s="17" t="s">
        <v>162</v>
      </c>
      <c r="E99" s="17">
        <v>700.31799999999998</v>
      </c>
      <c r="F99" s="17">
        <f t="shared" si="13"/>
        <v>3.0000000000427463E-3</v>
      </c>
      <c r="G99" s="19">
        <f t="shared" si="7"/>
        <v>701.35859866220744</v>
      </c>
      <c r="H99" s="19">
        <f t="shared" si="8"/>
        <v>703.91849263621862</v>
      </c>
      <c r="I99" s="19">
        <f t="shared" si="9"/>
        <v>3.1445532785234738</v>
      </c>
      <c r="J99" s="19">
        <f t="shared" si="10"/>
        <v>0.96252013422818306</v>
      </c>
      <c r="K99" s="17" t="str">
        <f t="shared" si="11"/>
        <v/>
      </c>
      <c r="L99" s="17" t="str">
        <f t="shared" si="12"/>
        <v/>
      </c>
    </row>
    <row r="100" spans="1:12">
      <c r="A100" s="17">
        <v>91</v>
      </c>
      <c r="B100" s="17">
        <v>2</v>
      </c>
      <c r="C100" s="17">
        <v>9</v>
      </c>
      <c r="D100" s="17" t="s">
        <v>163</v>
      </c>
      <c r="E100" s="17">
        <v>699.86400000000003</v>
      </c>
      <c r="F100" s="17">
        <f t="shared" si="13"/>
        <v>0.45399999999995089</v>
      </c>
      <c r="G100" s="19">
        <f t="shared" si="7"/>
        <v>701.35859866220744</v>
      </c>
      <c r="H100" s="19">
        <f t="shared" si="8"/>
        <v>703.91849263621862</v>
      </c>
      <c r="I100" s="19">
        <f t="shared" si="9"/>
        <v>3.1445532785234738</v>
      </c>
      <c r="J100" s="19">
        <f t="shared" si="10"/>
        <v>0.96252013422818306</v>
      </c>
      <c r="K100" s="17" t="str">
        <f t="shared" si="11"/>
        <v/>
      </c>
      <c r="L100" s="17" t="str">
        <f t="shared" si="12"/>
        <v/>
      </c>
    </row>
    <row r="101" spans="1:12">
      <c r="A101" s="17">
        <v>92</v>
      </c>
      <c r="B101" s="17">
        <v>2</v>
      </c>
      <c r="C101" s="17">
        <v>8</v>
      </c>
      <c r="D101" s="17" t="s">
        <v>164</v>
      </c>
      <c r="E101" s="17">
        <v>700.19799999999998</v>
      </c>
      <c r="F101" s="17">
        <f t="shared" si="13"/>
        <v>0.33399999999994634</v>
      </c>
      <c r="G101" s="19">
        <f t="shared" si="7"/>
        <v>701.35859866220744</v>
      </c>
      <c r="H101" s="19">
        <f t="shared" si="8"/>
        <v>703.91849263621862</v>
      </c>
      <c r="I101" s="19">
        <f t="shared" si="9"/>
        <v>3.1445532785234738</v>
      </c>
      <c r="J101" s="19">
        <f t="shared" si="10"/>
        <v>0.96252013422818306</v>
      </c>
      <c r="K101" s="17" t="str">
        <f t="shared" si="11"/>
        <v/>
      </c>
      <c r="L101" s="17" t="str">
        <f t="shared" si="12"/>
        <v/>
      </c>
    </row>
    <row r="102" spans="1:12">
      <c r="A102" s="17">
        <v>93</v>
      </c>
      <c r="B102" s="17">
        <v>2</v>
      </c>
      <c r="C102" s="17">
        <v>7</v>
      </c>
      <c r="D102" s="17" t="s">
        <v>165</v>
      </c>
      <c r="E102" s="17">
        <v>701.09</v>
      </c>
      <c r="F102" s="17">
        <f t="shared" si="13"/>
        <v>0.89200000000005275</v>
      </c>
      <c r="G102" s="19">
        <f t="shared" si="7"/>
        <v>701.35859866220744</v>
      </c>
      <c r="H102" s="19">
        <f t="shared" si="8"/>
        <v>703.91849263621862</v>
      </c>
      <c r="I102" s="19">
        <f t="shared" si="9"/>
        <v>3.1445532785234738</v>
      </c>
      <c r="J102" s="19">
        <f t="shared" si="10"/>
        <v>0.96252013422818306</v>
      </c>
      <c r="K102" s="17" t="str">
        <f t="shared" si="11"/>
        <v/>
      </c>
      <c r="L102" s="17" t="str">
        <f t="shared" si="12"/>
        <v/>
      </c>
    </row>
    <row r="103" spans="1:12">
      <c r="A103" s="17">
        <v>94</v>
      </c>
      <c r="B103" s="17">
        <v>2</v>
      </c>
      <c r="C103" s="17">
        <v>6</v>
      </c>
      <c r="D103" s="17" t="s">
        <v>166</v>
      </c>
      <c r="E103" s="17">
        <v>702.21600000000001</v>
      </c>
      <c r="F103" s="17">
        <f t="shared" si="13"/>
        <v>1.1259999999999764</v>
      </c>
      <c r="G103" s="19">
        <f t="shared" si="7"/>
        <v>701.35859866220744</v>
      </c>
      <c r="H103" s="19">
        <f t="shared" si="8"/>
        <v>703.91849263621862</v>
      </c>
      <c r="I103" s="19">
        <f t="shared" si="9"/>
        <v>3.1445532785234738</v>
      </c>
      <c r="J103" s="19">
        <f t="shared" si="10"/>
        <v>0.96252013422818306</v>
      </c>
      <c r="K103" s="17" t="str">
        <f t="shared" si="11"/>
        <v/>
      </c>
      <c r="L103" s="17" t="str">
        <f t="shared" si="12"/>
        <v/>
      </c>
    </row>
    <row r="104" spans="1:12">
      <c r="A104" s="17">
        <v>95</v>
      </c>
      <c r="B104" s="17">
        <v>2</v>
      </c>
      <c r="C104" s="17">
        <v>5</v>
      </c>
      <c r="D104" s="17" t="s">
        <v>167</v>
      </c>
      <c r="E104" s="17">
        <v>700.66800000000001</v>
      </c>
      <c r="F104" s="17">
        <f t="shared" si="13"/>
        <v>1.5480000000000018</v>
      </c>
      <c r="G104" s="19">
        <f t="shared" si="7"/>
        <v>701.35859866220744</v>
      </c>
      <c r="H104" s="19">
        <f t="shared" si="8"/>
        <v>703.91849263621862</v>
      </c>
      <c r="I104" s="19">
        <f t="shared" si="9"/>
        <v>3.1445532785234738</v>
      </c>
      <c r="J104" s="19">
        <f t="shared" si="10"/>
        <v>0.96252013422818306</v>
      </c>
      <c r="K104" s="17" t="str">
        <f t="shared" si="11"/>
        <v/>
      </c>
      <c r="L104" s="17" t="str">
        <f t="shared" si="12"/>
        <v/>
      </c>
    </row>
    <row r="105" spans="1:12">
      <c r="A105" s="17">
        <v>96</v>
      </c>
      <c r="B105" s="17">
        <v>2</v>
      </c>
      <c r="C105" s="17">
        <v>4</v>
      </c>
      <c r="D105" s="17" t="s">
        <v>168</v>
      </c>
      <c r="E105" s="17">
        <v>701.24300000000005</v>
      </c>
      <c r="F105" s="17">
        <f t="shared" si="13"/>
        <v>0.57500000000004547</v>
      </c>
      <c r="G105" s="19">
        <f t="shared" si="7"/>
        <v>701.35859866220744</v>
      </c>
      <c r="H105" s="19">
        <f t="shared" si="8"/>
        <v>703.91849263621862</v>
      </c>
      <c r="I105" s="19">
        <f t="shared" si="9"/>
        <v>3.1445532785234738</v>
      </c>
      <c r="J105" s="19">
        <f t="shared" si="10"/>
        <v>0.96252013422818306</v>
      </c>
      <c r="K105" s="17" t="str">
        <f t="shared" si="11"/>
        <v/>
      </c>
      <c r="L105" s="17" t="str">
        <f t="shared" si="12"/>
        <v/>
      </c>
    </row>
    <row r="106" spans="1:12">
      <c r="A106" s="17">
        <v>97</v>
      </c>
      <c r="B106" s="17">
        <v>2</v>
      </c>
      <c r="C106" s="17">
        <v>3</v>
      </c>
      <c r="D106" s="17" t="s">
        <v>169</v>
      </c>
      <c r="E106" s="17">
        <v>702.04200000000003</v>
      </c>
      <c r="F106" s="17">
        <f t="shared" si="13"/>
        <v>0.79899999999997817</v>
      </c>
      <c r="G106" s="19">
        <f t="shared" si="7"/>
        <v>701.35859866220744</v>
      </c>
      <c r="H106" s="19">
        <f t="shared" si="8"/>
        <v>703.91849263621862</v>
      </c>
      <c r="I106" s="19">
        <f t="shared" si="9"/>
        <v>3.1445532785234738</v>
      </c>
      <c r="J106" s="19">
        <f t="shared" si="10"/>
        <v>0.96252013422818306</v>
      </c>
      <c r="K106" s="17" t="str">
        <f t="shared" si="11"/>
        <v/>
      </c>
      <c r="L106" s="17" t="str">
        <f t="shared" si="12"/>
        <v/>
      </c>
    </row>
    <row r="107" spans="1:12">
      <c r="A107" s="17">
        <v>98</v>
      </c>
      <c r="B107" s="17">
        <v>2</v>
      </c>
      <c r="C107" s="17">
        <v>2</v>
      </c>
      <c r="D107" s="17" t="s">
        <v>170</v>
      </c>
      <c r="E107" s="17">
        <v>700.75400000000002</v>
      </c>
      <c r="F107" s="17">
        <f t="shared" si="13"/>
        <v>1.2880000000000109</v>
      </c>
      <c r="G107" s="19">
        <f t="shared" si="7"/>
        <v>701.35859866220744</v>
      </c>
      <c r="H107" s="19">
        <f t="shared" si="8"/>
        <v>703.91849263621862</v>
      </c>
      <c r="I107" s="19">
        <f t="shared" si="9"/>
        <v>3.1445532785234738</v>
      </c>
      <c r="J107" s="19">
        <f t="shared" si="10"/>
        <v>0.96252013422818306</v>
      </c>
      <c r="K107" s="17" t="str">
        <f t="shared" si="11"/>
        <v/>
      </c>
      <c r="L107" s="17" t="str">
        <f t="shared" si="12"/>
        <v/>
      </c>
    </row>
    <row r="108" spans="1:12">
      <c r="A108" s="17">
        <v>99</v>
      </c>
      <c r="B108" s="17">
        <v>2</v>
      </c>
      <c r="C108" s="17">
        <v>1</v>
      </c>
      <c r="D108" s="17" t="s">
        <v>171</v>
      </c>
      <c r="E108" s="17">
        <v>702.64200000000005</v>
      </c>
      <c r="F108" s="17">
        <f t="shared" si="13"/>
        <v>1.8880000000000337</v>
      </c>
      <c r="G108" s="19">
        <f t="shared" si="7"/>
        <v>701.35859866220744</v>
      </c>
      <c r="H108" s="19">
        <f t="shared" si="8"/>
        <v>703.91849263621862</v>
      </c>
      <c r="I108" s="19">
        <f t="shared" si="9"/>
        <v>3.1445532785234738</v>
      </c>
      <c r="J108" s="19">
        <f t="shared" si="10"/>
        <v>0.96252013422818306</v>
      </c>
      <c r="K108" s="17" t="str">
        <f t="shared" si="11"/>
        <v/>
      </c>
      <c r="L108" s="17" t="str">
        <f t="shared" si="12"/>
        <v/>
      </c>
    </row>
    <row r="109" spans="1:12">
      <c r="A109" s="17">
        <v>100</v>
      </c>
      <c r="B109" s="17">
        <v>3</v>
      </c>
      <c r="C109" s="17">
        <v>25</v>
      </c>
      <c r="D109" s="17" t="s">
        <v>172</v>
      </c>
      <c r="E109" s="17">
        <v>701.61900000000003</v>
      </c>
      <c r="F109" s="17">
        <f t="shared" si="13"/>
        <v>1.0230000000000246</v>
      </c>
      <c r="G109" s="19">
        <f t="shared" si="7"/>
        <v>701.35859866220744</v>
      </c>
      <c r="H109" s="19">
        <f t="shared" si="8"/>
        <v>703.91849263621862</v>
      </c>
      <c r="I109" s="19">
        <f t="shared" si="9"/>
        <v>3.1445532785234738</v>
      </c>
      <c r="J109" s="19">
        <f t="shared" si="10"/>
        <v>0.96252013422818306</v>
      </c>
      <c r="K109" s="17" t="str">
        <f t="shared" si="11"/>
        <v/>
      </c>
      <c r="L109" s="17" t="str">
        <f t="shared" si="12"/>
        <v/>
      </c>
    </row>
    <row r="110" spans="1:12">
      <c r="A110" s="17">
        <v>101</v>
      </c>
      <c r="B110" s="17">
        <v>3</v>
      </c>
      <c r="C110" s="17">
        <v>24</v>
      </c>
      <c r="D110" s="17" t="s">
        <v>173</v>
      </c>
      <c r="E110" s="17">
        <v>701.38099999999997</v>
      </c>
      <c r="F110" s="17">
        <f t="shared" si="13"/>
        <v>0.23800000000005639</v>
      </c>
      <c r="G110" s="19">
        <f t="shared" si="7"/>
        <v>701.35859866220744</v>
      </c>
      <c r="H110" s="19">
        <f t="shared" si="8"/>
        <v>703.91849263621862</v>
      </c>
      <c r="I110" s="19">
        <f t="shared" si="9"/>
        <v>3.1445532785234738</v>
      </c>
      <c r="J110" s="19">
        <f t="shared" si="10"/>
        <v>0.96252013422818306</v>
      </c>
      <c r="K110" s="17" t="str">
        <f t="shared" si="11"/>
        <v/>
      </c>
      <c r="L110" s="17" t="str">
        <f t="shared" si="12"/>
        <v/>
      </c>
    </row>
    <row r="111" spans="1:12">
      <c r="A111" s="17">
        <v>102</v>
      </c>
      <c r="B111" s="17">
        <v>3</v>
      </c>
      <c r="C111" s="17">
        <v>23</v>
      </c>
      <c r="D111" s="17" t="s">
        <v>174</v>
      </c>
      <c r="E111" s="17">
        <v>702.67</v>
      </c>
      <c r="F111" s="17">
        <f t="shared" si="13"/>
        <v>1.2889999999999873</v>
      </c>
      <c r="G111" s="19">
        <f t="shared" si="7"/>
        <v>701.35859866220744</v>
      </c>
      <c r="H111" s="19">
        <f t="shared" si="8"/>
        <v>703.91849263621862</v>
      </c>
      <c r="I111" s="19">
        <f t="shared" si="9"/>
        <v>3.1445532785234738</v>
      </c>
      <c r="J111" s="19">
        <f t="shared" si="10"/>
        <v>0.96252013422818306</v>
      </c>
      <c r="K111" s="17" t="str">
        <f t="shared" si="11"/>
        <v/>
      </c>
      <c r="L111" s="17" t="str">
        <f t="shared" si="12"/>
        <v/>
      </c>
    </row>
    <row r="112" spans="1:12">
      <c r="A112" s="17">
        <v>103</v>
      </c>
      <c r="B112" s="17">
        <v>3</v>
      </c>
      <c r="C112" s="17">
        <v>22</v>
      </c>
      <c r="D112" s="17" t="s">
        <v>175</v>
      </c>
      <c r="E112" s="17">
        <v>702.572</v>
      </c>
      <c r="F112" s="17">
        <f t="shared" si="13"/>
        <v>9.7999999999956344E-2</v>
      </c>
      <c r="G112" s="19">
        <f t="shared" si="7"/>
        <v>701.35859866220744</v>
      </c>
      <c r="H112" s="19">
        <f t="shared" si="8"/>
        <v>703.91849263621862</v>
      </c>
      <c r="I112" s="19">
        <f t="shared" si="9"/>
        <v>3.1445532785234738</v>
      </c>
      <c r="J112" s="19">
        <f t="shared" si="10"/>
        <v>0.96252013422818306</v>
      </c>
      <c r="K112" s="17" t="str">
        <f t="shared" si="11"/>
        <v/>
      </c>
      <c r="L112" s="17" t="str">
        <f t="shared" si="12"/>
        <v/>
      </c>
    </row>
    <row r="113" spans="1:12">
      <c r="A113" s="17">
        <v>104</v>
      </c>
      <c r="B113" s="17">
        <v>3</v>
      </c>
      <c r="C113" s="17">
        <v>21</v>
      </c>
      <c r="D113" s="17" t="s">
        <v>176</v>
      </c>
      <c r="E113" s="17">
        <v>703.17</v>
      </c>
      <c r="F113" s="17">
        <f t="shared" si="13"/>
        <v>0.59799999999995634</v>
      </c>
      <c r="G113" s="19">
        <f t="shared" si="7"/>
        <v>701.35859866220744</v>
      </c>
      <c r="H113" s="19">
        <f t="shared" si="8"/>
        <v>703.91849263621862</v>
      </c>
      <c r="I113" s="19">
        <f t="shared" si="9"/>
        <v>3.1445532785234738</v>
      </c>
      <c r="J113" s="19">
        <f t="shared" si="10"/>
        <v>0.96252013422818306</v>
      </c>
      <c r="K113" s="17" t="str">
        <f t="shared" si="11"/>
        <v/>
      </c>
      <c r="L113" s="17" t="str">
        <f t="shared" si="12"/>
        <v/>
      </c>
    </row>
    <row r="114" spans="1:12">
      <c r="A114" s="17">
        <v>105</v>
      </c>
      <c r="B114" s="17">
        <v>3</v>
      </c>
      <c r="C114" s="17">
        <v>20</v>
      </c>
      <c r="D114" s="17" t="s">
        <v>177</v>
      </c>
      <c r="E114" s="17">
        <v>701.74699999999996</v>
      </c>
      <c r="F114" s="17">
        <f t="shared" si="13"/>
        <v>1.4230000000000018</v>
      </c>
      <c r="G114" s="19">
        <f t="shared" si="7"/>
        <v>701.35859866220744</v>
      </c>
      <c r="H114" s="19">
        <f t="shared" si="8"/>
        <v>703.91849263621862</v>
      </c>
      <c r="I114" s="19">
        <f t="shared" si="9"/>
        <v>3.1445532785234738</v>
      </c>
      <c r="J114" s="19">
        <f t="shared" si="10"/>
        <v>0.96252013422818306</v>
      </c>
      <c r="K114" s="17" t="str">
        <f t="shared" si="11"/>
        <v/>
      </c>
      <c r="L114" s="17" t="str">
        <f t="shared" si="12"/>
        <v/>
      </c>
    </row>
    <row r="115" spans="1:12">
      <c r="A115" s="17">
        <v>106</v>
      </c>
      <c r="B115" s="17">
        <v>3</v>
      </c>
      <c r="C115" s="17">
        <v>19</v>
      </c>
      <c r="D115" s="17" t="s">
        <v>178</v>
      </c>
      <c r="E115" s="17">
        <v>702.15899999999999</v>
      </c>
      <c r="F115" s="17">
        <f t="shared" si="13"/>
        <v>0.41200000000003456</v>
      </c>
      <c r="G115" s="19">
        <f t="shared" si="7"/>
        <v>701.35859866220744</v>
      </c>
      <c r="H115" s="19">
        <f t="shared" si="8"/>
        <v>703.91849263621862</v>
      </c>
      <c r="I115" s="19">
        <f t="shared" si="9"/>
        <v>3.1445532785234738</v>
      </c>
      <c r="J115" s="19">
        <f t="shared" si="10"/>
        <v>0.96252013422818306</v>
      </c>
      <c r="K115" s="17" t="str">
        <f t="shared" si="11"/>
        <v/>
      </c>
      <c r="L115" s="17" t="str">
        <f t="shared" si="12"/>
        <v/>
      </c>
    </row>
    <row r="116" spans="1:12">
      <c r="A116" s="17">
        <v>107</v>
      </c>
      <c r="B116" s="17">
        <v>3</v>
      </c>
      <c r="C116" s="17">
        <v>18</v>
      </c>
      <c r="D116" s="17" t="s">
        <v>179</v>
      </c>
      <c r="E116" s="17">
        <v>702.27599999999995</v>
      </c>
      <c r="F116" s="17">
        <f t="shared" si="13"/>
        <v>0.1169999999999618</v>
      </c>
      <c r="G116" s="19">
        <f t="shared" si="7"/>
        <v>701.35859866220744</v>
      </c>
      <c r="H116" s="19">
        <f t="shared" si="8"/>
        <v>703.91849263621862</v>
      </c>
      <c r="I116" s="19">
        <f t="shared" si="9"/>
        <v>3.1445532785234738</v>
      </c>
      <c r="J116" s="19">
        <f t="shared" si="10"/>
        <v>0.96252013422818306</v>
      </c>
      <c r="K116" s="17" t="str">
        <f t="shared" si="11"/>
        <v/>
      </c>
      <c r="L116" s="17" t="str">
        <f t="shared" si="12"/>
        <v/>
      </c>
    </row>
    <row r="117" spans="1:12">
      <c r="A117" s="17">
        <v>108</v>
      </c>
      <c r="B117" s="17">
        <v>3</v>
      </c>
      <c r="C117" s="17">
        <v>17</v>
      </c>
      <c r="D117" s="17" t="s">
        <v>180</v>
      </c>
      <c r="E117" s="17">
        <v>698.22500000000002</v>
      </c>
      <c r="F117" s="17">
        <f t="shared" si="13"/>
        <v>4.0509999999999309</v>
      </c>
      <c r="G117" s="19">
        <f t="shared" si="7"/>
        <v>701.35859866220744</v>
      </c>
      <c r="H117" s="19">
        <f t="shared" si="8"/>
        <v>703.91849263621862</v>
      </c>
      <c r="I117" s="19">
        <f t="shared" si="9"/>
        <v>3.1445532785234738</v>
      </c>
      <c r="J117" s="19">
        <f t="shared" si="10"/>
        <v>0.96252013422818306</v>
      </c>
      <c r="K117" s="17" t="str">
        <f t="shared" si="11"/>
        <v/>
      </c>
      <c r="L117" s="17" t="str">
        <f t="shared" si="12"/>
        <v/>
      </c>
    </row>
    <row r="118" spans="1:12">
      <c r="A118" s="17">
        <v>109</v>
      </c>
      <c r="B118" s="17">
        <v>3</v>
      </c>
      <c r="C118" s="17">
        <v>16</v>
      </c>
      <c r="D118" s="17" t="s">
        <v>181</v>
      </c>
      <c r="E118" s="17">
        <v>702.31200000000001</v>
      </c>
      <c r="F118" s="17">
        <f t="shared" si="13"/>
        <v>4.0869999999999891</v>
      </c>
      <c r="G118" s="19">
        <f t="shared" si="7"/>
        <v>701.35859866220744</v>
      </c>
      <c r="H118" s="19">
        <f t="shared" si="8"/>
        <v>703.91849263621862</v>
      </c>
      <c r="I118" s="19">
        <f t="shared" si="9"/>
        <v>3.1445532785234738</v>
      </c>
      <c r="J118" s="19">
        <f t="shared" si="10"/>
        <v>0.96252013422818306</v>
      </c>
      <c r="K118" s="17" t="str">
        <f t="shared" si="11"/>
        <v/>
      </c>
      <c r="L118" s="17" t="str">
        <f t="shared" si="12"/>
        <v/>
      </c>
    </row>
    <row r="119" spans="1:12">
      <c r="A119" s="17">
        <v>110</v>
      </c>
      <c r="B119" s="17">
        <v>3</v>
      </c>
      <c r="C119" s="17">
        <v>15</v>
      </c>
      <c r="D119" s="17" t="s">
        <v>182</v>
      </c>
      <c r="E119" s="17">
        <v>703.35400000000004</v>
      </c>
      <c r="F119" s="17">
        <f t="shared" si="13"/>
        <v>1.04200000000003</v>
      </c>
      <c r="G119" s="19">
        <f t="shared" si="7"/>
        <v>701.35859866220744</v>
      </c>
      <c r="H119" s="19">
        <f t="shared" si="8"/>
        <v>703.91849263621862</v>
      </c>
      <c r="I119" s="19">
        <f t="shared" si="9"/>
        <v>3.1445532785234738</v>
      </c>
      <c r="J119" s="19">
        <f t="shared" si="10"/>
        <v>0.96252013422818306</v>
      </c>
      <c r="K119" s="17" t="str">
        <f t="shared" si="11"/>
        <v/>
      </c>
      <c r="L119" s="17" t="str">
        <f t="shared" si="12"/>
        <v/>
      </c>
    </row>
    <row r="120" spans="1:12">
      <c r="A120" s="17">
        <v>111</v>
      </c>
      <c r="B120" s="17">
        <v>3</v>
      </c>
      <c r="C120" s="17">
        <v>14</v>
      </c>
      <c r="D120" s="17" t="s">
        <v>183</v>
      </c>
      <c r="E120" s="17">
        <v>702.14800000000002</v>
      </c>
      <c r="F120" s="17">
        <f t="shared" si="13"/>
        <v>1.2060000000000173</v>
      </c>
      <c r="G120" s="19">
        <f t="shared" si="7"/>
        <v>701.35859866220744</v>
      </c>
      <c r="H120" s="19">
        <f t="shared" si="8"/>
        <v>703.91849263621862</v>
      </c>
      <c r="I120" s="19">
        <f t="shared" si="9"/>
        <v>3.1445532785234738</v>
      </c>
      <c r="J120" s="19">
        <f t="shared" si="10"/>
        <v>0.96252013422818306</v>
      </c>
      <c r="K120" s="17" t="str">
        <f t="shared" si="11"/>
        <v/>
      </c>
      <c r="L120" s="17" t="str">
        <f t="shared" si="12"/>
        <v/>
      </c>
    </row>
    <row r="121" spans="1:12">
      <c r="A121" s="17">
        <v>112</v>
      </c>
      <c r="B121" s="17">
        <v>3</v>
      </c>
      <c r="C121" s="17">
        <v>13</v>
      </c>
      <c r="D121" s="17" t="s">
        <v>184</v>
      </c>
      <c r="E121" s="17">
        <v>701.80799999999999</v>
      </c>
      <c r="F121" s="17">
        <f t="shared" si="13"/>
        <v>0.34000000000003183</v>
      </c>
      <c r="G121" s="19">
        <f t="shared" si="7"/>
        <v>701.35859866220744</v>
      </c>
      <c r="H121" s="19">
        <f t="shared" si="8"/>
        <v>703.91849263621862</v>
      </c>
      <c r="I121" s="19">
        <f t="shared" si="9"/>
        <v>3.1445532785234738</v>
      </c>
      <c r="J121" s="19">
        <f t="shared" si="10"/>
        <v>0.96252013422818306</v>
      </c>
      <c r="K121" s="17" t="str">
        <f t="shared" si="11"/>
        <v/>
      </c>
      <c r="L121" s="17" t="str">
        <f t="shared" si="12"/>
        <v/>
      </c>
    </row>
    <row r="122" spans="1:12">
      <c r="A122" s="17">
        <v>113</v>
      </c>
      <c r="B122" s="17">
        <v>3</v>
      </c>
      <c r="C122" s="17">
        <v>12</v>
      </c>
      <c r="D122" s="17" t="s">
        <v>185</v>
      </c>
      <c r="E122" s="17">
        <v>700.57399999999996</v>
      </c>
      <c r="F122" s="17">
        <f t="shared" si="13"/>
        <v>1.2340000000000373</v>
      </c>
      <c r="G122" s="19">
        <f t="shared" si="7"/>
        <v>701.35859866220744</v>
      </c>
      <c r="H122" s="19">
        <f t="shared" si="8"/>
        <v>703.91849263621862</v>
      </c>
      <c r="I122" s="19">
        <f t="shared" si="9"/>
        <v>3.1445532785234738</v>
      </c>
      <c r="J122" s="19">
        <f t="shared" si="10"/>
        <v>0.96252013422818306</v>
      </c>
      <c r="K122" s="17" t="str">
        <f t="shared" si="11"/>
        <v/>
      </c>
      <c r="L122" s="17" t="str">
        <f t="shared" si="12"/>
        <v/>
      </c>
    </row>
    <row r="123" spans="1:12">
      <c r="A123" s="17">
        <v>114</v>
      </c>
      <c r="B123" s="17">
        <v>3</v>
      </c>
      <c r="C123" s="17">
        <v>11</v>
      </c>
      <c r="D123" s="17" t="s">
        <v>186</v>
      </c>
      <c r="E123" s="17">
        <v>700.03200000000004</v>
      </c>
      <c r="F123" s="17">
        <f t="shared" si="13"/>
        <v>0.54199999999991633</v>
      </c>
      <c r="G123" s="19">
        <f t="shared" si="7"/>
        <v>701.35859866220744</v>
      </c>
      <c r="H123" s="19">
        <f t="shared" si="8"/>
        <v>703.91849263621862</v>
      </c>
      <c r="I123" s="19">
        <f t="shared" si="9"/>
        <v>3.1445532785234738</v>
      </c>
      <c r="J123" s="19">
        <f t="shared" si="10"/>
        <v>0.96252013422818306</v>
      </c>
      <c r="K123" s="17" t="str">
        <f t="shared" si="11"/>
        <v/>
      </c>
      <c r="L123" s="17" t="str">
        <f t="shared" si="12"/>
        <v/>
      </c>
    </row>
    <row r="124" spans="1:12">
      <c r="A124" s="17">
        <v>115</v>
      </c>
      <c r="B124" s="17">
        <v>3</v>
      </c>
      <c r="C124" s="17">
        <v>10</v>
      </c>
      <c r="D124" s="17" t="s">
        <v>187</v>
      </c>
      <c r="E124" s="17">
        <v>703.14300000000003</v>
      </c>
      <c r="F124" s="17">
        <f t="shared" si="13"/>
        <v>3.11099999999999</v>
      </c>
      <c r="G124" s="19">
        <f t="shared" si="7"/>
        <v>701.35859866220744</v>
      </c>
      <c r="H124" s="19">
        <f t="shared" si="8"/>
        <v>703.91849263621862</v>
      </c>
      <c r="I124" s="19">
        <f t="shared" si="9"/>
        <v>3.1445532785234738</v>
      </c>
      <c r="J124" s="19">
        <f t="shared" si="10"/>
        <v>0.96252013422818306</v>
      </c>
      <c r="K124" s="17" t="str">
        <f t="shared" si="11"/>
        <v/>
      </c>
      <c r="L124" s="17" t="str">
        <f t="shared" si="12"/>
        <v/>
      </c>
    </row>
    <row r="125" spans="1:12">
      <c r="A125" s="17">
        <v>116</v>
      </c>
      <c r="B125" s="17">
        <v>3</v>
      </c>
      <c r="C125" s="17">
        <v>9</v>
      </c>
      <c r="D125" s="17" t="s">
        <v>188</v>
      </c>
      <c r="E125" s="17">
        <v>702.47900000000004</v>
      </c>
      <c r="F125" s="17">
        <f t="shared" si="13"/>
        <v>0.66399999999998727</v>
      </c>
      <c r="G125" s="19">
        <f t="shared" si="7"/>
        <v>701.35859866220744</v>
      </c>
      <c r="H125" s="19">
        <f t="shared" si="8"/>
        <v>703.91849263621862</v>
      </c>
      <c r="I125" s="19">
        <f t="shared" si="9"/>
        <v>3.1445532785234738</v>
      </c>
      <c r="J125" s="19">
        <f t="shared" si="10"/>
        <v>0.96252013422818306</v>
      </c>
      <c r="K125" s="17" t="str">
        <f t="shared" si="11"/>
        <v/>
      </c>
      <c r="L125" s="17" t="str">
        <f t="shared" si="12"/>
        <v/>
      </c>
    </row>
    <row r="126" spans="1:12">
      <c r="A126" s="17">
        <v>117</v>
      </c>
      <c r="B126" s="17">
        <v>3</v>
      </c>
      <c r="C126" s="17">
        <v>8</v>
      </c>
      <c r="D126" s="17" t="s">
        <v>189</v>
      </c>
      <c r="E126" s="17">
        <v>701.81100000000004</v>
      </c>
      <c r="F126" s="17">
        <f t="shared" si="13"/>
        <v>0.66800000000000637</v>
      </c>
      <c r="G126" s="19">
        <f t="shared" si="7"/>
        <v>701.35859866220744</v>
      </c>
      <c r="H126" s="19">
        <f t="shared" si="8"/>
        <v>703.91849263621862</v>
      </c>
      <c r="I126" s="19">
        <f t="shared" si="9"/>
        <v>3.1445532785234738</v>
      </c>
      <c r="J126" s="19">
        <f t="shared" si="10"/>
        <v>0.96252013422818306</v>
      </c>
      <c r="K126" s="17" t="str">
        <f t="shared" si="11"/>
        <v/>
      </c>
      <c r="L126" s="17" t="str">
        <f t="shared" si="12"/>
        <v/>
      </c>
    </row>
    <row r="127" spans="1:12">
      <c r="A127" s="17">
        <v>118</v>
      </c>
      <c r="B127" s="17">
        <v>3</v>
      </c>
      <c r="C127" s="17">
        <v>7</v>
      </c>
      <c r="D127" s="17" t="s">
        <v>190</v>
      </c>
      <c r="E127" s="17">
        <v>701.43499999999995</v>
      </c>
      <c r="F127" s="17">
        <f t="shared" si="13"/>
        <v>0.37600000000009004</v>
      </c>
      <c r="G127" s="19">
        <f t="shared" si="7"/>
        <v>701.35859866220744</v>
      </c>
      <c r="H127" s="19">
        <f t="shared" si="8"/>
        <v>703.91849263621862</v>
      </c>
      <c r="I127" s="19">
        <f t="shared" si="9"/>
        <v>3.1445532785234738</v>
      </c>
      <c r="J127" s="19">
        <f t="shared" si="10"/>
        <v>0.96252013422818306</v>
      </c>
      <c r="K127" s="17" t="str">
        <f t="shared" si="11"/>
        <v/>
      </c>
      <c r="L127" s="17" t="str">
        <f t="shared" si="12"/>
        <v/>
      </c>
    </row>
    <row r="128" spans="1:12">
      <c r="A128" s="17">
        <v>119</v>
      </c>
      <c r="B128" s="17">
        <v>3</v>
      </c>
      <c r="C128" s="17">
        <v>6</v>
      </c>
      <c r="D128" s="17" t="s">
        <v>191</v>
      </c>
      <c r="E128" s="17">
        <v>702.41300000000001</v>
      </c>
      <c r="F128" s="17">
        <f t="shared" si="13"/>
        <v>0.97800000000006548</v>
      </c>
      <c r="G128" s="19">
        <f t="shared" si="7"/>
        <v>701.35859866220744</v>
      </c>
      <c r="H128" s="19">
        <f t="shared" si="8"/>
        <v>703.91849263621862</v>
      </c>
      <c r="I128" s="19">
        <f t="shared" si="9"/>
        <v>3.1445532785234738</v>
      </c>
      <c r="J128" s="19">
        <f t="shared" si="10"/>
        <v>0.96252013422818306</v>
      </c>
      <c r="K128" s="17" t="str">
        <f t="shared" si="11"/>
        <v/>
      </c>
      <c r="L128" s="17" t="str">
        <f t="shared" si="12"/>
        <v/>
      </c>
    </row>
    <row r="129" spans="1:12">
      <c r="A129" s="17">
        <v>120</v>
      </c>
      <c r="B129" s="17">
        <v>3</v>
      </c>
      <c r="C129" s="17">
        <v>5</v>
      </c>
      <c r="D129" s="17" t="s">
        <v>192</v>
      </c>
      <c r="E129" s="17">
        <v>702.41899999999998</v>
      </c>
      <c r="F129" s="17">
        <f t="shared" si="13"/>
        <v>5.9999999999718057E-3</v>
      </c>
      <c r="G129" s="19">
        <f t="shared" si="7"/>
        <v>701.35859866220744</v>
      </c>
      <c r="H129" s="19">
        <f t="shared" si="8"/>
        <v>703.91849263621862</v>
      </c>
      <c r="I129" s="19">
        <f t="shared" si="9"/>
        <v>3.1445532785234738</v>
      </c>
      <c r="J129" s="19">
        <f t="shared" si="10"/>
        <v>0.96252013422818306</v>
      </c>
      <c r="K129" s="17" t="str">
        <f t="shared" si="11"/>
        <v/>
      </c>
      <c r="L129" s="17" t="str">
        <f t="shared" si="12"/>
        <v/>
      </c>
    </row>
    <row r="130" spans="1:12">
      <c r="A130" s="17">
        <v>121</v>
      </c>
      <c r="B130" s="17">
        <v>3</v>
      </c>
      <c r="C130" s="17">
        <v>4</v>
      </c>
      <c r="D130" s="17" t="s">
        <v>193</v>
      </c>
      <c r="E130" s="17">
        <v>702.22500000000002</v>
      </c>
      <c r="F130" s="17">
        <f t="shared" si="13"/>
        <v>0.19399999999995998</v>
      </c>
      <c r="G130" s="19">
        <f t="shared" si="7"/>
        <v>701.35859866220744</v>
      </c>
      <c r="H130" s="19">
        <f t="shared" si="8"/>
        <v>703.91849263621862</v>
      </c>
      <c r="I130" s="19">
        <f t="shared" si="9"/>
        <v>3.1445532785234738</v>
      </c>
      <c r="J130" s="19">
        <f t="shared" si="10"/>
        <v>0.96252013422818306</v>
      </c>
      <c r="K130" s="17" t="str">
        <f t="shared" si="11"/>
        <v/>
      </c>
      <c r="L130" s="17" t="str">
        <f t="shared" si="12"/>
        <v/>
      </c>
    </row>
    <row r="131" spans="1:12">
      <c r="A131" s="17">
        <v>122</v>
      </c>
      <c r="B131" s="17">
        <v>3</v>
      </c>
      <c r="C131" s="17">
        <v>3</v>
      </c>
      <c r="D131" s="17" t="s">
        <v>194</v>
      </c>
      <c r="E131" s="17">
        <v>702.48699999999997</v>
      </c>
      <c r="F131" s="17">
        <f t="shared" si="13"/>
        <v>0.26199999999994361</v>
      </c>
      <c r="G131" s="19">
        <f t="shared" si="7"/>
        <v>701.35859866220744</v>
      </c>
      <c r="H131" s="19">
        <f t="shared" si="8"/>
        <v>703.91849263621862</v>
      </c>
      <c r="I131" s="19">
        <f t="shared" si="9"/>
        <v>3.1445532785234738</v>
      </c>
      <c r="J131" s="19">
        <f t="shared" si="10"/>
        <v>0.96252013422818306</v>
      </c>
      <c r="K131" s="17" t="str">
        <f t="shared" si="11"/>
        <v/>
      </c>
      <c r="L131" s="17" t="str">
        <f t="shared" si="12"/>
        <v/>
      </c>
    </row>
    <row r="132" spans="1:12">
      <c r="A132" s="17">
        <v>123</v>
      </c>
      <c r="B132" s="17">
        <v>3</v>
      </c>
      <c r="C132" s="17">
        <v>2</v>
      </c>
      <c r="D132" s="17" t="s">
        <v>195</v>
      </c>
      <c r="E132" s="17">
        <v>702.33600000000001</v>
      </c>
      <c r="F132" s="17">
        <f t="shared" si="13"/>
        <v>0.15099999999995362</v>
      </c>
      <c r="G132" s="19">
        <f t="shared" si="7"/>
        <v>701.35859866220744</v>
      </c>
      <c r="H132" s="19">
        <f t="shared" si="8"/>
        <v>703.91849263621862</v>
      </c>
      <c r="I132" s="19">
        <f t="shared" si="9"/>
        <v>3.1445532785234738</v>
      </c>
      <c r="J132" s="19">
        <f t="shared" si="10"/>
        <v>0.96252013422818306</v>
      </c>
      <c r="K132" s="17" t="str">
        <f t="shared" si="11"/>
        <v/>
      </c>
      <c r="L132" s="17" t="str">
        <f t="shared" si="12"/>
        <v/>
      </c>
    </row>
    <row r="133" spans="1:12">
      <c r="A133" s="17">
        <v>124</v>
      </c>
      <c r="B133" s="17">
        <v>3</v>
      </c>
      <c r="C133" s="17">
        <v>1</v>
      </c>
      <c r="D133" s="17" t="s">
        <v>196</v>
      </c>
      <c r="E133" s="17">
        <v>702.10599999999999</v>
      </c>
      <c r="F133" s="17">
        <f t="shared" si="13"/>
        <v>0.23000000000001819</v>
      </c>
      <c r="G133" s="19">
        <f t="shared" si="7"/>
        <v>701.35859866220744</v>
      </c>
      <c r="H133" s="19">
        <f t="shared" si="8"/>
        <v>703.91849263621862</v>
      </c>
      <c r="I133" s="19">
        <f t="shared" si="9"/>
        <v>3.1445532785234738</v>
      </c>
      <c r="J133" s="19">
        <f t="shared" si="10"/>
        <v>0.96252013422818306</v>
      </c>
      <c r="K133" s="17" t="str">
        <f t="shared" si="11"/>
        <v/>
      </c>
      <c r="L133" s="17" t="str">
        <f t="shared" si="12"/>
        <v/>
      </c>
    </row>
    <row r="134" spans="1:12">
      <c r="A134" s="17">
        <v>125</v>
      </c>
      <c r="B134" s="17">
        <v>3</v>
      </c>
      <c r="C134" s="17">
        <v>25</v>
      </c>
      <c r="D134" s="17" t="s">
        <v>197</v>
      </c>
      <c r="E134" s="17">
        <v>701.57</v>
      </c>
      <c r="F134" s="17">
        <f t="shared" si="13"/>
        <v>0.53599999999994452</v>
      </c>
      <c r="G134" s="19">
        <f t="shared" si="7"/>
        <v>701.35859866220744</v>
      </c>
      <c r="H134" s="19">
        <f t="shared" si="8"/>
        <v>703.91849263621862</v>
      </c>
      <c r="I134" s="19">
        <f t="shared" si="9"/>
        <v>3.1445532785234738</v>
      </c>
      <c r="J134" s="19">
        <f t="shared" si="10"/>
        <v>0.96252013422818306</v>
      </c>
      <c r="K134" s="17" t="str">
        <f t="shared" si="11"/>
        <v/>
      </c>
      <c r="L134" s="17" t="str">
        <f t="shared" si="12"/>
        <v/>
      </c>
    </row>
    <row r="135" spans="1:12">
      <c r="A135" s="17">
        <v>126</v>
      </c>
      <c r="B135" s="17">
        <v>3</v>
      </c>
      <c r="C135" s="17">
        <v>24</v>
      </c>
      <c r="D135" s="17" t="s">
        <v>198</v>
      </c>
      <c r="E135" s="17">
        <v>700.649</v>
      </c>
      <c r="F135" s="17">
        <f t="shared" si="13"/>
        <v>0.92100000000004911</v>
      </c>
      <c r="G135" s="19">
        <f t="shared" si="7"/>
        <v>701.35859866220744</v>
      </c>
      <c r="H135" s="19">
        <f t="shared" si="8"/>
        <v>703.91849263621862</v>
      </c>
      <c r="I135" s="19">
        <f t="shared" si="9"/>
        <v>3.1445532785234738</v>
      </c>
      <c r="J135" s="19">
        <f t="shared" si="10"/>
        <v>0.96252013422818306</v>
      </c>
      <c r="K135" s="17" t="str">
        <f t="shared" si="11"/>
        <v/>
      </c>
      <c r="L135" s="17" t="str">
        <f t="shared" si="12"/>
        <v/>
      </c>
    </row>
    <row r="136" spans="1:12">
      <c r="A136" s="17">
        <v>127</v>
      </c>
      <c r="B136" s="17">
        <v>3</v>
      </c>
      <c r="C136" s="17">
        <v>23</v>
      </c>
      <c r="D136" s="17" t="s">
        <v>199</v>
      </c>
      <c r="E136" s="17">
        <v>703.19299999999998</v>
      </c>
      <c r="F136" s="17">
        <f t="shared" si="13"/>
        <v>2.5439999999999827</v>
      </c>
      <c r="G136" s="19">
        <f t="shared" si="7"/>
        <v>701.35859866220744</v>
      </c>
      <c r="H136" s="19">
        <f t="shared" si="8"/>
        <v>703.91849263621862</v>
      </c>
      <c r="I136" s="19">
        <f t="shared" si="9"/>
        <v>3.1445532785234738</v>
      </c>
      <c r="J136" s="19">
        <f t="shared" si="10"/>
        <v>0.96252013422818306</v>
      </c>
      <c r="K136" s="17" t="str">
        <f t="shared" si="11"/>
        <v/>
      </c>
      <c r="L136" s="17" t="str">
        <f t="shared" si="12"/>
        <v/>
      </c>
    </row>
    <row r="137" spans="1:12">
      <c r="A137" s="17">
        <v>128</v>
      </c>
      <c r="B137" s="17">
        <v>3</v>
      </c>
      <c r="C137" s="17">
        <v>22</v>
      </c>
      <c r="D137" s="17" t="s">
        <v>200</v>
      </c>
      <c r="E137" s="17">
        <v>702.42399999999998</v>
      </c>
      <c r="F137" s="17">
        <f t="shared" si="13"/>
        <v>0.76900000000000546</v>
      </c>
      <c r="G137" s="19">
        <f t="shared" si="7"/>
        <v>701.35859866220744</v>
      </c>
      <c r="H137" s="19">
        <f t="shared" si="8"/>
        <v>703.91849263621862</v>
      </c>
      <c r="I137" s="19">
        <f t="shared" si="9"/>
        <v>3.1445532785234738</v>
      </c>
      <c r="J137" s="19">
        <f t="shared" si="10"/>
        <v>0.96252013422818306</v>
      </c>
      <c r="K137" s="17" t="str">
        <f t="shared" si="11"/>
        <v/>
      </c>
      <c r="L137" s="17" t="str">
        <f t="shared" si="12"/>
        <v/>
      </c>
    </row>
    <row r="138" spans="1:12">
      <c r="A138" s="17">
        <v>129</v>
      </c>
      <c r="B138" s="17">
        <v>3</v>
      </c>
      <c r="C138" s="17">
        <v>21</v>
      </c>
      <c r="D138" s="17" t="s">
        <v>201</v>
      </c>
      <c r="E138" s="17">
        <v>703.19600000000003</v>
      </c>
      <c r="F138" s="17">
        <f t="shared" si="13"/>
        <v>0.7720000000000482</v>
      </c>
      <c r="G138" s="19">
        <f t="shared" ref="G138:G201" si="14">$Q$3</f>
        <v>701.35859866220744</v>
      </c>
      <c r="H138" s="19">
        <f t="shared" ref="H138:H201" si="15">$Q$6</f>
        <v>703.91849263621862</v>
      </c>
      <c r="I138" s="19">
        <f t="shared" ref="I138:I201" si="16">$Q$7</f>
        <v>3.1445532785234738</v>
      </c>
      <c r="J138" s="19">
        <f t="shared" ref="J138:J201" si="17">$Q$4</f>
        <v>0.96252013422818306</v>
      </c>
      <c r="K138" s="17" t="str">
        <f t="shared" ref="K138:K201" si="18">IF(E138&gt;$Q$6,"OOC","" )</f>
        <v/>
      </c>
      <c r="L138" s="17" t="str">
        <f t="shared" ref="L138:L201" si="19">IF(E138&gt;$B$3,"OOS","" )</f>
        <v/>
      </c>
    </row>
    <row r="139" spans="1:12">
      <c r="A139" s="17">
        <v>130</v>
      </c>
      <c r="B139" s="17">
        <v>3</v>
      </c>
      <c r="C139" s="17">
        <v>20</v>
      </c>
      <c r="D139" s="17" t="s">
        <v>202</v>
      </c>
      <c r="E139" s="17">
        <v>701.61800000000005</v>
      </c>
      <c r="F139" s="17">
        <f t="shared" ref="F139:F202" si="20">ABS(E139-E138)</f>
        <v>1.5779999999999745</v>
      </c>
      <c r="G139" s="19">
        <f t="shared" si="14"/>
        <v>701.35859866220744</v>
      </c>
      <c r="H139" s="19">
        <f t="shared" si="15"/>
        <v>703.91849263621862</v>
      </c>
      <c r="I139" s="19">
        <f t="shared" si="16"/>
        <v>3.1445532785234738</v>
      </c>
      <c r="J139" s="19">
        <f t="shared" si="17"/>
        <v>0.96252013422818306</v>
      </c>
      <c r="K139" s="17" t="str">
        <f t="shared" si="18"/>
        <v/>
      </c>
      <c r="L139" s="17" t="str">
        <f t="shared" si="19"/>
        <v/>
      </c>
    </row>
    <row r="140" spans="1:12">
      <c r="A140" s="17">
        <v>131</v>
      </c>
      <c r="B140" s="17">
        <v>3</v>
      </c>
      <c r="C140" s="17">
        <v>19</v>
      </c>
      <c r="D140" s="17" t="s">
        <v>203</v>
      </c>
      <c r="E140" s="17">
        <v>700.65300000000002</v>
      </c>
      <c r="F140" s="17">
        <f t="shared" si="20"/>
        <v>0.96500000000003183</v>
      </c>
      <c r="G140" s="19">
        <f t="shared" si="14"/>
        <v>701.35859866220744</v>
      </c>
      <c r="H140" s="19">
        <f t="shared" si="15"/>
        <v>703.91849263621862</v>
      </c>
      <c r="I140" s="19">
        <f t="shared" si="16"/>
        <v>3.1445532785234738</v>
      </c>
      <c r="J140" s="19">
        <f t="shared" si="17"/>
        <v>0.96252013422818306</v>
      </c>
      <c r="K140" s="17" t="str">
        <f t="shared" si="18"/>
        <v/>
      </c>
      <c r="L140" s="17" t="str">
        <f t="shared" si="19"/>
        <v/>
      </c>
    </row>
    <row r="141" spans="1:12">
      <c r="A141" s="17">
        <v>132</v>
      </c>
      <c r="B141" s="17">
        <v>3</v>
      </c>
      <c r="C141" s="17">
        <v>18</v>
      </c>
      <c r="D141" s="17" t="s">
        <v>204</v>
      </c>
      <c r="E141" s="17">
        <v>701.75599999999997</v>
      </c>
      <c r="F141" s="17">
        <f t="shared" si="20"/>
        <v>1.1029999999999518</v>
      </c>
      <c r="G141" s="19">
        <f t="shared" si="14"/>
        <v>701.35859866220744</v>
      </c>
      <c r="H141" s="19">
        <f t="shared" si="15"/>
        <v>703.91849263621862</v>
      </c>
      <c r="I141" s="19">
        <f t="shared" si="16"/>
        <v>3.1445532785234738</v>
      </c>
      <c r="J141" s="19">
        <f t="shared" si="17"/>
        <v>0.96252013422818306</v>
      </c>
      <c r="K141" s="17" t="str">
        <f t="shared" si="18"/>
        <v/>
      </c>
      <c r="L141" s="17" t="str">
        <f t="shared" si="19"/>
        <v/>
      </c>
    </row>
    <row r="142" spans="1:12">
      <c r="A142" s="17">
        <v>133</v>
      </c>
      <c r="B142" s="17">
        <v>3</v>
      </c>
      <c r="C142" s="17">
        <v>17</v>
      </c>
      <c r="D142" s="17" t="s">
        <v>205</v>
      </c>
      <c r="E142" s="17">
        <v>699.55200000000002</v>
      </c>
      <c r="F142" s="17">
        <f t="shared" si="20"/>
        <v>2.2039999999999509</v>
      </c>
      <c r="G142" s="19">
        <f t="shared" si="14"/>
        <v>701.35859866220744</v>
      </c>
      <c r="H142" s="19">
        <f t="shared" si="15"/>
        <v>703.91849263621862</v>
      </c>
      <c r="I142" s="19">
        <f t="shared" si="16"/>
        <v>3.1445532785234738</v>
      </c>
      <c r="J142" s="19">
        <f t="shared" si="17"/>
        <v>0.96252013422818306</v>
      </c>
      <c r="K142" s="17" t="str">
        <f t="shared" si="18"/>
        <v/>
      </c>
      <c r="L142" s="17" t="str">
        <f t="shared" si="19"/>
        <v/>
      </c>
    </row>
    <row r="143" spans="1:12">
      <c r="A143" s="17">
        <v>134</v>
      </c>
      <c r="B143" s="17">
        <v>3</v>
      </c>
      <c r="C143" s="17">
        <v>16</v>
      </c>
      <c r="D143" s="17" t="s">
        <v>206</v>
      </c>
      <c r="E143" s="17">
        <v>700.80600000000004</v>
      </c>
      <c r="F143" s="17">
        <f t="shared" si="20"/>
        <v>1.2540000000000191</v>
      </c>
      <c r="G143" s="19">
        <f t="shared" si="14"/>
        <v>701.35859866220744</v>
      </c>
      <c r="H143" s="19">
        <f t="shared" si="15"/>
        <v>703.91849263621862</v>
      </c>
      <c r="I143" s="19">
        <f t="shared" si="16"/>
        <v>3.1445532785234738</v>
      </c>
      <c r="J143" s="19">
        <f t="shared" si="17"/>
        <v>0.96252013422818306</v>
      </c>
      <c r="K143" s="17" t="str">
        <f t="shared" si="18"/>
        <v/>
      </c>
      <c r="L143" s="17" t="str">
        <f t="shared" si="19"/>
        <v/>
      </c>
    </row>
    <row r="144" spans="1:12">
      <c r="A144" s="17">
        <v>135</v>
      </c>
      <c r="B144" s="17">
        <v>3</v>
      </c>
      <c r="C144" s="17">
        <v>15</v>
      </c>
      <c r="D144" s="17" t="s">
        <v>207</v>
      </c>
      <c r="E144" s="17">
        <v>698.69200000000001</v>
      </c>
      <c r="F144" s="17">
        <f t="shared" si="20"/>
        <v>2.1140000000000327</v>
      </c>
      <c r="G144" s="19">
        <f t="shared" si="14"/>
        <v>701.35859866220744</v>
      </c>
      <c r="H144" s="19">
        <f t="shared" si="15"/>
        <v>703.91849263621862</v>
      </c>
      <c r="I144" s="19">
        <f t="shared" si="16"/>
        <v>3.1445532785234738</v>
      </c>
      <c r="J144" s="19">
        <f t="shared" si="17"/>
        <v>0.96252013422818306</v>
      </c>
      <c r="K144" s="17" t="str">
        <f t="shared" si="18"/>
        <v/>
      </c>
      <c r="L144" s="17" t="str">
        <f t="shared" si="19"/>
        <v/>
      </c>
    </row>
    <row r="145" spans="1:12">
      <c r="A145" s="17">
        <v>136</v>
      </c>
      <c r="B145" s="17">
        <v>3</v>
      </c>
      <c r="C145" s="17">
        <v>14</v>
      </c>
      <c r="D145" s="17" t="s">
        <v>208</v>
      </c>
      <c r="E145" s="17">
        <v>698.58799999999997</v>
      </c>
      <c r="F145" s="17">
        <f t="shared" si="20"/>
        <v>0.10400000000004184</v>
      </c>
      <c r="G145" s="19">
        <f t="shared" si="14"/>
        <v>701.35859866220744</v>
      </c>
      <c r="H145" s="19">
        <f t="shared" si="15"/>
        <v>703.91849263621862</v>
      </c>
      <c r="I145" s="19">
        <f t="shared" si="16"/>
        <v>3.1445532785234738</v>
      </c>
      <c r="J145" s="19">
        <f t="shared" si="17"/>
        <v>0.96252013422818306</v>
      </c>
      <c r="K145" s="17" t="str">
        <f t="shared" si="18"/>
        <v/>
      </c>
      <c r="L145" s="17" t="str">
        <f t="shared" si="19"/>
        <v/>
      </c>
    </row>
    <row r="146" spans="1:12">
      <c r="A146" s="17">
        <v>137</v>
      </c>
      <c r="B146" s="17">
        <v>3</v>
      </c>
      <c r="C146" s="17">
        <v>13</v>
      </c>
      <c r="D146" s="17" t="s">
        <v>209</v>
      </c>
      <c r="E146" s="17">
        <v>700.75199999999995</v>
      </c>
      <c r="F146" s="17">
        <f t="shared" si="20"/>
        <v>2.1639999999999873</v>
      </c>
      <c r="G146" s="19">
        <f t="shared" si="14"/>
        <v>701.35859866220744</v>
      </c>
      <c r="H146" s="19">
        <f t="shared" si="15"/>
        <v>703.91849263621862</v>
      </c>
      <c r="I146" s="19">
        <f t="shared" si="16"/>
        <v>3.1445532785234738</v>
      </c>
      <c r="J146" s="19">
        <f t="shared" si="17"/>
        <v>0.96252013422818306</v>
      </c>
      <c r="K146" s="17" t="str">
        <f t="shared" si="18"/>
        <v/>
      </c>
      <c r="L146" s="17" t="str">
        <f t="shared" si="19"/>
        <v/>
      </c>
    </row>
    <row r="147" spans="1:12">
      <c r="A147" s="17">
        <v>138</v>
      </c>
      <c r="B147" s="17">
        <v>3</v>
      </c>
      <c r="C147" s="17">
        <v>12</v>
      </c>
      <c r="D147" s="17" t="s">
        <v>210</v>
      </c>
      <c r="E147" s="17">
        <v>701.59</v>
      </c>
      <c r="F147" s="17">
        <f t="shared" si="20"/>
        <v>0.83800000000007913</v>
      </c>
      <c r="G147" s="19">
        <f t="shared" si="14"/>
        <v>701.35859866220744</v>
      </c>
      <c r="H147" s="19">
        <f t="shared" si="15"/>
        <v>703.91849263621862</v>
      </c>
      <c r="I147" s="19">
        <f t="shared" si="16"/>
        <v>3.1445532785234738</v>
      </c>
      <c r="J147" s="19">
        <f t="shared" si="17"/>
        <v>0.96252013422818306</v>
      </c>
      <c r="K147" s="17" t="str">
        <f t="shared" si="18"/>
        <v/>
      </c>
      <c r="L147" s="17" t="str">
        <f t="shared" si="19"/>
        <v/>
      </c>
    </row>
    <row r="148" spans="1:12">
      <c r="A148" s="17">
        <v>139</v>
      </c>
      <c r="B148" s="17">
        <v>3</v>
      </c>
      <c r="C148" s="17">
        <v>11</v>
      </c>
      <c r="D148" s="17" t="s">
        <v>211</v>
      </c>
      <c r="E148" s="17">
        <v>700.81700000000001</v>
      </c>
      <c r="F148" s="17">
        <f t="shared" si="20"/>
        <v>0.77300000000002456</v>
      </c>
      <c r="G148" s="19">
        <f t="shared" si="14"/>
        <v>701.35859866220744</v>
      </c>
      <c r="H148" s="19">
        <f t="shared" si="15"/>
        <v>703.91849263621862</v>
      </c>
      <c r="I148" s="19">
        <f t="shared" si="16"/>
        <v>3.1445532785234738</v>
      </c>
      <c r="J148" s="19">
        <f t="shared" si="17"/>
        <v>0.96252013422818306</v>
      </c>
      <c r="K148" s="17" t="str">
        <f t="shared" si="18"/>
        <v/>
      </c>
      <c r="L148" s="17" t="str">
        <f t="shared" si="19"/>
        <v/>
      </c>
    </row>
    <row r="149" spans="1:12">
      <c r="A149" s="17">
        <v>140</v>
      </c>
      <c r="B149" s="17">
        <v>3</v>
      </c>
      <c r="C149" s="17">
        <v>10</v>
      </c>
      <c r="D149" s="17" t="s">
        <v>212</v>
      </c>
      <c r="E149" s="17">
        <v>701.95100000000002</v>
      </c>
      <c r="F149" s="17">
        <f t="shared" si="20"/>
        <v>1.1340000000000146</v>
      </c>
      <c r="G149" s="19">
        <f t="shared" si="14"/>
        <v>701.35859866220744</v>
      </c>
      <c r="H149" s="19">
        <f t="shared" si="15"/>
        <v>703.91849263621862</v>
      </c>
      <c r="I149" s="19">
        <f t="shared" si="16"/>
        <v>3.1445532785234738</v>
      </c>
      <c r="J149" s="19">
        <f t="shared" si="17"/>
        <v>0.96252013422818306</v>
      </c>
      <c r="K149" s="17" t="str">
        <f t="shared" si="18"/>
        <v/>
      </c>
      <c r="L149" s="17" t="str">
        <f t="shared" si="19"/>
        <v/>
      </c>
    </row>
    <row r="150" spans="1:12">
      <c r="A150" s="17">
        <v>141</v>
      </c>
      <c r="B150" s="17">
        <v>3</v>
      </c>
      <c r="C150" s="17">
        <v>9</v>
      </c>
      <c r="D150" s="17" t="s">
        <v>213</v>
      </c>
      <c r="E150" s="17">
        <v>698.86099999999999</v>
      </c>
      <c r="F150" s="17">
        <f t="shared" si="20"/>
        <v>3.0900000000000318</v>
      </c>
      <c r="G150" s="19">
        <f t="shared" si="14"/>
        <v>701.35859866220744</v>
      </c>
      <c r="H150" s="19">
        <f t="shared" si="15"/>
        <v>703.91849263621862</v>
      </c>
      <c r="I150" s="19">
        <f t="shared" si="16"/>
        <v>3.1445532785234738</v>
      </c>
      <c r="J150" s="19">
        <f t="shared" si="17"/>
        <v>0.96252013422818306</v>
      </c>
      <c r="K150" s="17" t="str">
        <f t="shared" si="18"/>
        <v/>
      </c>
      <c r="L150" s="17" t="str">
        <f t="shared" si="19"/>
        <v/>
      </c>
    </row>
    <row r="151" spans="1:12">
      <c r="A151" s="17">
        <v>142</v>
      </c>
      <c r="B151" s="17">
        <v>3</v>
      </c>
      <c r="C151" s="17">
        <v>8</v>
      </c>
      <c r="D151" s="17" t="s">
        <v>214</v>
      </c>
      <c r="E151" s="17">
        <v>698.61599999999999</v>
      </c>
      <c r="F151" s="17">
        <f t="shared" si="20"/>
        <v>0.24500000000000455</v>
      </c>
      <c r="G151" s="19">
        <f t="shared" si="14"/>
        <v>701.35859866220744</v>
      </c>
      <c r="H151" s="19">
        <f t="shared" si="15"/>
        <v>703.91849263621862</v>
      </c>
      <c r="I151" s="19">
        <f t="shared" si="16"/>
        <v>3.1445532785234738</v>
      </c>
      <c r="J151" s="19">
        <f t="shared" si="17"/>
        <v>0.96252013422818306</v>
      </c>
      <c r="K151" s="17" t="str">
        <f t="shared" si="18"/>
        <v/>
      </c>
      <c r="L151" s="17" t="str">
        <f t="shared" si="19"/>
        <v/>
      </c>
    </row>
    <row r="152" spans="1:12">
      <c r="A152" s="17">
        <v>143</v>
      </c>
      <c r="B152" s="17">
        <v>3</v>
      </c>
      <c r="C152" s="17">
        <v>7</v>
      </c>
      <c r="D152" s="17" t="s">
        <v>215</v>
      </c>
      <c r="E152" s="17">
        <v>700.32</v>
      </c>
      <c r="F152" s="17">
        <f t="shared" si="20"/>
        <v>1.7040000000000646</v>
      </c>
      <c r="G152" s="19">
        <f t="shared" si="14"/>
        <v>701.35859866220744</v>
      </c>
      <c r="H152" s="19">
        <f t="shared" si="15"/>
        <v>703.91849263621862</v>
      </c>
      <c r="I152" s="19">
        <f t="shared" si="16"/>
        <v>3.1445532785234738</v>
      </c>
      <c r="J152" s="19">
        <f t="shared" si="17"/>
        <v>0.96252013422818306</v>
      </c>
      <c r="K152" s="17" t="str">
        <f t="shared" si="18"/>
        <v/>
      </c>
      <c r="L152" s="17" t="str">
        <f t="shared" si="19"/>
        <v/>
      </c>
    </row>
    <row r="153" spans="1:12">
      <c r="A153" s="17">
        <v>144</v>
      </c>
      <c r="B153" s="17">
        <v>3</v>
      </c>
      <c r="C153" s="17">
        <v>6</v>
      </c>
      <c r="D153" s="17" t="s">
        <v>216</v>
      </c>
      <c r="E153" s="17">
        <v>700.95</v>
      </c>
      <c r="F153" s="17">
        <f t="shared" si="20"/>
        <v>0.62999999999999545</v>
      </c>
      <c r="G153" s="19">
        <f t="shared" si="14"/>
        <v>701.35859866220744</v>
      </c>
      <c r="H153" s="19">
        <f t="shared" si="15"/>
        <v>703.91849263621862</v>
      </c>
      <c r="I153" s="19">
        <f t="shared" si="16"/>
        <v>3.1445532785234738</v>
      </c>
      <c r="J153" s="19">
        <f t="shared" si="17"/>
        <v>0.96252013422818306</v>
      </c>
      <c r="K153" s="17" t="str">
        <f t="shared" si="18"/>
        <v/>
      </c>
      <c r="L153" s="17" t="str">
        <f t="shared" si="19"/>
        <v/>
      </c>
    </row>
    <row r="154" spans="1:12">
      <c r="A154" s="17">
        <v>145</v>
      </c>
      <c r="B154" s="17">
        <v>3</v>
      </c>
      <c r="C154" s="17">
        <v>5</v>
      </c>
      <c r="D154" s="17" t="s">
        <v>217</v>
      </c>
      <c r="E154" s="17">
        <v>700.59799999999996</v>
      </c>
      <c r="F154" s="17">
        <f t="shared" si="20"/>
        <v>0.35200000000008913</v>
      </c>
      <c r="G154" s="19">
        <f t="shared" si="14"/>
        <v>701.35859866220744</v>
      </c>
      <c r="H154" s="19">
        <f t="shared" si="15"/>
        <v>703.91849263621862</v>
      </c>
      <c r="I154" s="19">
        <f t="shared" si="16"/>
        <v>3.1445532785234738</v>
      </c>
      <c r="J154" s="19">
        <f t="shared" si="17"/>
        <v>0.96252013422818306</v>
      </c>
      <c r="K154" s="17" t="str">
        <f t="shared" si="18"/>
        <v/>
      </c>
      <c r="L154" s="17" t="str">
        <f t="shared" si="19"/>
        <v/>
      </c>
    </row>
    <row r="155" spans="1:12">
      <c r="A155" s="17">
        <v>146</v>
      </c>
      <c r="B155" s="17">
        <v>3</v>
      </c>
      <c r="C155" s="17">
        <v>4</v>
      </c>
      <c r="D155" s="17" t="s">
        <v>218</v>
      </c>
      <c r="E155" s="17">
        <v>701.03599999999994</v>
      </c>
      <c r="F155" s="17">
        <f t="shared" si="20"/>
        <v>0.43799999999998818</v>
      </c>
      <c r="G155" s="19">
        <f t="shared" si="14"/>
        <v>701.35859866220744</v>
      </c>
      <c r="H155" s="19">
        <f t="shared" si="15"/>
        <v>703.91849263621862</v>
      </c>
      <c r="I155" s="19">
        <f t="shared" si="16"/>
        <v>3.1445532785234738</v>
      </c>
      <c r="J155" s="19">
        <f t="shared" si="17"/>
        <v>0.96252013422818306</v>
      </c>
      <c r="K155" s="17" t="str">
        <f t="shared" si="18"/>
        <v/>
      </c>
      <c r="L155" s="17" t="str">
        <f t="shared" si="19"/>
        <v/>
      </c>
    </row>
    <row r="156" spans="1:12">
      <c r="A156" s="17">
        <v>147</v>
      </c>
      <c r="B156" s="17">
        <v>3</v>
      </c>
      <c r="C156" s="17">
        <v>3</v>
      </c>
      <c r="D156" s="17" t="s">
        <v>219</v>
      </c>
      <c r="E156" s="17">
        <v>700.57799999999997</v>
      </c>
      <c r="F156" s="17">
        <f t="shared" si="20"/>
        <v>0.45799999999996999</v>
      </c>
      <c r="G156" s="19">
        <f t="shared" si="14"/>
        <v>701.35859866220744</v>
      </c>
      <c r="H156" s="19">
        <f t="shared" si="15"/>
        <v>703.91849263621862</v>
      </c>
      <c r="I156" s="19">
        <f t="shared" si="16"/>
        <v>3.1445532785234738</v>
      </c>
      <c r="J156" s="19">
        <f t="shared" si="17"/>
        <v>0.96252013422818306</v>
      </c>
      <c r="K156" s="17" t="str">
        <f t="shared" si="18"/>
        <v/>
      </c>
      <c r="L156" s="17" t="str">
        <f t="shared" si="19"/>
        <v/>
      </c>
    </row>
    <row r="157" spans="1:12">
      <c r="A157" s="17">
        <v>148</v>
      </c>
      <c r="B157" s="17">
        <v>3</v>
      </c>
      <c r="C157" s="17">
        <v>2</v>
      </c>
      <c r="D157" s="17" t="s">
        <v>220</v>
      </c>
      <c r="E157" s="17">
        <v>700.33100000000002</v>
      </c>
      <c r="F157" s="17">
        <f t="shared" si="20"/>
        <v>0.24699999999995725</v>
      </c>
      <c r="G157" s="19">
        <f t="shared" si="14"/>
        <v>701.35859866220744</v>
      </c>
      <c r="H157" s="19">
        <f t="shared" si="15"/>
        <v>703.91849263621862</v>
      </c>
      <c r="I157" s="19">
        <f t="shared" si="16"/>
        <v>3.1445532785234738</v>
      </c>
      <c r="J157" s="19">
        <f t="shared" si="17"/>
        <v>0.96252013422818306</v>
      </c>
      <c r="K157" s="17" t="str">
        <f t="shared" si="18"/>
        <v/>
      </c>
      <c r="L157" s="17" t="str">
        <f t="shared" si="19"/>
        <v/>
      </c>
    </row>
    <row r="158" spans="1:12">
      <c r="A158" s="17">
        <v>149</v>
      </c>
      <c r="B158" s="17">
        <v>3</v>
      </c>
      <c r="C158" s="17">
        <v>1</v>
      </c>
      <c r="D158" s="17" t="s">
        <v>221</v>
      </c>
      <c r="E158" s="17">
        <v>699.95100000000002</v>
      </c>
      <c r="F158" s="17">
        <f t="shared" si="20"/>
        <v>0.37999999999999545</v>
      </c>
      <c r="G158" s="19">
        <f t="shared" si="14"/>
        <v>701.35859866220744</v>
      </c>
      <c r="H158" s="19">
        <f t="shared" si="15"/>
        <v>703.91849263621862</v>
      </c>
      <c r="I158" s="19">
        <f t="shared" si="16"/>
        <v>3.1445532785234738</v>
      </c>
      <c r="J158" s="19">
        <f t="shared" si="17"/>
        <v>0.96252013422818306</v>
      </c>
      <c r="K158" s="17" t="str">
        <f t="shared" si="18"/>
        <v/>
      </c>
      <c r="L158" s="17" t="str">
        <f t="shared" si="19"/>
        <v/>
      </c>
    </row>
    <row r="159" spans="1:12">
      <c r="A159" s="17">
        <v>150</v>
      </c>
      <c r="B159" s="17">
        <v>4</v>
      </c>
      <c r="C159" s="17">
        <v>25</v>
      </c>
      <c r="D159" s="17" t="s">
        <v>222</v>
      </c>
      <c r="E159" s="17">
        <v>703.66</v>
      </c>
      <c r="F159" s="17">
        <f t="shared" si="20"/>
        <v>3.7089999999999463</v>
      </c>
      <c r="G159" s="19">
        <f t="shared" si="14"/>
        <v>701.35859866220744</v>
      </c>
      <c r="H159" s="19">
        <f t="shared" si="15"/>
        <v>703.91849263621862</v>
      </c>
      <c r="I159" s="19">
        <f t="shared" si="16"/>
        <v>3.1445532785234738</v>
      </c>
      <c r="J159" s="19">
        <f t="shared" si="17"/>
        <v>0.96252013422818306</v>
      </c>
      <c r="K159" s="17" t="str">
        <f t="shared" si="18"/>
        <v/>
      </c>
      <c r="L159" s="17" t="str">
        <f t="shared" si="19"/>
        <v/>
      </c>
    </row>
    <row r="160" spans="1:12">
      <c r="A160" s="17">
        <v>151</v>
      </c>
      <c r="B160" s="17">
        <v>4</v>
      </c>
      <c r="C160" s="17">
        <v>24</v>
      </c>
      <c r="D160" s="17" t="s">
        <v>223</v>
      </c>
      <c r="E160" s="17">
        <v>702.49699999999996</v>
      </c>
      <c r="F160" s="17">
        <f t="shared" si="20"/>
        <v>1.1630000000000109</v>
      </c>
      <c r="G160" s="19">
        <f t="shared" si="14"/>
        <v>701.35859866220744</v>
      </c>
      <c r="H160" s="19">
        <f t="shared" si="15"/>
        <v>703.91849263621862</v>
      </c>
      <c r="I160" s="19">
        <f t="shared" si="16"/>
        <v>3.1445532785234738</v>
      </c>
      <c r="J160" s="19">
        <f t="shared" si="17"/>
        <v>0.96252013422818306</v>
      </c>
      <c r="K160" s="17" t="str">
        <f t="shared" si="18"/>
        <v/>
      </c>
      <c r="L160" s="17" t="str">
        <f t="shared" si="19"/>
        <v/>
      </c>
    </row>
    <row r="161" spans="1:12">
      <c r="A161" s="17">
        <v>152</v>
      </c>
      <c r="B161" s="17">
        <v>4</v>
      </c>
      <c r="C161" s="17">
        <v>23</v>
      </c>
      <c r="D161" s="17" t="s">
        <v>224</v>
      </c>
      <c r="E161" s="17">
        <v>702.70699999999999</v>
      </c>
      <c r="F161" s="17">
        <f t="shared" si="20"/>
        <v>0.21000000000003638</v>
      </c>
      <c r="G161" s="19">
        <f t="shared" si="14"/>
        <v>701.35859866220744</v>
      </c>
      <c r="H161" s="19">
        <f t="shared" si="15"/>
        <v>703.91849263621862</v>
      </c>
      <c r="I161" s="19">
        <f t="shared" si="16"/>
        <v>3.1445532785234738</v>
      </c>
      <c r="J161" s="19">
        <f t="shared" si="17"/>
        <v>0.96252013422818306</v>
      </c>
      <c r="K161" s="17" t="str">
        <f t="shared" si="18"/>
        <v/>
      </c>
      <c r="L161" s="17" t="str">
        <f t="shared" si="19"/>
        <v/>
      </c>
    </row>
    <row r="162" spans="1:12">
      <c r="A162" s="17">
        <v>153</v>
      </c>
      <c r="B162" s="17">
        <v>4</v>
      </c>
      <c r="C162" s="17">
        <v>22</v>
      </c>
      <c r="D162" s="17" t="s">
        <v>225</v>
      </c>
      <c r="E162" s="17">
        <v>701.64800000000002</v>
      </c>
      <c r="F162" s="17">
        <f t="shared" si="20"/>
        <v>1.0589999999999691</v>
      </c>
      <c r="G162" s="19">
        <f t="shared" si="14"/>
        <v>701.35859866220744</v>
      </c>
      <c r="H162" s="19">
        <f t="shared" si="15"/>
        <v>703.91849263621862</v>
      </c>
      <c r="I162" s="19">
        <f t="shared" si="16"/>
        <v>3.1445532785234738</v>
      </c>
      <c r="J162" s="19">
        <f t="shared" si="17"/>
        <v>0.96252013422818306</v>
      </c>
      <c r="K162" s="17" t="str">
        <f t="shared" si="18"/>
        <v/>
      </c>
      <c r="L162" s="17" t="str">
        <f t="shared" si="19"/>
        <v/>
      </c>
    </row>
    <row r="163" spans="1:12">
      <c r="A163" s="17">
        <v>154</v>
      </c>
      <c r="B163" s="17">
        <v>4</v>
      </c>
      <c r="C163" s="17">
        <v>21</v>
      </c>
      <c r="D163" s="17" t="s">
        <v>226</v>
      </c>
      <c r="E163" s="17">
        <v>702.67399999999998</v>
      </c>
      <c r="F163" s="17">
        <f t="shared" si="20"/>
        <v>1.0259999999999536</v>
      </c>
      <c r="G163" s="19">
        <f t="shared" si="14"/>
        <v>701.35859866220744</v>
      </c>
      <c r="H163" s="19">
        <f t="shared" si="15"/>
        <v>703.91849263621862</v>
      </c>
      <c r="I163" s="19">
        <f t="shared" si="16"/>
        <v>3.1445532785234738</v>
      </c>
      <c r="J163" s="19">
        <f t="shared" si="17"/>
        <v>0.96252013422818306</v>
      </c>
      <c r="K163" s="17" t="str">
        <f t="shared" si="18"/>
        <v/>
      </c>
      <c r="L163" s="17" t="str">
        <f t="shared" si="19"/>
        <v/>
      </c>
    </row>
    <row r="164" spans="1:12">
      <c r="A164" s="17">
        <v>155</v>
      </c>
      <c r="B164" s="17">
        <v>4</v>
      </c>
      <c r="C164" s="17">
        <v>20</v>
      </c>
      <c r="D164" s="17" t="s">
        <v>227</v>
      </c>
      <c r="E164" s="17">
        <v>702.68899999999996</v>
      </c>
      <c r="F164" s="17">
        <f t="shared" si="20"/>
        <v>1.4999999999986358E-2</v>
      </c>
      <c r="G164" s="19">
        <f t="shared" si="14"/>
        <v>701.35859866220744</v>
      </c>
      <c r="H164" s="19">
        <f t="shared" si="15"/>
        <v>703.91849263621862</v>
      </c>
      <c r="I164" s="19">
        <f t="shared" si="16"/>
        <v>3.1445532785234738</v>
      </c>
      <c r="J164" s="19">
        <f t="shared" si="17"/>
        <v>0.96252013422818306</v>
      </c>
      <c r="K164" s="17" t="str">
        <f t="shared" si="18"/>
        <v/>
      </c>
      <c r="L164" s="17" t="str">
        <f t="shared" si="19"/>
        <v/>
      </c>
    </row>
    <row r="165" spans="1:12">
      <c r="A165" s="17">
        <v>156</v>
      </c>
      <c r="B165" s="17">
        <v>4</v>
      </c>
      <c r="C165" s="17">
        <v>19</v>
      </c>
      <c r="D165" s="17" t="s">
        <v>228</v>
      </c>
      <c r="E165" s="17">
        <v>702.85799999999995</v>
      </c>
      <c r="F165" s="17">
        <f t="shared" si="20"/>
        <v>0.16899999999998272</v>
      </c>
      <c r="G165" s="19">
        <f t="shared" si="14"/>
        <v>701.35859866220744</v>
      </c>
      <c r="H165" s="19">
        <f t="shared" si="15"/>
        <v>703.91849263621862</v>
      </c>
      <c r="I165" s="19">
        <f t="shared" si="16"/>
        <v>3.1445532785234738</v>
      </c>
      <c r="J165" s="19">
        <f t="shared" si="17"/>
        <v>0.96252013422818306</v>
      </c>
      <c r="K165" s="17" t="str">
        <f t="shared" si="18"/>
        <v/>
      </c>
      <c r="L165" s="17" t="str">
        <f t="shared" si="19"/>
        <v/>
      </c>
    </row>
    <row r="166" spans="1:12">
      <c r="A166" s="17">
        <v>157</v>
      </c>
      <c r="B166" s="17">
        <v>4</v>
      </c>
      <c r="C166" s="17">
        <v>18</v>
      </c>
      <c r="D166" s="17" t="s">
        <v>229</v>
      </c>
      <c r="E166" s="17">
        <v>702.33500000000004</v>
      </c>
      <c r="F166" s="17">
        <f t="shared" si="20"/>
        <v>0.52299999999991087</v>
      </c>
      <c r="G166" s="19">
        <f t="shared" si="14"/>
        <v>701.35859866220744</v>
      </c>
      <c r="H166" s="19">
        <f t="shared" si="15"/>
        <v>703.91849263621862</v>
      </c>
      <c r="I166" s="19">
        <f t="shared" si="16"/>
        <v>3.1445532785234738</v>
      </c>
      <c r="J166" s="19">
        <f t="shared" si="17"/>
        <v>0.96252013422818306</v>
      </c>
      <c r="K166" s="17" t="str">
        <f t="shared" si="18"/>
        <v/>
      </c>
      <c r="L166" s="17" t="str">
        <f t="shared" si="19"/>
        <v/>
      </c>
    </row>
    <row r="167" spans="1:12">
      <c r="A167" s="17">
        <v>158</v>
      </c>
      <c r="B167" s="17">
        <v>4</v>
      </c>
      <c r="C167" s="17">
        <v>17</v>
      </c>
      <c r="D167" s="17" t="s">
        <v>230</v>
      </c>
      <c r="E167" s="17">
        <v>701.62300000000005</v>
      </c>
      <c r="F167" s="17">
        <f t="shared" si="20"/>
        <v>0.71199999999998909</v>
      </c>
      <c r="G167" s="19">
        <f t="shared" si="14"/>
        <v>701.35859866220744</v>
      </c>
      <c r="H167" s="19">
        <f t="shared" si="15"/>
        <v>703.91849263621862</v>
      </c>
      <c r="I167" s="19">
        <f t="shared" si="16"/>
        <v>3.1445532785234738</v>
      </c>
      <c r="J167" s="19">
        <f t="shared" si="17"/>
        <v>0.96252013422818306</v>
      </c>
      <c r="K167" s="17" t="str">
        <f t="shared" si="18"/>
        <v/>
      </c>
      <c r="L167" s="17" t="str">
        <f t="shared" si="19"/>
        <v/>
      </c>
    </row>
    <row r="168" spans="1:12">
      <c r="A168" s="17">
        <v>159</v>
      </c>
      <c r="B168" s="17">
        <v>4</v>
      </c>
      <c r="C168" s="17">
        <v>16</v>
      </c>
      <c r="D168" s="17" t="s">
        <v>231</v>
      </c>
      <c r="E168" s="17">
        <v>702.71100000000001</v>
      </c>
      <c r="F168" s="17">
        <f t="shared" si="20"/>
        <v>1.0879999999999654</v>
      </c>
      <c r="G168" s="19">
        <f t="shared" si="14"/>
        <v>701.35859866220744</v>
      </c>
      <c r="H168" s="19">
        <f t="shared" si="15"/>
        <v>703.91849263621862</v>
      </c>
      <c r="I168" s="19">
        <f t="shared" si="16"/>
        <v>3.1445532785234738</v>
      </c>
      <c r="J168" s="19">
        <f t="shared" si="17"/>
        <v>0.96252013422818306</v>
      </c>
      <c r="K168" s="17" t="str">
        <f t="shared" si="18"/>
        <v/>
      </c>
      <c r="L168" s="17" t="str">
        <f t="shared" si="19"/>
        <v/>
      </c>
    </row>
    <row r="169" spans="1:12">
      <c r="A169" s="17">
        <v>160</v>
      </c>
      <c r="B169" s="17">
        <v>4</v>
      </c>
      <c r="C169" s="17">
        <v>15</v>
      </c>
      <c r="D169" s="17" t="s">
        <v>232</v>
      </c>
      <c r="E169" s="17">
        <v>701.61500000000001</v>
      </c>
      <c r="F169" s="17">
        <f t="shared" si="20"/>
        <v>1.0960000000000036</v>
      </c>
      <c r="G169" s="19">
        <f t="shared" si="14"/>
        <v>701.35859866220744</v>
      </c>
      <c r="H169" s="19">
        <f t="shared" si="15"/>
        <v>703.91849263621862</v>
      </c>
      <c r="I169" s="19">
        <f t="shared" si="16"/>
        <v>3.1445532785234738</v>
      </c>
      <c r="J169" s="19">
        <f t="shared" si="17"/>
        <v>0.96252013422818306</v>
      </c>
      <c r="K169" s="17" t="str">
        <f t="shared" si="18"/>
        <v/>
      </c>
      <c r="L169" s="17" t="str">
        <f t="shared" si="19"/>
        <v/>
      </c>
    </row>
    <row r="170" spans="1:12">
      <c r="A170" s="17">
        <v>161</v>
      </c>
      <c r="B170" s="17">
        <v>4</v>
      </c>
      <c r="C170" s="17">
        <v>14</v>
      </c>
      <c r="D170" s="17" t="s">
        <v>233</v>
      </c>
      <c r="E170" s="17">
        <v>702.47199999999998</v>
      </c>
      <c r="F170" s="17">
        <f t="shared" si="20"/>
        <v>0.8569999999999709</v>
      </c>
      <c r="G170" s="19">
        <f t="shared" si="14"/>
        <v>701.35859866220744</v>
      </c>
      <c r="H170" s="19">
        <f t="shared" si="15"/>
        <v>703.91849263621862</v>
      </c>
      <c r="I170" s="19">
        <f t="shared" si="16"/>
        <v>3.1445532785234738</v>
      </c>
      <c r="J170" s="19">
        <f t="shared" si="17"/>
        <v>0.96252013422818306</v>
      </c>
      <c r="K170" s="17" t="str">
        <f t="shared" si="18"/>
        <v/>
      </c>
      <c r="L170" s="17" t="str">
        <f t="shared" si="19"/>
        <v/>
      </c>
    </row>
    <row r="171" spans="1:12">
      <c r="A171" s="17">
        <v>162</v>
      </c>
      <c r="B171" s="17">
        <v>4</v>
      </c>
      <c r="C171" s="17">
        <v>13</v>
      </c>
      <c r="D171" s="17" t="s">
        <v>234</v>
      </c>
      <c r="E171" s="17">
        <v>702.495</v>
      </c>
      <c r="F171" s="17">
        <f t="shared" si="20"/>
        <v>2.3000000000024556E-2</v>
      </c>
      <c r="G171" s="19">
        <f t="shared" si="14"/>
        <v>701.35859866220744</v>
      </c>
      <c r="H171" s="19">
        <f t="shared" si="15"/>
        <v>703.91849263621862</v>
      </c>
      <c r="I171" s="19">
        <f t="shared" si="16"/>
        <v>3.1445532785234738</v>
      </c>
      <c r="J171" s="19">
        <f t="shared" si="17"/>
        <v>0.96252013422818306</v>
      </c>
      <c r="K171" s="17" t="str">
        <f t="shared" si="18"/>
        <v/>
      </c>
      <c r="L171" s="17" t="str">
        <f t="shared" si="19"/>
        <v/>
      </c>
    </row>
    <row r="172" spans="1:12">
      <c r="A172" s="17">
        <v>163</v>
      </c>
      <c r="B172" s="17">
        <v>4</v>
      </c>
      <c r="C172" s="17">
        <v>12</v>
      </c>
      <c r="D172" s="17" t="s">
        <v>235</v>
      </c>
      <c r="E172" s="17">
        <v>701.97500000000002</v>
      </c>
      <c r="F172" s="17">
        <f t="shared" si="20"/>
        <v>0.51999999999998181</v>
      </c>
      <c r="G172" s="19">
        <f t="shared" si="14"/>
        <v>701.35859866220744</v>
      </c>
      <c r="H172" s="19">
        <f t="shared" si="15"/>
        <v>703.91849263621862</v>
      </c>
      <c r="I172" s="19">
        <f t="shared" si="16"/>
        <v>3.1445532785234738</v>
      </c>
      <c r="J172" s="19">
        <f t="shared" si="17"/>
        <v>0.96252013422818306</v>
      </c>
      <c r="K172" s="17" t="str">
        <f t="shared" si="18"/>
        <v/>
      </c>
      <c r="L172" s="17" t="str">
        <f t="shared" si="19"/>
        <v/>
      </c>
    </row>
    <row r="173" spans="1:12">
      <c r="A173" s="17">
        <v>164</v>
      </c>
      <c r="B173" s="17">
        <v>4</v>
      </c>
      <c r="C173" s="17">
        <v>11</v>
      </c>
      <c r="D173" s="17" t="s">
        <v>236</v>
      </c>
      <c r="E173" s="17">
        <v>702.24699999999996</v>
      </c>
      <c r="F173" s="17">
        <f t="shared" si="20"/>
        <v>0.27199999999993452</v>
      </c>
      <c r="G173" s="19">
        <f t="shared" si="14"/>
        <v>701.35859866220744</v>
      </c>
      <c r="H173" s="19">
        <f t="shared" si="15"/>
        <v>703.91849263621862</v>
      </c>
      <c r="I173" s="19">
        <f t="shared" si="16"/>
        <v>3.1445532785234738</v>
      </c>
      <c r="J173" s="19">
        <f t="shared" si="17"/>
        <v>0.96252013422818306</v>
      </c>
      <c r="K173" s="17" t="str">
        <f t="shared" si="18"/>
        <v/>
      </c>
      <c r="L173" s="17" t="str">
        <f t="shared" si="19"/>
        <v/>
      </c>
    </row>
    <row r="174" spans="1:12">
      <c r="A174" s="17">
        <v>165</v>
      </c>
      <c r="B174" s="17">
        <v>4</v>
      </c>
      <c r="C174" s="17">
        <v>10</v>
      </c>
      <c r="D174" s="17" t="s">
        <v>237</v>
      </c>
      <c r="E174" s="17">
        <v>701.14700000000005</v>
      </c>
      <c r="F174" s="17">
        <f t="shared" si="20"/>
        <v>1.0999999999999091</v>
      </c>
      <c r="G174" s="19">
        <f t="shared" si="14"/>
        <v>701.35859866220744</v>
      </c>
      <c r="H174" s="19">
        <f t="shared" si="15"/>
        <v>703.91849263621862</v>
      </c>
      <c r="I174" s="19">
        <f t="shared" si="16"/>
        <v>3.1445532785234738</v>
      </c>
      <c r="J174" s="19">
        <f t="shared" si="17"/>
        <v>0.96252013422818306</v>
      </c>
      <c r="K174" s="17" t="str">
        <f t="shared" si="18"/>
        <v/>
      </c>
      <c r="L174" s="17" t="str">
        <f t="shared" si="19"/>
        <v/>
      </c>
    </row>
    <row r="175" spans="1:12">
      <c r="A175" s="17">
        <v>166</v>
      </c>
      <c r="B175" s="17">
        <v>4</v>
      </c>
      <c r="C175" s="17">
        <v>9</v>
      </c>
      <c r="D175" s="17" t="s">
        <v>238</v>
      </c>
      <c r="E175" s="17">
        <v>701.30200000000002</v>
      </c>
      <c r="F175" s="17">
        <f t="shared" si="20"/>
        <v>0.15499999999997272</v>
      </c>
      <c r="G175" s="19">
        <f t="shared" si="14"/>
        <v>701.35859866220744</v>
      </c>
      <c r="H175" s="19">
        <f t="shared" si="15"/>
        <v>703.91849263621862</v>
      </c>
      <c r="I175" s="19">
        <f t="shared" si="16"/>
        <v>3.1445532785234738</v>
      </c>
      <c r="J175" s="19">
        <f t="shared" si="17"/>
        <v>0.96252013422818306</v>
      </c>
      <c r="K175" s="17" t="str">
        <f t="shared" si="18"/>
        <v/>
      </c>
      <c r="L175" s="17" t="str">
        <f t="shared" si="19"/>
        <v/>
      </c>
    </row>
    <row r="176" spans="1:12">
      <c r="A176" s="17">
        <v>167</v>
      </c>
      <c r="B176" s="17">
        <v>4</v>
      </c>
      <c r="C176" s="17">
        <v>8</v>
      </c>
      <c r="D176" s="17" t="s">
        <v>239</v>
      </c>
      <c r="E176" s="17">
        <v>703.63599999999997</v>
      </c>
      <c r="F176" s="17">
        <f t="shared" si="20"/>
        <v>2.3339999999999463</v>
      </c>
      <c r="G176" s="19">
        <f t="shared" si="14"/>
        <v>701.35859866220744</v>
      </c>
      <c r="H176" s="19">
        <f t="shared" si="15"/>
        <v>703.91849263621862</v>
      </c>
      <c r="I176" s="19">
        <f t="shared" si="16"/>
        <v>3.1445532785234738</v>
      </c>
      <c r="J176" s="19">
        <f t="shared" si="17"/>
        <v>0.96252013422818306</v>
      </c>
      <c r="K176" s="17" t="str">
        <f t="shared" si="18"/>
        <v/>
      </c>
      <c r="L176" s="17" t="str">
        <f t="shared" si="19"/>
        <v/>
      </c>
    </row>
    <row r="177" spans="1:12">
      <c r="A177" s="17">
        <v>168</v>
      </c>
      <c r="B177" s="17">
        <v>4</v>
      </c>
      <c r="C177" s="17">
        <v>7</v>
      </c>
      <c r="D177" s="17" t="s">
        <v>240</v>
      </c>
      <c r="E177" s="17">
        <v>699.33900000000006</v>
      </c>
      <c r="F177" s="17">
        <f t="shared" si="20"/>
        <v>4.2969999999999118</v>
      </c>
      <c r="G177" s="19">
        <f t="shared" si="14"/>
        <v>701.35859866220744</v>
      </c>
      <c r="H177" s="19">
        <f t="shared" si="15"/>
        <v>703.91849263621862</v>
      </c>
      <c r="I177" s="19">
        <f t="shared" si="16"/>
        <v>3.1445532785234738</v>
      </c>
      <c r="J177" s="19">
        <f t="shared" si="17"/>
        <v>0.96252013422818306</v>
      </c>
      <c r="K177" s="17" t="str">
        <f t="shared" si="18"/>
        <v/>
      </c>
      <c r="L177" s="17" t="str">
        <f t="shared" si="19"/>
        <v/>
      </c>
    </row>
    <row r="178" spans="1:12">
      <c r="A178" s="17">
        <v>169</v>
      </c>
      <c r="B178" s="17">
        <v>4</v>
      </c>
      <c r="C178" s="17">
        <v>6</v>
      </c>
      <c r="D178" s="17" t="s">
        <v>241</v>
      </c>
      <c r="E178" s="17">
        <v>701.78800000000001</v>
      </c>
      <c r="F178" s="17">
        <f t="shared" si="20"/>
        <v>2.4489999999999554</v>
      </c>
      <c r="G178" s="19">
        <f t="shared" si="14"/>
        <v>701.35859866220744</v>
      </c>
      <c r="H178" s="19">
        <f t="shared" si="15"/>
        <v>703.91849263621862</v>
      </c>
      <c r="I178" s="19">
        <f t="shared" si="16"/>
        <v>3.1445532785234738</v>
      </c>
      <c r="J178" s="19">
        <f t="shared" si="17"/>
        <v>0.96252013422818306</v>
      </c>
      <c r="K178" s="17" t="str">
        <f t="shared" si="18"/>
        <v/>
      </c>
      <c r="L178" s="17" t="str">
        <f t="shared" si="19"/>
        <v/>
      </c>
    </row>
    <row r="179" spans="1:12">
      <c r="A179" s="17">
        <v>170</v>
      </c>
      <c r="B179" s="17">
        <v>4</v>
      </c>
      <c r="C179" s="17">
        <v>5</v>
      </c>
      <c r="D179" s="17" t="s">
        <v>242</v>
      </c>
      <c r="E179" s="17">
        <v>702.3</v>
      </c>
      <c r="F179" s="17">
        <f t="shared" si="20"/>
        <v>0.51199999999994361</v>
      </c>
      <c r="G179" s="19">
        <f t="shared" si="14"/>
        <v>701.35859866220744</v>
      </c>
      <c r="H179" s="19">
        <f t="shared" si="15"/>
        <v>703.91849263621862</v>
      </c>
      <c r="I179" s="19">
        <f t="shared" si="16"/>
        <v>3.1445532785234738</v>
      </c>
      <c r="J179" s="19">
        <f t="shared" si="17"/>
        <v>0.96252013422818306</v>
      </c>
      <c r="K179" s="17" t="str">
        <f t="shared" si="18"/>
        <v/>
      </c>
      <c r="L179" s="17" t="str">
        <f t="shared" si="19"/>
        <v/>
      </c>
    </row>
    <row r="180" spans="1:12">
      <c r="A180" s="17">
        <v>171</v>
      </c>
      <c r="B180" s="17">
        <v>4</v>
      </c>
      <c r="C180" s="17">
        <v>4</v>
      </c>
      <c r="D180" s="17" t="s">
        <v>243</v>
      </c>
      <c r="E180" s="17">
        <v>700.44</v>
      </c>
      <c r="F180" s="17">
        <f t="shared" si="20"/>
        <v>1.8599999999999</v>
      </c>
      <c r="G180" s="19">
        <f t="shared" si="14"/>
        <v>701.35859866220744</v>
      </c>
      <c r="H180" s="19">
        <f t="shared" si="15"/>
        <v>703.91849263621862</v>
      </c>
      <c r="I180" s="19">
        <f t="shared" si="16"/>
        <v>3.1445532785234738</v>
      </c>
      <c r="J180" s="19">
        <f t="shared" si="17"/>
        <v>0.96252013422818306</v>
      </c>
      <c r="K180" s="17" t="str">
        <f t="shared" si="18"/>
        <v/>
      </c>
      <c r="L180" s="17" t="str">
        <f t="shared" si="19"/>
        <v/>
      </c>
    </row>
    <row r="181" spans="1:12">
      <c r="A181" s="17">
        <v>172</v>
      </c>
      <c r="B181" s="17">
        <v>4</v>
      </c>
      <c r="C181" s="17">
        <v>3</v>
      </c>
      <c r="D181" s="17" t="s">
        <v>244</v>
      </c>
      <c r="E181" s="17">
        <v>701.75400000000002</v>
      </c>
      <c r="F181" s="17">
        <f t="shared" si="20"/>
        <v>1.3139999999999645</v>
      </c>
      <c r="G181" s="19">
        <f t="shared" si="14"/>
        <v>701.35859866220744</v>
      </c>
      <c r="H181" s="19">
        <f t="shared" si="15"/>
        <v>703.91849263621862</v>
      </c>
      <c r="I181" s="19">
        <f t="shared" si="16"/>
        <v>3.1445532785234738</v>
      </c>
      <c r="J181" s="19">
        <f t="shared" si="17"/>
        <v>0.96252013422818306</v>
      </c>
      <c r="K181" s="17" t="str">
        <f t="shared" si="18"/>
        <v/>
      </c>
      <c r="L181" s="17" t="str">
        <f t="shared" si="19"/>
        <v/>
      </c>
    </row>
    <row r="182" spans="1:12">
      <c r="A182" s="17">
        <v>173</v>
      </c>
      <c r="B182" s="17">
        <v>4</v>
      </c>
      <c r="C182" s="17">
        <v>2</v>
      </c>
      <c r="D182" s="17" t="s">
        <v>245</v>
      </c>
      <c r="E182" s="17">
        <v>702.33199999999999</v>
      </c>
      <c r="F182" s="17">
        <f t="shared" si="20"/>
        <v>0.57799999999997453</v>
      </c>
      <c r="G182" s="19">
        <f t="shared" si="14"/>
        <v>701.35859866220744</v>
      </c>
      <c r="H182" s="19">
        <f t="shared" si="15"/>
        <v>703.91849263621862</v>
      </c>
      <c r="I182" s="19">
        <f t="shared" si="16"/>
        <v>3.1445532785234738</v>
      </c>
      <c r="J182" s="19">
        <f t="shared" si="17"/>
        <v>0.96252013422818306</v>
      </c>
      <c r="K182" s="17" t="str">
        <f t="shared" si="18"/>
        <v/>
      </c>
      <c r="L182" s="17" t="str">
        <f t="shared" si="19"/>
        <v/>
      </c>
    </row>
    <row r="183" spans="1:12">
      <c r="A183" s="17">
        <v>174</v>
      </c>
      <c r="B183" s="17">
        <v>4</v>
      </c>
      <c r="C183" s="17">
        <v>1</v>
      </c>
      <c r="D183" s="17" t="s">
        <v>246</v>
      </c>
      <c r="E183" s="17">
        <v>703.68100000000004</v>
      </c>
      <c r="F183" s="17">
        <f t="shared" si="20"/>
        <v>1.3490000000000464</v>
      </c>
      <c r="G183" s="19">
        <f t="shared" si="14"/>
        <v>701.35859866220744</v>
      </c>
      <c r="H183" s="19">
        <f t="shared" si="15"/>
        <v>703.91849263621862</v>
      </c>
      <c r="I183" s="19">
        <f t="shared" si="16"/>
        <v>3.1445532785234738</v>
      </c>
      <c r="J183" s="19">
        <f t="shared" si="17"/>
        <v>0.96252013422818306</v>
      </c>
      <c r="K183" s="17" t="str">
        <f t="shared" si="18"/>
        <v/>
      </c>
      <c r="L183" s="17" t="str">
        <f t="shared" si="19"/>
        <v/>
      </c>
    </row>
    <row r="184" spans="1:12">
      <c r="A184" s="17">
        <v>175</v>
      </c>
      <c r="B184" s="17">
        <v>4</v>
      </c>
      <c r="C184" s="17">
        <v>25</v>
      </c>
      <c r="D184" s="17" t="s">
        <v>247</v>
      </c>
      <c r="E184" s="17">
        <v>701.54899999999998</v>
      </c>
      <c r="F184" s="17">
        <f t="shared" si="20"/>
        <v>2.1320000000000618</v>
      </c>
      <c r="G184" s="19">
        <f t="shared" si="14"/>
        <v>701.35859866220744</v>
      </c>
      <c r="H184" s="19">
        <f t="shared" si="15"/>
        <v>703.91849263621862</v>
      </c>
      <c r="I184" s="19">
        <f t="shared" si="16"/>
        <v>3.1445532785234738</v>
      </c>
      <c r="J184" s="19">
        <f t="shared" si="17"/>
        <v>0.96252013422818306</v>
      </c>
      <c r="K184" s="17" t="str">
        <f t="shared" si="18"/>
        <v/>
      </c>
      <c r="L184" s="17" t="str">
        <f t="shared" si="19"/>
        <v/>
      </c>
    </row>
    <row r="185" spans="1:12">
      <c r="A185" s="17">
        <v>176</v>
      </c>
      <c r="B185" s="17">
        <v>4</v>
      </c>
      <c r="C185" s="17">
        <v>24</v>
      </c>
      <c r="D185" s="17" t="s">
        <v>248</v>
      </c>
      <c r="E185" s="17">
        <v>700.68799999999999</v>
      </c>
      <c r="F185" s="17">
        <f t="shared" si="20"/>
        <v>0.86099999999999</v>
      </c>
      <c r="G185" s="19">
        <f t="shared" si="14"/>
        <v>701.35859866220744</v>
      </c>
      <c r="H185" s="19">
        <f t="shared" si="15"/>
        <v>703.91849263621862</v>
      </c>
      <c r="I185" s="19">
        <f t="shared" si="16"/>
        <v>3.1445532785234738</v>
      </c>
      <c r="J185" s="19">
        <f t="shared" si="17"/>
        <v>0.96252013422818306</v>
      </c>
      <c r="K185" s="17" t="str">
        <f t="shared" si="18"/>
        <v/>
      </c>
      <c r="L185" s="17" t="str">
        <f t="shared" si="19"/>
        <v/>
      </c>
    </row>
    <row r="186" spans="1:12">
      <c r="A186" s="17">
        <v>177</v>
      </c>
      <c r="B186" s="17">
        <v>4</v>
      </c>
      <c r="C186" s="17">
        <v>23</v>
      </c>
      <c r="D186" s="17" t="s">
        <v>249</v>
      </c>
      <c r="E186" s="17">
        <v>702.81899999999996</v>
      </c>
      <c r="F186" s="17">
        <f t="shared" si="20"/>
        <v>2.1309999999999718</v>
      </c>
      <c r="G186" s="19">
        <f t="shared" si="14"/>
        <v>701.35859866220744</v>
      </c>
      <c r="H186" s="19">
        <f t="shared" si="15"/>
        <v>703.91849263621862</v>
      </c>
      <c r="I186" s="19">
        <f t="shared" si="16"/>
        <v>3.1445532785234738</v>
      </c>
      <c r="J186" s="19">
        <f t="shared" si="17"/>
        <v>0.96252013422818306</v>
      </c>
      <c r="K186" s="17" t="str">
        <f t="shared" si="18"/>
        <v/>
      </c>
      <c r="L186" s="17" t="str">
        <f t="shared" si="19"/>
        <v/>
      </c>
    </row>
    <row r="187" spans="1:12">
      <c r="A187" s="17">
        <v>178</v>
      </c>
      <c r="B187" s="17">
        <v>4</v>
      </c>
      <c r="C187" s="17">
        <v>22</v>
      </c>
      <c r="D187" s="17" t="s">
        <v>250</v>
      </c>
      <c r="E187" s="17">
        <v>699.88099999999997</v>
      </c>
      <c r="F187" s="17">
        <f t="shared" si="20"/>
        <v>2.9379999999999882</v>
      </c>
      <c r="G187" s="19">
        <f t="shared" si="14"/>
        <v>701.35859866220744</v>
      </c>
      <c r="H187" s="19">
        <f t="shared" si="15"/>
        <v>703.91849263621862</v>
      </c>
      <c r="I187" s="19">
        <f t="shared" si="16"/>
        <v>3.1445532785234738</v>
      </c>
      <c r="J187" s="19">
        <f t="shared" si="17"/>
        <v>0.96252013422818306</v>
      </c>
      <c r="K187" s="17" t="str">
        <f t="shared" si="18"/>
        <v/>
      </c>
      <c r="L187" s="17" t="str">
        <f t="shared" si="19"/>
        <v/>
      </c>
    </row>
    <row r="188" spans="1:12">
      <c r="A188" s="17">
        <v>179</v>
      </c>
      <c r="B188" s="17">
        <v>4</v>
      </c>
      <c r="C188" s="17">
        <v>21</v>
      </c>
      <c r="D188" s="17" t="s">
        <v>251</v>
      </c>
      <c r="E188" s="17">
        <v>700.80200000000002</v>
      </c>
      <c r="F188" s="17">
        <f t="shared" si="20"/>
        <v>0.92100000000004911</v>
      </c>
      <c r="G188" s="19">
        <f t="shared" si="14"/>
        <v>701.35859866220744</v>
      </c>
      <c r="H188" s="19">
        <f t="shared" si="15"/>
        <v>703.91849263621862</v>
      </c>
      <c r="I188" s="19">
        <f t="shared" si="16"/>
        <v>3.1445532785234738</v>
      </c>
      <c r="J188" s="19">
        <f t="shared" si="17"/>
        <v>0.96252013422818306</v>
      </c>
      <c r="K188" s="17" t="str">
        <f t="shared" si="18"/>
        <v/>
      </c>
      <c r="L188" s="17" t="str">
        <f t="shared" si="19"/>
        <v/>
      </c>
    </row>
    <row r="189" spans="1:12">
      <c r="A189" s="17">
        <v>180</v>
      </c>
      <c r="B189" s="17">
        <v>4</v>
      </c>
      <c r="C189" s="17">
        <v>20</v>
      </c>
      <c r="D189" s="17" t="s">
        <v>252</v>
      </c>
      <c r="E189" s="17">
        <v>700.94200000000001</v>
      </c>
      <c r="F189" s="17">
        <f t="shared" si="20"/>
        <v>0.13999999999998636</v>
      </c>
      <c r="G189" s="19">
        <f t="shared" si="14"/>
        <v>701.35859866220744</v>
      </c>
      <c r="H189" s="19">
        <f t="shared" si="15"/>
        <v>703.91849263621862</v>
      </c>
      <c r="I189" s="19">
        <f t="shared" si="16"/>
        <v>3.1445532785234738</v>
      </c>
      <c r="J189" s="19">
        <f t="shared" si="17"/>
        <v>0.96252013422818306</v>
      </c>
      <c r="K189" s="17" t="str">
        <f t="shared" si="18"/>
        <v/>
      </c>
      <c r="L189" s="17" t="str">
        <f t="shared" si="19"/>
        <v/>
      </c>
    </row>
    <row r="190" spans="1:12">
      <c r="A190" s="17">
        <v>181</v>
      </c>
      <c r="B190" s="17">
        <v>4</v>
      </c>
      <c r="C190" s="17">
        <v>19</v>
      </c>
      <c r="D190" s="17" t="s">
        <v>253</v>
      </c>
      <c r="E190" s="17">
        <v>703.77599999999995</v>
      </c>
      <c r="F190" s="17">
        <f t="shared" si="20"/>
        <v>2.8339999999999463</v>
      </c>
      <c r="G190" s="19">
        <f t="shared" si="14"/>
        <v>701.35859866220744</v>
      </c>
      <c r="H190" s="19">
        <f t="shared" si="15"/>
        <v>703.91849263621862</v>
      </c>
      <c r="I190" s="19">
        <f t="shared" si="16"/>
        <v>3.1445532785234738</v>
      </c>
      <c r="J190" s="19">
        <f t="shared" si="17"/>
        <v>0.96252013422818306</v>
      </c>
      <c r="K190" s="17" t="str">
        <f t="shared" si="18"/>
        <v/>
      </c>
      <c r="L190" s="17" t="str">
        <f t="shared" si="19"/>
        <v/>
      </c>
    </row>
    <row r="191" spans="1:12">
      <c r="A191" s="17">
        <v>182</v>
      </c>
      <c r="B191" s="17">
        <v>4</v>
      </c>
      <c r="C191" s="17">
        <v>18</v>
      </c>
      <c r="D191" s="17" t="s">
        <v>254</v>
      </c>
      <c r="E191" s="17">
        <v>700.81100000000004</v>
      </c>
      <c r="F191" s="17">
        <f t="shared" si="20"/>
        <v>2.9649999999999181</v>
      </c>
      <c r="G191" s="19">
        <f t="shared" si="14"/>
        <v>701.35859866220744</v>
      </c>
      <c r="H191" s="19">
        <f t="shared" si="15"/>
        <v>703.91849263621862</v>
      </c>
      <c r="I191" s="19">
        <f t="shared" si="16"/>
        <v>3.1445532785234738</v>
      </c>
      <c r="J191" s="19">
        <f t="shared" si="17"/>
        <v>0.96252013422818306</v>
      </c>
      <c r="K191" s="17" t="str">
        <f t="shared" si="18"/>
        <v/>
      </c>
      <c r="L191" s="17" t="str">
        <f t="shared" si="19"/>
        <v/>
      </c>
    </row>
    <row r="192" spans="1:12">
      <c r="A192" s="17">
        <v>183</v>
      </c>
      <c r="B192" s="17">
        <v>4</v>
      </c>
      <c r="C192" s="17">
        <v>17</v>
      </c>
      <c r="D192" s="17" t="s">
        <v>255</v>
      </c>
      <c r="E192" s="17">
        <v>701.28899999999999</v>
      </c>
      <c r="F192" s="17">
        <f t="shared" si="20"/>
        <v>0.4779999999999518</v>
      </c>
      <c r="G192" s="19">
        <f t="shared" si="14"/>
        <v>701.35859866220744</v>
      </c>
      <c r="H192" s="19">
        <f t="shared" si="15"/>
        <v>703.91849263621862</v>
      </c>
      <c r="I192" s="19">
        <f t="shared" si="16"/>
        <v>3.1445532785234738</v>
      </c>
      <c r="J192" s="19">
        <f t="shared" si="17"/>
        <v>0.96252013422818306</v>
      </c>
      <c r="K192" s="17" t="str">
        <f t="shared" si="18"/>
        <v/>
      </c>
      <c r="L192" s="17" t="str">
        <f t="shared" si="19"/>
        <v/>
      </c>
    </row>
    <row r="193" spans="1:12">
      <c r="A193" s="17">
        <v>184</v>
      </c>
      <c r="B193" s="17">
        <v>4</v>
      </c>
      <c r="C193" s="17">
        <v>16</v>
      </c>
      <c r="D193" s="17" t="s">
        <v>256</v>
      </c>
      <c r="E193" s="17">
        <v>700.95899999999995</v>
      </c>
      <c r="F193" s="17">
        <f t="shared" si="20"/>
        <v>0.33000000000004093</v>
      </c>
      <c r="G193" s="19">
        <f t="shared" si="14"/>
        <v>701.35859866220744</v>
      </c>
      <c r="H193" s="19">
        <f t="shared" si="15"/>
        <v>703.91849263621862</v>
      </c>
      <c r="I193" s="19">
        <f t="shared" si="16"/>
        <v>3.1445532785234738</v>
      </c>
      <c r="J193" s="19">
        <f t="shared" si="17"/>
        <v>0.96252013422818306</v>
      </c>
      <c r="K193" s="17" t="str">
        <f t="shared" si="18"/>
        <v/>
      </c>
      <c r="L193" s="17" t="str">
        <f t="shared" si="19"/>
        <v/>
      </c>
    </row>
    <row r="194" spans="1:12">
      <c r="A194" s="17">
        <v>185</v>
      </c>
      <c r="B194" s="17">
        <v>4</v>
      </c>
      <c r="C194" s="17">
        <v>15</v>
      </c>
      <c r="D194" s="17" t="s">
        <v>257</v>
      </c>
      <c r="E194" s="17">
        <v>699.89700000000005</v>
      </c>
      <c r="F194" s="17">
        <f t="shared" si="20"/>
        <v>1.0619999999998981</v>
      </c>
      <c r="G194" s="19">
        <f t="shared" si="14"/>
        <v>701.35859866220744</v>
      </c>
      <c r="H194" s="19">
        <f t="shared" si="15"/>
        <v>703.91849263621862</v>
      </c>
      <c r="I194" s="19">
        <f t="shared" si="16"/>
        <v>3.1445532785234738</v>
      </c>
      <c r="J194" s="19">
        <f t="shared" si="17"/>
        <v>0.96252013422818306</v>
      </c>
      <c r="K194" s="17" t="str">
        <f t="shared" si="18"/>
        <v/>
      </c>
      <c r="L194" s="17" t="str">
        <f t="shared" si="19"/>
        <v/>
      </c>
    </row>
    <row r="195" spans="1:12">
      <c r="A195" s="17">
        <v>186</v>
      </c>
      <c r="B195" s="17">
        <v>4</v>
      </c>
      <c r="C195" s="17">
        <v>14</v>
      </c>
      <c r="D195" s="17" t="s">
        <v>258</v>
      </c>
      <c r="E195" s="17">
        <v>702.23800000000006</v>
      </c>
      <c r="F195" s="17">
        <f t="shared" si="20"/>
        <v>2.3410000000000082</v>
      </c>
      <c r="G195" s="19">
        <f t="shared" si="14"/>
        <v>701.35859866220744</v>
      </c>
      <c r="H195" s="19">
        <f t="shared" si="15"/>
        <v>703.91849263621862</v>
      </c>
      <c r="I195" s="19">
        <f t="shared" si="16"/>
        <v>3.1445532785234738</v>
      </c>
      <c r="J195" s="19">
        <f t="shared" si="17"/>
        <v>0.96252013422818306</v>
      </c>
      <c r="K195" s="17" t="str">
        <f t="shared" si="18"/>
        <v/>
      </c>
      <c r="L195" s="17" t="str">
        <f t="shared" si="19"/>
        <v/>
      </c>
    </row>
    <row r="196" spans="1:12">
      <c r="A196" s="17">
        <v>187</v>
      </c>
      <c r="B196" s="17">
        <v>4</v>
      </c>
      <c r="C196" s="17">
        <v>13</v>
      </c>
      <c r="D196" s="17" t="s">
        <v>259</v>
      </c>
      <c r="E196" s="17">
        <v>702.33</v>
      </c>
      <c r="F196" s="17">
        <f t="shared" si="20"/>
        <v>9.1999999999984539E-2</v>
      </c>
      <c r="G196" s="19">
        <f t="shared" si="14"/>
        <v>701.35859866220744</v>
      </c>
      <c r="H196" s="19">
        <f t="shared" si="15"/>
        <v>703.91849263621862</v>
      </c>
      <c r="I196" s="19">
        <f t="shared" si="16"/>
        <v>3.1445532785234738</v>
      </c>
      <c r="J196" s="19">
        <f t="shared" si="17"/>
        <v>0.96252013422818306</v>
      </c>
      <c r="K196" s="17" t="str">
        <f t="shared" si="18"/>
        <v/>
      </c>
      <c r="L196" s="17" t="str">
        <f t="shared" si="19"/>
        <v/>
      </c>
    </row>
    <row r="197" spans="1:12">
      <c r="A197" s="17">
        <v>188</v>
      </c>
      <c r="B197" s="17">
        <v>4</v>
      </c>
      <c r="C197" s="17">
        <v>12</v>
      </c>
      <c r="D197" s="17" t="s">
        <v>260</v>
      </c>
      <c r="E197" s="17">
        <v>701.851</v>
      </c>
      <c r="F197" s="17">
        <f t="shared" si="20"/>
        <v>0.47900000000004184</v>
      </c>
      <c r="G197" s="19">
        <f t="shared" si="14"/>
        <v>701.35859866220744</v>
      </c>
      <c r="H197" s="19">
        <f t="shared" si="15"/>
        <v>703.91849263621862</v>
      </c>
      <c r="I197" s="19">
        <f t="shared" si="16"/>
        <v>3.1445532785234738</v>
      </c>
      <c r="J197" s="19">
        <f t="shared" si="17"/>
        <v>0.96252013422818306</v>
      </c>
      <c r="K197" s="17" t="str">
        <f t="shared" si="18"/>
        <v/>
      </c>
      <c r="L197" s="17" t="str">
        <f t="shared" si="19"/>
        <v/>
      </c>
    </row>
    <row r="198" spans="1:12">
      <c r="A198" s="17">
        <v>189</v>
      </c>
      <c r="B198" s="17">
        <v>4</v>
      </c>
      <c r="C198" s="17">
        <v>11</v>
      </c>
      <c r="D198" s="17" t="s">
        <v>261</v>
      </c>
      <c r="E198" s="17">
        <v>699.904</v>
      </c>
      <c r="F198" s="17">
        <f t="shared" si="20"/>
        <v>1.9470000000000027</v>
      </c>
      <c r="G198" s="19">
        <f t="shared" si="14"/>
        <v>701.35859866220744</v>
      </c>
      <c r="H198" s="19">
        <f t="shared" si="15"/>
        <v>703.91849263621862</v>
      </c>
      <c r="I198" s="19">
        <f t="shared" si="16"/>
        <v>3.1445532785234738</v>
      </c>
      <c r="J198" s="19">
        <f t="shared" si="17"/>
        <v>0.96252013422818306</v>
      </c>
      <c r="K198" s="17" t="str">
        <f t="shared" si="18"/>
        <v/>
      </c>
      <c r="L198" s="17" t="str">
        <f t="shared" si="19"/>
        <v/>
      </c>
    </row>
    <row r="199" spans="1:12">
      <c r="A199" s="17">
        <v>190</v>
      </c>
      <c r="B199" s="17">
        <v>4</v>
      </c>
      <c r="C199" s="17">
        <v>10</v>
      </c>
      <c r="D199" s="17" t="s">
        <v>262</v>
      </c>
      <c r="E199" s="17">
        <v>700.63</v>
      </c>
      <c r="F199" s="17">
        <f t="shared" si="20"/>
        <v>0.72599999999999909</v>
      </c>
      <c r="G199" s="19">
        <f t="shared" si="14"/>
        <v>701.35859866220744</v>
      </c>
      <c r="H199" s="19">
        <f t="shared" si="15"/>
        <v>703.91849263621862</v>
      </c>
      <c r="I199" s="19">
        <f t="shared" si="16"/>
        <v>3.1445532785234738</v>
      </c>
      <c r="J199" s="19">
        <f t="shared" si="17"/>
        <v>0.96252013422818306</v>
      </c>
      <c r="K199" s="17" t="str">
        <f t="shared" si="18"/>
        <v/>
      </c>
      <c r="L199" s="17" t="str">
        <f t="shared" si="19"/>
        <v/>
      </c>
    </row>
    <row r="200" spans="1:12">
      <c r="A200" s="17">
        <v>191</v>
      </c>
      <c r="B200" s="17">
        <v>4</v>
      </c>
      <c r="C200" s="17">
        <v>9</v>
      </c>
      <c r="D200" s="17" t="s">
        <v>263</v>
      </c>
      <c r="E200" s="17">
        <v>700.49199999999996</v>
      </c>
      <c r="F200" s="17">
        <f t="shared" si="20"/>
        <v>0.13800000000003365</v>
      </c>
      <c r="G200" s="19">
        <f t="shared" si="14"/>
        <v>701.35859866220744</v>
      </c>
      <c r="H200" s="19">
        <f t="shared" si="15"/>
        <v>703.91849263621862</v>
      </c>
      <c r="I200" s="19">
        <f t="shared" si="16"/>
        <v>3.1445532785234738</v>
      </c>
      <c r="J200" s="19">
        <f t="shared" si="17"/>
        <v>0.96252013422818306</v>
      </c>
      <c r="K200" s="17" t="str">
        <f t="shared" si="18"/>
        <v/>
      </c>
      <c r="L200" s="17" t="str">
        <f t="shared" si="19"/>
        <v/>
      </c>
    </row>
    <row r="201" spans="1:12">
      <c r="A201" s="17">
        <v>192</v>
      </c>
      <c r="B201" s="17">
        <v>4</v>
      </c>
      <c r="C201" s="17">
        <v>8</v>
      </c>
      <c r="D201" s="17" t="s">
        <v>264</v>
      </c>
      <c r="E201" s="17">
        <v>700.68100000000004</v>
      </c>
      <c r="F201" s="17">
        <f t="shared" si="20"/>
        <v>0.18900000000007822</v>
      </c>
      <c r="G201" s="19">
        <f t="shared" si="14"/>
        <v>701.35859866220744</v>
      </c>
      <c r="H201" s="19">
        <f t="shared" si="15"/>
        <v>703.91849263621862</v>
      </c>
      <c r="I201" s="19">
        <f t="shared" si="16"/>
        <v>3.1445532785234738</v>
      </c>
      <c r="J201" s="19">
        <f t="shared" si="17"/>
        <v>0.96252013422818306</v>
      </c>
      <c r="K201" s="17" t="str">
        <f t="shared" si="18"/>
        <v/>
      </c>
      <c r="L201" s="17" t="str">
        <f t="shared" si="19"/>
        <v/>
      </c>
    </row>
    <row r="202" spans="1:12">
      <c r="A202" s="17">
        <v>193</v>
      </c>
      <c r="B202" s="17">
        <v>4</v>
      </c>
      <c r="C202" s="17">
        <v>7</v>
      </c>
      <c r="D202" s="17" t="s">
        <v>265</v>
      </c>
      <c r="E202" s="17">
        <v>702.23400000000004</v>
      </c>
      <c r="F202" s="17">
        <f t="shared" si="20"/>
        <v>1.5529999999999973</v>
      </c>
      <c r="G202" s="19">
        <f t="shared" ref="G202:G265" si="21">$Q$3</f>
        <v>701.35859866220744</v>
      </c>
      <c r="H202" s="19">
        <f t="shared" ref="H202:H265" si="22">$Q$6</f>
        <v>703.91849263621862</v>
      </c>
      <c r="I202" s="19">
        <f t="shared" ref="I202:I265" si="23">$Q$7</f>
        <v>3.1445532785234738</v>
      </c>
      <c r="J202" s="19">
        <f t="shared" ref="J202:J265" si="24">$Q$4</f>
        <v>0.96252013422818306</v>
      </c>
      <c r="K202" s="17" t="str">
        <f t="shared" ref="K202:K265" si="25">IF(E202&gt;$Q$6,"OOC","" )</f>
        <v/>
      </c>
      <c r="L202" s="17" t="str">
        <f t="shared" ref="L202:L265" si="26">IF(E202&gt;$B$3,"OOS","" )</f>
        <v/>
      </c>
    </row>
    <row r="203" spans="1:12">
      <c r="A203" s="17">
        <v>194</v>
      </c>
      <c r="B203" s="17">
        <v>4</v>
      </c>
      <c r="C203" s="17">
        <v>6</v>
      </c>
      <c r="D203" s="17" t="s">
        <v>266</v>
      </c>
      <c r="E203" s="17">
        <v>699.30899999999997</v>
      </c>
      <c r="F203" s="17">
        <f t="shared" ref="F203:F266" si="27">ABS(E203-E202)</f>
        <v>2.9250000000000682</v>
      </c>
      <c r="G203" s="19">
        <f t="shared" si="21"/>
        <v>701.35859866220744</v>
      </c>
      <c r="H203" s="19">
        <f t="shared" si="22"/>
        <v>703.91849263621862</v>
      </c>
      <c r="I203" s="19">
        <f t="shared" si="23"/>
        <v>3.1445532785234738</v>
      </c>
      <c r="J203" s="19">
        <f t="shared" si="24"/>
        <v>0.96252013422818306</v>
      </c>
      <c r="K203" s="17" t="str">
        <f t="shared" si="25"/>
        <v/>
      </c>
      <c r="L203" s="17" t="str">
        <f t="shared" si="26"/>
        <v/>
      </c>
    </row>
    <row r="204" spans="1:12">
      <c r="A204" s="17">
        <v>195</v>
      </c>
      <c r="B204" s="17">
        <v>4</v>
      </c>
      <c r="C204" s="17">
        <v>5</v>
      </c>
      <c r="D204" s="17" t="s">
        <v>267</v>
      </c>
      <c r="E204" s="17">
        <v>702.40599999999995</v>
      </c>
      <c r="F204" s="17">
        <f t="shared" si="27"/>
        <v>3.09699999999998</v>
      </c>
      <c r="G204" s="19">
        <f t="shared" si="21"/>
        <v>701.35859866220744</v>
      </c>
      <c r="H204" s="19">
        <f t="shared" si="22"/>
        <v>703.91849263621862</v>
      </c>
      <c r="I204" s="19">
        <f t="shared" si="23"/>
        <v>3.1445532785234738</v>
      </c>
      <c r="J204" s="19">
        <f t="shared" si="24"/>
        <v>0.96252013422818306</v>
      </c>
      <c r="K204" s="17" t="str">
        <f t="shared" si="25"/>
        <v/>
      </c>
      <c r="L204" s="17" t="str">
        <f t="shared" si="26"/>
        <v/>
      </c>
    </row>
    <row r="205" spans="1:12">
      <c r="A205" s="17">
        <v>196</v>
      </c>
      <c r="B205" s="17">
        <v>4</v>
      </c>
      <c r="C205" s="17">
        <v>4</v>
      </c>
      <c r="D205" s="17" t="s">
        <v>268</v>
      </c>
      <c r="E205" s="17">
        <v>702.38599999999997</v>
      </c>
      <c r="F205" s="17">
        <f t="shared" si="27"/>
        <v>1.999999999998181E-2</v>
      </c>
      <c r="G205" s="19">
        <f t="shared" si="21"/>
        <v>701.35859866220744</v>
      </c>
      <c r="H205" s="19">
        <f t="shared" si="22"/>
        <v>703.91849263621862</v>
      </c>
      <c r="I205" s="19">
        <f t="shared" si="23"/>
        <v>3.1445532785234738</v>
      </c>
      <c r="J205" s="19">
        <f t="shared" si="24"/>
        <v>0.96252013422818306</v>
      </c>
      <c r="K205" s="17" t="str">
        <f t="shared" si="25"/>
        <v/>
      </c>
      <c r="L205" s="17" t="str">
        <f t="shared" si="26"/>
        <v/>
      </c>
    </row>
    <row r="206" spans="1:12">
      <c r="A206" s="17">
        <v>197</v>
      </c>
      <c r="B206" s="17">
        <v>4</v>
      </c>
      <c r="C206" s="17">
        <v>3</v>
      </c>
      <c r="D206" s="17" t="s">
        <v>269</v>
      </c>
      <c r="E206" s="17">
        <v>701.33399999999995</v>
      </c>
      <c r="F206" s="17">
        <f t="shared" si="27"/>
        <v>1.0520000000000209</v>
      </c>
      <c r="G206" s="19">
        <f t="shared" si="21"/>
        <v>701.35859866220744</v>
      </c>
      <c r="H206" s="19">
        <f t="shared" si="22"/>
        <v>703.91849263621862</v>
      </c>
      <c r="I206" s="19">
        <f t="shared" si="23"/>
        <v>3.1445532785234738</v>
      </c>
      <c r="J206" s="19">
        <f t="shared" si="24"/>
        <v>0.96252013422818306</v>
      </c>
      <c r="K206" s="17" t="str">
        <f t="shared" si="25"/>
        <v/>
      </c>
      <c r="L206" s="17" t="str">
        <f t="shared" si="26"/>
        <v/>
      </c>
    </row>
    <row r="207" spans="1:12">
      <c r="A207" s="17">
        <v>198</v>
      </c>
      <c r="B207" s="17">
        <v>4</v>
      </c>
      <c r="C207" s="17">
        <v>2</v>
      </c>
      <c r="D207" s="17" t="s">
        <v>270</v>
      </c>
      <c r="E207" s="17">
        <v>701.24699999999996</v>
      </c>
      <c r="F207" s="17">
        <f t="shared" si="27"/>
        <v>8.6999999999989086E-2</v>
      </c>
      <c r="G207" s="19">
        <f t="shared" si="21"/>
        <v>701.35859866220744</v>
      </c>
      <c r="H207" s="19">
        <f t="shared" si="22"/>
        <v>703.91849263621862</v>
      </c>
      <c r="I207" s="19">
        <f t="shared" si="23"/>
        <v>3.1445532785234738</v>
      </c>
      <c r="J207" s="19">
        <f t="shared" si="24"/>
        <v>0.96252013422818306</v>
      </c>
      <c r="K207" s="17" t="str">
        <f t="shared" si="25"/>
        <v/>
      </c>
      <c r="L207" s="17" t="str">
        <f t="shared" si="26"/>
        <v/>
      </c>
    </row>
    <row r="208" spans="1:12">
      <c r="A208" s="17">
        <v>199</v>
      </c>
      <c r="B208" s="17">
        <v>4</v>
      </c>
      <c r="C208" s="17">
        <v>1</v>
      </c>
      <c r="D208" s="17" t="s">
        <v>271</v>
      </c>
      <c r="E208" s="17">
        <v>701.09299999999996</v>
      </c>
      <c r="F208" s="17">
        <f t="shared" si="27"/>
        <v>0.15399999999999636</v>
      </c>
      <c r="G208" s="19">
        <f t="shared" si="21"/>
        <v>701.35859866220744</v>
      </c>
      <c r="H208" s="19">
        <f t="shared" si="22"/>
        <v>703.91849263621862</v>
      </c>
      <c r="I208" s="19">
        <f t="shared" si="23"/>
        <v>3.1445532785234738</v>
      </c>
      <c r="J208" s="19">
        <f t="shared" si="24"/>
        <v>0.96252013422818306</v>
      </c>
      <c r="K208" s="17" t="str">
        <f t="shared" si="25"/>
        <v/>
      </c>
      <c r="L208" s="17" t="str">
        <f t="shared" si="26"/>
        <v/>
      </c>
    </row>
    <row r="209" spans="1:12">
      <c r="A209" s="17">
        <v>200</v>
      </c>
      <c r="B209" s="17">
        <v>5</v>
      </c>
      <c r="C209" s="17">
        <v>25</v>
      </c>
      <c r="D209" s="17" t="s">
        <v>272</v>
      </c>
      <c r="E209" s="17">
        <v>701.46600000000001</v>
      </c>
      <c r="F209" s="17">
        <f t="shared" si="27"/>
        <v>0.37300000000004729</v>
      </c>
      <c r="G209" s="19">
        <f t="shared" si="21"/>
        <v>701.35859866220744</v>
      </c>
      <c r="H209" s="19">
        <f t="shared" si="22"/>
        <v>703.91849263621862</v>
      </c>
      <c r="I209" s="19">
        <f t="shared" si="23"/>
        <v>3.1445532785234738</v>
      </c>
      <c r="J209" s="19">
        <f t="shared" si="24"/>
        <v>0.96252013422818306</v>
      </c>
      <c r="K209" s="17" t="str">
        <f t="shared" si="25"/>
        <v/>
      </c>
      <c r="L209" s="17" t="str">
        <f t="shared" si="26"/>
        <v/>
      </c>
    </row>
    <row r="210" spans="1:12">
      <c r="A210" s="17">
        <v>201</v>
      </c>
      <c r="B210" s="17">
        <v>5</v>
      </c>
      <c r="C210" s="17">
        <v>24</v>
      </c>
      <c r="D210" s="17" t="s">
        <v>273</v>
      </c>
      <c r="E210" s="17">
        <v>700.45899999999995</v>
      </c>
      <c r="F210" s="17">
        <f t="shared" si="27"/>
        <v>1.0070000000000618</v>
      </c>
      <c r="G210" s="19">
        <f t="shared" si="21"/>
        <v>701.35859866220744</v>
      </c>
      <c r="H210" s="19">
        <f t="shared" si="22"/>
        <v>703.91849263621862</v>
      </c>
      <c r="I210" s="19">
        <f t="shared" si="23"/>
        <v>3.1445532785234738</v>
      </c>
      <c r="J210" s="19">
        <f t="shared" si="24"/>
        <v>0.96252013422818306</v>
      </c>
      <c r="K210" s="17" t="str">
        <f t="shared" si="25"/>
        <v/>
      </c>
      <c r="L210" s="17" t="str">
        <f t="shared" si="26"/>
        <v/>
      </c>
    </row>
    <row r="211" spans="1:12">
      <c r="A211" s="17">
        <v>202</v>
      </c>
      <c r="B211" s="17">
        <v>5</v>
      </c>
      <c r="C211" s="17">
        <v>23</v>
      </c>
      <c r="D211" s="17" t="s">
        <v>274</v>
      </c>
      <c r="E211" s="17">
        <v>701.49800000000005</v>
      </c>
      <c r="F211" s="17">
        <f t="shared" si="27"/>
        <v>1.039000000000101</v>
      </c>
      <c r="G211" s="19">
        <f t="shared" si="21"/>
        <v>701.35859866220744</v>
      </c>
      <c r="H211" s="19">
        <f t="shared" si="22"/>
        <v>703.91849263621862</v>
      </c>
      <c r="I211" s="19">
        <f t="shared" si="23"/>
        <v>3.1445532785234738</v>
      </c>
      <c r="J211" s="19">
        <f t="shared" si="24"/>
        <v>0.96252013422818306</v>
      </c>
      <c r="K211" s="17" t="str">
        <f t="shared" si="25"/>
        <v/>
      </c>
      <c r="L211" s="17" t="str">
        <f t="shared" si="26"/>
        <v/>
      </c>
    </row>
    <row r="212" spans="1:12">
      <c r="A212" s="17">
        <v>203</v>
      </c>
      <c r="B212" s="17">
        <v>5</v>
      </c>
      <c r="C212" s="17">
        <v>22</v>
      </c>
      <c r="D212" s="17" t="s">
        <v>275</v>
      </c>
      <c r="E212" s="17">
        <v>701.10799999999995</v>
      </c>
      <c r="F212" s="17">
        <f t="shared" si="27"/>
        <v>0.39000000000010004</v>
      </c>
      <c r="G212" s="19">
        <f t="shared" si="21"/>
        <v>701.35859866220744</v>
      </c>
      <c r="H212" s="19">
        <f t="shared" si="22"/>
        <v>703.91849263621862</v>
      </c>
      <c r="I212" s="19">
        <f t="shared" si="23"/>
        <v>3.1445532785234738</v>
      </c>
      <c r="J212" s="19">
        <f t="shared" si="24"/>
        <v>0.96252013422818306</v>
      </c>
      <c r="K212" s="17" t="str">
        <f t="shared" si="25"/>
        <v/>
      </c>
      <c r="L212" s="17" t="str">
        <f t="shared" si="26"/>
        <v/>
      </c>
    </row>
    <row r="213" spans="1:12">
      <c r="A213" s="17">
        <v>204</v>
      </c>
      <c r="B213" s="17">
        <v>5</v>
      </c>
      <c r="C213" s="17">
        <v>21</v>
      </c>
      <c r="D213" s="17" t="s">
        <v>276</v>
      </c>
      <c r="E213" s="17">
        <v>701.96199999999999</v>
      </c>
      <c r="F213" s="17">
        <f t="shared" si="27"/>
        <v>0.85400000000004184</v>
      </c>
      <c r="G213" s="19">
        <f t="shared" si="21"/>
        <v>701.35859866220744</v>
      </c>
      <c r="H213" s="19">
        <f t="shared" si="22"/>
        <v>703.91849263621862</v>
      </c>
      <c r="I213" s="19">
        <f t="shared" si="23"/>
        <v>3.1445532785234738</v>
      </c>
      <c r="J213" s="19">
        <f t="shared" si="24"/>
        <v>0.96252013422818306</v>
      </c>
      <c r="K213" s="17" t="str">
        <f t="shared" si="25"/>
        <v/>
      </c>
      <c r="L213" s="17" t="str">
        <f t="shared" si="26"/>
        <v/>
      </c>
    </row>
    <row r="214" spans="1:12">
      <c r="A214" s="17">
        <v>205</v>
      </c>
      <c r="B214" s="17">
        <v>5</v>
      </c>
      <c r="C214" s="17">
        <v>20</v>
      </c>
      <c r="D214" s="17" t="s">
        <v>277</v>
      </c>
      <c r="E214" s="17">
        <v>701.07</v>
      </c>
      <c r="F214" s="17">
        <f t="shared" si="27"/>
        <v>0.89199999999993906</v>
      </c>
      <c r="G214" s="19">
        <f t="shared" si="21"/>
        <v>701.35859866220744</v>
      </c>
      <c r="H214" s="19">
        <f t="shared" si="22"/>
        <v>703.91849263621862</v>
      </c>
      <c r="I214" s="19">
        <f t="shared" si="23"/>
        <v>3.1445532785234738</v>
      </c>
      <c r="J214" s="19">
        <f t="shared" si="24"/>
        <v>0.96252013422818306</v>
      </c>
      <c r="K214" s="17" t="str">
        <f t="shared" si="25"/>
        <v/>
      </c>
      <c r="L214" s="17" t="str">
        <f t="shared" si="26"/>
        <v/>
      </c>
    </row>
    <row r="215" spans="1:12">
      <c r="A215" s="17">
        <v>206</v>
      </c>
      <c r="B215" s="17">
        <v>5</v>
      </c>
      <c r="C215" s="17">
        <v>19</v>
      </c>
      <c r="D215" s="17" t="s">
        <v>278</v>
      </c>
      <c r="E215" s="17">
        <v>701.12199999999996</v>
      </c>
      <c r="F215" s="17">
        <f t="shared" si="27"/>
        <v>5.1999999999907232E-2</v>
      </c>
      <c r="G215" s="19">
        <f t="shared" si="21"/>
        <v>701.35859866220744</v>
      </c>
      <c r="H215" s="19">
        <f t="shared" si="22"/>
        <v>703.91849263621862</v>
      </c>
      <c r="I215" s="19">
        <f t="shared" si="23"/>
        <v>3.1445532785234738</v>
      </c>
      <c r="J215" s="19">
        <f t="shared" si="24"/>
        <v>0.96252013422818306</v>
      </c>
      <c r="K215" s="17" t="str">
        <f t="shared" si="25"/>
        <v/>
      </c>
      <c r="L215" s="17" t="str">
        <f t="shared" si="26"/>
        <v/>
      </c>
    </row>
    <row r="216" spans="1:12">
      <c r="A216" s="17">
        <v>207</v>
      </c>
      <c r="B216" s="17">
        <v>5</v>
      </c>
      <c r="C216" s="17">
        <v>18</v>
      </c>
      <c r="D216" s="17" t="s">
        <v>279</v>
      </c>
      <c r="E216" s="17">
        <v>700.57899999999995</v>
      </c>
      <c r="F216" s="17">
        <f t="shared" si="27"/>
        <v>0.54300000000000637</v>
      </c>
      <c r="G216" s="19">
        <f t="shared" si="21"/>
        <v>701.35859866220744</v>
      </c>
      <c r="H216" s="19">
        <f t="shared" si="22"/>
        <v>703.91849263621862</v>
      </c>
      <c r="I216" s="19">
        <f t="shared" si="23"/>
        <v>3.1445532785234738</v>
      </c>
      <c r="J216" s="19">
        <f t="shared" si="24"/>
        <v>0.96252013422818306</v>
      </c>
      <c r="K216" s="17" t="str">
        <f t="shared" si="25"/>
        <v/>
      </c>
      <c r="L216" s="17" t="str">
        <f t="shared" si="26"/>
        <v/>
      </c>
    </row>
    <row r="217" spans="1:12">
      <c r="A217" s="17">
        <v>208</v>
      </c>
      <c r="B217" s="17">
        <v>5</v>
      </c>
      <c r="C217" s="17">
        <v>17</v>
      </c>
      <c r="D217" s="17" t="s">
        <v>280</v>
      </c>
      <c r="E217" s="17">
        <v>701.053</v>
      </c>
      <c r="F217" s="17">
        <f t="shared" si="27"/>
        <v>0.47400000000004638</v>
      </c>
      <c r="G217" s="19">
        <f t="shared" si="21"/>
        <v>701.35859866220744</v>
      </c>
      <c r="H217" s="19">
        <f t="shared" si="22"/>
        <v>703.91849263621862</v>
      </c>
      <c r="I217" s="19">
        <f t="shared" si="23"/>
        <v>3.1445532785234738</v>
      </c>
      <c r="J217" s="19">
        <f t="shared" si="24"/>
        <v>0.96252013422818306</v>
      </c>
      <c r="K217" s="17" t="str">
        <f t="shared" si="25"/>
        <v/>
      </c>
      <c r="L217" s="17" t="str">
        <f t="shared" si="26"/>
        <v/>
      </c>
    </row>
    <row r="218" spans="1:12">
      <c r="A218" s="17">
        <v>209</v>
      </c>
      <c r="B218" s="17">
        <v>5</v>
      </c>
      <c r="C218" s="17">
        <v>16</v>
      </c>
      <c r="D218" s="17" t="s">
        <v>281</v>
      </c>
      <c r="E218" s="17">
        <v>702.64099999999996</v>
      </c>
      <c r="F218" s="17">
        <f t="shared" si="27"/>
        <v>1.5879999999999654</v>
      </c>
      <c r="G218" s="19">
        <f t="shared" si="21"/>
        <v>701.35859866220744</v>
      </c>
      <c r="H218" s="19">
        <f t="shared" si="22"/>
        <v>703.91849263621862</v>
      </c>
      <c r="I218" s="19">
        <f t="shared" si="23"/>
        <v>3.1445532785234738</v>
      </c>
      <c r="J218" s="19">
        <f t="shared" si="24"/>
        <v>0.96252013422818306</v>
      </c>
      <c r="K218" s="17" t="str">
        <f t="shared" si="25"/>
        <v/>
      </c>
      <c r="L218" s="17" t="str">
        <f t="shared" si="26"/>
        <v/>
      </c>
    </row>
    <row r="219" spans="1:12">
      <c r="A219" s="17">
        <v>210</v>
      </c>
      <c r="B219" s="17">
        <v>5</v>
      </c>
      <c r="C219" s="17">
        <v>15</v>
      </c>
      <c r="D219" s="17" t="s">
        <v>282</v>
      </c>
      <c r="E219" s="17">
        <v>702.23900000000003</v>
      </c>
      <c r="F219" s="17">
        <f t="shared" si="27"/>
        <v>0.40199999999992997</v>
      </c>
      <c r="G219" s="19">
        <f t="shared" si="21"/>
        <v>701.35859866220744</v>
      </c>
      <c r="H219" s="19">
        <f t="shared" si="22"/>
        <v>703.91849263621862</v>
      </c>
      <c r="I219" s="19">
        <f t="shared" si="23"/>
        <v>3.1445532785234738</v>
      </c>
      <c r="J219" s="19">
        <f t="shared" si="24"/>
        <v>0.96252013422818306</v>
      </c>
      <c r="K219" s="17" t="str">
        <f t="shared" si="25"/>
        <v/>
      </c>
      <c r="L219" s="17" t="str">
        <f t="shared" si="26"/>
        <v/>
      </c>
    </row>
    <row r="220" spans="1:12">
      <c r="A220" s="17">
        <v>211</v>
      </c>
      <c r="B220" s="17">
        <v>5</v>
      </c>
      <c r="C220" s="17">
        <v>14</v>
      </c>
      <c r="D220" s="17" t="s">
        <v>283</v>
      </c>
      <c r="E220" s="17">
        <v>702.59900000000005</v>
      </c>
      <c r="F220" s="17">
        <f t="shared" si="27"/>
        <v>0.36000000000001364</v>
      </c>
      <c r="G220" s="19">
        <f t="shared" si="21"/>
        <v>701.35859866220744</v>
      </c>
      <c r="H220" s="19">
        <f t="shared" si="22"/>
        <v>703.91849263621862</v>
      </c>
      <c r="I220" s="19">
        <f t="shared" si="23"/>
        <v>3.1445532785234738</v>
      </c>
      <c r="J220" s="19">
        <f t="shared" si="24"/>
        <v>0.96252013422818306</v>
      </c>
      <c r="K220" s="17" t="str">
        <f t="shared" si="25"/>
        <v/>
      </c>
      <c r="L220" s="17" t="str">
        <f t="shared" si="26"/>
        <v/>
      </c>
    </row>
    <row r="221" spans="1:12">
      <c r="A221" s="17">
        <v>212</v>
      </c>
      <c r="B221" s="17">
        <v>5</v>
      </c>
      <c r="C221" s="17">
        <v>13</v>
      </c>
      <c r="D221" s="17" t="s">
        <v>284</v>
      </c>
      <c r="E221" s="17">
        <v>700.97199999999998</v>
      </c>
      <c r="F221" s="17">
        <f t="shared" si="27"/>
        <v>1.6270000000000664</v>
      </c>
      <c r="G221" s="19">
        <f t="shared" si="21"/>
        <v>701.35859866220744</v>
      </c>
      <c r="H221" s="19">
        <f t="shared" si="22"/>
        <v>703.91849263621862</v>
      </c>
      <c r="I221" s="19">
        <f t="shared" si="23"/>
        <v>3.1445532785234738</v>
      </c>
      <c r="J221" s="19">
        <f t="shared" si="24"/>
        <v>0.96252013422818306</v>
      </c>
      <c r="K221" s="17" t="str">
        <f t="shared" si="25"/>
        <v/>
      </c>
      <c r="L221" s="17" t="str">
        <f t="shared" si="26"/>
        <v/>
      </c>
    </row>
    <row r="222" spans="1:12">
      <c r="A222" s="17">
        <v>213</v>
      </c>
      <c r="B222" s="17">
        <v>5</v>
      </c>
      <c r="C222" s="17">
        <v>12</v>
      </c>
      <c r="D222" s="17" t="s">
        <v>285</v>
      </c>
      <c r="E222" s="17">
        <v>700.65200000000004</v>
      </c>
      <c r="F222" s="17">
        <f t="shared" si="27"/>
        <v>0.31999999999993634</v>
      </c>
      <c r="G222" s="19">
        <f t="shared" si="21"/>
        <v>701.35859866220744</v>
      </c>
      <c r="H222" s="19">
        <f t="shared" si="22"/>
        <v>703.91849263621862</v>
      </c>
      <c r="I222" s="19">
        <f t="shared" si="23"/>
        <v>3.1445532785234738</v>
      </c>
      <c r="J222" s="19">
        <f t="shared" si="24"/>
        <v>0.96252013422818306</v>
      </c>
      <c r="K222" s="17" t="str">
        <f t="shared" si="25"/>
        <v/>
      </c>
      <c r="L222" s="17" t="str">
        <f t="shared" si="26"/>
        <v/>
      </c>
    </row>
    <row r="223" spans="1:12">
      <c r="A223" s="17">
        <v>214</v>
      </c>
      <c r="B223" s="17">
        <v>5</v>
      </c>
      <c r="C223" s="17">
        <v>11</v>
      </c>
      <c r="D223" s="17" t="s">
        <v>286</v>
      </c>
      <c r="E223" s="17">
        <v>701.51300000000003</v>
      </c>
      <c r="F223" s="17">
        <f t="shared" si="27"/>
        <v>0.86099999999999</v>
      </c>
      <c r="G223" s="19">
        <f t="shared" si="21"/>
        <v>701.35859866220744</v>
      </c>
      <c r="H223" s="19">
        <f t="shared" si="22"/>
        <v>703.91849263621862</v>
      </c>
      <c r="I223" s="19">
        <f t="shared" si="23"/>
        <v>3.1445532785234738</v>
      </c>
      <c r="J223" s="19">
        <f t="shared" si="24"/>
        <v>0.96252013422818306</v>
      </c>
      <c r="K223" s="17" t="str">
        <f t="shared" si="25"/>
        <v/>
      </c>
      <c r="L223" s="17" t="str">
        <f t="shared" si="26"/>
        <v/>
      </c>
    </row>
    <row r="224" spans="1:12">
      <c r="A224" s="17">
        <v>215</v>
      </c>
      <c r="B224" s="17">
        <v>5</v>
      </c>
      <c r="C224" s="17">
        <v>10</v>
      </c>
      <c r="D224" s="17" t="s">
        <v>287</v>
      </c>
      <c r="E224" s="17">
        <v>700.74900000000002</v>
      </c>
      <c r="F224" s="17">
        <f t="shared" si="27"/>
        <v>0.76400000000001</v>
      </c>
      <c r="G224" s="19">
        <f t="shared" si="21"/>
        <v>701.35859866220744</v>
      </c>
      <c r="H224" s="19">
        <f t="shared" si="22"/>
        <v>703.91849263621862</v>
      </c>
      <c r="I224" s="19">
        <f t="shared" si="23"/>
        <v>3.1445532785234738</v>
      </c>
      <c r="J224" s="19">
        <f t="shared" si="24"/>
        <v>0.96252013422818306</v>
      </c>
      <c r="K224" s="17" t="str">
        <f t="shared" si="25"/>
        <v/>
      </c>
      <c r="L224" s="17" t="str">
        <f t="shared" si="26"/>
        <v/>
      </c>
    </row>
    <row r="225" spans="1:12">
      <c r="A225" s="17">
        <v>216</v>
      </c>
      <c r="B225" s="17">
        <v>5</v>
      </c>
      <c r="C225" s="17">
        <v>9</v>
      </c>
      <c r="D225" s="17" t="s">
        <v>288</v>
      </c>
      <c r="E225" s="17">
        <v>700.78599999999994</v>
      </c>
      <c r="F225" s="17">
        <f t="shared" si="27"/>
        <v>3.6999999999920874E-2</v>
      </c>
      <c r="G225" s="19">
        <f t="shared" si="21"/>
        <v>701.35859866220744</v>
      </c>
      <c r="H225" s="19">
        <f t="shared" si="22"/>
        <v>703.91849263621862</v>
      </c>
      <c r="I225" s="19">
        <f t="shared" si="23"/>
        <v>3.1445532785234738</v>
      </c>
      <c r="J225" s="19">
        <f t="shared" si="24"/>
        <v>0.96252013422818306</v>
      </c>
      <c r="K225" s="17" t="str">
        <f t="shared" si="25"/>
        <v/>
      </c>
      <c r="L225" s="17" t="str">
        <f t="shared" si="26"/>
        <v/>
      </c>
    </row>
    <row r="226" spans="1:12">
      <c r="A226" s="17">
        <v>217</v>
      </c>
      <c r="B226" s="17">
        <v>5</v>
      </c>
      <c r="C226" s="17">
        <v>8</v>
      </c>
      <c r="D226" s="17" t="s">
        <v>289</v>
      </c>
      <c r="E226" s="17">
        <v>700.05</v>
      </c>
      <c r="F226" s="17">
        <f t="shared" si="27"/>
        <v>0.73599999999999</v>
      </c>
      <c r="G226" s="19">
        <f t="shared" si="21"/>
        <v>701.35859866220744</v>
      </c>
      <c r="H226" s="19">
        <f t="shared" si="22"/>
        <v>703.91849263621862</v>
      </c>
      <c r="I226" s="19">
        <f t="shared" si="23"/>
        <v>3.1445532785234738</v>
      </c>
      <c r="J226" s="19">
        <f t="shared" si="24"/>
        <v>0.96252013422818306</v>
      </c>
      <c r="K226" s="17" t="str">
        <f t="shared" si="25"/>
        <v/>
      </c>
      <c r="L226" s="17" t="str">
        <f t="shared" si="26"/>
        <v/>
      </c>
    </row>
    <row r="227" spans="1:12">
      <c r="A227" s="17">
        <v>218</v>
      </c>
      <c r="B227" s="17">
        <v>5</v>
      </c>
      <c r="C227" s="17">
        <v>7</v>
      </c>
      <c r="D227" s="17" t="s">
        <v>290</v>
      </c>
      <c r="E227" s="17">
        <v>701.15599999999995</v>
      </c>
      <c r="F227" s="17">
        <f t="shared" si="27"/>
        <v>1.1059999999999945</v>
      </c>
      <c r="G227" s="19">
        <f t="shared" si="21"/>
        <v>701.35859866220744</v>
      </c>
      <c r="H227" s="19">
        <f t="shared" si="22"/>
        <v>703.91849263621862</v>
      </c>
      <c r="I227" s="19">
        <f t="shared" si="23"/>
        <v>3.1445532785234738</v>
      </c>
      <c r="J227" s="19">
        <f t="shared" si="24"/>
        <v>0.96252013422818306</v>
      </c>
      <c r="K227" s="17" t="str">
        <f t="shared" si="25"/>
        <v/>
      </c>
      <c r="L227" s="17" t="str">
        <f t="shared" si="26"/>
        <v/>
      </c>
    </row>
    <row r="228" spans="1:12">
      <c r="A228" s="17">
        <v>219</v>
      </c>
      <c r="B228" s="17">
        <v>5</v>
      </c>
      <c r="C228" s="17">
        <v>6</v>
      </c>
      <c r="D228" s="17" t="s">
        <v>291</v>
      </c>
      <c r="E228" s="17">
        <v>699.78200000000004</v>
      </c>
      <c r="F228" s="17">
        <f t="shared" si="27"/>
        <v>1.37399999999991</v>
      </c>
      <c r="G228" s="19">
        <f t="shared" si="21"/>
        <v>701.35859866220744</v>
      </c>
      <c r="H228" s="19">
        <f t="shared" si="22"/>
        <v>703.91849263621862</v>
      </c>
      <c r="I228" s="19">
        <f t="shared" si="23"/>
        <v>3.1445532785234738</v>
      </c>
      <c r="J228" s="19">
        <f t="shared" si="24"/>
        <v>0.96252013422818306</v>
      </c>
      <c r="K228" s="17" t="str">
        <f t="shared" si="25"/>
        <v/>
      </c>
      <c r="L228" s="17" t="str">
        <f t="shared" si="26"/>
        <v/>
      </c>
    </row>
    <row r="229" spans="1:12">
      <c r="A229" s="17">
        <v>220</v>
      </c>
      <c r="B229" s="17">
        <v>5</v>
      </c>
      <c r="C229" s="17">
        <v>5</v>
      </c>
      <c r="D229" s="17" t="s">
        <v>292</v>
      </c>
      <c r="E229" s="17">
        <v>701.48599999999999</v>
      </c>
      <c r="F229" s="17">
        <f t="shared" si="27"/>
        <v>1.7039999999999509</v>
      </c>
      <c r="G229" s="19">
        <f t="shared" si="21"/>
        <v>701.35859866220744</v>
      </c>
      <c r="H229" s="19">
        <f t="shared" si="22"/>
        <v>703.91849263621862</v>
      </c>
      <c r="I229" s="19">
        <f t="shared" si="23"/>
        <v>3.1445532785234738</v>
      </c>
      <c r="J229" s="19">
        <f t="shared" si="24"/>
        <v>0.96252013422818306</v>
      </c>
      <c r="K229" s="17" t="str">
        <f t="shared" si="25"/>
        <v/>
      </c>
      <c r="L229" s="17" t="str">
        <f t="shared" si="26"/>
        <v/>
      </c>
    </row>
    <row r="230" spans="1:12">
      <c r="A230" s="17">
        <v>221</v>
      </c>
      <c r="B230" s="17">
        <v>5</v>
      </c>
      <c r="C230" s="17">
        <v>4</v>
      </c>
      <c r="D230" s="17" t="s">
        <v>293</v>
      </c>
      <c r="E230" s="17">
        <v>701.11800000000005</v>
      </c>
      <c r="F230" s="17">
        <f t="shared" si="27"/>
        <v>0.36799999999993815</v>
      </c>
      <c r="G230" s="19">
        <f t="shared" si="21"/>
        <v>701.35859866220744</v>
      </c>
      <c r="H230" s="19">
        <f t="shared" si="22"/>
        <v>703.91849263621862</v>
      </c>
      <c r="I230" s="19">
        <f t="shared" si="23"/>
        <v>3.1445532785234738</v>
      </c>
      <c r="J230" s="19">
        <f t="shared" si="24"/>
        <v>0.96252013422818306</v>
      </c>
      <c r="K230" s="17" t="str">
        <f t="shared" si="25"/>
        <v/>
      </c>
      <c r="L230" s="17" t="str">
        <f t="shared" si="26"/>
        <v/>
      </c>
    </row>
    <row r="231" spans="1:12">
      <c r="A231" s="17">
        <v>222</v>
      </c>
      <c r="B231" s="17">
        <v>5</v>
      </c>
      <c r="C231" s="17">
        <v>3</v>
      </c>
      <c r="D231" s="17" t="s">
        <v>294</v>
      </c>
      <c r="E231" s="17">
        <v>701.923</v>
      </c>
      <c r="F231" s="17">
        <f t="shared" si="27"/>
        <v>0.80499999999994998</v>
      </c>
      <c r="G231" s="19">
        <f t="shared" si="21"/>
        <v>701.35859866220744</v>
      </c>
      <c r="H231" s="19">
        <f t="shared" si="22"/>
        <v>703.91849263621862</v>
      </c>
      <c r="I231" s="19">
        <f t="shared" si="23"/>
        <v>3.1445532785234738</v>
      </c>
      <c r="J231" s="19">
        <f t="shared" si="24"/>
        <v>0.96252013422818306</v>
      </c>
      <c r="K231" s="17" t="str">
        <f t="shared" si="25"/>
        <v/>
      </c>
      <c r="L231" s="17" t="str">
        <f t="shared" si="26"/>
        <v/>
      </c>
    </row>
    <row r="232" spans="1:12">
      <c r="A232" s="17">
        <v>223</v>
      </c>
      <c r="B232" s="17">
        <v>5</v>
      </c>
      <c r="C232" s="17">
        <v>2</v>
      </c>
      <c r="D232" s="17" t="s">
        <v>295</v>
      </c>
      <c r="E232" s="17">
        <v>701.47199999999998</v>
      </c>
      <c r="F232" s="17">
        <f t="shared" si="27"/>
        <v>0.45100000000002183</v>
      </c>
      <c r="G232" s="19">
        <f t="shared" si="21"/>
        <v>701.35859866220744</v>
      </c>
      <c r="H232" s="19">
        <f t="shared" si="22"/>
        <v>703.91849263621862</v>
      </c>
      <c r="I232" s="19">
        <f t="shared" si="23"/>
        <v>3.1445532785234738</v>
      </c>
      <c r="J232" s="19">
        <f t="shared" si="24"/>
        <v>0.96252013422818306</v>
      </c>
      <c r="K232" s="17" t="str">
        <f t="shared" si="25"/>
        <v/>
      </c>
      <c r="L232" s="17" t="str">
        <f t="shared" si="26"/>
        <v/>
      </c>
    </row>
    <row r="233" spans="1:12">
      <c r="A233" s="17">
        <v>224</v>
      </c>
      <c r="B233" s="17">
        <v>5</v>
      </c>
      <c r="C233" s="17">
        <v>1</v>
      </c>
      <c r="D233" s="17" t="s">
        <v>296</v>
      </c>
      <c r="E233" s="17">
        <v>701.92200000000003</v>
      </c>
      <c r="F233" s="17">
        <f t="shared" si="27"/>
        <v>0.45000000000004547</v>
      </c>
      <c r="G233" s="19">
        <f t="shared" si="21"/>
        <v>701.35859866220744</v>
      </c>
      <c r="H233" s="19">
        <f t="shared" si="22"/>
        <v>703.91849263621862</v>
      </c>
      <c r="I233" s="19">
        <f t="shared" si="23"/>
        <v>3.1445532785234738</v>
      </c>
      <c r="J233" s="19">
        <f t="shared" si="24"/>
        <v>0.96252013422818306</v>
      </c>
      <c r="K233" s="17" t="str">
        <f t="shared" si="25"/>
        <v/>
      </c>
      <c r="L233" s="17" t="str">
        <f t="shared" si="26"/>
        <v/>
      </c>
    </row>
    <row r="234" spans="1:12">
      <c r="A234" s="17">
        <v>225</v>
      </c>
      <c r="B234" s="17">
        <v>5</v>
      </c>
      <c r="C234" s="17">
        <v>25</v>
      </c>
      <c r="D234" s="17" t="s">
        <v>297</v>
      </c>
      <c r="E234" s="17">
        <v>700.75800000000004</v>
      </c>
      <c r="F234" s="17">
        <f t="shared" si="27"/>
        <v>1.1639999999999873</v>
      </c>
      <c r="G234" s="19">
        <f t="shared" si="21"/>
        <v>701.35859866220744</v>
      </c>
      <c r="H234" s="19">
        <f t="shared" si="22"/>
        <v>703.91849263621862</v>
      </c>
      <c r="I234" s="19">
        <f t="shared" si="23"/>
        <v>3.1445532785234738</v>
      </c>
      <c r="J234" s="19">
        <f t="shared" si="24"/>
        <v>0.96252013422818306</v>
      </c>
      <c r="K234" s="17" t="str">
        <f t="shared" si="25"/>
        <v/>
      </c>
      <c r="L234" s="17" t="str">
        <f t="shared" si="26"/>
        <v/>
      </c>
    </row>
    <row r="235" spans="1:12">
      <c r="A235" s="17">
        <v>226</v>
      </c>
      <c r="B235" s="17">
        <v>5</v>
      </c>
      <c r="C235" s="17">
        <v>24</v>
      </c>
      <c r="D235" s="17" t="s">
        <v>298</v>
      </c>
      <c r="E235" s="17">
        <v>699.13499999999999</v>
      </c>
      <c r="F235" s="17">
        <f t="shared" si="27"/>
        <v>1.6230000000000473</v>
      </c>
      <c r="G235" s="19">
        <f t="shared" si="21"/>
        <v>701.35859866220744</v>
      </c>
      <c r="H235" s="19">
        <f t="shared" si="22"/>
        <v>703.91849263621862</v>
      </c>
      <c r="I235" s="19">
        <f t="shared" si="23"/>
        <v>3.1445532785234738</v>
      </c>
      <c r="J235" s="19">
        <f t="shared" si="24"/>
        <v>0.96252013422818306</v>
      </c>
      <c r="K235" s="17" t="str">
        <f t="shared" si="25"/>
        <v/>
      </c>
      <c r="L235" s="17" t="str">
        <f t="shared" si="26"/>
        <v/>
      </c>
    </row>
    <row r="236" spans="1:12">
      <c r="A236" s="17">
        <v>227</v>
      </c>
      <c r="B236" s="17">
        <v>5</v>
      </c>
      <c r="C236" s="17">
        <v>23</v>
      </c>
      <c r="D236" s="17" t="s">
        <v>299</v>
      </c>
      <c r="E236" s="17">
        <v>701.34799999999996</v>
      </c>
      <c r="F236" s="17">
        <f t="shared" si="27"/>
        <v>2.2129999999999654</v>
      </c>
      <c r="G236" s="19">
        <f t="shared" si="21"/>
        <v>701.35859866220744</v>
      </c>
      <c r="H236" s="19">
        <f t="shared" si="22"/>
        <v>703.91849263621862</v>
      </c>
      <c r="I236" s="19">
        <f t="shared" si="23"/>
        <v>3.1445532785234738</v>
      </c>
      <c r="J236" s="19">
        <f t="shared" si="24"/>
        <v>0.96252013422818306</v>
      </c>
      <c r="K236" s="17" t="str">
        <f t="shared" si="25"/>
        <v/>
      </c>
      <c r="L236" s="17" t="str">
        <f t="shared" si="26"/>
        <v/>
      </c>
    </row>
    <row r="237" spans="1:12">
      <c r="A237" s="17">
        <v>228</v>
      </c>
      <c r="B237" s="17">
        <v>5</v>
      </c>
      <c r="C237" s="17">
        <v>22</v>
      </c>
      <c r="D237" s="17" t="s">
        <v>300</v>
      </c>
      <c r="E237" s="17">
        <v>699.48299999999995</v>
      </c>
      <c r="F237" s="17">
        <f t="shared" si="27"/>
        <v>1.8650000000000091</v>
      </c>
      <c r="G237" s="19">
        <f t="shared" si="21"/>
        <v>701.35859866220744</v>
      </c>
      <c r="H237" s="19">
        <f t="shared" si="22"/>
        <v>703.91849263621862</v>
      </c>
      <c r="I237" s="19">
        <f t="shared" si="23"/>
        <v>3.1445532785234738</v>
      </c>
      <c r="J237" s="19">
        <f t="shared" si="24"/>
        <v>0.96252013422818306</v>
      </c>
      <c r="K237" s="17" t="str">
        <f t="shared" si="25"/>
        <v/>
      </c>
      <c r="L237" s="17" t="str">
        <f t="shared" si="26"/>
        <v/>
      </c>
    </row>
    <row r="238" spans="1:12">
      <c r="A238" s="17">
        <v>229</v>
      </c>
      <c r="B238" s="17">
        <v>5</v>
      </c>
      <c r="C238" s="17">
        <v>21</v>
      </c>
      <c r="D238" s="17" t="s">
        <v>301</v>
      </c>
      <c r="E238" s="17">
        <v>701.19799999999998</v>
      </c>
      <c r="F238" s="17">
        <f t="shared" si="27"/>
        <v>1.7150000000000318</v>
      </c>
      <c r="G238" s="19">
        <f t="shared" si="21"/>
        <v>701.35859866220744</v>
      </c>
      <c r="H238" s="19">
        <f t="shared" si="22"/>
        <v>703.91849263621862</v>
      </c>
      <c r="I238" s="19">
        <f t="shared" si="23"/>
        <v>3.1445532785234738</v>
      </c>
      <c r="J238" s="19">
        <f t="shared" si="24"/>
        <v>0.96252013422818306</v>
      </c>
      <c r="K238" s="17" t="str">
        <f t="shared" si="25"/>
        <v/>
      </c>
      <c r="L238" s="17" t="str">
        <f t="shared" si="26"/>
        <v/>
      </c>
    </row>
    <row r="239" spans="1:12">
      <c r="A239" s="17">
        <v>230</v>
      </c>
      <c r="B239" s="17">
        <v>5</v>
      </c>
      <c r="C239" s="17">
        <v>20</v>
      </c>
      <c r="D239" s="17" t="s">
        <v>302</v>
      </c>
      <c r="E239" s="17">
        <v>701.05600000000004</v>
      </c>
      <c r="F239" s="17">
        <f t="shared" si="27"/>
        <v>0.14199999999993906</v>
      </c>
      <c r="G239" s="19">
        <f t="shared" si="21"/>
        <v>701.35859866220744</v>
      </c>
      <c r="H239" s="19">
        <f t="shared" si="22"/>
        <v>703.91849263621862</v>
      </c>
      <c r="I239" s="19">
        <f t="shared" si="23"/>
        <v>3.1445532785234738</v>
      </c>
      <c r="J239" s="19">
        <f t="shared" si="24"/>
        <v>0.96252013422818306</v>
      </c>
      <c r="K239" s="17" t="str">
        <f t="shared" si="25"/>
        <v/>
      </c>
      <c r="L239" s="17" t="str">
        <f t="shared" si="26"/>
        <v/>
      </c>
    </row>
    <row r="240" spans="1:12">
      <c r="A240" s="17">
        <v>231</v>
      </c>
      <c r="B240" s="17">
        <v>5</v>
      </c>
      <c r="C240" s="17">
        <v>19</v>
      </c>
      <c r="D240" s="17" t="s">
        <v>303</v>
      </c>
      <c r="E240" s="17">
        <v>700.95500000000004</v>
      </c>
      <c r="F240" s="17">
        <f t="shared" si="27"/>
        <v>0.10099999999999909</v>
      </c>
      <c r="G240" s="19">
        <f t="shared" si="21"/>
        <v>701.35859866220744</v>
      </c>
      <c r="H240" s="19">
        <f t="shared" si="22"/>
        <v>703.91849263621862</v>
      </c>
      <c r="I240" s="19">
        <f t="shared" si="23"/>
        <v>3.1445532785234738</v>
      </c>
      <c r="J240" s="19">
        <f t="shared" si="24"/>
        <v>0.96252013422818306</v>
      </c>
      <c r="K240" s="17" t="str">
        <f t="shared" si="25"/>
        <v/>
      </c>
      <c r="L240" s="17" t="str">
        <f t="shared" si="26"/>
        <v/>
      </c>
    </row>
    <row r="241" spans="1:12">
      <c r="A241" s="17">
        <v>232</v>
      </c>
      <c r="B241" s="17">
        <v>5</v>
      </c>
      <c r="C241" s="17">
        <v>18</v>
      </c>
      <c r="D241" s="17" t="s">
        <v>304</v>
      </c>
      <c r="E241" s="17">
        <v>700.51800000000003</v>
      </c>
      <c r="F241" s="17">
        <f t="shared" si="27"/>
        <v>0.43700000000001182</v>
      </c>
      <c r="G241" s="19">
        <f t="shared" si="21"/>
        <v>701.35859866220744</v>
      </c>
      <c r="H241" s="19">
        <f t="shared" si="22"/>
        <v>703.91849263621862</v>
      </c>
      <c r="I241" s="19">
        <f t="shared" si="23"/>
        <v>3.1445532785234738</v>
      </c>
      <c r="J241" s="19">
        <f t="shared" si="24"/>
        <v>0.96252013422818306</v>
      </c>
      <c r="K241" s="17" t="str">
        <f t="shared" si="25"/>
        <v/>
      </c>
      <c r="L241" s="17" t="str">
        <f t="shared" si="26"/>
        <v/>
      </c>
    </row>
    <row r="242" spans="1:12">
      <c r="A242" s="17">
        <v>233</v>
      </c>
      <c r="B242" s="17">
        <v>5</v>
      </c>
      <c r="C242" s="17">
        <v>17</v>
      </c>
      <c r="D242" s="17" t="s">
        <v>305</v>
      </c>
      <c r="E242" s="17">
        <v>699.80399999999997</v>
      </c>
      <c r="F242" s="17">
        <f t="shared" si="27"/>
        <v>0.71400000000005548</v>
      </c>
      <c r="G242" s="19">
        <f t="shared" si="21"/>
        <v>701.35859866220744</v>
      </c>
      <c r="H242" s="19">
        <f t="shared" si="22"/>
        <v>703.91849263621862</v>
      </c>
      <c r="I242" s="19">
        <f t="shared" si="23"/>
        <v>3.1445532785234738</v>
      </c>
      <c r="J242" s="19">
        <f t="shared" si="24"/>
        <v>0.96252013422818306</v>
      </c>
      <c r="K242" s="17" t="str">
        <f t="shared" si="25"/>
        <v/>
      </c>
      <c r="L242" s="17" t="str">
        <f t="shared" si="26"/>
        <v/>
      </c>
    </row>
    <row r="243" spans="1:12">
      <c r="A243" s="17">
        <v>234</v>
      </c>
      <c r="B243" s="17">
        <v>5</v>
      </c>
      <c r="C243" s="17">
        <v>16</v>
      </c>
      <c r="D243" s="17" t="s">
        <v>306</v>
      </c>
      <c r="E243" s="17">
        <v>700.40200000000004</v>
      </c>
      <c r="F243" s="17">
        <f t="shared" si="27"/>
        <v>0.59800000000007003</v>
      </c>
      <c r="G243" s="19">
        <f t="shared" si="21"/>
        <v>701.35859866220744</v>
      </c>
      <c r="H243" s="19">
        <f t="shared" si="22"/>
        <v>703.91849263621862</v>
      </c>
      <c r="I243" s="19">
        <f t="shared" si="23"/>
        <v>3.1445532785234738</v>
      </c>
      <c r="J243" s="19">
        <f t="shared" si="24"/>
        <v>0.96252013422818306</v>
      </c>
      <c r="K243" s="17" t="str">
        <f t="shared" si="25"/>
        <v/>
      </c>
      <c r="L243" s="17" t="str">
        <f t="shared" si="26"/>
        <v/>
      </c>
    </row>
    <row r="244" spans="1:12">
      <c r="A244" s="17">
        <v>235</v>
      </c>
      <c r="B244" s="17">
        <v>5</v>
      </c>
      <c r="C244" s="17">
        <v>15</v>
      </c>
      <c r="D244" s="17" t="s">
        <v>307</v>
      </c>
      <c r="E244" s="17">
        <v>699.88900000000001</v>
      </c>
      <c r="F244" s="17">
        <f t="shared" si="27"/>
        <v>0.51300000000003365</v>
      </c>
      <c r="G244" s="19">
        <f t="shared" si="21"/>
        <v>701.35859866220744</v>
      </c>
      <c r="H244" s="19">
        <f t="shared" si="22"/>
        <v>703.91849263621862</v>
      </c>
      <c r="I244" s="19">
        <f t="shared" si="23"/>
        <v>3.1445532785234738</v>
      </c>
      <c r="J244" s="19">
        <f t="shared" si="24"/>
        <v>0.96252013422818306</v>
      </c>
      <c r="K244" s="17" t="str">
        <f t="shared" si="25"/>
        <v/>
      </c>
      <c r="L244" s="17" t="str">
        <f t="shared" si="26"/>
        <v/>
      </c>
    </row>
    <row r="245" spans="1:12">
      <c r="A245" s="17">
        <v>236</v>
      </c>
      <c r="B245" s="17">
        <v>5</v>
      </c>
      <c r="C245" s="17">
        <v>14</v>
      </c>
      <c r="D245" s="17" t="s">
        <v>308</v>
      </c>
      <c r="E245" s="17">
        <v>701.37199999999996</v>
      </c>
      <c r="F245" s="17">
        <f t="shared" si="27"/>
        <v>1.4829999999999472</v>
      </c>
      <c r="G245" s="19">
        <f t="shared" si="21"/>
        <v>701.35859866220744</v>
      </c>
      <c r="H245" s="19">
        <f t="shared" si="22"/>
        <v>703.91849263621862</v>
      </c>
      <c r="I245" s="19">
        <f t="shared" si="23"/>
        <v>3.1445532785234738</v>
      </c>
      <c r="J245" s="19">
        <f t="shared" si="24"/>
        <v>0.96252013422818306</v>
      </c>
      <c r="K245" s="17" t="str">
        <f t="shared" si="25"/>
        <v/>
      </c>
      <c r="L245" s="17" t="str">
        <f t="shared" si="26"/>
        <v/>
      </c>
    </row>
    <row r="246" spans="1:12">
      <c r="A246" s="17">
        <v>237</v>
      </c>
      <c r="B246" s="17">
        <v>5</v>
      </c>
      <c r="C246" s="17">
        <v>13</v>
      </c>
      <c r="D246" s="17" t="s">
        <v>309</v>
      </c>
      <c r="E246" s="17">
        <v>700.07</v>
      </c>
      <c r="F246" s="17">
        <f t="shared" si="27"/>
        <v>1.3019999999999072</v>
      </c>
      <c r="G246" s="19">
        <f t="shared" si="21"/>
        <v>701.35859866220744</v>
      </c>
      <c r="H246" s="19">
        <f t="shared" si="22"/>
        <v>703.91849263621862</v>
      </c>
      <c r="I246" s="19">
        <f t="shared" si="23"/>
        <v>3.1445532785234738</v>
      </c>
      <c r="J246" s="19">
        <f t="shared" si="24"/>
        <v>0.96252013422818306</v>
      </c>
      <c r="K246" s="17" t="str">
        <f t="shared" si="25"/>
        <v/>
      </c>
      <c r="L246" s="17" t="str">
        <f t="shared" si="26"/>
        <v/>
      </c>
    </row>
    <row r="247" spans="1:12">
      <c r="A247" s="17">
        <v>238</v>
      </c>
      <c r="B247" s="17">
        <v>5</v>
      </c>
      <c r="C247" s="17">
        <v>12</v>
      </c>
      <c r="D247" s="17" t="s">
        <v>310</v>
      </c>
      <c r="E247" s="17">
        <v>701.95799999999997</v>
      </c>
      <c r="F247" s="17">
        <f t="shared" si="27"/>
        <v>1.88799999999992</v>
      </c>
      <c r="G247" s="19">
        <f t="shared" si="21"/>
        <v>701.35859866220744</v>
      </c>
      <c r="H247" s="19">
        <f t="shared" si="22"/>
        <v>703.91849263621862</v>
      </c>
      <c r="I247" s="19">
        <f t="shared" si="23"/>
        <v>3.1445532785234738</v>
      </c>
      <c r="J247" s="19">
        <f t="shared" si="24"/>
        <v>0.96252013422818306</v>
      </c>
      <c r="K247" s="17" t="str">
        <f t="shared" si="25"/>
        <v/>
      </c>
      <c r="L247" s="17" t="str">
        <f t="shared" si="26"/>
        <v/>
      </c>
    </row>
    <row r="248" spans="1:12">
      <c r="A248" s="17">
        <v>239</v>
      </c>
      <c r="B248" s="17">
        <v>5</v>
      </c>
      <c r="C248" s="17">
        <v>11</v>
      </c>
      <c r="D248" s="17" t="s">
        <v>311</v>
      </c>
      <c r="E248" s="17">
        <v>702.03599999999994</v>
      </c>
      <c r="F248" s="17">
        <f t="shared" si="27"/>
        <v>7.7999999999974534E-2</v>
      </c>
      <c r="G248" s="19">
        <f t="shared" si="21"/>
        <v>701.35859866220744</v>
      </c>
      <c r="H248" s="19">
        <f t="shared" si="22"/>
        <v>703.91849263621862</v>
      </c>
      <c r="I248" s="19">
        <f t="shared" si="23"/>
        <v>3.1445532785234738</v>
      </c>
      <c r="J248" s="19">
        <f t="shared" si="24"/>
        <v>0.96252013422818306</v>
      </c>
      <c r="K248" s="17" t="str">
        <f t="shared" si="25"/>
        <v/>
      </c>
      <c r="L248" s="17" t="str">
        <f t="shared" si="26"/>
        <v/>
      </c>
    </row>
    <row r="249" spans="1:12">
      <c r="A249" s="17">
        <v>240</v>
      </c>
      <c r="B249" s="17">
        <v>5</v>
      </c>
      <c r="C249" s="17">
        <v>10</v>
      </c>
      <c r="D249" s="17" t="s">
        <v>312</v>
      </c>
      <c r="E249" s="17">
        <v>700.44600000000003</v>
      </c>
      <c r="F249" s="17">
        <f t="shared" si="27"/>
        <v>1.5899999999999181</v>
      </c>
      <c r="G249" s="19">
        <f t="shared" si="21"/>
        <v>701.35859866220744</v>
      </c>
      <c r="H249" s="19">
        <f t="shared" si="22"/>
        <v>703.91849263621862</v>
      </c>
      <c r="I249" s="19">
        <f t="shared" si="23"/>
        <v>3.1445532785234738</v>
      </c>
      <c r="J249" s="19">
        <f t="shared" si="24"/>
        <v>0.96252013422818306</v>
      </c>
      <c r="K249" s="17" t="str">
        <f t="shared" si="25"/>
        <v/>
      </c>
      <c r="L249" s="17" t="str">
        <f t="shared" si="26"/>
        <v/>
      </c>
    </row>
    <row r="250" spans="1:12">
      <c r="A250" s="17">
        <v>241</v>
      </c>
      <c r="B250" s="17">
        <v>5</v>
      </c>
      <c r="C250" s="17">
        <v>9</v>
      </c>
      <c r="D250" s="17" t="s">
        <v>313</v>
      </c>
      <c r="E250" s="17">
        <v>701.86500000000001</v>
      </c>
      <c r="F250" s="17">
        <f t="shared" si="27"/>
        <v>1.4189999999999827</v>
      </c>
      <c r="G250" s="19">
        <f t="shared" si="21"/>
        <v>701.35859866220744</v>
      </c>
      <c r="H250" s="19">
        <f t="shared" si="22"/>
        <v>703.91849263621862</v>
      </c>
      <c r="I250" s="19">
        <f t="shared" si="23"/>
        <v>3.1445532785234738</v>
      </c>
      <c r="J250" s="19">
        <f t="shared" si="24"/>
        <v>0.96252013422818306</v>
      </c>
      <c r="K250" s="17" t="str">
        <f t="shared" si="25"/>
        <v/>
      </c>
      <c r="L250" s="17" t="str">
        <f t="shared" si="26"/>
        <v/>
      </c>
    </row>
    <row r="251" spans="1:12">
      <c r="A251" s="17">
        <v>242</v>
      </c>
      <c r="B251" s="17">
        <v>5</v>
      </c>
      <c r="C251" s="17">
        <v>8</v>
      </c>
      <c r="D251" s="17" t="s">
        <v>314</v>
      </c>
      <c r="E251" s="17">
        <v>701.95399999999995</v>
      </c>
      <c r="F251" s="17">
        <f t="shared" si="27"/>
        <v>8.8999999999941792E-2</v>
      </c>
      <c r="G251" s="19">
        <f t="shared" si="21"/>
        <v>701.35859866220744</v>
      </c>
      <c r="H251" s="19">
        <f t="shared" si="22"/>
        <v>703.91849263621862</v>
      </c>
      <c r="I251" s="19">
        <f t="shared" si="23"/>
        <v>3.1445532785234738</v>
      </c>
      <c r="J251" s="19">
        <f t="shared" si="24"/>
        <v>0.96252013422818306</v>
      </c>
      <c r="K251" s="17" t="str">
        <f t="shared" si="25"/>
        <v/>
      </c>
      <c r="L251" s="17" t="str">
        <f t="shared" si="26"/>
        <v/>
      </c>
    </row>
    <row r="252" spans="1:12">
      <c r="A252" s="17">
        <v>243</v>
      </c>
      <c r="B252" s="17">
        <v>5</v>
      </c>
      <c r="C252" s="17">
        <v>7</v>
      </c>
      <c r="D252" s="17" t="s">
        <v>315</v>
      </c>
      <c r="E252" s="17">
        <v>702.78399999999999</v>
      </c>
      <c r="F252" s="17">
        <f t="shared" si="27"/>
        <v>0.83000000000004093</v>
      </c>
      <c r="G252" s="19">
        <f t="shared" si="21"/>
        <v>701.35859866220744</v>
      </c>
      <c r="H252" s="19">
        <f t="shared" si="22"/>
        <v>703.91849263621862</v>
      </c>
      <c r="I252" s="19">
        <f t="shared" si="23"/>
        <v>3.1445532785234738</v>
      </c>
      <c r="J252" s="19">
        <f t="shared" si="24"/>
        <v>0.96252013422818306</v>
      </c>
      <c r="K252" s="17" t="str">
        <f t="shared" si="25"/>
        <v/>
      </c>
      <c r="L252" s="17" t="str">
        <f t="shared" si="26"/>
        <v/>
      </c>
    </row>
    <row r="253" spans="1:12">
      <c r="A253" s="17">
        <v>244</v>
      </c>
      <c r="B253" s="17">
        <v>5</v>
      </c>
      <c r="C253" s="17">
        <v>6</v>
      </c>
      <c r="D253" s="17" t="s">
        <v>316</v>
      </c>
      <c r="E253" s="17">
        <v>700.61599999999999</v>
      </c>
      <c r="F253" s="17">
        <f t="shared" si="27"/>
        <v>2.1680000000000064</v>
      </c>
      <c r="G253" s="19">
        <f t="shared" si="21"/>
        <v>701.35859866220744</v>
      </c>
      <c r="H253" s="19">
        <f t="shared" si="22"/>
        <v>703.91849263621862</v>
      </c>
      <c r="I253" s="19">
        <f t="shared" si="23"/>
        <v>3.1445532785234738</v>
      </c>
      <c r="J253" s="19">
        <f t="shared" si="24"/>
        <v>0.96252013422818306</v>
      </c>
      <c r="K253" s="17" t="str">
        <f t="shared" si="25"/>
        <v/>
      </c>
      <c r="L253" s="17" t="str">
        <f t="shared" si="26"/>
        <v/>
      </c>
    </row>
    <row r="254" spans="1:12">
      <c r="A254" s="17">
        <v>245</v>
      </c>
      <c r="B254" s="17">
        <v>5</v>
      </c>
      <c r="C254" s="17">
        <v>5</v>
      </c>
      <c r="D254" s="17" t="s">
        <v>317</v>
      </c>
      <c r="E254" s="17">
        <v>701.03700000000003</v>
      </c>
      <c r="F254" s="17">
        <f t="shared" si="27"/>
        <v>0.42100000000004911</v>
      </c>
      <c r="G254" s="19">
        <f t="shared" si="21"/>
        <v>701.35859866220744</v>
      </c>
      <c r="H254" s="19">
        <f t="shared" si="22"/>
        <v>703.91849263621862</v>
      </c>
      <c r="I254" s="19">
        <f t="shared" si="23"/>
        <v>3.1445532785234738</v>
      </c>
      <c r="J254" s="19">
        <f t="shared" si="24"/>
        <v>0.96252013422818306</v>
      </c>
      <c r="K254" s="17" t="str">
        <f t="shared" si="25"/>
        <v/>
      </c>
      <c r="L254" s="17" t="str">
        <f t="shared" si="26"/>
        <v/>
      </c>
    </row>
    <row r="255" spans="1:12">
      <c r="A255" s="17">
        <v>246</v>
      </c>
      <c r="B255" s="17">
        <v>5</v>
      </c>
      <c r="C255" s="17">
        <v>4</v>
      </c>
      <c r="D255" s="17" t="s">
        <v>318</v>
      </c>
      <c r="E255" s="17">
        <v>701.20799999999997</v>
      </c>
      <c r="F255" s="17">
        <f t="shared" si="27"/>
        <v>0.17099999999993543</v>
      </c>
      <c r="G255" s="19">
        <f t="shared" si="21"/>
        <v>701.35859866220744</v>
      </c>
      <c r="H255" s="19">
        <f t="shared" si="22"/>
        <v>703.91849263621862</v>
      </c>
      <c r="I255" s="19">
        <f t="shared" si="23"/>
        <v>3.1445532785234738</v>
      </c>
      <c r="J255" s="19">
        <f t="shared" si="24"/>
        <v>0.96252013422818306</v>
      </c>
      <c r="K255" s="17" t="str">
        <f t="shared" si="25"/>
        <v/>
      </c>
      <c r="L255" s="17" t="str">
        <f t="shared" si="26"/>
        <v/>
      </c>
    </row>
    <row r="256" spans="1:12">
      <c r="A256" s="17">
        <v>247</v>
      </c>
      <c r="B256" s="17">
        <v>5</v>
      </c>
      <c r="C256" s="17">
        <v>3</v>
      </c>
      <c r="D256" s="17" t="s">
        <v>319</v>
      </c>
      <c r="E256" s="17">
        <v>701.85299999999995</v>
      </c>
      <c r="F256" s="17">
        <f t="shared" si="27"/>
        <v>0.64499999999998181</v>
      </c>
      <c r="G256" s="19">
        <f t="shared" si="21"/>
        <v>701.35859866220744</v>
      </c>
      <c r="H256" s="19">
        <f t="shared" si="22"/>
        <v>703.91849263621862</v>
      </c>
      <c r="I256" s="19">
        <f t="shared" si="23"/>
        <v>3.1445532785234738</v>
      </c>
      <c r="J256" s="19">
        <f t="shared" si="24"/>
        <v>0.96252013422818306</v>
      </c>
      <c r="K256" s="17" t="str">
        <f t="shared" si="25"/>
        <v/>
      </c>
      <c r="L256" s="17" t="str">
        <f t="shared" si="26"/>
        <v/>
      </c>
    </row>
    <row r="257" spans="1:12">
      <c r="A257" s="17">
        <v>248</v>
      </c>
      <c r="B257" s="17">
        <v>5</v>
      </c>
      <c r="C257" s="17">
        <v>2</v>
      </c>
      <c r="D257" s="17" t="s">
        <v>320</v>
      </c>
      <c r="E257" s="17">
        <v>701.25099999999998</v>
      </c>
      <c r="F257" s="17">
        <f t="shared" si="27"/>
        <v>0.60199999999997544</v>
      </c>
      <c r="G257" s="19">
        <f t="shared" si="21"/>
        <v>701.35859866220744</v>
      </c>
      <c r="H257" s="19">
        <f t="shared" si="22"/>
        <v>703.91849263621862</v>
      </c>
      <c r="I257" s="19">
        <f t="shared" si="23"/>
        <v>3.1445532785234738</v>
      </c>
      <c r="J257" s="19">
        <f t="shared" si="24"/>
        <v>0.96252013422818306</v>
      </c>
      <c r="K257" s="17" t="str">
        <f t="shared" si="25"/>
        <v/>
      </c>
      <c r="L257" s="17" t="str">
        <f t="shared" si="26"/>
        <v/>
      </c>
    </row>
    <row r="258" spans="1:12">
      <c r="A258" s="17">
        <v>249</v>
      </c>
      <c r="B258" s="17">
        <v>5</v>
      </c>
      <c r="C258" s="17">
        <v>1</v>
      </c>
      <c r="D258" s="17" t="s">
        <v>321</v>
      </c>
      <c r="E258" s="17">
        <v>701.04899999999998</v>
      </c>
      <c r="F258" s="17">
        <f t="shared" si="27"/>
        <v>0.20199999999999818</v>
      </c>
      <c r="G258" s="19">
        <f t="shared" si="21"/>
        <v>701.35859866220744</v>
      </c>
      <c r="H258" s="19">
        <f t="shared" si="22"/>
        <v>703.91849263621862</v>
      </c>
      <c r="I258" s="19">
        <f t="shared" si="23"/>
        <v>3.1445532785234738</v>
      </c>
      <c r="J258" s="19">
        <f t="shared" si="24"/>
        <v>0.96252013422818306</v>
      </c>
      <c r="K258" s="17" t="str">
        <f t="shared" si="25"/>
        <v/>
      </c>
      <c r="L258" s="17" t="str">
        <f t="shared" si="26"/>
        <v/>
      </c>
    </row>
    <row r="259" spans="1:12">
      <c r="A259" s="17">
        <v>250</v>
      </c>
      <c r="B259" s="17">
        <v>6</v>
      </c>
      <c r="C259" s="17">
        <v>25</v>
      </c>
      <c r="D259" s="17" t="s">
        <v>322</v>
      </c>
      <c r="E259" s="17">
        <v>700.72900000000004</v>
      </c>
      <c r="F259" s="17">
        <f t="shared" si="27"/>
        <v>0.31999999999993634</v>
      </c>
      <c r="G259" s="19">
        <f t="shared" si="21"/>
        <v>701.35859866220744</v>
      </c>
      <c r="H259" s="19">
        <f t="shared" si="22"/>
        <v>703.91849263621862</v>
      </c>
      <c r="I259" s="19">
        <f t="shared" si="23"/>
        <v>3.1445532785234738</v>
      </c>
      <c r="J259" s="19">
        <f t="shared" si="24"/>
        <v>0.96252013422818306</v>
      </c>
      <c r="K259" s="17" t="str">
        <f t="shared" si="25"/>
        <v/>
      </c>
      <c r="L259" s="17" t="str">
        <f t="shared" si="26"/>
        <v/>
      </c>
    </row>
    <row r="260" spans="1:12">
      <c r="A260" s="17">
        <v>251</v>
      </c>
      <c r="B260" s="17">
        <v>6</v>
      </c>
      <c r="C260" s="17">
        <v>24</v>
      </c>
      <c r="D260" s="17" t="s">
        <v>323</v>
      </c>
      <c r="E260" s="17">
        <v>701.21199999999999</v>
      </c>
      <c r="F260" s="17">
        <f t="shared" si="27"/>
        <v>0.48299999999994725</v>
      </c>
      <c r="G260" s="19">
        <f t="shared" si="21"/>
        <v>701.35859866220744</v>
      </c>
      <c r="H260" s="19">
        <f t="shared" si="22"/>
        <v>703.91849263621862</v>
      </c>
      <c r="I260" s="19">
        <f t="shared" si="23"/>
        <v>3.1445532785234738</v>
      </c>
      <c r="J260" s="19">
        <f t="shared" si="24"/>
        <v>0.96252013422818306</v>
      </c>
      <c r="K260" s="17" t="str">
        <f t="shared" si="25"/>
        <v/>
      </c>
      <c r="L260" s="17" t="str">
        <f t="shared" si="26"/>
        <v/>
      </c>
    </row>
    <row r="261" spans="1:12">
      <c r="A261" s="17">
        <v>252</v>
      </c>
      <c r="B261" s="17">
        <v>6</v>
      </c>
      <c r="C261" s="17">
        <v>23</v>
      </c>
      <c r="D261" s="17" t="s">
        <v>324</v>
      </c>
      <c r="E261" s="17">
        <v>700.52800000000002</v>
      </c>
      <c r="F261" s="17">
        <f t="shared" si="27"/>
        <v>0.68399999999996908</v>
      </c>
      <c r="G261" s="19">
        <f t="shared" si="21"/>
        <v>701.35859866220744</v>
      </c>
      <c r="H261" s="19">
        <f t="shared" si="22"/>
        <v>703.91849263621862</v>
      </c>
      <c r="I261" s="19">
        <f t="shared" si="23"/>
        <v>3.1445532785234738</v>
      </c>
      <c r="J261" s="19">
        <f t="shared" si="24"/>
        <v>0.96252013422818306</v>
      </c>
      <c r="K261" s="17" t="str">
        <f t="shared" si="25"/>
        <v/>
      </c>
      <c r="L261" s="17" t="str">
        <f t="shared" si="26"/>
        <v/>
      </c>
    </row>
    <row r="262" spans="1:12">
      <c r="A262" s="17">
        <v>253</v>
      </c>
      <c r="B262" s="17">
        <v>6</v>
      </c>
      <c r="C262" s="17">
        <v>22</v>
      </c>
      <c r="D262" s="17" t="s">
        <v>325</v>
      </c>
      <c r="E262" s="17">
        <v>702.33199999999999</v>
      </c>
      <c r="F262" s="17">
        <f t="shared" si="27"/>
        <v>1.8039999999999736</v>
      </c>
      <c r="G262" s="19">
        <f t="shared" si="21"/>
        <v>701.35859866220744</v>
      </c>
      <c r="H262" s="19">
        <f t="shared" si="22"/>
        <v>703.91849263621862</v>
      </c>
      <c r="I262" s="19">
        <f t="shared" si="23"/>
        <v>3.1445532785234738</v>
      </c>
      <c r="J262" s="19">
        <f t="shared" si="24"/>
        <v>0.96252013422818306</v>
      </c>
      <c r="K262" s="17" t="str">
        <f t="shared" si="25"/>
        <v/>
      </c>
      <c r="L262" s="17" t="str">
        <f t="shared" si="26"/>
        <v/>
      </c>
    </row>
    <row r="263" spans="1:12">
      <c r="A263" s="17">
        <v>254</v>
      </c>
      <c r="B263" s="17">
        <v>6</v>
      </c>
      <c r="C263" s="17">
        <v>21</v>
      </c>
      <c r="D263" s="17" t="s">
        <v>326</v>
      </c>
      <c r="E263" s="17">
        <v>700.73900000000003</v>
      </c>
      <c r="F263" s="17">
        <f t="shared" si="27"/>
        <v>1.5929999999999609</v>
      </c>
      <c r="G263" s="19">
        <f t="shared" si="21"/>
        <v>701.35859866220744</v>
      </c>
      <c r="H263" s="19">
        <f t="shared" si="22"/>
        <v>703.91849263621862</v>
      </c>
      <c r="I263" s="19">
        <f t="shared" si="23"/>
        <v>3.1445532785234738</v>
      </c>
      <c r="J263" s="19">
        <f t="shared" si="24"/>
        <v>0.96252013422818306</v>
      </c>
      <c r="K263" s="17" t="str">
        <f t="shared" si="25"/>
        <v/>
      </c>
      <c r="L263" s="17" t="str">
        <f t="shared" si="26"/>
        <v/>
      </c>
    </row>
    <row r="264" spans="1:12">
      <c r="A264" s="17">
        <v>255</v>
      </c>
      <c r="B264" s="17">
        <v>6</v>
      </c>
      <c r="C264" s="17">
        <v>20</v>
      </c>
      <c r="D264" s="17" t="s">
        <v>327</v>
      </c>
      <c r="E264" s="17">
        <v>700.75599999999997</v>
      </c>
      <c r="F264" s="17">
        <f t="shared" si="27"/>
        <v>1.6999999999939064E-2</v>
      </c>
      <c r="G264" s="19">
        <f t="shared" si="21"/>
        <v>701.35859866220744</v>
      </c>
      <c r="H264" s="19">
        <f t="shared" si="22"/>
        <v>703.91849263621862</v>
      </c>
      <c r="I264" s="19">
        <f t="shared" si="23"/>
        <v>3.1445532785234738</v>
      </c>
      <c r="J264" s="19">
        <f t="shared" si="24"/>
        <v>0.96252013422818306</v>
      </c>
      <c r="K264" s="17" t="str">
        <f t="shared" si="25"/>
        <v/>
      </c>
      <c r="L264" s="17" t="str">
        <f t="shared" si="26"/>
        <v/>
      </c>
    </row>
    <row r="265" spans="1:12">
      <c r="A265" s="17">
        <v>256</v>
      </c>
      <c r="B265" s="17">
        <v>6</v>
      </c>
      <c r="C265" s="17">
        <v>19</v>
      </c>
      <c r="D265" s="17" t="s">
        <v>328</v>
      </c>
      <c r="E265" s="17">
        <v>700.73900000000003</v>
      </c>
      <c r="F265" s="17">
        <f t="shared" si="27"/>
        <v>1.6999999999939064E-2</v>
      </c>
      <c r="G265" s="19">
        <f t="shared" si="21"/>
        <v>701.35859866220744</v>
      </c>
      <c r="H265" s="19">
        <f t="shared" si="22"/>
        <v>703.91849263621862</v>
      </c>
      <c r="I265" s="19">
        <f t="shared" si="23"/>
        <v>3.1445532785234738</v>
      </c>
      <c r="J265" s="19">
        <f t="shared" si="24"/>
        <v>0.96252013422818306</v>
      </c>
      <c r="K265" s="17" t="str">
        <f t="shared" si="25"/>
        <v/>
      </c>
      <c r="L265" s="17" t="str">
        <f t="shared" si="26"/>
        <v/>
      </c>
    </row>
    <row r="266" spans="1:12">
      <c r="A266" s="17">
        <v>257</v>
      </c>
      <c r="B266" s="17">
        <v>6</v>
      </c>
      <c r="C266" s="17">
        <v>18</v>
      </c>
      <c r="D266" s="17" t="s">
        <v>329</v>
      </c>
      <c r="E266" s="17">
        <v>699.66499999999996</v>
      </c>
      <c r="F266" s="17">
        <f t="shared" si="27"/>
        <v>1.0740000000000691</v>
      </c>
      <c r="G266" s="19">
        <f t="shared" ref="G266:G308" si="28">$Q$3</f>
        <v>701.35859866220744</v>
      </c>
      <c r="H266" s="19">
        <f t="shared" ref="H266:H308" si="29">$Q$6</f>
        <v>703.91849263621862</v>
      </c>
      <c r="I266" s="19">
        <f t="shared" ref="I266:I308" si="30">$Q$7</f>
        <v>3.1445532785234738</v>
      </c>
      <c r="J266" s="19">
        <f t="shared" ref="J266:J308" si="31">$Q$4</f>
        <v>0.96252013422818306</v>
      </c>
      <c r="K266" s="17" t="str">
        <f t="shared" ref="K266:K308" si="32">IF(E266&gt;$Q$6,"OOC","" )</f>
        <v/>
      </c>
      <c r="L266" s="17" t="str">
        <f t="shared" ref="L266:L308" si="33">IF(E266&gt;$B$3,"OOS","" )</f>
        <v/>
      </c>
    </row>
    <row r="267" spans="1:12">
      <c r="A267" s="17">
        <v>258</v>
      </c>
      <c r="B267" s="17">
        <v>6</v>
      </c>
      <c r="C267" s="17">
        <v>17</v>
      </c>
      <c r="D267" s="17" t="s">
        <v>330</v>
      </c>
      <c r="E267" s="17">
        <v>700.66200000000003</v>
      </c>
      <c r="F267" s="17">
        <f t="shared" ref="F267:F308" si="34">ABS(E267-E266)</f>
        <v>0.99700000000007094</v>
      </c>
      <c r="G267" s="19">
        <f t="shared" si="28"/>
        <v>701.35859866220744</v>
      </c>
      <c r="H267" s="19">
        <f t="shared" si="29"/>
        <v>703.91849263621862</v>
      </c>
      <c r="I267" s="19">
        <f t="shared" si="30"/>
        <v>3.1445532785234738</v>
      </c>
      <c r="J267" s="19">
        <f t="shared" si="31"/>
        <v>0.96252013422818306</v>
      </c>
      <c r="K267" s="17" t="str">
        <f t="shared" si="32"/>
        <v/>
      </c>
      <c r="L267" s="17" t="str">
        <f t="shared" si="33"/>
        <v/>
      </c>
    </row>
    <row r="268" spans="1:12">
      <c r="A268" s="17">
        <v>259</v>
      </c>
      <c r="B268" s="17">
        <v>6</v>
      </c>
      <c r="C268" s="17">
        <v>16</v>
      </c>
      <c r="D268" s="17" t="s">
        <v>331</v>
      </c>
      <c r="E268" s="17">
        <v>699.63199999999995</v>
      </c>
      <c r="F268" s="17">
        <f t="shared" si="34"/>
        <v>1.0300000000000864</v>
      </c>
      <c r="G268" s="19">
        <f t="shared" si="28"/>
        <v>701.35859866220744</v>
      </c>
      <c r="H268" s="19">
        <f t="shared" si="29"/>
        <v>703.91849263621862</v>
      </c>
      <c r="I268" s="19">
        <f t="shared" si="30"/>
        <v>3.1445532785234738</v>
      </c>
      <c r="J268" s="19">
        <f t="shared" si="31"/>
        <v>0.96252013422818306</v>
      </c>
      <c r="K268" s="17" t="str">
        <f t="shared" si="32"/>
        <v/>
      </c>
      <c r="L268" s="17" t="str">
        <f t="shared" si="33"/>
        <v/>
      </c>
    </row>
    <row r="269" spans="1:12">
      <c r="A269" s="17">
        <v>260</v>
      </c>
      <c r="B269" s="17">
        <v>6</v>
      </c>
      <c r="C269" s="17">
        <v>15</v>
      </c>
      <c r="D269" s="17" t="s">
        <v>332</v>
      </c>
      <c r="E269" s="17">
        <v>700.77300000000002</v>
      </c>
      <c r="F269" s="17">
        <f t="shared" si="34"/>
        <v>1.1410000000000764</v>
      </c>
      <c r="G269" s="19">
        <f t="shared" si="28"/>
        <v>701.35859866220744</v>
      </c>
      <c r="H269" s="19">
        <f t="shared" si="29"/>
        <v>703.91849263621862</v>
      </c>
      <c r="I269" s="19">
        <f t="shared" si="30"/>
        <v>3.1445532785234738</v>
      </c>
      <c r="J269" s="19">
        <f t="shared" si="31"/>
        <v>0.96252013422818306</v>
      </c>
      <c r="K269" s="17" t="str">
        <f t="shared" si="32"/>
        <v/>
      </c>
      <c r="L269" s="17" t="str">
        <f t="shared" si="33"/>
        <v/>
      </c>
    </row>
    <row r="270" spans="1:12">
      <c r="A270" s="17">
        <v>261</v>
      </c>
      <c r="B270" s="17">
        <v>6</v>
      </c>
      <c r="C270" s="17">
        <v>14</v>
      </c>
      <c r="D270" s="17" t="s">
        <v>333</v>
      </c>
      <c r="E270" s="17">
        <v>699.70299999999997</v>
      </c>
      <c r="F270" s="17">
        <f t="shared" si="34"/>
        <v>1.07000000000005</v>
      </c>
      <c r="G270" s="19">
        <f t="shared" si="28"/>
        <v>701.35859866220744</v>
      </c>
      <c r="H270" s="19">
        <f t="shared" si="29"/>
        <v>703.91849263621862</v>
      </c>
      <c r="I270" s="19">
        <f t="shared" si="30"/>
        <v>3.1445532785234738</v>
      </c>
      <c r="J270" s="19">
        <f t="shared" si="31"/>
        <v>0.96252013422818306</v>
      </c>
      <c r="K270" s="17" t="str">
        <f t="shared" si="32"/>
        <v/>
      </c>
      <c r="L270" s="17" t="str">
        <f t="shared" si="33"/>
        <v/>
      </c>
    </row>
    <row r="271" spans="1:12">
      <c r="A271" s="17">
        <v>262</v>
      </c>
      <c r="B271" s="17">
        <v>6</v>
      </c>
      <c r="C271" s="17">
        <v>13</v>
      </c>
      <c r="D271" s="17" t="s">
        <v>334</v>
      </c>
      <c r="E271" s="17">
        <v>699.71199999999999</v>
      </c>
      <c r="F271" s="17">
        <f t="shared" si="34"/>
        <v>9.0000000000145519E-3</v>
      </c>
      <c r="G271" s="19">
        <f t="shared" si="28"/>
        <v>701.35859866220744</v>
      </c>
      <c r="H271" s="19">
        <f t="shared" si="29"/>
        <v>703.91849263621862</v>
      </c>
      <c r="I271" s="19">
        <f t="shared" si="30"/>
        <v>3.1445532785234738</v>
      </c>
      <c r="J271" s="19">
        <f t="shared" si="31"/>
        <v>0.96252013422818306</v>
      </c>
      <c r="K271" s="17" t="str">
        <f t="shared" si="32"/>
        <v/>
      </c>
      <c r="L271" s="17" t="str">
        <f t="shared" si="33"/>
        <v/>
      </c>
    </row>
    <row r="272" spans="1:12">
      <c r="A272" s="17">
        <v>263</v>
      </c>
      <c r="B272" s="17">
        <v>6</v>
      </c>
      <c r="C272" s="17">
        <v>12</v>
      </c>
      <c r="D272" s="17" t="s">
        <v>335</v>
      </c>
      <c r="E272" s="17">
        <v>701.32899999999995</v>
      </c>
      <c r="F272" s="17">
        <f t="shared" si="34"/>
        <v>1.6169999999999618</v>
      </c>
      <c r="G272" s="19">
        <f t="shared" si="28"/>
        <v>701.35859866220744</v>
      </c>
      <c r="H272" s="19">
        <f t="shared" si="29"/>
        <v>703.91849263621862</v>
      </c>
      <c r="I272" s="19">
        <f t="shared" si="30"/>
        <v>3.1445532785234738</v>
      </c>
      <c r="J272" s="19">
        <f t="shared" si="31"/>
        <v>0.96252013422818306</v>
      </c>
      <c r="K272" s="17" t="str">
        <f t="shared" si="32"/>
        <v/>
      </c>
      <c r="L272" s="17" t="str">
        <f t="shared" si="33"/>
        <v/>
      </c>
    </row>
    <row r="273" spans="1:12">
      <c r="A273" s="17">
        <v>264</v>
      </c>
      <c r="B273" s="17">
        <v>6</v>
      </c>
      <c r="C273" s="17">
        <v>11</v>
      </c>
      <c r="D273" s="17" t="s">
        <v>336</v>
      </c>
      <c r="E273" s="17">
        <v>700.72900000000004</v>
      </c>
      <c r="F273" s="17">
        <f t="shared" si="34"/>
        <v>0.59999999999990905</v>
      </c>
      <c r="G273" s="19">
        <f t="shared" si="28"/>
        <v>701.35859866220744</v>
      </c>
      <c r="H273" s="19">
        <f t="shared" si="29"/>
        <v>703.91849263621862</v>
      </c>
      <c r="I273" s="19">
        <f t="shared" si="30"/>
        <v>3.1445532785234738</v>
      </c>
      <c r="J273" s="19">
        <f t="shared" si="31"/>
        <v>0.96252013422818306</v>
      </c>
      <c r="K273" s="17" t="str">
        <f t="shared" si="32"/>
        <v/>
      </c>
      <c r="L273" s="17" t="str">
        <f t="shared" si="33"/>
        <v/>
      </c>
    </row>
    <row r="274" spans="1:12">
      <c r="A274" s="17">
        <v>265</v>
      </c>
      <c r="B274" s="17">
        <v>6</v>
      </c>
      <c r="C274" s="17">
        <v>10</v>
      </c>
      <c r="D274" s="17" t="s">
        <v>337</v>
      </c>
      <c r="E274" s="17">
        <v>700.97500000000002</v>
      </c>
      <c r="F274" s="17">
        <f t="shared" si="34"/>
        <v>0.2459999999999809</v>
      </c>
      <c r="G274" s="19">
        <f t="shared" si="28"/>
        <v>701.35859866220744</v>
      </c>
      <c r="H274" s="19">
        <f t="shared" si="29"/>
        <v>703.91849263621862</v>
      </c>
      <c r="I274" s="19">
        <f t="shared" si="30"/>
        <v>3.1445532785234738</v>
      </c>
      <c r="J274" s="19">
        <f t="shared" si="31"/>
        <v>0.96252013422818306</v>
      </c>
      <c r="K274" s="17" t="str">
        <f t="shared" si="32"/>
        <v/>
      </c>
      <c r="L274" s="17" t="str">
        <f t="shared" si="33"/>
        <v/>
      </c>
    </row>
    <row r="275" spans="1:12">
      <c r="A275" s="17">
        <v>266</v>
      </c>
      <c r="B275" s="17">
        <v>6</v>
      </c>
      <c r="C275" s="17">
        <v>9</v>
      </c>
      <c r="D275" s="17" t="s">
        <v>338</v>
      </c>
      <c r="E275" s="17">
        <v>700.899</v>
      </c>
      <c r="F275" s="17">
        <f t="shared" si="34"/>
        <v>7.6000000000021828E-2</v>
      </c>
      <c r="G275" s="19">
        <f t="shared" si="28"/>
        <v>701.35859866220744</v>
      </c>
      <c r="H275" s="19">
        <f t="shared" si="29"/>
        <v>703.91849263621862</v>
      </c>
      <c r="I275" s="19">
        <f t="shared" si="30"/>
        <v>3.1445532785234738</v>
      </c>
      <c r="J275" s="19">
        <f t="shared" si="31"/>
        <v>0.96252013422818306</v>
      </c>
      <c r="K275" s="17" t="str">
        <f t="shared" si="32"/>
        <v/>
      </c>
      <c r="L275" s="17" t="str">
        <f t="shared" si="33"/>
        <v/>
      </c>
    </row>
    <row r="276" spans="1:12">
      <c r="A276" s="17">
        <v>267</v>
      </c>
      <c r="B276" s="17">
        <v>6</v>
      </c>
      <c r="C276" s="17">
        <v>8</v>
      </c>
      <c r="D276" s="17" t="s">
        <v>339</v>
      </c>
      <c r="E276" s="17">
        <v>702.61199999999997</v>
      </c>
      <c r="F276" s="17">
        <f t="shared" si="34"/>
        <v>1.7129999999999654</v>
      </c>
      <c r="G276" s="19">
        <f t="shared" si="28"/>
        <v>701.35859866220744</v>
      </c>
      <c r="H276" s="19">
        <f t="shared" si="29"/>
        <v>703.91849263621862</v>
      </c>
      <c r="I276" s="19">
        <f t="shared" si="30"/>
        <v>3.1445532785234738</v>
      </c>
      <c r="J276" s="19">
        <f t="shared" si="31"/>
        <v>0.96252013422818306</v>
      </c>
      <c r="K276" s="17" t="str">
        <f t="shared" si="32"/>
        <v/>
      </c>
      <c r="L276" s="17" t="str">
        <f t="shared" si="33"/>
        <v/>
      </c>
    </row>
    <row r="277" spans="1:12">
      <c r="A277" s="17">
        <v>268</v>
      </c>
      <c r="B277" s="17">
        <v>6</v>
      </c>
      <c r="C277" s="17">
        <v>7</v>
      </c>
      <c r="D277" s="17" t="s">
        <v>340</v>
      </c>
      <c r="E277" s="17">
        <v>701.51400000000001</v>
      </c>
      <c r="F277" s="17">
        <f t="shared" si="34"/>
        <v>1.0979999999999563</v>
      </c>
      <c r="G277" s="19">
        <f t="shared" si="28"/>
        <v>701.35859866220744</v>
      </c>
      <c r="H277" s="19">
        <f t="shared" si="29"/>
        <v>703.91849263621862</v>
      </c>
      <c r="I277" s="19">
        <f t="shared" si="30"/>
        <v>3.1445532785234738</v>
      </c>
      <c r="J277" s="19">
        <f t="shared" si="31"/>
        <v>0.96252013422818306</v>
      </c>
      <c r="K277" s="17" t="str">
        <f t="shared" si="32"/>
        <v/>
      </c>
      <c r="L277" s="17" t="str">
        <f t="shared" si="33"/>
        <v/>
      </c>
    </row>
    <row r="278" spans="1:12">
      <c r="A278" s="17">
        <v>269</v>
      </c>
      <c r="B278" s="17">
        <v>6</v>
      </c>
      <c r="C278" s="17">
        <v>6</v>
      </c>
      <c r="D278" s="17" t="s">
        <v>341</v>
      </c>
      <c r="E278" s="17">
        <v>702.447</v>
      </c>
      <c r="F278" s="17">
        <f t="shared" si="34"/>
        <v>0.93299999999999272</v>
      </c>
      <c r="G278" s="19">
        <f t="shared" si="28"/>
        <v>701.35859866220744</v>
      </c>
      <c r="H278" s="19">
        <f t="shared" si="29"/>
        <v>703.91849263621862</v>
      </c>
      <c r="I278" s="19">
        <f t="shared" si="30"/>
        <v>3.1445532785234738</v>
      </c>
      <c r="J278" s="19">
        <f t="shared" si="31"/>
        <v>0.96252013422818306</v>
      </c>
      <c r="K278" s="17" t="str">
        <f t="shared" si="32"/>
        <v/>
      </c>
      <c r="L278" s="17" t="str">
        <f t="shared" si="33"/>
        <v/>
      </c>
    </row>
    <row r="279" spans="1:12">
      <c r="A279" s="17">
        <v>270</v>
      </c>
      <c r="B279" s="17">
        <v>6</v>
      </c>
      <c r="C279" s="17">
        <v>5</v>
      </c>
      <c r="D279" s="17" t="s">
        <v>342</v>
      </c>
      <c r="E279" s="17">
        <v>701.43200000000002</v>
      </c>
      <c r="F279" s="17">
        <f t="shared" si="34"/>
        <v>1.0149999999999864</v>
      </c>
      <c r="G279" s="19">
        <f t="shared" si="28"/>
        <v>701.35859866220744</v>
      </c>
      <c r="H279" s="19">
        <f t="shared" si="29"/>
        <v>703.91849263621862</v>
      </c>
      <c r="I279" s="19">
        <f t="shared" si="30"/>
        <v>3.1445532785234738</v>
      </c>
      <c r="J279" s="19">
        <f t="shared" si="31"/>
        <v>0.96252013422818306</v>
      </c>
      <c r="K279" s="17" t="str">
        <f t="shared" si="32"/>
        <v/>
      </c>
      <c r="L279" s="17" t="str">
        <f t="shared" si="33"/>
        <v/>
      </c>
    </row>
    <row r="280" spans="1:12">
      <c r="A280" s="17">
        <v>271</v>
      </c>
      <c r="B280" s="17">
        <v>6</v>
      </c>
      <c r="C280" s="17">
        <v>4</v>
      </c>
      <c r="D280" s="17" t="s">
        <v>343</v>
      </c>
      <c r="E280" s="17">
        <v>701.76199999999994</v>
      </c>
      <c r="F280" s="17">
        <f t="shared" si="34"/>
        <v>0.32999999999992724</v>
      </c>
      <c r="G280" s="19">
        <f t="shared" si="28"/>
        <v>701.35859866220744</v>
      </c>
      <c r="H280" s="19">
        <f t="shared" si="29"/>
        <v>703.91849263621862</v>
      </c>
      <c r="I280" s="19">
        <f t="shared" si="30"/>
        <v>3.1445532785234738</v>
      </c>
      <c r="J280" s="19">
        <f t="shared" si="31"/>
        <v>0.96252013422818306</v>
      </c>
      <c r="K280" s="17" t="str">
        <f t="shared" si="32"/>
        <v/>
      </c>
      <c r="L280" s="17" t="str">
        <f t="shared" si="33"/>
        <v/>
      </c>
    </row>
    <row r="281" spans="1:12">
      <c r="A281" s="17">
        <v>272</v>
      </c>
      <c r="B281" s="17">
        <v>6</v>
      </c>
      <c r="C281" s="17">
        <v>3</v>
      </c>
      <c r="D281" s="17" t="s">
        <v>344</v>
      </c>
      <c r="E281" s="17">
        <v>700.06200000000001</v>
      </c>
      <c r="F281" s="17">
        <f t="shared" si="34"/>
        <v>1.6999999999999318</v>
      </c>
      <c r="G281" s="19">
        <f t="shared" si="28"/>
        <v>701.35859866220744</v>
      </c>
      <c r="H281" s="19">
        <f t="shared" si="29"/>
        <v>703.91849263621862</v>
      </c>
      <c r="I281" s="19">
        <f t="shared" si="30"/>
        <v>3.1445532785234738</v>
      </c>
      <c r="J281" s="19">
        <f t="shared" si="31"/>
        <v>0.96252013422818306</v>
      </c>
      <c r="K281" s="17" t="str">
        <f t="shared" si="32"/>
        <v/>
      </c>
      <c r="L281" s="17" t="str">
        <f t="shared" si="33"/>
        <v/>
      </c>
    </row>
    <row r="282" spans="1:12">
      <c r="A282" s="17">
        <v>273</v>
      </c>
      <c r="B282" s="17">
        <v>6</v>
      </c>
      <c r="C282" s="17">
        <v>2</v>
      </c>
      <c r="D282" s="17" t="s">
        <v>345</v>
      </c>
      <c r="E282" s="17">
        <v>700.11400000000003</v>
      </c>
      <c r="F282" s="17">
        <f t="shared" si="34"/>
        <v>5.2000000000020918E-2</v>
      </c>
      <c r="G282" s="19">
        <f t="shared" si="28"/>
        <v>701.35859866220744</v>
      </c>
      <c r="H282" s="19">
        <f t="shared" si="29"/>
        <v>703.91849263621862</v>
      </c>
      <c r="I282" s="19">
        <f t="shared" si="30"/>
        <v>3.1445532785234738</v>
      </c>
      <c r="J282" s="19">
        <f t="shared" si="31"/>
        <v>0.96252013422818306</v>
      </c>
      <c r="K282" s="17" t="str">
        <f t="shared" si="32"/>
        <v/>
      </c>
      <c r="L282" s="17" t="str">
        <f t="shared" si="33"/>
        <v/>
      </c>
    </row>
    <row r="283" spans="1:12">
      <c r="A283" s="17">
        <v>274</v>
      </c>
      <c r="B283" s="17">
        <v>6</v>
      </c>
      <c r="C283" s="17">
        <v>1</v>
      </c>
      <c r="D283" s="17" t="s">
        <v>346</v>
      </c>
      <c r="E283" s="17">
        <v>699.64800000000002</v>
      </c>
      <c r="F283" s="17">
        <f t="shared" si="34"/>
        <v>0.46600000000000819</v>
      </c>
      <c r="G283" s="19">
        <f t="shared" si="28"/>
        <v>701.35859866220744</v>
      </c>
      <c r="H283" s="19">
        <f t="shared" si="29"/>
        <v>703.91849263621862</v>
      </c>
      <c r="I283" s="19">
        <f t="shared" si="30"/>
        <v>3.1445532785234738</v>
      </c>
      <c r="J283" s="19">
        <f t="shared" si="31"/>
        <v>0.96252013422818306</v>
      </c>
      <c r="K283" s="17" t="str">
        <f t="shared" si="32"/>
        <v/>
      </c>
      <c r="L283" s="17" t="str">
        <f t="shared" si="33"/>
        <v/>
      </c>
    </row>
    <row r="284" spans="1:12">
      <c r="A284" s="17">
        <v>275</v>
      </c>
      <c r="B284" s="17">
        <v>6</v>
      </c>
      <c r="C284" s="17">
        <v>25</v>
      </c>
      <c r="D284" s="17" t="s">
        <v>347</v>
      </c>
      <c r="E284" s="17">
        <v>701.54100000000005</v>
      </c>
      <c r="F284" s="17">
        <f t="shared" si="34"/>
        <v>1.8930000000000291</v>
      </c>
      <c r="G284" s="19">
        <f t="shared" si="28"/>
        <v>701.35859866220744</v>
      </c>
      <c r="H284" s="19">
        <f t="shared" si="29"/>
        <v>703.91849263621862</v>
      </c>
      <c r="I284" s="19">
        <f t="shared" si="30"/>
        <v>3.1445532785234738</v>
      </c>
      <c r="J284" s="19">
        <f t="shared" si="31"/>
        <v>0.96252013422818306</v>
      </c>
      <c r="K284" s="17" t="str">
        <f t="shared" si="32"/>
        <v/>
      </c>
      <c r="L284" s="17" t="str">
        <f t="shared" si="33"/>
        <v/>
      </c>
    </row>
    <row r="285" spans="1:12">
      <c r="A285" s="17">
        <v>276</v>
      </c>
      <c r="B285" s="17">
        <v>6</v>
      </c>
      <c r="C285" s="17">
        <v>24</v>
      </c>
      <c r="D285" s="17" t="s">
        <v>348</v>
      </c>
      <c r="E285" s="17">
        <v>701.08500000000004</v>
      </c>
      <c r="F285" s="17">
        <f t="shared" si="34"/>
        <v>0.45600000000001728</v>
      </c>
      <c r="G285" s="19">
        <f t="shared" si="28"/>
        <v>701.35859866220744</v>
      </c>
      <c r="H285" s="19">
        <f t="shared" si="29"/>
        <v>703.91849263621862</v>
      </c>
      <c r="I285" s="19">
        <f t="shared" si="30"/>
        <v>3.1445532785234738</v>
      </c>
      <c r="J285" s="19">
        <f t="shared" si="31"/>
        <v>0.96252013422818306</v>
      </c>
      <c r="K285" s="17" t="str">
        <f t="shared" si="32"/>
        <v/>
      </c>
      <c r="L285" s="17" t="str">
        <f t="shared" si="33"/>
        <v/>
      </c>
    </row>
    <row r="286" spans="1:12">
      <c r="A286" s="17">
        <v>277</v>
      </c>
      <c r="B286" s="17">
        <v>6</v>
      </c>
      <c r="C286" s="17">
        <v>23</v>
      </c>
      <c r="D286" s="17" t="s">
        <v>349</v>
      </c>
      <c r="E286" s="17">
        <v>701.23500000000001</v>
      </c>
      <c r="F286" s="17">
        <f t="shared" si="34"/>
        <v>0.14999999999997726</v>
      </c>
      <c r="G286" s="19">
        <f t="shared" si="28"/>
        <v>701.35859866220744</v>
      </c>
      <c r="H286" s="19">
        <f t="shared" si="29"/>
        <v>703.91849263621862</v>
      </c>
      <c r="I286" s="19">
        <f t="shared" si="30"/>
        <v>3.1445532785234738</v>
      </c>
      <c r="J286" s="19">
        <f t="shared" si="31"/>
        <v>0.96252013422818306</v>
      </c>
      <c r="K286" s="17" t="str">
        <f t="shared" si="32"/>
        <v/>
      </c>
      <c r="L286" s="17" t="str">
        <f t="shared" si="33"/>
        <v/>
      </c>
    </row>
    <row r="287" spans="1:12">
      <c r="A287" s="17">
        <v>278</v>
      </c>
      <c r="B287" s="17">
        <v>6</v>
      </c>
      <c r="C287" s="17">
        <v>22</v>
      </c>
      <c r="D287" s="17" t="s">
        <v>350</v>
      </c>
      <c r="E287" s="17">
        <v>701.19</v>
      </c>
      <c r="F287" s="17">
        <f t="shared" si="34"/>
        <v>4.4999999999959073E-2</v>
      </c>
      <c r="G287" s="19">
        <f t="shared" si="28"/>
        <v>701.35859866220744</v>
      </c>
      <c r="H287" s="19">
        <f t="shared" si="29"/>
        <v>703.91849263621862</v>
      </c>
      <c r="I287" s="19">
        <f t="shared" si="30"/>
        <v>3.1445532785234738</v>
      </c>
      <c r="J287" s="19">
        <f t="shared" si="31"/>
        <v>0.96252013422818306</v>
      </c>
      <c r="K287" s="17" t="str">
        <f t="shared" si="32"/>
        <v/>
      </c>
      <c r="L287" s="17" t="str">
        <f t="shared" si="33"/>
        <v/>
      </c>
    </row>
    <row r="288" spans="1:12">
      <c r="A288" s="17">
        <v>279</v>
      </c>
      <c r="B288" s="17">
        <v>6</v>
      </c>
      <c r="C288" s="17">
        <v>21</v>
      </c>
      <c r="D288" s="17" t="s">
        <v>351</v>
      </c>
      <c r="E288" s="17">
        <v>702.14099999999996</v>
      </c>
      <c r="F288" s="17">
        <f t="shared" si="34"/>
        <v>0.95099999999990814</v>
      </c>
      <c r="G288" s="19">
        <f t="shared" si="28"/>
        <v>701.35859866220744</v>
      </c>
      <c r="H288" s="19">
        <f t="shared" si="29"/>
        <v>703.91849263621862</v>
      </c>
      <c r="I288" s="19">
        <f t="shared" si="30"/>
        <v>3.1445532785234738</v>
      </c>
      <c r="J288" s="19">
        <f t="shared" si="31"/>
        <v>0.96252013422818306</v>
      </c>
      <c r="K288" s="17" t="str">
        <f t="shared" si="32"/>
        <v/>
      </c>
      <c r="L288" s="17" t="str">
        <f t="shared" si="33"/>
        <v/>
      </c>
    </row>
    <row r="289" spans="1:12">
      <c r="A289" s="17">
        <v>280</v>
      </c>
      <c r="B289" s="17">
        <v>6</v>
      </c>
      <c r="C289" s="17">
        <v>20</v>
      </c>
      <c r="D289" s="17" t="s">
        <v>352</v>
      </c>
      <c r="E289" s="17">
        <v>702.048</v>
      </c>
      <c r="F289" s="17">
        <f t="shared" si="34"/>
        <v>9.2999999999960892E-2</v>
      </c>
      <c r="G289" s="19">
        <f t="shared" si="28"/>
        <v>701.35859866220744</v>
      </c>
      <c r="H289" s="19">
        <f t="shared" si="29"/>
        <v>703.91849263621862</v>
      </c>
      <c r="I289" s="19">
        <f t="shared" si="30"/>
        <v>3.1445532785234738</v>
      </c>
      <c r="J289" s="19">
        <f t="shared" si="31"/>
        <v>0.96252013422818306</v>
      </c>
      <c r="K289" s="17" t="str">
        <f t="shared" si="32"/>
        <v/>
      </c>
      <c r="L289" s="17" t="str">
        <f t="shared" si="33"/>
        <v/>
      </c>
    </row>
    <row r="290" spans="1:12">
      <c r="A290" s="17">
        <v>281</v>
      </c>
      <c r="B290" s="17">
        <v>6</v>
      </c>
      <c r="C290" s="17">
        <v>19</v>
      </c>
      <c r="D290" s="17" t="s">
        <v>353</v>
      </c>
      <c r="E290" s="17">
        <v>700.26</v>
      </c>
      <c r="F290" s="17">
        <f t="shared" si="34"/>
        <v>1.7880000000000109</v>
      </c>
      <c r="G290" s="19">
        <f t="shared" si="28"/>
        <v>701.35859866220744</v>
      </c>
      <c r="H290" s="19">
        <f t="shared" si="29"/>
        <v>703.91849263621862</v>
      </c>
      <c r="I290" s="19">
        <f t="shared" si="30"/>
        <v>3.1445532785234738</v>
      </c>
      <c r="J290" s="19">
        <f t="shared" si="31"/>
        <v>0.96252013422818306</v>
      </c>
      <c r="K290" s="17" t="str">
        <f t="shared" si="32"/>
        <v/>
      </c>
      <c r="L290" s="17" t="str">
        <f t="shared" si="33"/>
        <v/>
      </c>
    </row>
    <row r="291" spans="1:12">
      <c r="A291" s="17">
        <v>282</v>
      </c>
      <c r="B291" s="17">
        <v>6</v>
      </c>
      <c r="C291" s="17">
        <v>18</v>
      </c>
      <c r="D291" s="17" t="s">
        <v>354</v>
      </c>
      <c r="E291" s="17">
        <v>700.99800000000005</v>
      </c>
      <c r="F291" s="17">
        <f t="shared" si="34"/>
        <v>0.73800000000005639</v>
      </c>
      <c r="G291" s="19">
        <f t="shared" si="28"/>
        <v>701.35859866220744</v>
      </c>
      <c r="H291" s="19">
        <f t="shared" si="29"/>
        <v>703.91849263621862</v>
      </c>
      <c r="I291" s="19">
        <f t="shared" si="30"/>
        <v>3.1445532785234738</v>
      </c>
      <c r="J291" s="19">
        <f t="shared" si="31"/>
        <v>0.96252013422818306</v>
      </c>
      <c r="K291" s="17" t="str">
        <f t="shared" si="32"/>
        <v/>
      </c>
      <c r="L291" s="17" t="str">
        <f t="shared" si="33"/>
        <v/>
      </c>
    </row>
    <row r="292" spans="1:12">
      <c r="A292" s="17">
        <v>283</v>
      </c>
      <c r="B292" s="17">
        <v>6</v>
      </c>
      <c r="C292" s="17">
        <v>17</v>
      </c>
      <c r="D292" s="17" t="s">
        <v>355</v>
      </c>
      <c r="E292" s="17">
        <v>701.048</v>
      </c>
      <c r="F292" s="17">
        <f t="shared" si="34"/>
        <v>4.9999999999954525E-2</v>
      </c>
      <c r="G292" s="19">
        <f t="shared" si="28"/>
        <v>701.35859866220744</v>
      </c>
      <c r="H292" s="19">
        <f t="shared" si="29"/>
        <v>703.91849263621862</v>
      </c>
      <c r="I292" s="19">
        <f t="shared" si="30"/>
        <v>3.1445532785234738</v>
      </c>
      <c r="J292" s="19">
        <f t="shared" si="31"/>
        <v>0.96252013422818306</v>
      </c>
      <c r="K292" s="17" t="str">
        <f t="shared" si="32"/>
        <v/>
      </c>
      <c r="L292" s="17" t="str">
        <f t="shared" si="33"/>
        <v/>
      </c>
    </row>
    <row r="293" spans="1:12">
      <c r="A293" s="17">
        <v>284</v>
      </c>
      <c r="B293" s="17">
        <v>6</v>
      </c>
      <c r="C293" s="17">
        <v>16</v>
      </c>
      <c r="D293" s="17" t="s">
        <v>356</v>
      </c>
      <c r="E293" s="17">
        <v>702.65700000000004</v>
      </c>
      <c r="F293" s="17">
        <f t="shared" si="34"/>
        <v>1.6090000000000373</v>
      </c>
      <c r="G293" s="19">
        <f t="shared" si="28"/>
        <v>701.35859866220744</v>
      </c>
      <c r="H293" s="19">
        <f t="shared" si="29"/>
        <v>703.91849263621862</v>
      </c>
      <c r="I293" s="19">
        <f t="shared" si="30"/>
        <v>3.1445532785234738</v>
      </c>
      <c r="J293" s="19">
        <f t="shared" si="31"/>
        <v>0.96252013422818306</v>
      </c>
      <c r="K293" s="17" t="str">
        <f t="shared" si="32"/>
        <v/>
      </c>
      <c r="L293" s="17" t="str">
        <f t="shared" si="33"/>
        <v/>
      </c>
    </row>
    <row r="294" spans="1:12">
      <c r="A294" s="17">
        <v>285</v>
      </c>
      <c r="B294" s="17">
        <v>6</v>
      </c>
      <c r="C294" s="17">
        <v>15</v>
      </c>
      <c r="D294" s="17" t="s">
        <v>357</v>
      </c>
      <c r="E294" s="17">
        <v>701.12300000000005</v>
      </c>
      <c r="F294" s="17">
        <f t="shared" si="34"/>
        <v>1.5339999999999918</v>
      </c>
      <c r="G294" s="19">
        <f t="shared" si="28"/>
        <v>701.35859866220744</v>
      </c>
      <c r="H294" s="19">
        <f t="shared" si="29"/>
        <v>703.91849263621862</v>
      </c>
      <c r="I294" s="19">
        <f t="shared" si="30"/>
        <v>3.1445532785234738</v>
      </c>
      <c r="J294" s="19">
        <f t="shared" si="31"/>
        <v>0.96252013422818306</v>
      </c>
      <c r="K294" s="17" t="str">
        <f t="shared" si="32"/>
        <v/>
      </c>
      <c r="L294" s="17" t="str">
        <f t="shared" si="33"/>
        <v/>
      </c>
    </row>
    <row r="295" spans="1:12">
      <c r="A295" s="17">
        <v>286</v>
      </c>
      <c r="B295" s="17">
        <v>6</v>
      </c>
      <c r="C295" s="17">
        <v>14</v>
      </c>
      <c r="D295" s="17" t="s">
        <v>358</v>
      </c>
      <c r="E295" s="17">
        <v>701.18</v>
      </c>
      <c r="F295" s="17">
        <f t="shared" si="34"/>
        <v>5.6999999999902684E-2</v>
      </c>
      <c r="G295" s="19">
        <f t="shared" si="28"/>
        <v>701.35859866220744</v>
      </c>
      <c r="H295" s="19">
        <f t="shared" si="29"/>
        <v>703.91849263621862</v>
      </c>
      <c r="I295" s="19">
        <f t="shared" si="30"/>
        <v>3.1445532785234738</v>
      </c>
      <c r="J295" s="19">
        <f t="shared" si="31"/>
        <v>0.96252013422818306</v>
      </c>
      <c r="K295" s="17" t="str">
        <f t="shared" si="32"/>
        <v/>
      </c>
      <c r="L295" s="17" t="str">
        <f t="shared" si="33"/>
        <v/>
      </c>
    </row>
    <row r="296" spans="1:12">
      <c r="A296" s="17">
        <v>287</v>
      </c>
      <c r="B296" s="17">
        <v>6</v>
      </c>
      <c r="C296" s="17">
        <v>13</v>
      </c>
      <c r="D296" s="17" t="s">
        <v>359</v>
      </c>
      <c r="E296" s="17">
        <v>700.56299999999999</v>
      </c>
      <c r="F296" s="17">
        <f t="shared" si="34"/>
        <v>0.6169999999999618</v>
      </c>
      <c r="G296" s="19">
        <f t="shared" si="28"/>
        <v>701.35859866220744</v>
      </c>
      <c r="H296" s="19">
        <f t="shared" si="29"/>
        <v>703.91849263621862</v>
      </c>
      <c r="I296" s="19">
        <f t="shared" si="30"/>
        <v>3.1445532785234738</v>
      </c>
      <c r="J296" s="19">
        <f t="shared" si="31"/>
        <v>0.96252013422818306</v>
      </c>
      <c r="K296" s="17" t="str">
        <f t="shared" si="32"/>
        <v/>
      </c>
      <c r="L296" s="17" t="str">
        <f t="shared" si="33"/>
        <v/>
      </c>
    </row>
    <row r="297" spans="1:12">
      <c r="A297" s="17">
        <v>288</v>
      </c>
      <c r="B297" s="17">
        <v>6</v>
      </c>
      <c r="C297" s="17">
        <v>12</v>
      </c>
      <c r="D297" s="17" t="s">
        <v>360</v>
      </c>
      <c r="E297" s="17">
        <v>700.52300000000002</v>
      </c>
      <c r="F297" s="17">
        <f t="shared" si="34"/>
        <v>3.999999999996362E-2</v>
      </c>
      <c r="G297" s="19">
        <f t="shared" si="28"/>
        <v>701.35859866220744</v>
      </c>
      <c r="H297" s="19">
        <f t="shared" si="29"/>
        <v>703.91849263621862</v>
      </c>
      <c r="I297" s="19">
        <f t="shared" si="30"/>
        <v>3.1445532785234738</v>
      </c>
      <c r="J297" s="19">
        <f t="shared" si="31"/>
        <v>0.96252013422818306</v>
      </c>
      <c r="K297" s="17" t="str">
        <f t="shared" si="32"/>
        <v/>
      </c>
      <c r="L297" s="17" t="str">
        <f t="shared" si="33"/>
        <v/>
      </c>
    </row>
    <row r="298" spans="1:12">
      <c r="A298" s="17">
        <v>289</v>
      </c>
      <c r="B298" s="17">
        <v>6</v>
      </c>
      <c r="C298" s="17">
        <v>11</v>
      </c>
      <c r="D298" s="17" t="s">
        <v>361</v>
      </c>
      <c r="E298" s="17">
        <v>700.69299999999998</v>
      </c>
      <c r="F298" s="17">
        <f t="shared" si="34"/>
        <v>0.16999999999995907</v>
      </c>
      <c r="G298" s="19">
        <f t="shared" si="28"/>
        <v>701.35859866220744</v>
      </c>
      <c r="H298" s="19">
        <f t="shared" si="29"/>
        <v>703.91849263621862</v>
      </c>
      <c r="I298" s="19">
        <f t="shared" si="30"/>
        <v>3.1445532785234738</v>
      </c>
      <c r="J298" s="19">
        <f t="shared" si="31"/>
        <v>0.96252013422818306</v>
      </c>
      <c r="K298" s="17" t="str">
        <f t="shared" si="32"/>
        <v/>
      </c>
      <c r="L298" s="17" t="str">
        <f t="shared" si="33"/>
        <v/>
      </c>
    </row>
    <row r="299" spans="1:12">
      <c r="A299" s="17">
        <v>290</v>
      </c>
      <c r="B299" s="17">
        <v>6</v>
      </c>
      <c r="C299" s="17">
        <v>10</v>
      </c>
      <c r="D299" s="17" t="s">
        <v>362</v>
      </c>
      <c r="E299" s="17">
        <v>700.72299999999996</v>
      </c>
      <c r="F299" s="17">
        <f t="shared" si="34"/>
        <v>2.9999999999972715E-2</v>
      </c>
      <c r="G299" s="19">
        <f t="shared" si="28"/>
        <v>701.35859866220744</v>
      </c>
      <c r="H299" s="19">
        <f t="shared" si="29"/>
        <v>703.91849263621862</v>
      </c>
      <c r="I299" s="19">
        <f t="shared" si="30"/>
        <v>3.1445532785234738</v>
      </c>
      <c r="J299" s="19">
        <f t="shared" si="31"/>
        <v>0.96252013422818306</v>
      </c>
      <c r="K299" s="17" t="str">
        <f t="shared" si="32"/>
        <v/>
      </c>
      <c r="L299" s="17" t="str">
        <f t="shared" si="33"/>
        <v/>
      </c>
    </row>
    <row r="300" spans="1:12">
      <c r="A300" s="17">
        <v>291</v>
      </c>
      <c r="B300" s="17">
        <v>6</v>
      </c>
      <c r="C300" s="17">
        <v>9</v>
      </c>
      <c r="D300" s="17" t="s">
        <v>363</v>
      </c>
      <c r="E300" s="17">
        <v>701.17499999999995</v>
      </c>
      <c r="F300" s="17">
        <f t="shared" si="34"/>
        <v>0.45199999999999818</v>
      </c>
      <c r="G300" s="19">
        <f t="shared" si="28"/>
        <v>701.35859866220744</v>
      </c>
      <c r="H300" s="19">
        <f t="shared" si="29"/>
        <v>703.91849263621862</v>
      </c>
      <c r="I300" s="19">
        <f t="shared" si="30"/>
        <v>3.1445532785234738</v>
      </c>
      <c r="J300" s="19">
        <f t="shared" si="31"/>
        <v>0.96252013422818306</v>
      </c>
      <c r="K300" s="17" t="str">
        <f t="shared" si="32"/>
        <v/>
      </c>
      <c r="L300" s="17" t="str">
        <f t="shared" si="33"/>
        <v/>
      </c>
    </row>
    <row r="301" spans="1:12">
      <c r="A301" s="17">
        <v>292</v>
      </c>
      <c r="B301" s="17">
        <v>6</v>
      </c>
      <c r="C301" s="17">
        <v>8</v>
      </c>
      <c r="D301" s="17" t="s">
        <v>364</v>
      </c>
      <c r="E301" s="17">
        <v>701.21699999999998</v>
      </c>
      <c r="F301" s="17">
        <f t="shared" si="34"/>
        <v>4.2000000000030013E-2</v>
      </c>
      <c r="G301" s="19">
        <f t="shared" si="28"/>
        <v>701.35859866220744</v>
      </c>
      <c r="H301" s="19">
        <f t="shared" si="29"/>
        <v>703.91849263621862</v>
      </c>
      <c r="I301" s="19">
        <f t="shared" si="30"/>
        <v>3.1445532785234738</v>
      </c>
      <c r="J301" s="19">
        <f t="shared" si="31"/>
        <v>0.96252013422818306</v>
      </c>
      <c r="K301" s="17" t="str">
        <f t="shared" si="32"/>
        <v/>
      </c>
      <c r="L301" s="17" t="str">
        <f t="shared" si="33"/>
        <v/>
      </c>
    </row>
    <row r="302" spans="1:12">
      <c r="A302" s="17">
        <v>293</v>
      </c>
      <c r="B302" s="17">
        <v>6</v>
      </c>
      <c r="C302" s="17">
        <v>7</v>
      </c>
      <c r="D302" s="17" t="s">
        <v>365</v>
      </c>
      <c r="E302" s="17">
        <v>699.67600000000004</v>
      </c>
      <c r="F302" s="17">
        <f t="shared" si="34"/>
        <v>1.54099999999994</v>
      </c>
      <c r="G302" s="19">
        <f t="shared" si="28"/>
        <v>701.35859866220744</v>
      </c>
      <c r="H302" s="19">
        <f t="shared" si="29"/>
        <v>703.91849263621862</v>
      </c>
      <c r="I302" s="19">
        <f t="shared" si="30"/>
        <v>3.1445532785234738</v>
      </c>
      <c r="J302" s="19">
        <f t="shared" si="31"/>
        <v>0.96252013422818306</v>
      </c>
      <c r="K302" s="17" t="str">
        <f t="shared" si="32"/>
        <v/>
      </c>
      <c r="L302" s="17" t="str">
        <f t="shared" si="33"/>
        <v/>
      </c>
    </row>
    <row r="303" spans="1:12">
      <c r="A303" s="17">
        <v>294</v>
      </c>
      <c r="B303" s="17">
        <v>6</v>
      </c>
      <c r="C303" s="17">
        <v>6</v>
      </c>
      <c r="D303" s="17" t="s">
        <v>366</v>
      </c>
      <c r="E303" s="17">
        <v>701.85400000000004</v>
      </c>
      <c r="F303" s="17">
        <f t="shared" si="34"/>
        <v>2.1779999999999973</v>
      </c>
      <c r="G303" s="19">
        <f t="shared" si="28"/>
        <v>701.35859866220744</v>
      </c>
      <c r="H303" s="19">
        <f t="shared" si="29"/>
        <v>703.91849263621862</v>
      </c>
      <c r="I303" s="19">
        <f t="shared" si="30"/>
        <v>3.1445532785234738</v>
      </c>
      <c r="J303" s="19">
        <f t="shared" si="31"/>
        <v>0.96252013422818306</v>
      </c>
      <c r="K303" s="17" t="str">
        <f t="shared" si="32"/>
        <v/>
      </c>
      <c r="L303" s="17" t="str">
        <f t="shared" si="33"/>
        <v/>
      </c>
    </row>
    <row r="304" spans="1:12">
      <c r="A304" s="17">
        <v>295</v>
      </c>
      <c r="B304" s="17">
        <v>6</v>
      </c>
      <c r="C304" s="17">
        <v>5</v>
      </c>
      <c r="D304" s="17" t="s">
        <v>367</v>
      </c>
      <c r="E304" s="17">
        <v>701.87199999999996</v>
      </c>
      <c r="F304" s="17">
        <f t="shared" si="34"/>
        <v>1.7999999999915417E-2</v>
      </c>
      <c r="G304" s="19">
        <f t="shared" si="28"/>
        <v>701.35859866220744</v>
      </c>
      <c r="H304" s="19">
        <f t="shared" si="29"/>
        <v>703.91849263621862</v>
      </c>
      <c r="I304" s="19">
        <f t="shared" si="30"/>
        <v>3.1445532785234738</v>
      </c>
      <c r="J304" s="19">
        <f t="shared" si="31"/>
        <v>0.96252013422818306</v>
      </c>
      <c r="K304" s="17" t="str">
        <f t="shared" si="32"/>
        <v/>
      </c>
      <c r="L304" s="17" t="str">
        <f t="shared" si="33"/>
        <v/>
      </c>
    </row>
    <row r="305" spans="1:12">
      <c r="A305" s="17">
        <v>296</v>
      </c>
      <c r="B305" s="17">
        <v>6</v>
      </c>
      <c r="C305" s="17">
        <v>4</v>
      </c>
      <c r="D305" s="17" t="s">
        <v>368</v>
      </c>
      <c r="E305" s="17">
        <v>701.53700000000003</v>
      </c>
      <c r="F305" s="17">
        <f t="shared" si="34"/>
        <v>0.33499999999992269</v>
      </c>
      <c r="G305" s="19">
        <f t="shared" si="28"/>
        <v>701.35859866220744</v>
      </c>
      <c r="H305" s="19">
        <f t="shared" si="29"/>
        <v>703.91849263621862</v>
      </c>
      <c r="I305" s="19">
        <f t="shared" si="30"/>
        <v>3.1445532785234738</v>
      </c>
      <c r="J305" s="19">
        <f t="shared" si="31"/>
        <v>0.96252013422818306</v>
      </c>
      <c r="K305" s="17" t="str">
        <f t="shared" si="32"/>
        <v/>
      </c>
      <c r="L305" s="17" t="str">
        <f t="shared" si="33"/>
        <v/>
      </c>
    </row>
    <row r="306" spans="1:12">
      <c r="A306" s="17">
        <v>297</v>
      </c>
      <c r="B306" s="17">
        <v>6</v>
      </c>
      <c r="C306" s="17">
        <v>3</v>
      </c>
      <c r="D306" s="17" t="s">
        <v>369</v>
      </c>
      <c r="E306" s="17">
        <v>701.71</v>
      </c>
      <c r="F306" s="17">
        <f t="shared" si="34"/>
        <v>0.17300000000000182</v>
      </c>
      <c r="G306" s="19">
        <f t="shared" si="28"/>
        <v>701.35859866220744</v>
      </c>
      <c r="H306" s="19">
        <f t="shared" si="29"/>
        <v>703.91849263621862</v>
      </c>
      <c r="I306" s="19">
        <f t="shared" si="30"/>
        <v>3.1445532785234738</v>
      </c>
      <c r="J306" s="19">
        <f t="shared" si="31"/>
        <v>0.96252013422818306</v>
      </c>
      <c r="K306" s="17" t="str">
        <f t="shared" si="32"/>
        <v/>
      </c>
      <c r="L306" s="17" t="str">
        <f t="shared" si="33"/>
        <v/>
      </c>
    </row>
    <row r="307" spans="1:12">
      <c r="A307" s="17">
        <v>298</v>
      </c>
      <c r="B307" s="17">
        <v>6</v>
      </c>
      <c r="C307" s="17">
        <v>2</v>
      </c>
      <c r="D307" s="17" t="s">
        <v>370</v>
      </c>
      <c r="E307" s="17">
        <v>702.05499999999995</v>
      </c>
      <c r="F307" s="17">
        <f t="shared" si="34"/>
        <v>0.3449999999999136</v>
      </c>
      <c r="G307" s="19">
        <f t="shared" si="28"/>
        <v>701.35859866220744</v>
      </c>
      <c r="H307" s="19">
        <f t="shared" si="29"/>
        <v>703.91849263621862</v>
      </c>
      <c r="I307" s="19">
        <f t="shared" si="30"/>
        <v>3.1445532785234738</v>
      </c>
      <c r="J307" s="19">
        <f t="shared" si="31"/>
        <v>0.96252013422818306</v>
      </c>
      <c r="K307" s="17" t="str">
        <f t="shared" si="32"/>
        <v/>
      </c>
      <c r="L307" s="17" t="str">
        <f t="shared" si="33"/>
        <v/>
      </c>
    </row>
    <row r="308" spans="1:12">
      <c r="A308" s="17">
        <v>299</v>
      </c>
      <c r="B308" s="17">
        <v>6</v>
      </c>
      <c r="C308" s="17">
        <v>1</v>
      </c>
      <c r="D308" s="17" t="s">
        <v>371</v>
      </c>
      <c r="E308" s="17">
        <v>701.7</v>
      </c>
      <c r="F308" s="17">
        <f t="shared" si="34"/>
        <v>0.3549999999999045</v>
      </c>
      <c r="G308" s="19">
        <f t="shared" si="28"/>
        <v>701.35859866220744</v>
      </c>
      <c r="H308" s="19">
        <f t="shared" si="29"/>
        <v>703.91849263621862</v>
      </c>
      <c r="I308" s="19">
        <f t="shared" si="30"/>
        <v>3.1445532785234738</v>
      </c>
      <c r="J308" s="19">
        <f t="shared" si="31"/>
        <v>0.96252013422818306</v>
      </c>
      <c r="K308" s="17" t="str">
        <f t="shared" si="32"/>
        <v/>
      </c>
      <c r="L308" s="17" t="str">
        <f t="shared" si="33"/>
        <v/>
      </c>
    </row>
  </sheetData>
  <mergeCells count="6">
    <mergeCell ref="B5:D5"/>
    <mergeCell ref="A1:M1"/>
    <mergeCell ref="P1:Q1"/>
    <mergeCell ref="A2:D2"/>
    <mergeCell ref="B3:D3"/>
    <mergeCell ref="B4:D4"/>
  </mergeCells>
  <phoneticPr fontId="4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8"/>
  <sheetViews>
    <sheetView showGridLines="0" workbookViewId="0">
      <pane ySplit="10" topLeftCell="A11" activePane="bottomLeft" state="frozen"/>
      <selection pane="bottomLeft" activeCell="A10" sqref="A10:L308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>
      <c r="A1" s="71" t="s">
        <v>684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59" t="s">
        <v>47</v>
      </c>
      <c r="Q1" s="69"/>
    </row>
    <row r="2" spans="1:17">
      <c r="P2" s="16" t="s">
        <v>48</v>
      </c>
      <c r="Q2" s="17">
        <f>COUNT(E11:E308)</f>
        <v>298</v>
      </c>
    </row>
    <row r="3" spans="1:17" ht="15.75" customHeight="1">
      <c r="A3" s="62" t="s">
        <v>46</v>
      </c>
      <c r="B3" s="63"/>
      <c r="C3" s="63"/>
      <c r="D3" s="63"/>
      <c r="P3" s="16" t="s">
        <v>24</v>
      </c>
      <c r="Q3" s="17">
        <f>AVERAGE(E11:E308)</f>
        <v>701.16808389261723</v>
      </c>
    </row>
    <row r="4" spans="1:17">
      <c r="A4" s="16" t="s">
        <v>23</v>
      </c>
      <c r="B4" s="70">
        <v>705</v>
      </c>
      <c r="C4" s="63"/>
      <c r="D4" s="63"/>
      <c r="P4" s="16" t="s">
        <v>53</v>
      </c>
      <c r="Q4" s="17">
        <f>IFERROR(AVERAGE(F12:F308),0)</f>
        <v>0.95391245791245838</v>
      </c>
    </row>
    <row r="5" spans="1:17" ht="31.5">
      <c r="A5" s="16" t="s">
        <v>49</v>
      </c>
      <c r="B5" s="66">
        <v>1.1279999999999999</v>
      </c>
      <c r="C5" s="63"/>
      <c r="D5" s="63"/>
      <c r="P5" s="16" t="s">
        <v>679</v>
      </c>
      <c r="Q5" s="17">
        <f>Q4/$B$5</f>
        <v>0.84566707261742768</v>
      </c>
    </row>
    <row r="6" spans="1:17" ht="63">
      <c r="A6" s="16" t="s">
        <v>52</v>
      </c>
      <c r="B6" s="66">
        <v>3.2669999999999999</v>
      </c>
      <c r="C6" s="63"/>
      <c r="D6" s="63"/>
      <c r="P6" s="16" t="s">
        <v>680</v>
      </c>
      <c r="Q6" s="17">
        <f>Q3+3*Q5</f>
        <v>703.70508511046955</v>
      </c>
    </row>
    <row r="7" spans="1:17">
      <c r="P7" s="16" t="s">
        <v>681</v>
      </c>
      <c r="Q7" s="17">
        <f>$B$6*Q4</f>
        <v>3.1164320000000014</v>
      </c>
    </row>
    <row r="8" spans="1:17">
      <c r="P8" s="16" t="s">
        <v>682</v>
      </c>
      <c r="Q8" s="17">
        <f>($B$4-Q3)/(3*Q5)</f>
        <v>1.5104116152639075</v>
      </c>
    </row>
    <row r="9" spans="1:17">
      <c r="P9" s="16" t="s">
        <v>683</v>
      </c>
      <c r="Q9" s="17">
        <f>($B$4-Q3)/(3*_xlfn.STDEV.S(E11:E308))</f>
        <v>1.2300345817401943</v>
      </c>
    </row>
    <row r="10" spans="1:17" ht="31.5">
      <c r="A10" s="18" t="s">
        <v>57</v>
      </c>
      <c r="B10" s="18" t="s">
        <v>59</v>
      </c>
      <c r="C10" s="18" t="s">
        <v>60</v>
      </c>
      <c r="D10" s="18" t="s">
        <v>61</v>
      </c>
      <c r="E10" s="18" t="s">
        <v>62</v>
      </c>
      <c r="F10" s="18" t="s">
        <v>63</v>
      </c>
      <c r="G10" s="18" t="s">
        <v>64</v>
      </c>
      <c r="H10" s="18" t="s">
        <v>65</v>
      </c>
      <c r="I10" s="18" t="s">
        <v>66</v>
      </c>
      <c r="J10" s="18" t="s">
        <v>67</v>
      </c>
      <c r="K10" s="18" t="s">
        <v>68</v>
      </c>
      <c r="L10" s="18" t="s">
        <v>69</v>
      </c>
    </row>
    <row r="11" spans="1:17">
      <c r="A11" s="17">
        <v>1</v>
      </c>
      <c r="B11" s="17">
        <v>1</v>
      </c>
      <c r="C11" s="17">
        <v>25</v>
      </c>
      <c r="D11" s="17" t="s">
        <v>373</v>
      </c>
      <c r="E11" s="17">
        <v>701.64499999999998</v>
      </c>
      <c r="F11" s="17"/>
      <c r="G11" s="1">
        <f t="shared" ref="G11:G74" si="0">$Q$3</f>
        <v>701.16808389261723</v>
      </c>
      <c r="H11" s="1">
        <f t="shared" ref="H11:H74" si="1">$Q$6</f>
        <v>703.70508511046955</v>
      </c>
      <c r="I11" s="1">
        <f t="shared" ref="I11:I74" si="2">$Q$7</f>
        <v>3.1164320000000014</v>
      </c>
      <c r="J11" s="1">
        <f t="shared" ref="J11:J74" si="3">$Q$4</f>
        <v>0.95391245791245838</v>
      </c>
      <c r="K11" s="17" t="str">
        <f t="shared" ref="K11:K74" si="4">IF(E11&gt;$Q$6,"OOC","" )</f>
        <v/>
      </c>
      <c r="L11" s="17" t="str">
        <f t="shared" ref="L11:L74" si="5">IF(E11&gt;$B$4,"OOS","" )</f>
        <v/>
      </c>
    </row>
    <row r="12" spans="1:17">
      <c r="A12" s="17">
        <v>2</v>
      </c>
      <c r="B12" s="17">
        <v>1</v>
      </c>
      <c r="C12" s="17">
        <v>24</v>
      </c>
      <c r="D12" s="17" t="s">
        <v>374</v>
      </c>
      <c r="E12" s="17">
        <v>701.82600000000002</v>
      </c>
      <c r="F12" s="17">
        <f t="shared" ref="F12:F75" si="6">ABS(E12-E11)</f>
        <v>0.18100000000004002</v>
      </c>
      <c r="G12" s="1">
        <f t="shared" si="0"/>
        <v>701.16808389261723</v>
      </c>
      <c r="H12" s="1">
        <f t="shared" si="1"/>
        <v>703.70508511046955</v>
      </c>
      <c r="I12" s="1">
        <f t="shared" si="2"/>
        <v>3.1164320000000014</v>
      </c>
      <c r="J12" s="1">
        <f t="shared" si="3"/>
        <v>0.95391245791245838</v>
      </c>
      <c r="K12" s="17" t="str">
        <f t="shared" si="4"/>
        <v/>
      </c>
      <c r="L12" s="17" t="str">
        <f t="shared" si="5"/>
        <v/>
      </c>
    </row>
    <row r="13" spans="1:17">
      <c r="A13" s="17">
        <v>3</v>
      </c>
      <c r="B13" s="17">
        <v>1</v>
      </c>
      <c r="C13" s="17">
        <v>22</v>
      </c>
      <c r="D13" s="17" t="s">
        <v>376</v>
      </c>
      <c r="E13" s="17">
        <v>701.83799999999997</v>
      </c>
      <c r="F13" s="17">
        <f t="shared" si="6"/>
        <v>1.1999999999943611E-2</v>
      </c>
      <c r="G13" s="1">
        <f t="shared" si="0"/>
        <v>701.16808389261723</v>
      </c>
      <c r="H13" s="1">
        <f t="shared" si="1"/>
        <v>703.70508511046955</v>
      </c>
      <c r="I13" s="1">
        <f t="shared" si="2"/>
        <v>3.1164320000000014</v>
      </c>
      <c r="J13" s="1">
        <f t="shared" si="3"/>
        <v>0.95391245791245838</v>
      </c>
      <c r="K13" s="17" t="str">
        <f t="shared" si="4"/>
        <v/>
      </c>
      <c r="L13" s="17" t="str">
        <f t="shared" si="5"/>
        <v/>
      </c>
    </row>
    <row r="14" spans="1:17">
      <c r="A14" s="17">
        <v>4</v>
      </c>
      <c r="B14" s="17">
        <v>1</v>
      </c>
      <c r="C14" s="17">
        <v>21</v>
      </c>
      <c r="D14" s="17" t="s">
        <v>377</v>
      </c>
      <c r="E14" s="17">
        <v>701.66</v>
      </c>
      <c r="F14" s="17">
        <f t="shared" si="6"/>
        <v>0.17799999999999727</v>
      </c>
      <c r="G14" s="1">
        <f t="shared" si="0"/>
        <v>701.16808389261723</v>
      </c>
      <c r="H14" s="1">
        <f t="shared" si="1"/>
        <v>703.70508511046955</v>
      </c>
      <c r="I14" s="1">
        <f t="shared" si="2"/>
        <v>3.1164320000000014</v>
      </c>
      <c r="J14" s="1">
        <f t="shared" si="3"/>
        <v>0.95391245791245838</v>
      </c>
      <c r="K14" s="17" t="str">
        <f t="shared" si="4"/>
        <v/>
      </c>
      <c r="L14" s="17" t="str">
        <f t="shared" si="5"/>
        <v/>
      </c>
    </row>
    <row r="15" spans="1:17">
      <c r="A15" s="17">
        <v>5</v>
      </c>
      <c r="B15" s="17">
        <v>1</v>
      </c>
      <c r="C15" s="17">
        <v>20</v>
      </c>
      <c r="D15" s="17" t="s">
        <v>378</v>
      </c>
      <c r="E15" s="17">
        <v>701.928</v>
      </c>
      <c r="F15" s="17">
        <f t="shared" si="6"/>
        <v>0.2680000000000291</v>
      </c>
      <c r="G15" s="1">
        <f t="shared" si="0"/>
        <v>701.16808389261723</v>
      </c>
      <c r="H15" s="1">
        <f t="shared" si="1"/>
        <v>703.70508511046955</v>
      </c>
      <c r="I15" s="1">
        <f t="shared" si="2"/>
        <v>3.1164320000000014</v>
      </c>
      <c r="J15" s="1">
        <f t="shared" si="3"/>
        <v>0.95391245791245838</v>
      </c>
      <c r="K15" s="17" t="str">
        <f t="shared" si="4"/>
        <v/>
      </c>
      <c r="L15" s="17" t="str">
        <f t="shared" si="5"/>
        <v/>
      </c>
    </row>
    <row r="16" spans="1:17">
      <c r="A16" s="17">
        <v>6</v>
      </c>
      <c r="B16" s="17">
        <v>1</v>
      </c>
      <c r="C16" s="17">
        <v>19</v>
      </c>
      <c r="D16" s="17" t="s">
        <v>379</v>
      </c>
      <c r="E16" s="17">
        <v>703.053</v>
      </c>
      <c r="F16" s="17">
        <f t="shared" si="6"/>
        <v>1.125</v>
      </c>
      <c r="G16" s="1">
        <f t="shared" si="0"/>
        <v>701.16808389261723</v>
      </c>
      <c r="H16" s="1">
        <f t="shared" si="1"/>
        <v>703.70508511046955</v>
      </c>
      <c r="I16" s="1">
        <f t="shared" si="2"/>
        <v>3.1164320000000014</v>
      </c>
      <c r="J16" s="1">
        <f t="shared" si="3"/>
        <v>0.95391245791245838</v>
      </c>
      <c r="K16" s="17" t="str">
        <f t="shared" si="4"/>
        <v/>
      </c>
      <c r="L16" s="17" t="str">
        <f t="shared" si="5"/>
        <v/>
      </c>
    </row>
    <row r="17" spans="1:12">
      <c r="A17" s="17">
        <v>7</v>
      </c>
      <c r="B17" s="17">
        <v>1</v>
      </c>
      <c r="C17" s="17">
        <v>18</v>
      </c>
      <c r="D17" s="17" t="s">
        <v>380</v>
      </c>
      <c r="E17" s="17">
        <v>699.31899999999996</v>
      </c>
      <c r="F17" s="17">
        <f t="shared" si="6"/>
        <v>3.7340000000000373</v>
      </c>
      <c r="G17" s="1">
        <f t="shared" si="0"/>
        <v>701.16808389261723</v>
      </c>
      <c r="H17" s="1">
        <f t="shared" si="1"/>
        <v>703.70508511046955</v>
      </c>
      <c r="I17" s="1">
        <f t="shared" si="2"/>
        <v>3.1164320000000014</v>
      </c>
      <c r="J17" s="1">
        <f t="shared" si="3"/>
        <v>0.95391245791245838</v>
      </c>
      <c r="K17" s="17" t="str">
        <f t="shared" si="4"/>
        <v/>
      </c>
      <c r="L17" s="17" t="str">
        <f t="shared" si="5"/>
        <v/>
      </c>
    </row>
    <row r="18" spans="1:12">
      <c r="A18" s="17">
        <v>8</v>
      </c>
      <c r="B18" s="17">
        <v>1</v>
      </c>
      <c r="C18" s="17">
        <v>17</v>
      </c>
      <c r="D18" s="17" t="s">
        <v>381</v>
      </c>
      <c r="E18" s="17">
        <v>699.55799999999999</v>
      </c>
      <c r="F18" s="17">
        <f t="shared" si="6"/>
        <v>0.23900000000003274</v>
      </c>
      <c r="G18" s="1">
        <f t="shared" si="0"/>
        <v>701.16808389261723</v>
      </c>
      <c r="H18" s="1">
        <f t="shared" si="1"/>
        <v>703.70508511046955</v>
      </c>
      <c r="I18" s="1">
        <f t="shared" si="2"/>
        <v>3.1164320000000014</v>
      </c>
      <c r="J18" s="1">
        <f t="shared" si="3"/>
        <v>0.95391245791245838</v>
      </c>
      <c r="K18" s="17" t="str">
        <f t="shared" si="4"/>
        <v/>
      </c>
      <c r="L18" s="17" t="str">
        <f t="shared" si="5"/>
        <v/>
      </c>
    </row>
    <row r="19" spans="1:12">
      <c r="A19" s="17">
        <v>9</v>
      </c>
      <c r="B19" s="17">
        <v>1</v>
      </c>
      <c r="C19" s="17">
        <v>16</v>
      </c>
      <c r="D19" s="17" t="s">
        <v>382</v>
      </c>
      <c r="E19" s="17">
        <v>702.31500000000005</v>
      </c>
      <c r="F19" s="17">
        <f t="shared" si="6"/>
        <v>2.7570000000000618</v>
      </c>
      <c r="G19" s="1">
        <f t="shared" si="0"/>
        <v>701.16808389261723</v>
      </c>
      <c r="H19" s="1">
        <f t="shared" si="1"/>
        <v>703.70508511046955</v>
      </c>
      <c r="I19" s="1">
        <f t="shared" si="2"/>
        <v>3.1164320000000014</v>
      </c>
      <c r="J19" s="1">
        <f t="shared" si="3"/>
        <v>0.95391245791245838</v>
      </c>
      <c r="K19" s="17" t="str">
        <f t="shared" si="4"/>
        <v/>
      </c>
      <c r="L19" s="17" t="str">
        <f t="shared" si="5"/>
        <v/>
      </c>
    </row>
    <row r="20" spans="1:12">
      <c r="A20" s="17">
        <v>10</v>
      </c>
      <c r="B20" s="17">
        <v>1</v>
      </c>
      <c r="C20" s="17">
        <v>15</v>
      </c>
      <c r="D20" s="17" t="s">
        <v>383</v>
      </c>
      <c r="E20" s="17">
        <v>701.48699999999997</v>
      </c>
      <c r="F20" s="17">
        <f t="shared" si="6"/>
        <v>0.82800000000008822</v>
      </c>
      <c r="G20" s="1">
        <f t="shared" si="0"/>
        <v>701.16808389261723</v>
      </c>
      <c r="H20" s="1">
        <f t="shared" si="1"/>
        <v>703.70508511046955</v>
      </c>
      <c r="I20" s="1">
        <f t="shared" si="2"/>
        <v>3.1164320000000014</v>
      </c>
      <c r="J20" s="1">
        <f t="shared" si="3"/>
        <v>0.95391245791245838</v>
      </c>
      <c r="K20" s="17" t="str">
        <f t="shared" si="4"/>
        <v/>
      </c>
      <c r="L20" s="17" t="str">
        <f t="shared" si="5"/>
        <v/>
      </c>
    </row>
    <row r="21" spans="1:12">
      <c r="A21" s="17">
        <v>11</v>
      </c>
      <c r="B21" s="17">
        <v>1</v>
      </c>
      <c r="C21" s="17">
        <v>14</v>
      </c>
      <c r="D21" s="17" t="s">
        <v>384</v>
      </c>
      <c r="E21" s="17">
        <v>703.02800000000002</v>
      </c>
      <c r="F21" s="17">
        <f t="shared" si="6"/>
        <v>1.5410000000000537</v>
      </c>
      <c r="G21" s="1">
        <f t="shared" si="0"/>
        <v>701.16808389261723</v>
      </c>
      <c r="H21" s="1">
        <f t="shared" si="1"/>
        <v>703.70508511046955</v>
      </c>
      <c r="I21" s="1">
        <f t="shared" si="2"/>
        <v>3.1164320000000014</v>
      </c>
      <c r="J21" s="1">
        <f t="shared" si="3"/>
        <v>0.95391245791245838</v>
      </c>
      <c r="K21" s="17" t="str">
        <f t="shared" si="4"/>
        <v/>
      </c>
      <c r="L21" s="17" t="str">
        <f t="shared" si="5"/>
        <v/>
      </c>
    </row>
    <row r="22" spans="1:12">
      <c r="A22" s="17">
        <v>12</v>
      </c>
      <c r="B22" s="17">
        <v>1</v>
      </c>
      <c r="C22" s="17">
        <v>13</v>
      </c>
      <c r="D22" s="17" t="s">
        <v>385</v>
      </c>
      <c r="E22" s="17">
        <v>701.10400000000004</v>
      </c>
      <c r="F22" s="17">
        <f t="shared" si="6"/>
        <v>1.9239999999999782</v>
      </c>
      <c r="G22" s="1">
        <f t="shared" si="0"/>
        <v>701.16808389261723</v>
      </c>
      <c r="H22" s="1">
        <f t="shared" si="1"/>
        <v>703.70508511046955</v>
      </c>
      <c r="I22" s="1">
        <f t="shared" si="2"/>
        <v>3.1164320000000014</v>
      </c>
      <c r="J22" s="1">
        <f t="shared" si="3"/>
        <v>0.95391245791245838</v>
      </c>
      <c r="K22" s="17" t="str">
        <f t="shared" si="4"/>
        <v/>
      </c>
      <c r="L22" s="17" t="str">
        <f t="shared" si="5"/>
        <v/>
      </c>
    </row>
    <row r="23" spans="1:12">
      <c r="A23" s="17">
        <v>13</v>
      </c>
      <c r="B23" s="17">
        <v>1</v>
      </c>
      <c r="C23" s="17">
        <v>12</v>
      </c>
      <c r="D23" s="17" t="s">
        <v>386</v>
      </c>
      <c r="E23" s="17">
        <v>700.70600000000002</v>
      </c>
      <c r="F23" s="17">
        <f t="shared" si="6"/>
        <v>0.39800000000002456</v>
      </c>
      <c r="G23" s="1">
        <f t="shared" si="0"/>
        <v>701.16808389261723</v>
      </c>
      <c r="H23" s="1">
        <f t="shared" si="1"/>
        <v>703.70508511046955</v>
      </c>
      <c r="I23" s="1">
        <f t="shared" si="2"/>
        <v>3.1164320000000014</v>
      </c>
      <c r="J23" s="1">
        <f t="shared" si="3"/>
        <v>0.95391245791245838</v>
      </c>
      <c r="K23" s="17" t="str">
        <f t="shared" si="4"/>
        <v/>
      </c>
      <c r="L23" s="17" t="str">
        <f t="shared" si="5"/>
        <v/>
      </c>
    </row>
    <row r="24" spans="1:12">
      <c r="A24" s="17">
        <v>14</v>
      </c>
      <c r="B24" s="17">
        <v>1</v>
      </c>
      <c r="C24" s="17">
        <v>11</v>
      </c>
      <c r="D24" s="17" t="s">
        <v>387</v>
      </c>
      <c r="E24" s="17">
        <v>700.61400000000003</v>
      </c>
      <c r="F24" s="17">
        <f t="shared" si="6"/>
        <v>9.1999999999984539E-2</v>
      </c>
      <c r="G24" s="1">
        <f t="shared" si="0"/>
        <v>701.16808389261723</v>
      </c>
      <c r="H24" s="1">
        <f t="shared" si="1"/>
        <v>703.70508511046955</v>
      </c>
      <c r="I24" s="1">
        <f t="shared" si="2"/>
        <v>3.1164320000000014</v>
      </c>
      <c r="J24" s="1">
        <f t="shared" si="3"/>
        <v>0.95391245791245838</v>
      </c>
      <c r="K24" s="17" t="str">
        <f t="shared" si="4"/>
        <v/>
      </c>
      <c r="L24" s="17" t="str">
        <f t="shared" si="5"/>
        <v/>
      </c>
    </row>
    <row r="25" spans="1:12">
      <c r="A25" s="17">
        <v>15</v>
      </c>
      <c r="B25" s="17">
        <v>1</v>
      </c>
      <c r="C25" s="17">
        <v>10</v>
      </c>
      <c r="D25" s="17" t="s">
        <v>388</v>
      </c>
      <c r="E25" s="17">
        <v>700.48199999999997</v>
      </c>
      <c r="F25" s="17">
        <f t="shared" si="6"/>
        <v>0.13200000000006185</v>
      </c>
      <c r="G25" s="1">
        <f t="shared" si="0"/>
        <v>701.16808389261723</v>
      </c>
      <c r="H25" s="1">
        <f t="shared" si="1"/>
        <v>703.70508511046955</v>
      </c>
      <c r="I25" s="1">
        <f t="shared" si="2"/>
        <v>3.1164320000000014</v>
      </c>
      <c r="J25" s="1">
        <f t="shared" si="3"/>
        <v>0.95391245791245838</v>
      </c>
      <c r="K25" s="17" t="str">
        <f t="shared" si="4"/>
        <v/>
      </c>
      <c r="L25" s="17" t="str">
        <f t="shared" si="5"/>
        <v/>
      </c>
    </row>
    <row r="26" spans="1:12">
      <c r="A26" s="17">
        <v>16</v>
      </c>
      <c r="B26" s="17">
        <v>1</v>
      </c>
      <c r="C26" s="17">
        <v>9</v>
      </c>
      <c r="D26" s="17" t="s">
        <v>389</v>
      </c>
      <c r="E26" s="17">
        <v>701.80100000000004</v>
      </c>
      <c r="F26" s="17">
        <f t="shared" si="6"/>
        <v>1.3190000000000737</v>
      </c>
      <c r="G26" s="1">
        <f t="shared" si="0"/>
        <v>701.16808389261723</v>
      </c>
      <c r="H26" s="1">
        <f t="shared" si="1"/>
        <v>703.70508511046955</v>
      </c>
      <c r="I26" s="1">
        <f t="shared" si="2"/>
        <v>3.1164320000000014</v>
      </c>
      <c r="J26" s="1">
        <f t="shared" si="3"/>
        <v>0.95391245791245838</v>
      </c>
      <c r="K26" s="17" t="str">
        <f t="shared" si="4"/>
        <v/>
      </c>
      <c r="L26" s="17" t="str">
        <f t="shared" si="5"/>
        <v/>
      </c>
    </row>
    <row r="27" spans="1:12">
      <c r="A27" s="17">
        <v>17</v>
      </c>
      <c r="B27" s="17">
        <v>1</v>
      </c>
      <c r="C27" s="17">
        <v>8</v>
      </c>
      <c r="D27" s="17" t="s">
        <v>390</v>
      </c>
      <c r="E27" s="17">
        <v>700.88199999999995</v>
      </c>
      <c r="F27" s="17">
        <f t="shared" si="6"/>
        <v>0.91900000000009641</v>
      </c>
      <c r="G27" s="1">
        <f t="shared" si="0"/>
        <v>701.16808389261723</v>
      </c>
      <c r="H27" s="1">
        <f t="shared" si="1"/>
        <v>703.70508511046955</v>
      </c>
      <c r="I27" s="1">
        <f t="shared" si="2"/>
        <v>3.1164320000000014</v>
      </c>
      <c r="J27" s="1">
        <f t="shared" si="3"/>
        <v>0.95391245791245838</v>
      </c>
      <c r="K27" s="17" t="str">
        <f t="shared" si="4"/>
        <v/>
      </c>
      <c r="L27" s="17" t="str">
        <f t="shared" si="5"/>
        <v/>
      </c>
    </row>
    <row r="28" spans="1:12">
      <c r="A28" s="17">
        <v>18</v>
      </c>
      <c r="B28" s="17">
        <v>1</v>
      </c>
      <c r="C28" s="17">
        <v>7</v>
      </c>
      <c r="D28" s="17" t="s">
        <v>391</v>
      </c>
      <c r="E28" s="17">
        <v>700.77599999999995</v>
      </c>
      <c r="F28" s="17">
        <f t="shared" si="6"/>
        <v>0.10599999999999454</v>
      </c>
      <c r="G28" s="1">
        <f t="shared" si="0"/>
        <v>701.16808389261723</v>
      </c>
      <c r="H28" s="1">
        <f t="shared" si="1"/>
        <v>703.70508511046955</v>
      </c>
      <c r="I28" s="1">
        <f t="shared" si="2"/>
        <v>3.1164320000000014</v>
      </c>
      <c r="J28" s="1">
        <f t="shared" si="3"/>
        <v>0.95391245791245838</v>
      </c>
      <c r="K28" s="17" t="str">
        <f t="shared" si="4"/>
        <v/>
      </c>
      <c r="L28" s="17" t="str">
        <f t="shared" si="5"/>
        <v/>
      </c>
    </row>
    <row r="29" spans="1:12">
      <c r="A29" s="17">
        <v>19</v>
      </c>
      <c r="B29" s="17">
        <v>1</v>
      </c>
      <c r="C29" s="17">
        <v>6</v>
      </c>
      <c r="D29" s="17" t="s">
        <v>392</v>
      </c>
      <c r="E29" s="17">
        <v>700.84400000000005</v>
      </c>
      <c r="F29" s="17">
        <f t="shared" si="6"/>
        <v>6.8000000000097316E-2</v>
      </c>
      <c r="G29" s="1">
        <f t="shared" si="0"/>
        <v>701.16808389261723</v>
      </c>
      <c r="H29" s="1">
        <f t="shared" si="1"/>
        <v>703.70508511046955</v>
      </c>
      <c r="I29" s="1">
        <f t="shared" si="2"/>
        <v>3.1164320000000014</v>
      </c>
      <c r="J29" s="1">
        <f t="shared" si="3"/>
        <v>0.95391245791245838</v>
      </c>
      <c r="K29" s="17" t="str">
        <f t="shared" si="4"/>
        <v/>
      </c>
      <c r="L29" s="17" t="str">
        <f t="shared" si="5"/>
        <v/>
      </c>
    </row>
    <row r="30" spans="1:12">
      <c r="A30" s="17">
        <v>20</v>
      </c>
      <c r="B30" s="17">
        <v>1</v>
      </c>
      <c r="C30" s="17">
        <v>5</v>
      </c>
      <c r="D30" s="17" t="s">
        <v>393</v>
      </c>
      <c r="E30" s="17">
        <v>700.48599999999999</v>
      </c>
      <c r="F30" s="17">
        <f t="shared" si="6"/>
        <v>0.35800000000006094</v>
      </c>
      <c r="G30" s="1">
        <f t="shared" si="0"/>
        <v>701.16808389261723</v>
      </c>
      <c r="H30" s="1">
        <f t="shared" si="1"/>
        <v>703.70508511046955</v>
      </c>
      <c r="I30" s="1">
        <f t="shared" si="2"/>
        <v>3.1164320000000014</v>
      </c>
      <c r="J30" s="1">
        <f t="shared" si="3"/>
        <v>0.95391245791245838</v>
      </c>
      <c r="K30" s="17" t="str">
        <f t="shared" si="4"/>
        <v/>
      </c>
      <c r="L30" s="17" t="str">
        <f t="shared" si="5"/>
        <v/>
      </c>
    </row>
    <row r="31" spans="1:12">
      <c r="A31" s="17">
        <v>21</v>
      </c>
      <c r="B31" s="17">
        <v>1</v>
      </c>
      <c r="C31" s="17">
        <v>4</v>
      </c>
      <c r="D31" s="17" t="s">
        <v>394</v>
      </c>
      <c r="E31" s="17">
        <v>700.69500000000005</v>
      </c>
      <c r="F31" s="17">
        <f t="shared" si="6"/>
        <v>0.20900000000006003</v>
      </c>
      <c r="G31" s="1">
        <f t="shared" si="0"/>
        <v>701.16808389261723</v>
      </c>
      <c r="H31" s="1">
        <f t="shared" si="1"/>
        <v>703.70508511046955</v>
      </c>
      <c r="I31" s="1">
        <f t="shared" si="2"/>
        <v>3.1164320000000014</v>
      </c>
      <c r="J31" s="1">
        <f t="shared" si="3"/>
        <v>0.95391245791245838</v>
      </c>
      <c r="K31" s="17" t="str">
        <f t="shared" si="4"/>
        <v/>
      </c>
      <c r="L31" s="17" t="str">
        <f t="shared" si="5"/>
        <v/>
      </c>
    </row>
    <row r="32" spans="1:12">
      <c r="A32" s="17">
        <v>22</v>
      </c>
      <c r="B32" s="17">
        <v>1</v>
      </c>
      <c r="C32" s="17">
        <v>3</v>
      </c>
      <c r="D32" s="17" t="s">
        <v>395</v>
      </c>
      <c r="E32" s="17">
        <v>700.85</v>
      </c>
      <c r="F32" s="17">
        <f t="shared" si="6"/>
        <v>0.15499999999997272</v>
      </c>
      <c r="G32" s="1">
        <f t="shared" si="0"/>
        <v>701.16808389261723</v>
      </c>
      <c r="H32" s="1">
        <f t="shared" si="1"/>
        <v>703.70508511046955</v>
      </c>
      <c r="I32" s="1">
        <f t="shared" si="2"/>
        <v>3.1164320000000014</v>
      </c>
      <c r="J32" s="1">
        <f t="shared" si="3"/>
        <v>0.95391245791245838</v>
      </c>
      <c r="K32" s="17" t="str">
        <f t="shared" si="4"/>
        <v/>
      </c>
      <c r="L32" s="17" t="str">
        <f t="shared" si="5"/>
        <v/>
      </c>
    </row>
    <row r="33" spans="1:12">
      <c r="A33" s="17">
        <v>23</v>
      </c>
      <c r="B33" s="17">
        <v>1</v>
      </c>
      <c r="C33" s="17">
        <v>2</v>
      </c>
      <c r="D33" s="17" t="s">
        <v>396</v>
      </c>
      <c r="E33" s="17">
        <v>700.82100000000003</v>
      </c>
      <c r="F33" s="17">
        <f t="shared" si="6"/>
        <v>2.8999999999996362E-2</v>
      </c>
      <c r="G33" s="1">
        <f t="shared" si="0"/>
        <v>701.16808389261723</v>
      </c>
      <c r="H33" s="1">
        <f t="shared" si="1"/>
        <v>703.70508511046955</v>
      </c>
      <c r="I33" s="1">
        <f t="shared" si="2"/>
        <v>3.1164320000000014</v>
      </c>
      <c r="J33" s="1">
        <f t="shared" si="3"/>
        <v>0.95391245791245838</v>
      </c>
      <c r="K33" s="17" t="str">
        <f t="shared" si="4"/>
        <v/>
      </c>
      <c r="L33" s="17" t="str">
        <f t="shared" si="5"/>
        <v/>
      </c>
    </row>
    <row r="34" spans="1:12">
      <c r="A34" s="17">
        <v>24</v>
      </c>
      <c r="B34" s="17">
        <v>1</v>
      </c>
      <c r="C34" s="17">
        <v>1</v>
      </c>
      <c r="D34" s="17" t="s">
        <v>397</v>
      </c>
      <c r="E34" s="17">
        <v>701.51599999999996</v>
      </c>
      <c r="F34" s="17">
        <f t="shared" si="6"/>
        <v>0.69499999999993634</v>
      </c>
      <c r="G34" s="1">
        <f t="shared" si="0"/>
        <v>701.16808389261723</v>
      </c>
      <c r="H34" s="1">
        <f t="shared" si="1"/>
        <v>703.70508511046955</v>
      </c>
      <c r="I34" s="1">
        <f t="shared" si="2"/>
        <v>3.1164320000000014</v>
      </c>
      <c r="J34" s="1">
        <f t="shared" si="3"/>
        <v>0.95391245791245838</v>
      </c>
      <c r="K34" s="17" t="str">
        <f t="shared" si="4"/>
        <v/>
      </c>
      <c r="L34" s="17" t="str">
        <f t="shared" si="5"/>
        <v/>
      </c>
    </row>
    <row r="35" spans="1:12">
      <c r="A35" s="17">
        <v>25</v>
      </c>
      <c r="B35" s="17">
        <v>1</v>
      </c>
      <c r="C35" s="17">
        <v>25</v>
      </c>
      <c r="D35" s="17" t="s">
        <v>398</v>
      </c>
      <c r="E35" s="17">
        <v>700.01700000000005</v>
      </c>
      <c r="F35" s="17">
        <f t="shared" si="6"/>
        <v>1.49899999999991</v>
      </c>
      <c r="G35" s="1">
        <f t="shared" si="0"/>
        <v>701.16808389261723</v>
      </c>
      <c r="H35" s="1">
        <f t="shared" si="1"/>
        <v>703.70508511046955</v>
      </c>
      <c r="I35" s="1">
        <f t="shared" si="2"/>
        <v>3.1164320000000014</v>
      </c>
      <c r="J35" s="1">
        <f t="shared" si="3"/>
        <v>0.95391245791245838</v>
      </c>
      <c r="K35" s="17" t="str">
        <f t="shared" si="4"/>
        <v/>
      </c>
      <c r="L35" s="17" t="str">
        <f t="shared" si="5"/>
        <v/>
      </c>
    </row>
    <row r="36" spans="1:12">
      <c r="A36" s="17">
        <v>26</v>
      </c>
      <c r="B36" s="17">
        <v>1</v>
      </c>
      <c r="C36" s="17">
        <v>24</v>
      </c>
      <c r="D36" s="17" t="s">
        <v>399</v>
      </c>
      <c r="E36" s="17">
        <v>701.31500000000005</v>
      </c>
      <c r="F36" s="17">
        <f t="shared" si="6"/>
        <v>1.2980000000000018</v>
      </c>
      <c r="G36" s="1">
        <f t="shared" si="0"/>
        <v>701.16808389261723</v>
      </c>
      <c r="H36" s="1">
        <f t="shared" si="1"/>
        <v>703.70508511046955</v>
      </c>
      <c r="I36" s="1">
        <f t="shared" si="2"/>
        <v>3.1164320000000014</v>
      </c>
      <c r="J36" s="1">
        <f t="shared" si="3"/>
        <v>0.95391245791245838</v>
      </c>
      <c r="K36" s="17" t="str">
        <f t="shared" si="4"/>
        <v/>
      </c>
      <c r="L36" s="17" t="str">
        <f t="shared" si="5"/>
        <v/>
      </c>
    </row>
    <row r="37" spans="1:12">
      <c r="A37" s="17">
        <v>27</v>
      </c>
      <c r="B37" s="17">
        <v>1</v>
      </c>
      <c r="C37" s="17">
        <v>23</v>
      </c>
      <c r="D37" s="17" t="s">
        <v>400</v>
      </c>
      <c r="E37" s="17">
        <v>700.52800000000002</v>
      </c>
      <c r="F37" s="17">
        <f t="shared" si="6"/>
        <v>0.78700000000003456</v>
      </c>
      <c r="G37" s="1">
        <f t="shared" si="0"/>
        <v>701.16808389261723</v>
      </c>
      <c r="H37" s="1">
        <f t="shared" si="1"/>
        <v>703.70508511046955</v>
      </c>
      <c r="I37" s="1">
        <f t="shared" si="2"/>
        <v>3.1164320000000014</v>
      </c>
      <c r="J37" s="1">
        <f t="shared" si="3"/>
        <v>0.95391245791245838</v>
      </c>
      <c r="K37" s="17" t="str">
        <f t="shared" si="4"/>
        <v/>
      </c>
      <c r="L37" s="17" t="str">
        <f t="shared" si="5"/>
        <v/>
      </c>
    </row>
    <row r="38" spans="1:12">
      <c r="A38" s="17">
        <v>28</v>
      </c>
      <c r="B38" s="17">
        <v>1</v>
      </c>
      <c r="C38" s="17">
        <v>22</v>
      </c>
      <c r="D38" s="17" t="s">
        <v>401</v>
      </c>
      <c r="E38" s="17">
        <v>700.096</v>
      </c>
      <c r="F38" s="17">
        <f t="shared" si="6"/>
        <v>0.43200000000001637</v>
      </c>
      <c r="G38" s="1">
        <f t="shared" si="0"/>
        <v>701.16808389261723</v>
      </c>
      <c r="H38" s="1">
        <f t="shared" si="1"/>
        <v>703.70508511046955</v>
      </c>
      <c r="I38" s="1">
        <f t="shared" si="2"/>
        <v>3.1164320000000014</v>
      </c>
      <c r="J38" s="1">
        <f t="shared" si="3"/>
        <v>0.95391245791245838</v>
      </c>
      <c r="K38" s="17" t="str">
        <f t="shared" si="4"/>
        <v/>
      </c>
      <c r="L38" s="17" t="str">
        <f t="shared" si="5"/>
        <v/>
      </c>
    </row>
    <row r="39" spans="1:12">
      <c r="A39" s="17">
        <v>29</v>
      </c>
      <c r="B39" s="17">
        <v>1</v>
      </c>
      <c r="C39" s="17">
        <v>21</v>
      </c>
      <c r="D39" s="17" t="s">
        <v>402</v>
      </c>
      <c r="E39" s="17">
        <v>700.94299999999998</v>
      </c>
      <c r="F39" s="17">
        <f t="shared" si="6"/>
        <v>0.84699999999997999</v>
      </c>
      <c r="G39" s="1">
        <f t="shared" si="0"/>
        <v>701.16808389261723</v>
      </c>
      <c r="H39" s="1">
        <f t="shared" si="1"/>
        <v>703.70508511046955</v>
      </c>
      <c r="I39" s="1">
        <f t="shared" si="2"/>
        <v>3.1164320000000014</v>
      </c>
      <c r="J39" s="1">
        <f t="shared" si="3"/>
        <v>0.95391245791245838</v>
      </c>
      <c r="K39" s="17" t="str">
        <f t="shared" si="4"/>
        <v/>
      </c>
      <c r="L39" s="17" t="str">
        <f t="shared" si="5"/>
        <v/>
      </c>
    </row>
    <row r="40" spans="1:12">
      <c r="A40" s="17">
        <v>30</v>
      </c>
      <c r="B40" s="17">
        <v>1</v>
      </c>
      <c r="C40" s="17">
        <v>20</v>
      </c>
      <c r="D40" s="17" t="s">
        <v>403</v>
      </c>
      <c r="E40" s="17">
        <v>701.02800000000002</v>
      </c>
      <c r="F40" s="17">
        <f t="shared" si="6"/>
        <v>8.500000000003638E-2</v>
      </c>
      <c r="G40" s="1">
        <f t="shared" si="0"/>
        <v>701.16808389261723</v>
      </c>
      <c r="H40" s="1">
        <f t="shared" si="1"/>
        <v>703.70508511046955</v>
      </c>
      <c r="I40" s="1">
        <f t="shared" si="2"/>
        <v>3.1164320000000014</v>
      </c>
      <c r="J40" s="1">
        <f t="shared" si="3"/>
        <v>0.95391245791245838</v>
      </c>
      <c r="K40" s="17" t="str">
        <f t="shared" si="4"/>
        <v/>
      </c>
      <c r="L40" s="17" t="str">
        <f t="shared" si="5"/>
        <v/>
      </c>
    </row>
    <row r="41" spans="1:12">
      <c r="A41" s="17">
        <v>31</v>
      </c>
      <c r="B41" s="17">
        <v>1</v>
      </c>
      <c r="C41" s="17">
        <v>19</v>
      </c>
      <c r="D41" s="17" t="s">
        <v>404</v>
      </c>
      <c r="E41" s="17">
        <v>702.70500000000004</v>
      </c>
      <c r="F41" s="17">
        <f t="shared" si="6"/>
        <v>1.6770000000000209</v>
      </c>
      <c r="G41" s="1">
        <f t="shared" si="0"/>
        <v>701.16808389261723</v>
      </c>
      <c r="H41" s="1">
        <f t="shared" si="1"/>
        <v>703.70508511046955</v>
      </c>
      <c r="I41" s="1">
        <f t="shared" si="2"/>
        <v>3.1164320000000014</v>
      </c>
      <c r="J41" s="1">
        <f t="shared" si="3"/>
        <v>0.95391245791245838</v>
      </c>
      <c r="K41" s="17" t="str">
        <f t="shared" si="4"/>
        <v/>
      </c>
      <c r="L41" s="17" t="str">
        <f t="shared" si="5"/>
        <v/>
      </c>
    </row>
    <row r="42" spans="1:12">
      <c r="A42" s="17">
        <v>32</v>
      </c>
      <c r="B42" s="17">
        <v>1</v>
      </c>
      <c r="C42" s="17">
        <v>18</v>
      </c>
      <c r="D42" s="17" t="s">
        <v>405</v>
      </c>
      <c r="E42" s="17">
        <v>702.20500000000004</v>
      </c>
      <c r="F42" s="17">
        <f t="shared" si="6"/>
        <v>0.5</v>
      </c>
      <c r="G42" s="1">
        <f t="shared" si="0"/>
        <v>701.16808389261723</v>
      </c>
      <c r="H42" s="1">
        <f t="shared" si="1"/>
        <v>703.70508511046955</v>
      </c>
      <c r="I42" s="1">
        <f t="shared" si="2"/>
        <v>3.1164320000000014</v>
      </c>
      <c r="J42" s="1">
        <f t="shared" si="3"/>
        <v>0.95391245791245838</v>
      </c>
      <c r="K42" s="17" t="str">
        <f t="shared" si="4"/>
        <v/>
      </c>
      <c r="L42" s="17" t="str">
        <f t="shared" si="5"/>
        <v/>
      </c>
    </row>
    <row r="43" spans="1:12">
      <c r="A43" s="17">
        <v>33</v>
      </c>
      <c r="B43" s="17">
        <v>1</v>
      </c>
      <c r="C43" s="17">
        <v>17</v>
      </c>
      <c r="D43" s="17" t="s">
        <v>406</v>
      </c>
      <c r="E43" s="17">
        <v>702.20899999999995</v>
      </c>
      <c r="F43" s="17">
        <f t="shared" si="6"/>
        <v>3.9999999999054126E-3</v>
      </c>
      <c r="G43" s="1">
        <f t="shared" si="0"/>
        <v>701.16808389261723</v>
      </c>
      <c r="H43" s="1">
        <f t="shared" si="1"/>
        <v>703.70508511046955</v>
      </c>
      <c r="I43" s="1">
        <f t="shared" si="2"/>
        <v>3.1164320000000014</v>
      </c>
      <c r="J43" s="1">
        <f t="shared" si="3"/>
        <v>0.95391245791245838</v>
      </c>
      <c r="K43" s="17" t="str">
        <f t="shared" si="4"/>
        <v/>
      </c>
      <c r="L43" s="17" t="str">
        <f t="shared" si="5"/>
        <v/>
      </c>
    </row>
    <row r="44" spans="1:12">
      <c r="A44" s="17">
        <v>34</v>
      </c>
      <c r="B44" s="17">
        <v>1</v>
      </c>
      <c r="C44" s="17">
        <v>16</v>
      </c>
      <c r="D44" s="17" t="s">
        <v>407</v>
      </c>
      <c r="E44" s="17">
        <v>701.14099999999996</v>
      </c>
      <c r="F44" s="17">
        <f t="shared" si="6"/>
        <v>1.0679999999999836</v>
      </c>
      <c r="G44" s="1">
        <f t="shared" si="0"/>
        <v>701.16808389261723</v>
      </c>
      <c r="H44" s="1">
        <f t="shared" si="1"/>
        <v>703.70508511046955</v>
      </c>
      <c r="I44" s="1">
        <f t="shared" si="2"/>
        <v>3.1164320000000014</v>
      </c>
      <c r="J44" s="1">
        <f t="shared" si="3"/>
        <v>0.95391245791245838</v>
      </c>
      <c r="K44" s="17" t="str">
        <f t="shared" si="4"/>
        <v/>
      </c>
      <c r="L44" s="17" t="str">
        <f t="shared" si="5"/>
        <v/>
      </c>
    </row>
    <row r="45" spans="1:12">
      <c r="A45" s="17">
        <v>35</v>
      </c>
      <c r="B45" s="17">
        <v>1</v>
      </c>
      <c r="C45" s="17">
        <v>15</v>
      </c>
      <c r="D45" s="17" t="s">
        <v>408</v>
      </c>
      <c r="E45" s="17">
        <v>699.81600000000003</v>
      </c>
      <c r="F45" s="17">
        <f t="shared" si="6"/>
        <v>1.3249999999999318</v>
      </c>
      <c r="G45" s="1">
        <f t="shared" si="0"/>
        <v>701.16808389261723</v>
      </c>
      <c r="H45" s="1">
        <f t="shared" si="1"/>
        <v>703.70508511046955</v>
      </c>
      <c r="I45" s="1">
        <f t="shared" si="2"/>
        <v>3.1164320000000014</v>
      </c>
      <c r="J45" s="1">
        <f t="shared" si="3"/>
        <v>0.95391245791245838</v>
      </c>
      <c r="K45" s="17" t="str">
        <f t="shared" si="4"/>
        <v/>
      </c>
      <c r="L45" s="17" t="str">
        <f t="shared" si="5"/>
        <v/>
      </c>
    </row>
    <row r="46" spans="1:12">
      <c r="A46" s="17">
        <v>36</v>
      </c>
      <c r="B46" s="17">
        <v>1</v>
      </c>
      <c r="C46" s="17">
        <v>14</v>
      </c>
      <c r="D46" s="17" t="s">
        <v>409</v>
      </c>
      <c r="E46" s="17">
        <v>699.85599999999999</v>
      </c>
      <c r="F46" s="17">
        <f t="shared" si="6"/>
        <v>3.999999999996362E-2</v>
      </c>
      <c r="G46" s="1">
        <f t="shared" si="0"/>
        <v>701.16808389261723</v>
      </c>
      <c r="H46" s="1">
        <f t="shared" si="1"/>
        <v>703.70508511046955</v>
      </c>
      <c r="I46" s="1">
        <f t="shared" si="2"/>
        <v>3.1164320000000014</v>
      </c>
      <c r="J46" s="1">
        <f t="shared" si="3"/>
        <v>0.95391245791245838</v>
      </c>
      <c r="K46" s="17" t="str">
        <f t="shared" si="4"/>
        <v/>
      </c>
      <c r="L46" s="17" t="str">
        <f t="shared" si="5"/>
        <v/>
      </c>
    </row>
    <row r="47" spans="1:12">
      <c r="A47" s="17">
        <v>37</v>
      </c>
      <c r="B47" s="17">
        <v>1</v>
      </c>
      <c r="C47" s="17">
        <v>13</v>
      </c>
      <c r="D47" s="17" t="s">
        <v>410</v>
      </c>
      <c r="E47" s="17">
        <v>701.12800000000004</v>
      </c>
      <c r="F47" s="17">
        <f t="shared" si="6"/>
        <v>1.2720000000000482</v>
      </c>
      <c r="G47" s="1">
        <f t="shared" si="0"/>
        <v>701.16808389261723</v>
      </c>
      <c r="H47" s="1">
        <f t="shared" si="1"/>
        <v>703.70508511046955</v>
      </c>
      <c r="I47" s="1">
        <f t="shared" si="2"/>
        <v>3.1164320000000014</v>
      </c>
      <c r="J47" s="1">
        <f t="shared" si="3"/>
        <v>0.95391245791245838</v>
      </c>
      <c r="K47" s="17" t="str">
        <f t="shared" si="4"/>
        <v/>
      </c>
      <c r="L47" s="17" t="str">
        <f t="shared" si="5"/>
        <v/>
      </c>
    </row>
    <row r="48" spans="1:12">
      <c r="A48" s="17">
        <v>38</v>
      </c>
      <c r="B48" s="17">
        <v>1</v>
      </c>
      <c r="C48" s="17">
        <v>12</v>
      </c>
      <c r="D48" s="17" t="s">
        <v>411</v>
      </c>
      <c r="E48" s="17">
        <v>700.21100000000001</v>
      </c>
      <c r="F48" s="17">
        <f t="shared" si="6"/>
        <v>0.91700000000003001</v>
      </c>
      <c r="G48" s="1">
        <f t="shared" si="0"/>
        <v>701.16808389261723</v>
      </c>
      <c r="H48" s="1">
        <f t="shared" si="1"/>
        <v>703.70508511046955</v>
      </c>
      <c r="I48" s="1">
        <f t="shared" si="2"/>
        <v>3.1164320000000014</v>
      </c>
      <c r="J48" s="1">
        <f t="shared" si="3"/>
        <v>0.95391245791245838</v>
      </c>
      <c r="K48" s="17" t="str">
        <f t="shared" si="4"/>
        <v/>
      </c>
      <c r="L48" s="17" t="str">
        <f t="shared" si="5"/>
        <v/>
      </c>
    </row>
    <row r="49" spans="1:12">
      <c r="A49" s="17">
        <v>39</v>
      </c>
      <c r="B49" s="17">
        <v>1</v>
      </c>
      <c r="C49" s="17">
        <v>11</v>
      </c>
      <c r="D49" s="17" t="s">
        <v>412</v>
      </c>
      <c r="E49" s="17">
        <v>703.67</v>
      </c>
      <c r="F49" s="17">
        <f t="shared" si="6"/>
        <v>3.4589999999999463</v>
      </c>
      <c r="G49" s="1">
        <f t="shared" si="0"/>
        <v>701.16808389261723</v>
      </c>
      <c r="H49" s="1">
        <f t="shared" si="1"/>
        <v>703.70508511046955</v>
      </c>
      <c r="I49" s="1">
        <f t="shared" si="2"/>
        <v>3.1164320000000014</v>
      </c>
      <c r="J49" s="1">
        <f t="shared" si="3"/>
        <v>0.95391245791245838</v>
      </c>
      <c r="K49" s="17" t="str">
        <f t="shared" si="4"/>
        <v/>
      </c>
      <c r="L49" s="17" t="str">
        <f t="shared" si="5"/>
        <v/>
      </c>
    </row>
    <row r="50" spans="1:12">
      <c r="A50" s="17">
        <v>40</v>
      </c>
      <c r="B50" s="17">
        <v>1</v>
      </c>
      <c r="C50" s="17">
        <v>10</v>
      </c>
      <c r="D50" s="17" t="s">
        <v>413</v>
      </c>
      <c r="E50" s="17">
        <v>700.48500000000001</v>
      </c>
      <c r="F50" s="17">
        <f t="shared" si="6"/>
        <v>3.1849999999999454</v>
      </c>
      <c r="G50" s="1">
        <f t="shared" si="0"/>
        <v>701.16808389261723</v>
      </c>
      <c r="H50" s="1">
        <f t="shared" si="1"/>
        <v>703.70508511046955</v>
      </c>
      <c r="I50" s="1">
        <f t="shared" si="2"/>
        <v>3.1164320000000014</v>
      </c>
      <c r="J50" s="1">
        <f t="shared" si="3"/>
        <v>0.95391245791245838</v>
      </c>
      <c r="K50" s="17" t="str">
        <f t="shared" si="4"/>
        <v/>
      </c>
      <c r="L50" s="17" t="str">
        <f t="shared" si="5"/>
        <v/>
      </c>
    </row>
    <row r="51" spans="1:12">
      <c r="A51" s="17">
        <v>41</v>
      </c>
      <c r="B51" s="17">
        <v>1</v>
      </c>
      <c r="C51" s="17">
        <v>9</v>
      </c>
      <c r="D51" s="17" t="s">
        <v>414</v>
      </c>
      <c r="E51" s="17">
        <v>701.30799999999999</v>
      </c>
      <c r="F51" s="17">
        <f t="shared" si="6"/>
        <v>0.82299999999997908</v>
      </c>
      <c r="G51" s="1">
        <f t="shared" si="0"/>
        <v>701.16808389261723</v>
      </c>
      <c r="H51" s="1">
        <f t="shared" si="1"/>
        <v>703.70508511046955</v>
      </c>
      <c r="I51" s="1">
        <f t="shared" si="2"/>
        <v>3.1164320000000014</v>
      </c>
      <c r="J51" s="1">
        <f t="shared" si="3"/>
        <v>0.95391245791245838</v>
      </c>
      <c r="K51" s="17" t="str">
        <f t="shared" si="4"/>
        <v/>
      </c>
      <c r="L51" s="17" t="str">
        <f t="shared" si="5"/>
        <v/>
      </c>
    </row>
    <row r="52" spans="1:12">
      <c r="A52" s="17">
        <v>42</v>
      </c>
      <c r="B52" s="17">
        <v>1</v>
      </c>
      <c r="C52" s="17">
        <v>8</v>
      </c>
      <c r="D52" s="17" t="s">
        <v>415</v>
      </c>
      <c r="E52" s="17">
        <v>700.15200000000004</v>
      </c>
      <c r="F52" s="17">
        <f t="shared" si="6"/>
        <v>1.1559999999999491</v>
      </c>
      <c r="G52" s="1">
        <f t="shared" si="0"/>
        <v>701.16808389261723</v>
      </c>
      <c r="H52" s="1">
        <f t="shared" si="1"/>
        <v>703.70508511046955</v>
      </c>
      <c r="I52" s="1">
        <f t="shared" si="2"/>
        <v>3.1164320000000014</v>
      </c>
      <c r="J52" s="1">
        <f t="shared" si="3"/>
        <v>0.95391245791245838</v>
      </c>
      <c r="K52" s="17" t="str">
        <f t="shared" si="4"/>
        <v/>
      </c>
      <c r="L52" s="17" t="str">
        <f t="shared" si="5"/>
        <v/>
      </c>
    </row>
    <row r="53" spans="1:12">
      <c r="A53" s="17">
        <v>43</v>
      </c>
      <c r="B53" s="17">
        <v>1</v>
      </c>
      <c r="C53" s="17">
        <v>7</v>
      </c>
      <c r="D53" s="17" t="s">
        <v>416</v>
      </c>
      <c r="E53" s="17">
        <v>700.38099999999997</v>
      </c>
      <c r="F53" s="17">
        <f t="shared" si="6"/>
        <v>0.22899999999992815</v>
      </c>
      <c r="G53" s="1">
        <f t="shared" si="0"/>
        <v>701.16808389261723</v>
      </c>
      <c r="H53" s="1">
        <f t="shared" si="1"/>
        <v>703.70508511046955</v>
      </c>
      <c r="I53" s="1">
        <f t="shared" si="2"/>
        <v>3.1164320000000014</v>
      </c>
      <c r="J53" s="1">
        <f t="shared" si="3"/>
        <v>0.95391245791245838</v>
      </c>
      <c r="K53" s="17" t="str">
        <f t="shared" si="4"/>
        <v/>
      </c>
      <c r="L53" s="17" t="str">
        <f t="shared" si="5"/>
        <v/>
      </c>
    </row>
    <row r="54" spans="1:12">
      <c r="A54" s="17">
        <v>44</v>
      </c>
      <c r="B54" s="17">
        <v>1</v>
      </c>
      <c r="C54" s="17">
        <v>6</v>
      </c>
      <c r="D54" s="17" t="s">
        <v>417</v>
      </c>
      <c r="E54" s="17">
        <v>701.02200000000005</v>
      </c>
      <c r="F54" s="17">
        <f t="shared" si="6"/>
        <v>0.6410000000000764</v>
      </c>
      <c r="G54" s="1">
        <f t="shared" si="0"/>
        <v>701.16808389261723</v>
      </c>
      <c r="H54" s="1">
        <f t="shared" si="1"/>
        <v>703.70508511046955</v>
      </c>
      <c r="I54" s="1">
        <f t="shared" si="2"/>
        <v>3.1164320000000014</v>
      </c>
      <c r="J54" s="1">
        <f t="shared" si="3"/>
        <v>0.95391245791245838</v>
      </c>
      <c r="K54" s="17" t="str">
        <f t="shared" si="4"/>
        <v/>
      </c>
      <c r="L54" s="17" t="str">
        <f t="shared" si="5"/>
        <v/>
      </c>
    </row>
    <row r="55" spans="1:12">
      <c r="A55" s="17">
        <v>45</v>
      </c>
      <c r="B55" s="17">
        <v>1</v>
      </c>
      <c r="C55" s="17">
        <v>5</v>
      </c>
      <c r="D55" s="17" t="s">
        <v>418</v>
      </c>
      <c r="E55" s="17">
        <v>701.25699999999995</v>
      </c>
      <c r="F55" s="17">
        <f t="shared" si="6"/>
        <v>0.23499999999989996</v>
      </c>
      <c r="G55" s="1">
        <f t="shared" si="0"/>
        <v>701.16808389261723</v>
      </c>
      <c r="H55" s="1">
        <f t="shared" si="1"/>
        <v>703.70508511046955</v>
      </c>
      <c r="I55" s="1">
        <f t="shared" si="2"/>
        <v>3.1164320000000014</v>
      </c>
      <c r="J55" s="1">
        <f t="shared" si="3"/>
        <v>0.95391245791245838</v>
      </c>
      <c r="K55" s="17" t="str">
        <f t="shared" si="4"/>
        <v/>
      </c>
      <c r="L55" s="17" t="str">
        <f t="shared" si="5"/>
        <v/>
      </c>
    </row>
    <row r="56" spans="1:12">
      <c r="A56" s="17">
        <v>46</v>
      </c>
      <c r="B56" s="17">
        <v>1</v>
      </c>
      <c r="C56" s="17">
        <v>4</v>
      </c>
      <c r="D56" s="17" t="s">
        <v>419</v>
      </c>
      <c r="E56" s="17">
        <v>701.947</v>
      </c>
      <c r="F56" s="17">
        <f t="shared" si="6"/>
        <v>0.69000000000005457</v>
      </c>
      <c r="G56" s="1">
        <f t="shared" si="0"/>
        <v>701.16808389261723</v>
      </c>
      <c r="H56" s="1">
        <f t="shared" si="1"/>
        <v>703.70508511046955</v>
      </c>
      <c r="I56" s="1">
        <f t="shared" si="2"/>
        <v>3.1164320000000014</v>
      </c>
      <c r="J56" s="1">
        <f t="shared" si="3"/>
        <v>0.95391245791245838</v>
      </c>
      <c r="K56" s="17" t="str">
        <f t="shared" si="4"/>
        <v/>
      </c>
      <c r="L56" s="17" t="str">
        <f t="shared" si="5"/>
        <v/>
      </c>
    </row>
    <row r="57" spans="1:12">
      <c r="A57" s="17">
        <v>47</v>
      </c>
      <c r="B57" s="17">
        <v>1</v>
      </c>
      <c r="C57" s="17">
        <v>3</v>
      </c>
      <c r="D57" s="17" t="s">
        <v>420</v>
      </c>
      <c r="E57" s="17">
        <v>700.05799999999999</v>
      </c>
      <c r="F57" s="17">
        <f t="shared" si="6"/>
        <v>1.88900000000001</v>
      </c>
      <c r="G57" s="1">
        <f t="shared" si="0"/>
        <v>701.16808389261723</v>
      </c>
      <c r="H57" s="1">
        <f t="shared" si="1"/>
        <v>703.70508511046955</v>
      </c>
      <c r="I57" s="1">
        <f t="shared" si="2"/>
        <v>3.1164320000000014</v>
      </c>
      <c r="J57" s="1">
        <f t="shared" si="3"/>
        <v>0.95391245791245838</v>
      </c>
      <c r="K57" s="17" t="str">
        <f t="shared" si="4"/>
        <v/>
      </c>
      <c r="L57" s="17" t="str">
        <f t="shared" si="5"/>
        <v/>
      </c>
    </row>
    <row r="58" spans="1:12">
      <c r="A58" s="17">
        <v>48</v>
      </c>
      <c r="B58" s="17">
        <v>1</v>
      </c>
      <c r="C58" s="17">
        <v>2</v>
      </c>
      <c r="D58" s="17" t="s">
        <v>421</v>
      </c>
      <c r="E58" s="17">
        <v>701.20600000000002</v>
      </c>
      <c r="F58" s="17">
        <f t="shared" si="6"/>
        <v>1.1480000000000246</v>
      </c>
      <c r="G58" s="1">
        <f t="shared" si="0"/>
        <v>701.16808389261723</v>
      </c>
      <c r="H58" s="1">
        <f t="shared" si="1"/>
        <v>703.70508511046955</v>
      </c>
      <c r="I58" s="1">
        <f t="shared" si="2"/>
        <v>3.1164320000000014</v>
      </c>
      <c r="J58" s="1">
        <f t="shared" si="3"/>
        <v>0.95391245791245838</v>
      </c>
      <c r="K58" s="17" t="str">
        <f t="shared" si="4"/>
        <v/>
      </c>
      <c r="L58" s="17" t="str">
        <f t="shared" si="5"/>
        <v/>
      </c>
    </row>
    <row r="59" spans="1:12">
      <c r="A59" s="17">
        <v>49</v>
      </c>
      <c r="B59" s="17">
        <v>1</v>
      </c>
      <c r="C59" s="17">
        <v>1</v>
      </c>
      <c r="D59" s="17" t="s">
        <v>422</v>
      </c>
      <c r="E59" s="17">
        <v>701.48400000000004</v>
      </c>
      <c r="F59" s="17">
        <f t="shared" si="6"/>
        <v>0.27800000000002001</v>
      </c>
      <c r="G59" s="1">
        <f t="shared" si="0"/>
        <v>701.16808389261723</v>
      </c>
      <c r="H59" s="1">
        <f t="shared" si="1"/>
        <v>703.70508511046955</v>
      </c>
      <c r="I59" s="1">
        <f t="shared" si="2"/>
        <v>3.1164320000000014</v>
      </c>
      <c r="J59" s="1">
        <f t="shared" si="3"/>
        <v>0.95391245791245838</v>
      </c>
      <c r="K59" s="17" t="str">
        <f t="shared" si="4"/>
        <v/>
      </c>
      <c r="L59" s="17" t="str">
        <f t="shared" si="5"/>
        <v/>
      </c>
    </row>
    <row r="60" spans="1:12">
      <c r="A60" s="17">
        <v>50</v>
      </c>
      <c r="B60" s="17">
        <v>2</v>
      </c>
      <c r="C60" s="17">
        <v>25</v>
      </c>
      <c r="D60" s="17" t="s">
        <v>423</v>
      </c>
      <c r="E60" s="17">
        <v>702.93200000000002</v>
      </c>
      <c r="F60" s="17">
        <f t="shared" si="6"/>
        <v>1.4479999999999791</v>
      </c>
      <c r="G60" s="1">
        <f t="shared" si="0"/>
        <v>701.16808389261723</v>
      </c>
      <c r="H60" s="1">
        <f t="shared" si="1"/>
        <v>703.70508511046955</v>
      </c>
      <c r="I60" s="1">
        <f t="shared" si="2"/>
        <v>3.1164320000000014</v>
      </c>
      <c r="J60" s="1">
        <f t="shared" si="3"/>
        <v>0.95391245791245838</v>
      </c>
      <c r="K60" s="17" t="str">
        <f t="shared" si="4"/>
        <v/>
      </c>
      <c r="L60" s="17" t="str">
        <f t="shared" si="5"/>
        <v/>
      </c>
    </row>
    <row r="61" spans="1:12">
      <c r="A61" s="17">
        <v>51</v>
      </c>
      <c r="B61" s="17">
        <v>2</v>
      </c>
      <c r="C61" s="17">
        <v>24</v>
      </c>
      <c r="D61" s="17" t="s">
        <v>424</v>
      </c>
      <c r="E61" s="17">
        <v>702.56899999999996</v>
      </c>
      <c r="F61" s="17">
        <f t="shared" si="6"/>
        <v>0.36300000000005639</v>
      </c>
      <c r="G61" s="1">
        <f t="shared" si="0"/>
        <v>701.16808389261723</v>
      </c>
      <c r="H61" s="1">
        <f t="shared" si="1"/>
        <v>703.70508511046955</v>
      </c>
      <c r="I61" s="1">
        <f t="shared" si="2"/>
        <v>3.1164320000000014</v>
      </c>
      <c r="J61" s="1">
        <f t="shared" si="3"/>
        <v>0.95391245791245838</v>
      </c>
      <c r="K61" s="17" t="str">
        <f t="shared" si="4"/>
        <v/>
      </c>
      <c r="L61" s="17" t="str">
        <f t="shared" si="5"/>
        <v/>
      </c>
    </row>
    <row r="62" spans="1:12">
      <c r="A62" s="17">
        <v>52</v>
      </c>
      <c r="B62" s="17">
        <v>2</v>
      </c>
      <c r="C62" s="17">
        <v>23</v>
      </c>
      <c r="D62" s="17" t="s">
        <v>425</v>
      </c>
      <c r="E62" s="17">
        <v>701.79300000000001</v>
      </c>
      <c r="F62" s="17">
        <f t="shared" si="6"/>
        <v>0.77599999999995362</v>
      </c>
      <c r="G62" s="1">
        <f t="shared" si="0"/>
        <v>701.16808389261723</v>
      </c>
      <c r="H62" s="1">
        <f t="shared" si="1"/>
        <v>703.70508511046955</v>
      </c>
      <c r="I62" s="1">
        <f t="shared" si="2"/>
        <v>3.1164320000000014</v>
      </c>
      <c r="J62" s="1">
        <f t="shared" si="3"/>
        <v>0.95391245791245838</v>
      </c>
      <c r="K62" s="17" t="str">
        <f t="shared" si="4"/>
        <v/>
      </c>
      <c r="L62" s="17" t="str">
        <f t="shared" si="5"/>
        <v/>
      </c>
    </row>
    <row r="63" spans="1:12">
      <c r="A63" s="17">
        <v>53</v>
      </c>
      <c r="B63" s="17">
        <v>2</v>
      </c>
      <c r="C63" s="17">
        <v>22</v>
      </c>
      <c r="D63" s="17" t="s">
        <v>426</v>
      </c>
      <c r="E63" s="17">
        <v>701.73099999999999</v>
      </c>
      <c r="F63" s="17">
        <f t="shared" si="6"/>
        <v>6.2000000000011823E-2</v>
      </c>
      <c r="G63" s="1">
        <f t="shared" si="0"/>
        <v>701.16808389261723</v>
      </c>
      <c r="H63" s="1">
        <f t="shared" si="1"/>
        <v>703.70508511046955</v>
      </c>
      <c r="I63" s="1">
        <f t="shared" si="2"/>
        <v>3.1164320000000014</v>
      </c>
      <c r="J63" s="1">
        <f t="shared" si="3"/>
        <v>0.95391245791245838</v>
      </c>
      <c r="K63" s="17" t="str">
        <f t="shared" si="4"/>
        <v/>
      </c>
      <c r="L63" s="17" t="str">
        <f t="shared" si="5"/>
        <v/>
      </c>
    </row>
    <row r="64" spans="1:12">
      <c r="A64" s="17">
        <v>54</v>
      </c>
      <c r="B64" s="17">
        <v>2</v>
      </c>
      <c r="C64" s="17">
        <v>21</v>
      </c>
      <c r="D64" s="17" t="s">
        <v>427</v>
      </c>
      <c r="E64" s="17">
        <v>698.32299999999998</v>
      </c>
      <c r="F64" s="17">
        <f t="shared" si="6"/>
        <v>3.4080000000000155</v>
      </c>
      <c r="G64" s="1">
        <f t="shared" si="0"/>
        <v>701.16808389261723</v>
      </c>
      <c r="H64" s="1">
        <f t="shared" si="1"/>
        <v>703.70508511046955</v>
      </c>
      <c r="I64" s="1">
        <f t="shared" si="2"/>
        <v>3.1164320000000014</v>
      </c>
      <c r="J64" s="1">
        <f t="shared" si="3"/>
        <v>0.95391245791245838</v>
      </c>
      <c r="K64" s="17" t="str">
        <f t="shared" si="4"/>
        <v/>
      </c>
      <c r="L64" s="17" t="str">
        <f t="shared" si="5"/>
        <v/>
      </c>
    </row>
    <row r="65" spans="1:12">
      <c r="A65" s="17">
        <v>55</v>
      </c>
      <c r="B65" s="17">
        <v>2</v>
      </c>
      <c r="C65" s="17">
        <v>20</v>
      </c>
      <c r="D65" s="17" t="s">
        <v>428</v>
      </c>
      <c r="E65" s="17">
        <v>701.98199999999997</v>
      </c>
      <c r="F65" s="17">
        <f t="shared" si="6"/>
        <v>3.6589999999999918</v>
      </c>
      <c r="G65" s="1">
        <f t="shared" si="0"/>
        <v>701.16808389261723</v>
      </c>
      <c r="H65" s="1">
        <f t="shared" si="1"/>
        <v>703.70508511046955</v>
      </c>
      <c r="I65" s="1">
        <f t="shared" si="2"/>
        <v>3.1164320000000014</v>
      </c>
      <c r="J65" s="1">
        <f t="shared" si="3"/>
        <v>0.95391245791245838</v>
      </c>
      <c r="K65" s="17" t="str">
        <f t="shared" si="4"/>
        <v/>
      </c>
      <c r="L65" s="17" t="str">
        <f t="shared" si="5"/>
        <v/>
      </c>
    </row>
    <row r="66" spans="1:12">
      <c r="A66" s="17">
        <v>56</v>
      </c>
      <c r="B66" s="17">
        <v>2</v>
      </c>
      <c r="C66" s="17">
        <v>19</v>
      </c>
      <c r="D66" s="17" t="s">
        <v>429</v>
      </c>
      <c r="E66" s="17">
        <v>701.06399999999996</v>
      </c>
      <c r="F66" s="17">
        <f t="shared" si="6"/>
        <v>0.91800000000000637</v>
      </c>
      <c r="G66" s="1">
        <f t="shared" si="0"/>
        <v>701.16808389261723</v>
      </c>
      <c r="H66" s="1">
        <f t="shared" si="1"/>
        <v>703.70508511046955</v>
      </c>
      <c r="I66" s="1">
        <f t="shared" si="2"/>
        <v>3.1164320000000014</v>
      </c>
      <c r="J66" s="1">
        <f t="shared" si="3"/>
        <v>0.95391245791245838</v>
      </c>
      <c r="K66" s="17" t="str">
        <f t="shared" si="4"/>
        <v/>
      </c>
      <c r="L66" s="17" t="str">
        <f t="shared" si="5"/>
        <v/>
      </c>
    </row>
    <row r="67" spans="1:12">
      <c r="A67" s="17">
        <v>57</v>
      </c>
      <c r="B67" s="17">
        <v>2</v>
      </c>
      <c r="C67" s="17">
        <v>18</v>
      </c>
      <c r="D67" s="17" t="s">
        <v>430</v>
      </c>
      <c r="E67" s="17">
        <v>702.83100000000002</v>
      </c>
      <c r="F67" s="17">
        <f t="shared" si="6"/>
        <v>1.7670000000000528</v>
      </c>
      <c r="G67" s="1">
        <f t="shared" si="0"/>
        <v>701.16808389261723</v>
      </c>
      <c r="H67" s="1">
        <f t="shared" si="1"/>
        <v>703.70508511046955</v>
      </c>
      <c r="I67" s="1">
        <f t="shared" si="2"/>
        <v>3.1164320000000014</v>
      </c>
      <c r="J67" s="1">
        <f t="shared" si="3"/>
        <v>0.95391245791245838</v>
      </c>
      <c r="K67" s="17" t="str">
        <f t="shared" si="4"/>
        <v/>
      </c>
      <c r="L67" s="17" t="str">
        <f t="shared" si="5"/>
        <v/>
      </c>
    </row>
    <row r="68" spans="1:12">
      <c r="A68" s="17">
        <v>58</v>
      </c>
      <c r="B68" s="17">
        <v>2</v>
      </c>
      <c r="C68" s="17">
        <v>17</v>
      </c>
      <c r="D68" s="17" t="s">
        <v>431</v>
      </c>
      <c r="E68" s="17">
        <v>702.21799999999996</v>
      </c>
      <c r="F68" s="17">
        <f t="shared" si="6"/>
        <v>0.61300000000005639</v>
      </c>
      <c r="G68" s="1">
        <f t="shared" si="0"/>
        <v>701.16808389261723</v>
      </c>
      <c r="H68" s="1">
        <f t="shared" si="1"/>
        <v>703.70508511046955</v>
      </c>
      <c r="I68" s="1">
        <f t="shared" si="2"/>
        <v>3.1164320000000014</v>
      </c>
      <c r="J68" s="1">
        <f t="shared" si="3"/>
        <v>0.95391245791245838</v>
      </c>
      <c r="K68" s="17" t="str">
        <f t="shared" si="4"/>
        <v/>
      </c>
      <c r="L68" s="17" t="str">
        <f t="shared" si="5"/>
        <v/>
      </c>
    </row>
    <row r="69" spans="1:12">
      <c r="A69" s="17">
        <v>59</v>
      </c>
      <c r="B69" s="17">
        <v>2</v>
      </c>
      <c r="C69" s="17">
        <v>16</v>
      </c>
      <c r="D69" s="17" t="s">
        <v>432</v>
      </c>
      <c r="E69" s="17">
        <v>699.79200000000003</v>
      </c>
      <c r="F69" s="17">
        <f t="shared" si="6"/>
        <v>2.4259999999999309</v>
      </c>
      <c r="G69" s="1">
        <f t="shared" si="0"/>
        <v>701.16808389261723</v>
      </c>
      <c r="H69" s="1">
        <f t="shared" si="1"/>
        <v>703.70508511046955</v>
      </c>
      <c r="I69" s="1">
        <f t="shared" si="2"/>
        <v>3.1164320000000014</v>
      </c>
      <c r="J69" s="1">
        <f t="shared" si="3"/>
        <v>0.95391245791245838</v>
      </c>
      <c r="K69" s="17" t="str">
        <f t="shared" si="4"/>
        <v/>
      </c>
      <c r="L69" s="17" t="str">
        <f t="shared" si="5"/>
        <v/>
      </c>
    </row>
    <row r="70" spans="1:12">
      <c r="A70" s="17">
        <v>60</v>
      </c>
      <c r="B70" s="17">
        <v>2</v>
      </c>
      <c r="C70" s="17">
        <v>15</v>
      </c>
      <c r="D70" s="17" t="s">
        <v>433</v>
      </c>
      <c r="E70" s="17">
        <v>701.64700000000005</v>
      </c>
      <c r="F70" s="17">
        <f t="shared" si="6"/>
        <v>1.8550000000000182</v>
      </c>
      <c r="G70" s="1">
        <f t="shared" si="0"/>
        <v>701.16808389261723</v>
      </c>
      <c r="H70" s="1">
        <f t="shared" si="1"/>
        <v>703.70508511046955</v>
      </c>
      <c r="I70" s="1">
        <f t="shared" si="2"/>
        <v>3.1164320000000014</v>
      </c>
      <c r="J70" s="1">
        <f t="shared" si="3"/>
        <v>0.95391245791245838</v>
      </c>
      <c r="K70" s="17" t="str">
        <f t="shared" si="4"/>
        <v/>
      </c>
      <c r="L70" s="17" t="str">
        <f t="shared" si="5"/>
        <v/>
      </c>
    </row>
    <row r="71" spans="1:12">
      <c r="A71" s="17">
        <v>61</v>
      </c>
      <c r="B71" s="17">
        <v>2</v>
      </c>
      <c r="C71" s="17">
        <v>14</v>
      </c>
      <c r="D71" s="17" t="s">
        <v>434</v>
      </c>
      <c r="E71" s="17">
        <v>702.16800000000001</v>
      </c>
      <c r="F71" s="17">
        <f t="shared" si="6"/>
        <v>0.52099999999995816</v>
      </c>
      <c r="G71" s="1">
        <f t="shared" si="0"/>
        <v>701.16808389261723</v>
      </c>
      <c r="H71" s="1">
        <f t="shared" si="1"/>
        <v>703.70508511046955</v>
      </c>
      <c r="I71" s="1">
        <f t="shared" si="2"/>
        <v>3.1164320000000014</v>
      </c>
      <c r="J71" s="1">
        <f t="shared" si="3"/>
        <v>0.95391245791245838</v>
      </c>
      <c r="K71" s="17" t="str">
        <f t="shared" si="4"/>
        <v/>
      </c>
      <c r="L71" s="17" t="str">
        <f t="shared" si="5"/>
        <v/>
      </c>
    </row>
    <row r="72" spans="1:12">
      <c r="A72" s="17">
        <v>62</v>
      </c>
      <c r="B72" s="17">
        <v>2</v>
      </c>
      <c r="C72" s="17">
        <v>13</v>
      </c>
      <c r="D72" s="17" t="s">
        <v>435</v>
      </c>
      <c r="E72" s="17">
        <v>699.65599999999995</v>
      </c>
      <c r="F72" s="17">
        <f t="shared" si="6"/>
        <v>2.5120000000000573</v>
      </c>
      <c r="G72" s="1">
        <f t="shared" si="0"/>
        <v>701.16808389261723</v>
      </c>
      <c r="H72" s="1">
        <f t="shared" si="1"/>
        <v>703.70508511046955</v>
      </c>
      <c r="I72" s="1">
        <f t="shared" si="2"/>
        <v>3.1164320000000014</v>
      </c>
      <c r="J72" s="1">
        <f t="shared" si="3"/>
        <v>0.95391245791245838</v>
      </c>
      <c r="K72" s="17" t="str">
        <f t="shared" si="4"/>
        <v/>
      </c>
      <c r="L72" s="17" t="str">
        <f t="shared" si="5"/>
        <v/>
      </c>
    </row>
    <row r="73" spans="1:12">
      <c r="A73" s="17">
        <v>63</v>
      </c>
      <c r="B73" s="17">
        <v>2</v>
      </c>
      <c r="C73" s="17">
        <v>12</v>
      </c>
      <c r="D73" s="17" t="s">
        <v>436</v>
      </c>
      <c r="E73" s="17">
        <v>702.99199999999996</v>
      </c>
      <c r="F73" s="17">
        <f t="shared" si="6"/>
        <v>3.3360000000000127</v>
      </c>
      <c r="G73" s="1">
        <f t="shared" si="0"/>
        <v>701.16808389261723</v>
      </c>
      <c r="H73" s="1">
        <f t="shared" si="1"/>
        <v>703.70508511046955</v>
      </c>
      <c r="I73" s="1">
        <f t="shared" si="2"/>
        <v>3.1164320000000014</v>
      </c>
      <c r="J73" s="1">
        <f t="shared" si="3"/>
        <v>0.95391245791245838</v>
      </c>
      <c r="K73" s="17" t="str">
        <f t="shared" si="4"/>
        <v/>
      </c>
      <c r="L73" s="17" t="str">
        <f t="shared" si="5"/>
        <v/>
      </c>
    </row>
    <row r="74" spans="1:12">
      <c r="A74" s="17">
        <v>64</v>
      </c>
      <c r="B74" s="17">
        <v>2</v>
      </c>
      <c r="C74" s="17">
        <v>11</v>
      </c>
      <c r="D74" s="17" t="s">
        <v>437</v>
      </c>
      <c r="E74" s="17">
        <v>701.70799999999997</v>
      </c>
      <c r="F74" s="17">
        <f t="shared" si="6"/>
        <v>1.2839999999999918</v>
      </c>
      <c r="G74" s="1">
        <f t="shared" si="0"/>
        <v>701.16808389261723</v>
      </c>
      <c r="H74" s="1">
        <f t="shared" si="1"/>
        <v>703.70508511046955</v>
      </c>
      <c r="I74" s="1">
        <f t="shared" si="2"/>
        <v>3.1164320000000014</v>
      </c>
      <c r="J74" s="1">
        <f t="shared" si="3"/>
        <v>0.95391245791245838</v>
      </c>
      <c r="K74" s="17" t="str">
        <f t="shared" si="4"/>
        <v/>
      </c>
      <c r="L74" s="17" t="str">
        <f t="shared" si="5"/>
        <v/>
      </c>
    </row>
    <row r="75" spans="1:12">
      <c r="A75" s="17">
        <v>65</v>
      </c>
      <c r="B75" s="17">
        <v>2</v>
      </c>
      <c r="C75" s="17">
        <v>10</v>
      </c>
      <c r="D75" s="17" t="s">
        <v>438</v>
      </c>
      <c r="E75" s="17">
        <v>700.93</v>
      </c>
      <c r="F75" s="17">
        <f t="shared" si="6"/>
        <v>0.77800000000002001</v>
      </c>
      <c r="G75" s="1">
        <f t="shared" ref="G75:G138" si="7">$Q$3</f>
        <v>701.16808389261723</v>
      </c>
      <c r="H75" s="1">
        <f t="shared" ref="H75:H138" si="8">$Q$6</f>
        <v>703.70508511046955</v>
      </c>
      <c r="I75" s="1">
        <f t="shared" ref="I75:I138" si="9">$Q$7</f>
        <v>3.1164320000000014</v>
      </c>
      <c r="J75" s="1">
        <f t="shared" ref="J75:J138" si="10">$Q$4</f>
        <v>0.95391245791245838</v>
      </c>
      <c r="K75" s="17" t="str">
        <f t="shared" ref="K75:K138" si="11">IF(E75&gt;$Q$6,"OOC","" )</f>
        <v/>
      </c>
      <c r="L75" s="17" t="str">
        <f t="shared" ref="L75:L138" si="12">IF(E75&gt;$B$4,"OOS","" )</f>
        <v/>
      </c>
    </row>
    <row r="76" spans="1:12">
      <c r="A76" s="17">
        <v>66</v>
      </c>
      <c r="B76" s="17">
        <v>2</v>
      </c>
      <c r="C76" s="17">
        <v>9</v>
      </c>
      <c r="D76" s="17" t="s">
        <v>439</v>
      </c>
      <c r="E76" s="17">
        <v>701.36800000000005</v>
      </c>
      <c r="F76" s="17">
        <f t="shared" ref="F76:F139" si="13">ABS(E76-E75)</f>
        <v>0.43800000000010186</v>
      </c>
      <c r="G76" s="1">
        <f t="shared" si="7"/>
        <v>701.16808389261723</v>
      </c>
      <c r="H76" s="1">
        <f t="shared" si="8"/>
        <v>703.70508511046955</v>
      </c>
      <c r="I76" s="1">
        <f t="shared" si="9"/>
        <v>3.1164320000000014</v>
      </c>
      <c r="J76" s="1">
        <f t="shared" si="10"/>
        <v>0.95391245791245838</v>
      </c>
      <c r="K76" s="17" t="str">
        <f t="shared" si="11"/>
        <v/>
      </c>
      <c r="L76" s="17" t="str">
        <f t="shared" si="12"/>
        <v/>
      </c>
    </row>
    <row r="77" spans="1:12">
      <c r="A77" s="17">
        <v>67</v>
      </c>
      <c r="B77" s="17">
        <v>2</v>
      </c>
      <c r="C77" s="17">
        <v>8</v>
      </c>
      <c r="D77" s="17" t="s">
        <v>440</v>
      </c>
      <c r="E77" s="17">
        <v>699.846</v>
      </c>
      <c r="F77" s="17">
        <f t="shared" si="13"/>
        <v>1.5220000000000482</v>
      </c>
      <c r="G77" s="1">
        <f t="shared" si="7"/>
        <v>701.16808389261723</v>
      </c>
      <c r="H77" s="1">
        <f t="shared" si="8"/>
        <v>703.70508511046955</v>
      </c>
      <c r="I77" s="1">
        <f t="shared" si="9"/>
        <v>3.1164320000000014</v>
      </c>
      <c r="J77" s="1">
        <f t="shared" si="10"/>
        <v>0.95391245791245838</v>
      </c>
      <c r="K77" s="17" t="str">
        <f t="shared" si="11"/>
        <v/>
      </c>
      <c r="L77" s="17" t="str">
        <f t="shared" si="12"/>
        <v/>
      </c>
    </row>
    <row r="78" spans="1:12">
      <c r="A78" s="17">
        <v>68</v>
      </c>
      <c r="B78" s="17">
        <v>2</v>
      </c>
      <c r="C78" s="17">
        <v>7</v>
      </c>
      <c r="D78" s="17" t="s">
        <v>441</v>
      </c>
      <c r="E78" s="17">
        <v>702.98500000000001</v>
      </c>
      <c r="F78" s="17">
        <f t="shared" si="13"/>
        <v>3.13900000000001</v>
      </c>
      <c r="G78" s="1">
        <f t="shared" si="7"/>
        <v>701.16808389261723</v>
      </c>
      <c r="H78" s="1">
        <f t="shared" si="8"/>
        <v>703.70508511046955</v>
      </c>
      <c r="I78" s="1">
        <f t="shared" si="9"/>
        <v>3.1164320000000014</v>
      </c>
      <c r="J78" s="1">
        <f t="shared" si="10"/>
        <v>0.95391245791245838</v>
      </c>
      <c r="K78" s="17" t="str">
        <f t="shared" si="11"/>
        <v/>
      </c>
      <c r="L78" s="17" t="str">
        <f t="shared" si="12"/>
        <v/>
      </c>
    </row>
    <row r="79" spans="1:12">
      <c r="A79" s="17">
        <v>69</v>
      </c>
      <c r="B79" s="17">
        <v>2</v>
      </c>
      <c r="C79" s="17">
        <v>5</v>
      </c>
      <c r="D79" s="17" t="s">
        <v>443</v>
      </c>
      <c r="E79" s="17">
        <v>700.22</v>
      </c>
      <c r="F79" s="17">
        <f t="shared" si="13"/>
        <v>2.7649999999999864</v>
      </c>
      <c r="G79" s="1">
        <f t="shared" si="7"/>
        <v>701.16808389261723</v>
      </c>
      <c r="H79" s="1">
        <f t="shared" si="8"/>
        <v>703.70508511046955</v>
      </c>
      <c r="I79" s="1">
        <f t="shared" si="9"/>
        <v>3.1164320000000014</v>
      </c>
      <c r="J79" s="1">
        <f t="shared" si="10"/>
        <v>0.95391245791245838</v>
      </c>
      <c r="K79" s="17" t="str">
        <f t="shared" si="11"/>
        <v/>
      </c>
      <c r="L79" s="17" t="str">
        <f t="shared" si="12"/>
        <v/>
      </c>
    </row>
    <row r="80" spans="1:12">
      <c r="A80" s="17">
        <v>70</v>
      </c>
      <c r="B80" s="17">
        <v>2</v>
      </c>
      <c r="C80" s="17">
        <v>4</v>
      </c>
      <c r="D80" s="17" t="s">
        <v>444</v>
      </c>
      <c r="E80" s="17">
        <v>701.61300000000006</v>
      </c>
      <c r="F80" s="17">
        <f t="shared" si="13"/>
        <v>1.3930000000000291</v>
      </c>
      <c r="G80" s="1">
        <f t="shared" si="7"/>
        <v>701.16808389261723</v>
      </c>
      <c r="H80" s="1">
        <f t="shared" si="8"/>
        <v>703.70508511046955</v>
      </c>
      <c r="I80" s="1">
        <f t="shared" si="9"/>
        <v>3.1164320000000014</v>
      </c>
      <c r="J80" s="1">
        <f t="shared" si="10"/>
        <v>0.95391245791245838</v>
      </c>
      <c r="K80" s="17" t="str">
        <f t="shared" si="11"/>
        <v/>
      </c>
      <c r="L80" s="17" t="str">
        <f t="shared" si="12"/>
        <v/>
      </c>
    </row>
    <row r="81" spans="1:12">
      <c r="A81" s="17">
        <v>71</v>
      </c>
      <c r="B81" s="17">
        <v>2</v>
      </c>
      <c r="C81" s="17">
        <v>3</v>
      </c>
      <c r="D81" s="17" t="s">
        <v>445</v>
      </c>
      <c r="E81" s="17">
        <v>701.97699999999998</v>
      </c>
      <c r="F81" s="17">
        <f t="shared" si="13"/>
        <v>0.36399999999991905</v>
      </c>
      <c r="G81" s="1">
        <f t="shared" si="7"/>
        <v>701.16808389261723</v>
      </c>
      <c r="H81" s="1">
        <f t="shared" si="8"/>
        <v>703.70508511046955</v>
      </c>
      <c r="I81" s="1">
        <f t="shared" si="9"/>
        <v>3.1164320000000014</v>
      </c>
      <c r="J81" s="1">
        <f t="shared" si="10"/>
        <v>0.95391245791245838</v>
      </c>
      <c r="K81" s="17" t="str">
        <f t="shared" si="11"/>
        <v/>
      </c>
      <c r="L81" s="17" t="str">
        <f t="shared" si="12"/>
        <v/>
      </c>
    </row>
    <row r="82" spans="1:12">
      <c r="A82" s="17">
        <v>72</v>
      </c>
      <c r="B82" s="17">
        <v>2</v>
      </c>
      <c r="C82" s="17">
        <v>2</v>
      </c>
      <c r="D82" s="17" t="s">
        <v>446</v>
      </c>
      <c r="E82" s="17">
        <v>701.54300000000001</v>
      </c>
      <c r="F82" s="17">
        <f t="shared" si="13"/>
        <v>0.43399999999996908</v>
      </c>
      <c r="G82" s="1">
        <f t="shared" si="7"/>
        <v>701.16808389261723</v>
      </c>
      <c r="H82" s="1">
        <f t="shared" si="8"/>
        <v>703.70508511046955</v>
      </c>
      <c r="I82" s="1">
        <f t="shared" si="9"/>
        <v>3.1164320000000014</v>
      </c>
      <c r="J82" s="1">
        <f t="shared" si="10"/>
        <v>0.95391245791245838</v>
      </c>
      <c r="K82" s="17" t="str">
        <f t="shared" si="11"/>
        <v/>
      </c>
      <c r="L82" s="17" t="str">
        <f t="shared" si="12"/>
        <v/>
      </c>
    </row>
    <row r="83" spans="1:12">
      <c r="A83" s="17">
        <v>73</v>
      </c>
      <c r="B83" s="17">
        <v>2</v>
      </c>
      <c r="C83" s="17">
        <v>1</v>
      </c>
      <c r="D83" s="17" t="s">
        <v>447</v>
      </c>
      <c r="E83" s="17">
        <v>702.37199999999996</v>
      </c>
      <c r="F83" s="17">
        <f t="shared" si="13"/>
        <v>0.82899999999995089</v>
      </c>
      <c r="G83" s="1">
        <f t="shared" si="7"/>
        <v>701.16808389261723</v>
      </c>
      <c r="H83" s="1">
        <f t="shared" si="8"/>
        <v>703.70508511046955</v>
      </c>
      <c r="I83" s="1">
        <f t="shared" si="9"/>
        <v>3.1164320000000014</v>
      </c>
      <c r="J83" s="1">
        <f t="shared" si="10"/>
        <v>0.95391245791245838</v>
      </c>
      <c r="K83" s="17" t="str">
        <f t="shared" si="11"/>
        <v/>
      </c>
      <c r="L83" s="17" t="str">
        <f t="shared" si="12"/>
        <v/>
      </c>
    </row>
    <row r="84" spans="1:12">
      <c r="A84" s="17">
        <v>74</v>
      </c>
      <c r="B84" s="17">
        <v>2</v>
      </c>
      <c r="C84" s="17">
        <v>25</v>
      </c>
      <c r="D84" s="17" t="s">
        <v>448</v>
      </c>
      <c r="E84" s="17">
        <v>701.27300000000002</v>
      </c>
      <c r="F84" s="17">
        <f t="shared" si="13"/>
        <v>1.0989999999999327</v>
      </c>
      <c r="G84" s="1">
        <f t="shared" si="7"/>
        <v>701.16808389261723</v>
      </c>
      <c r="H84" s="1">
        <f t="shared" si="8"/>
        <v>703.70508511046955</v>
      </c>
      <c r="I84" s="1">
        <f t="shared" si="9"/>
        <v>3.1164320000000014</v>
      </c>
      <c r="J84" s="1">
        <f t="shared" si="10"/>
        <v>0.95391245791245838</v>
      </c>
      <c r="K84" s="17" t="str">
        <f t="shared" si="11"/>
        <v/>
      </c>
      <c r="L84" s="17" t="str">
        <f t="shared" si="12"/>
        <v/>
      </c>
    </row>
    <row r="85" spans="1:12">
      <c r="A85" s="17">
        <v>75</v>
      </c>
      <c r="B85" s="17">
        <v>2</v>
      </c>
      <c r="C85" s="17">
        <v>24</v>
      </c>
      <c r="D85" s="17" t="s">
        <v>449</v>
      </c>
      <c r="E85" s="17">
        <v>699.60699999999997</v>
      </c>
      <c r="F85" s="17">
        <f t="shared" si="13"/>
        <v>1.6660000000000537</v>
      </c>
      <c r="G85" s="1">
        <f t="shared" si="7"/>
        <v>701.16808389261723</v>
      </c>
      <c r="H85" s="1">
        <f t="shared" si="8"/>
        <v>703.70508511046955</v>
      </c>
      <c r="I85" s="1">
        <f t="shared" si="9"/>
        <v>3.1164320000000014</v>
      </c>
      <c r="J85" s="1">
        <f t="shared" si="10"/>
        <v>0.95391245791245838</v>
      </c>
      <c r="K85" s="17" t="str">
        <f t="shared" si="11"/>
        <v/>
      </c>
      <c r="L85" s="17" t="str">
        <f t="shared" si="12"/>
        <v/>
      </c>
    </row>
    <row r="86" spans="1:12">
      <c r="A86" s="17">
        <v>76</v>
      </c>
      <c r="B86" s="17">
        <v>2</v>
      </c>
      <c r="C86" s="17">
        <v>23</v>
      </c>
      <c r="D86" s="17" t="s">
        <v>450</v>
      </c>
      <c r="E86" s="17">
        <v>700.68499999999995</v>
      </c>
      <c r="F86" s="17">
        <f t="shared" si="13"/>
        <v>1.0779999999999745</v>
      </c>
      <c r="G86" s="1">
        <f t="shared" si="7"/>
        <v>701.16808389261723</v>
      </c>
      <c r="H86" s="1">
        <f t="shared" si="8"/>
        <v>703.70508511046955</v>
      </c>
      <c r="I86" s="1">
        <f t="shared" si="9"/>
        <v>3.1164320000000014</v>
      </c>
      <c r="J86" s="1">
        <f t="shared" si="10"/>
        <v>0.95391245791245838</v>
      </c>
      <c r="K86" s="17" t="str">
        <f t="shared" si="11"/>
        <v/>
      </c>
      <c r="L86" s="17" t="str">
        <f t="shared" si="12"/>
        <v/>
      </c>
    </row>
    <row r="87" spans="1:12">
      <c r="A87" s="17">
        <v>77</v>
      </c>
      <c r="B87" s="17">
        <v>2</v>
      </c>
      <c r="C87" s="17">
        <v>22</v>
      </c>
      <c r="D87" s="17" t="s">
        <v>451</v>
      </c>
      <c r="E87" s="17">
        <v>700.85699999999997</v>
      </c>
      <c r="F87" s="17">
        <f t="shared" si="13"/>
        <v>0.17200000000002547</v>
      </c>
      <c r="G87" s="1">
        <f t="shared" si="7"/>
        <v>701.16808389261723</v>
      </c>
      <c r="H87" s="1">
        <f t="shared" si="8"/>
        <v>703.70508511046955</v>
      </c>
      <c r="I87" s="1">
        <f t="shared" si="9"/>
        <v>3.1164320000000014</v>
      </c>
      <c r="J87" s="1">
        <f t="shared" si="10"/>
        <v>0.95391245791245838</v>
      </c>
      <c r="K87" s="17" t="str">
        <f t="shared" si="11"/>
        <v/>
      </c>
      <c r="L87" s="17" t="str">
        <f t="shared" si="12"/>
        <v/>
      </c>
    </row>
    <row r="88" spans="1:12">
      <c r="A88" s="17">
        <v>78</v>
      </c>
      <c r="B88" s="17">
        <v>2</v>
      </c>
      <c r="C88" s="17">
        <v>21</v>
      </c>
      <c r="D88" s="17" t="s">
        <v>452</v>
      </c>
      <c r="E88" s="17">
        <v>699.43100000000004</v>
      </c>
      <c r="F88" s="17">
        <f t="shared" si="13"/>
        <v>1.4259999999999309</v>
      </c>
      <c r="G88" s="1">
        <f t="shared" si="7"/>
        <v>701.16808389261723</v>
      </c>
      <c r="H88" s="1">
        <f t="shared" si="8"/>
        <v>703.70508511046955</v>
      </c>
      <c r="I88" s="1">
        <f t="shared" si="9"/>
        <v>3.1164320000000014</v>
      </c>
      <c r="J88" s="1">
        <f t="shared" si="10"/>
        <v>0.95391245791245838</v>
      </c>
      <c r="K88" s="17" t="str">
        <f t="shared" si="11"/>
        <v/>
      </c>
      <c r="L88" s="17" t="str">
        <f t="shared" si="12"/>
        <v/>
      </c>
    </row>
    <row r="89" spans="1:12">
      <c r="A89" s="17">
        <v>79</v>
      </c>
      <c r="B89" s="17">
        <v>2</v>
      </c>
      <c r="C89" s="17">
        <v>20</v>
      </c>
      <c r="D89" s="17" t="s">
        <v>453</v>
      </c>
      <c r="E89" s="17">
        <v>700.99800000000005</v>
      </c>
      <c r="F89" s="17">
        <f t="shared" si="13"/>
        <v>1.5670000000000073</v>
      </c>
      <c r="G89" s="1">
        <f t="shared" si="7"/>
        <v>701.16808389261723</v>
      </c>
      <c r="H89" s="1">
        <f t="shared" si="8"/>
        <v>703.70508511046955</v>
      </c>
      <c r="I89" s="1">
        <f t="shared" si="9"/>
        <v>3.1164320000000014</v>
      </c>
      <c r="J89" s="1">
        <f t="shared" si="10"/>
        <v>0.95391245791245838</v>
      </c>
      <c r="K89" s="17" t="str">
        <f t="shared" si="11"/>
        <v/>
      </c>
      <c r="L89" s="17" t="str">
        <f t="shared" si="12"/>
        <v/>
      </c>
    </row>
    <row r="90" spans="1:12">
      <c r="A90" s="17">
        <v>80</v>
      </c>
      <c r="B90" s="17">
        <v>2</v>
      </c>
      <c r="C90" s="17">
        <v>19</v>
      </c>
      <c r="D90" s="17" t="s">
        <v>454</v>
      </c>
      <c r="E90" s="17">
        <v>699.89499999999998</v>
      </c>
      <c r="F90" s="17">
        <f t="shared" si="13"/>
        <v>1.1030000000000655</v>
      </c>
      <c r="G90" s="1">
        <f t="shared" si="7"/>
        <v>701.16808389261723</v>
      </c>
      <c r="H90" s="1">
        <f t="shared" si="8"/>
        <v>703.70508511046955</v>
      </c>
      <c r="I90" s="1">
        <f t="shared" si="9"/>
        <v>3.1164320000000014</v>
      </c>
      <c r="J90" s="1">
        <f t="shared" si="10"/>
        <v>0.95391245791245838</v>
      </c>
      <c r="K90" s="17" t="str">
        <f t="shared" si="11"/>
        <v/>
      </c>
      <c r="L90" s="17" t="str">
        <f t="shared" si="12"/>
        <v/>
      </c>
    </row>
    <row r="91" spans="1:12">
      <c r="A91" s="17">
        <v>81</v>
      </c>
      <c r="B91" s="17">
        <v>2</v>
      </c>
      <c r="C91" s="17">
        <v>18</v>
      </c>
      <c r="D91" s="17" t="s">
        <v>455</v>
      </c>
      <c r="E91" s="17">
        <v>700.63</v>
      </c>
      <c r="F91" s="17">
        <f t="shared" si="13"/>
        <v>0.73500000000001364</v>
      </c>
      <c r="G91" s="1">
        <f t="shared" si="7"/>
        <v>701.16808389261723</v>
      </c>
      <c r="H91" s="1">
        <f t="shared" si="8"/>
        <v>703.70508511046955</v>
      </c>
      <c r="I91" s="1">
        <f t="shared" si="9"/>
        <v>3.1164320000000014</v>
      </c>
      <c r="J91" s="1">
        <f t="shared" si="10"/>
        <v>0.95391245791245838</v>
      </c>
      <c r="K91" s="17" t="str">
        <f t="shared" si="11"/>
        <v/>
      </c>
      <c r="L91" s="17" t="str">
        <f t="shared" si="12"/>
        <v/>
      </c>
    </row>
    <row r="92" spans="1:12">
      <c r="A92" s="17">
        <v>82</v>
      </c>
      <c r="B92" s="17">
        <v>2</v>
      </c>
      <c r="C92" s="17">
        <v>17</v>
      </c>
      <c r="D92" s="17" t="s">
        <v>456</v>
      </c>
      <c r="E92" s="17">
        <v>700.82600000000002</v>
      </c>
      <c r="F92" s="17">
        <f t="shared" si="13"/>
        <v>0.19600000000002638</v>
      </c>
      <c r="G92" s="1">
        <f t="shared" si="7"/>
        <v>701.16808389261723</v>
      </c>
      <c r="H92" s="1">
        <f t="shared" si="8"/>
        <v>703.70508511046955</v>
      </c>
      <c r="I92" s="1">
        <f t="shared" si="9"/>
        <v>3.1164320000000014</v>
      </c>
      <c r="J92" s="1">
        <f t="shared" si="10"/>
        <v>0.95391245791245838</v>
      </c>
      <c r="K92" s="17" t="str">
        <f t="shared" si="11"/>
        <v/>
      </c>
      <c r="L92" s="17" t="str">
        <f t="shared" si="12"/>
        <v/>
      </c>
    </row>
    <row r="93" spans="1:12">
      <c r="A93" s="17">
        <v>83</v>
      </c>
      <c r="B93" s="17">
        <v>2</v>
      </c>
      <c r="C93" s="17">
        <v>16</v>
      </c>
      <c r="D93" s="17" t="s">
        <v>457</v>
      </c>
      <c r="E93" s="17">
        <v>699.18</v>
      </c>
      <c r="F93" s="17">
        <f t="shared" si="13"/>
        <v>1.6460000000000719</v>
      </c>
      <c r="G93" s="1">
        <f t="shared" si="7"/>
        <v>701.16808389261723</v>
      </c>
      <c r="H93" s="1">
        <f t="shared" si="8"/>
        <v>703.70508511046955</v>
      </c>
      <c r="I93" s="1">
        <f t="shared" si="9"/>
        <v>3.1164320000000014</v>
      </c>
      <c r="J93" s="1">
        <f t="shared" si="10"/>
        <v>0.95391245791245838</v>
      </c>
      <c r="K93" s="17" t="str">
        <f t="shared" si="11"/>
        <v/>
      </c>
      <c r="L93" s="17" t="str">
        <f t="shared" si="12"/>
        <v/>
      </c>
    </row>
    <row r="94" spans="1:12">
      <c r="A94" s="17">
        <v>84</v>
      </c>
      <c r="B94" s="17">
        <v>2</v>
      </c>
      <c r="C94" s="17">
        <v>15</v>
      </c>
      <c r="D94" s="17" t="s">
        <v>458</v>
      </c>
      <c r="E94" s="17">
        <v>699.51099999999997</v>
      </c>
      <c r="F94" s="17">
        <f t="shared" si="13"/>
        <v>0.33100000000001728</v>
      </c>
      <c r="G94" s="1">
        <f t="shared" si="7"/>
        <v>701.16808389261723</v>
      </c>
      <c r="H94" s="1">
        <f t="shared" si="8"/>
        <v>703.70508511046955</v>
      </c>
      <c r="I94" s="1">
        <f t="shared" si="9"/>
        <v>3.1164320000000014</v>
      </c>
      <c r="J94" s="1">
        <f t="shared" si="10"/>
        <v>0.95391245791245838</v>
      </c>
      <c r="K94" s="17" t="str">
        <f t="shared" si="11"/>
        <v/>
      </c>
      <c r="L94" s="17" t="str">
        <f t="shared" si="12"/>
        <v/>
      </c>
    </row>
    <row r="95" spans="1:12">
      <c r="A95" s="17">
        <v>85</v>
      </c>
      <c r="B95" s="17">
        <v>2</v>
      </c>
      <c r="C95" s="17">
        <v>14</v>
      </c>
      <c r="D95" s="17" t="s">
        <v>459</v>
      </c>
      <c r="E95" s="17">
        <v>700.56200000000001</v>
      </c>
      <c r="F95" s="17">
        <f t="shared" si="13"/>
        <v>1.0510000000000446</v>
      </c>
      <c r="G95" s="1">
        <f t="shared" si="7"/>
        <v>701.16808389261723</v>
      </c>
      <c r="H95" s="1">
        <f t="shared" si="8"/>
        <v>703.70508511046955</v>
      </c>
      <c r="I95" s="1">
        <f t="shared" si="9"/>
        <v>3.1164320000000014</v>
      </c>
      <c r="J95" s="1">
        <f t="shared" si="10"/>
        <v>0.95391245791245838</v>
      </c>
      <c r="K95" s="17" t="str">
        <f t="shared" si="11"/>
        <v/>
      </c>
      <c r="L95" s="17" t="str">
        <f t="shared" si="12"/>
        <v/>
      </c>
    </row>
    <row r="96" spans="1:12">
      <c r="A96" s="17">
        <v>86</v>
      </c>
      <c r="B96" s="17">
        <v>2</v>
      </c>
      <c r="C96" s="17">
        <v>13</v>
      </c>
      <c r="D96" s="17" t="s">
        <v>460</v>
      </c>
      <c r="E96" s="17">
        <v>699.69500000000005</v>
      </c>
      <c r="F96" s="17">
        <f t="shared" si="13"/>
        <v>0.8669999999999618</v>
      </c>
      <c r="G96" s="1">
        <f t="shared" si="7"/>
        <v>701.16808389261723</v>
      </c>
      <c r="H96" s="1">
        <f t="shared" si="8"/>
        <v>703.70508511046955</v>
      </c>
      <c r="I96" s="1">
        <f t="shared" si="9"/>
        <v>3.1164320000000014</v>
      </c>
      <c r="J96" s="1">
        <f t="shared" si="10"/>
        <v>0.95391245791245838</v>
      </c>
      <c r="K96" s="17" t="str">
        <f t="shared" si="11"/>
        <v/>
      </c>
      <c r="L96" s="17" t="str">
        <f t="shared" si="12"/>
        <v/>
      </c>
    </row>
    <row r="97" spans="1:12">
      <c r="A97" s="17">
        <v>87</v>
      </c>
      <c r="B97" s="17">
        <v>2</v>
      </c>
      <c r="C97" s="17">
        <v>12</v>
      </c>
      <c r="D97" s="17" t="s">
        <v>461</v>
      </c>
      <c r="E97" s="17">
        <v>699.46299999999997</v>
      </c>
      <c r="F97" s="17">
        <f t="shared" si="13"/>
        <v>0.23200000000008458</v>
      </c>
      <c r="G97" s="1">
        <f t="shared" si="7"/>
        <v>701.16808389261723</v>
      </c>
      <c r="H97" s="1">
        <f t="shared" si="8"/>
        <v>703.70508511046955</v>
      </c>
      <c r="I97" s="1">
        <f t="shared" si="9"/>
        <v>3.1164320000000014</v>
      </c>
      <c r="J97" s="1">
        <f t="shared" si="10"/>
        <v>0.95391245791245838</v>
      </c>
      <c r="K97" s="17" t="str">
        <f t="shared" si="11"/>
        <v/>
      </c>
      <c r="L97" s="17" t="str">
        <f t="shared" si="12"/>
        <v/>
      </c>
    </row>
    <row r="98" spans="1:12">
      <c r="A98" s="17">
        <v>88</v>
      </c>
      <c r="B98" s="17">
        <v>2</v>
      </c>
      <c r="C98" s="17">
        <v>11</v>
      </c>
      <c r="D98" s="17" t="s">
        <v>462</v>
      </c>
      <c r="E98" s="17">
        <v>699.68799999999999</v>
      </c>
      <c r="F98" s="17">
        <f t="shared" si="13"/>
        <v>0.22500000000002274</v>
      </c>
      <c r="G98" s="1">
        <f t="shared" si="7"/>
        <v>701.16808389261723</v>
      </c>
      <c r="H98" s="1">
        <f t="shared" si="8"/>
        <v>703.70508511046955</v>
      </c>
      <c r="I98" s="1">
        <f t="shared" si="9"/>
        <v>3.1164320000000014</v>
      </c>
      <c r="J98" s="1">
        <f t="shared" si="10"/>
        <v>0.95391245791245838</v>
      </c>
      <c r="K98" s="17" t="str">
        <f t="shared" si="11"/>
        <v/>
      </c>
      <c r="L98" s="17" t="str">
        <f t="shared" si="12"/>
        <v/>
      </c>
    </row>
    <row r="99" spans="1:12">
      <c r="A99" s="17">
        <v>89</v>
      </c>
      <c r="B99" s="17">
        <v>2</v>
      </c>
      <c r="C99" s="17">
        <v>10</v>
      </c>
      <c r="D99" s="17" t="s">
        <v>463</v>
      </c>
      <c r="E99" s="17">
        <v>701.18899999999996</v>
      </c>
      <c r="F99" s="17">
        <f t="shared" si="13"/>
        <v>1.5009999999999764</v>
      </c>
      <c r="G99" s="1">
        <f t="shared" si="7"/>
        <v>701.16808389261723</v>
      </c>
      <c r="H99" s="1">
        <f t="shared" si="8"/>
        <v>703.70508511046955</v>
      </c>
      <c r="I99" s="1">
        <f t="shared" si="9"/>
        <v>3.1164320000000014</v>
      </c>
      <c r="J99" s="1">
        <f t="shared" si="10"/>
        <v>0.95391245791245838</v>
      </c>
      <c r="K99" s="17" t="str">
        <f t="shared" si="11"/>
        <v/>
      </c>
      <c r="L99" s="17" t="str">
        <f t="shared" si="12"/>
        <v/>
      </c>
    </row>
    <row r="100" spans="1:12">
      <c r="A100" s="17">
        <v>90</v>
      </c>
      <c r="B100" s="17">
        <v>2</v>
      </c>
      <c r="C100" s="17">
        <v>9</v>
      </c>
      <c r="D100" s="17" t="s">
        <v>464</v>
      </c>
      <c r="E100" s="17">
        <v>701.42100000000005</v>
      </c>
      <c r="F100" s="17">
        <f t="shared" si="13"/>
        <v>0.23200000000008458</v>
      </c>
      <c r="G100" s="1">
        <f t="shared" si="7"/>
        <v>701.16808389261723</v>
      </c>
      <c r="H100" s="1">
        <f t="shared" si="8"/>
        <v>703.70508511046955</v>
      </c>
      <c r="I100" s="1">
        <f t="shared" si="9"/>
        <v>3.1164320000000014</v>
      </c>
      <c r="J100" s="1">
        <f t="shared" si="10"/>
        <v>0.95391245791245838</v>
      </c>
      <c r="K100" s="17" t="str">
        <f t="shared" si="11"/>
        <v/>
      </c>
      <c r="L100" s="17" t="str">
        <f t="shared" si="12"/>
        <v/>
      </c>
    </row>
    <row r="101" spans="1:12">
      <c r="A101" s="17">
        <v>91</v>
      </c>
      <c r="B101" s="17">
        <v>2</v>
      </c>
      <c r="C101" s="17">
        <v>8</v>
      </c>
      <c r="D101" s="17" t="s">
        <v>465</v>
      </c>
      <c r="E101" s="17">
        <v>700.90700000000004</v>
      </c>
      <c r="F101" s="17">
        <f t="shared" si="13"/>
        <v>0.51400000000001</v>
      </c>
      <c r="G101" s="1">
        <f t="shared" si="7"/>
        <v>701.16808389261723</v>
      </c>
      <c r="H101" s="1">
        <f t="shared" si="8"/>
        <v>703.70508511046955</v>
      </c>
      <c r="I101" s="1">
        <f t="shared" si="9"/>
        <v>3.1164320000000014</v>
      </c>
      <c r="J101" s="1">
        <f t="shared" si="10"/>
        <v>0.95391245791245838</v>
      </c>
      <c r="K101" s="17" t="str">
        <f t="shared" si="11"/>
        <v/>
      </c>
      <c r="L101" s="17" t="str">
        <f t="shared" si="12"/>
        <v/>
      </c>
    </row>
    <row r="102" spans="1:12">
      <c r="A102" s="17">
        <v>92</v>
      </c>
      <c r="B102" s="17">
        <v>2</v>
      </c>
      <c r="C102" s="17">
        <v>7</v>
      </c>
      <c r="D102" s="17" t="s">
        <v>466</v>
      </c>
      <c r="E102" s="17">
        <v>700.21600000000001</v>
      </c>
      <c r="F102" s="17">
        <f t="shared" si="13"/>
        <v>0.69100000000003092</v>
      </c>
      <c r="G102" s="1">
        <f t="shared" si="7"/>
        <v>701.16808389261723</v>
      </c>
      <c r="H102" s="1">
        <f t="shared" si="8"/>
        <v>703.70508511046955</v>
      </c>
      <c r="I102" s="1">
        <f t="shared" si="9"/>
        <v>3.1164320000000014</v>
      </c>
      <c r="J102" s="1">
        <f t="shared" si="10"/>
        <v>0.95391245791245838</v>
      </c>
      <c r="K102" s="17" t="str">
        <f t="shared" si="11"/>
        <v/>
      </c>
      <c r="L102" s="17" t="str">
        <f t="shared" si="12"/>
        <v/>
      </c>
    </row>
    <row r="103" spans="1:12">
      <c r="A103" s="17">
        <v>93</v>
      </c>
      <c r="B103" s="17">
        <v>2</v>
      </c>
      <c r="C103" s="17">
        <v>6</v>
      </c>
      <c r="D103" s="17" t="s">
        <v>467</v>
      </c>
      <c r="E103" s="17">
        <v>700.21900000000005</v>
      </c>
      <c r="F103" s="17">
        <f t="shared" si="13"/>
        <v>3.0000000000427463E-3</v>
      </c>
      <c r="G103" s="1">
        <f t="shared" si="7"/>
        <v>701.16808389261723</v>
      </c>
      <c r="H103" s="1">
        <f t="shared" si="8"/>
        <v>703.70508511046955</v>
      </c>
      <c r="I103" s="1">
        <f t="shared" si="9"/>
        <v>3.1164320000000014</v>
      </c>
      <c r="J103" s="1">
        <f t="shared" si="10"/>
        <v>0.95391245791245838</v>
      </c>
      <c r="K103" s="17" t="str">
        <f t="shared" si="11"/>
        <v/>
      </c>
      <c r="L103" s="17" t="str">
        <f t="shared" si="12"/>
        <v/>
      </c>
    </row>
    <row r="104" spans="1:12">
      <c r="A104" s="17">
        <v>94</v>
      </c>
      <c r="B104" s="17">
        <v>2</v>
      </c>
      <c r="C104" s="17">
        <v>5</v>
      </c>
      <c r="D104" s="17" t="s">
        <v>468</v>
      </c>
      <c r="E104" s="17">
        <v>702.15800000000002</v>
      </c>
      <c r="F104" s="17">
        <f t="shared" si="13"/>
        <v>1.9389999999999645</v>
      </c>
      <c r="G104" s="1">
        <f t="shared" si="7"/>
        <v>701.16808389261723</v>
      </c>
      <c r="H104" s="1">
        <f t="shared" si="8"/>
        <v>703.70508511046955</v>
      </c>
      <c r="I104" s="1">
        <f t="shared" si="9"/>
        <v>3.1164320000000014</v>
      </c>
      <c r="J104" s="1">
        <f t="shared" si="10"/>
        <v>0.95391245791245838</v>
      </c>
      <c r="K104" s="17" t="str">
        <f t="shared" si="11"/>
        <v/>
      </c>
      <c r="L104" s="17" t="str">
        <f t="shared" si="12"/>
        <v/>
      </c>
    </row>
    <row r="105" spans="1:12">
      <c r="A105" s="17">
        <v>95</v>
      </c>
      <c r="B105" s="17">
        <v>2</v>
      </c>
      <c r="C105" s="17">
        <v>4</v>
      </c>
      <c r="D105" s="17" t="s">
        <v>469</v>
      </c>
      <c r="E105" s="17">
        <v>700.54899999999998</v>
      </c>
      <c r="F105" s="17">
        <f t="shared" si="13"/>
        <v>1.6090000000000373</v>
      </c>
      <c r="G105" s="1">
        <f t="shared" si="7"/>
        <v>701.16808389261723</v>
      </c>
      <c r="H105" s="1">
        <f t="shared" si="8"/>
        <v>703.70508511046955</v>
      </c>
      <c r="I105" s="1">
        <f t="shared" si="9"/>
        <v>3.1164320000000014</v>
      </c>
      <c r="J105" s="1">
        <f t="shared" si="10"/>
        <v>0.95391245791245838</v>
      </c>
      <c r="K105" s="17" t="str">
        <f t="shared" si="11"/>
        <v/>
      </c>
      <c r="L105" s="17" t="str">
        <f t="shared" si="12"/>
        <v/>
      </c>
    </row>
    <row r="106" spans="1:12">
      <c r="A106" s="17">
        <v>96</v>
      </c>
      <c r="B106" s="17">
        <v>2</v>
      </c>
      <c r="C106" s="17">
        <v>3</v>
      </c>
      <c r="D106" s="17" t="s">
        <v>470</v>
      </c>
      <c r="E106" s="17">
        <v>701.71400000000006</v>
      </c>
      <c r="F106" s="17">
        <f t="shared" si="13"/>
        <v>1.1650000000000773</v>
      </c>
      <c r="G106" s="1">
        <f t="shared" si="7"/>
        <v>701.16808389261723</v>
      </c>
      <c r="H106" s="1">
        <f t="shared" si="8"/>
        <v>703.70508511046955</v>
      </c>
      <c r="I106" s="1">
        <f t="shared" si="9"/>
        <v>3.1164320000000014</v>
      </c>
      <c r="J106" s="1">
        <f t="shared" si="10"/>
        <v>0.95391245791245838</v>
      </c>
      <c r="K106" s="17" t="str">
        <f t="shared" si="11"/>
        <v/>
      </c>
      <c r="L106" s="17" t="str">
        <f t="shared" si="12"/>
        <v/>
      </c>
    </row>
    <row r="107" spans="1:12">
      <c r="A107" s="17">
        <v>97</v>
      </c>
      <c r="B107" s="17">
        <v>2</v>
      </c>
      <c r="C107" s="17">
        <v>2</v>
      </c>
      <c r="D107" s="17" t="s">
        <v>471</v>
      </c>
      <c r="E107" s="17">
        <v>701.02599999999995</v>
      </c>
      <c r="F107" s="17">
        <f t="shared" si="13"/>
        <v>0.68800000000010186</v>
      </c>
      <c r="G107" s="1">
        <f t="shared" si="7"/>
        <v>701.16808389261723</v>
      </c>
      <c r="H107" s="1">
        <f t="shared" si="8"/>
        <v>703.70508511046955</v>
      </c>
      <c r="I107" s="1">
        <f t="shared" si="9"/>
        <v>3.1164320000000014</v>
      </c>
      <c r="J107" s="1">
        <f t="shared" si="10"/>
        <v>0.95391245791245838</v>
      </c>
      <c r="K107" s="17" t="str">
        <f t="shared" si="11"/>
        <v/>
      </c>
      <c r="L107" s="17" t="str">
        <f t="shared" si="12"/>
        <v/>
      </c>
    </row>
    <row r="108" spans="1:12">
      <c r="A108" s="17">
        <v>98</v>
      </c>
      <c r="B108" s="17">
        <v>2</v>
      </c>
      <c r="C108" s="17">
        <v>1</v>
      </c>
      <c r="D108" s="17" t="s">
        <v>472</v>
      </c>
      <c r="E108" s="17">
        <v>700.18100000000004</v>
      </c>
      <c r="F108" s="17">
        <f t="shared" si="13"/>
        <v>0.8449999999999136</v>
      </c>
      <c r="G108" s="1">
        <f t="shared" si="7"/>
        <v>701.16808389261723</v>
      </c>
      <c r="H108" s="1">
        <f t="shared" si="8"/>
        <v>703.70508511046955</v>
      </c>
      <c r="I108" s="1">
        <f t="shared" si="9"/>
        <v>3.1164320000000014</v>
      </c>
      <c r="J108" s="1">
        <f t="shared" si="10"/>
        <v>0.95391245791245838</v>
      </c>
      <c r="K108" s="17" t="str">
        <f t="shared" si="11"/>
        <v/>
      </c>
      <c r="L108" s="17" t="str">
        <f t="shared" si="12"/>
        <v/>
      </c>
    </row>
    <row r="109" spans="1:12">
      <c r="A109" s="17">
        <v>99</v>
      </c>
      <c r="B109" s="17">
        <v>3</v>
      </c>
      <c r="C109" s="17">
        <v>25</v>
      </c>
      <c r="D109" s="17" t="s">
        <v>473</v>
      </c>
      <c r="E109" s="17">
        <v>701.02800000000002</v>
      </c>
      <c r="F109" s="17">
        <f t="shared" si="13"/>
        <v>0.84699999999997999</v>
      </c>
      <c r="G109" s="1">
        <f t="shared" si="7"/>
        <v>701.16808389261723</v>
      </c>
      <c r="H109" s="1">
        <f t="shared" si="8"/>
        <v>703.70508511046955</v>
      </c>
      <c r="I109" s="1">
        <f t="shared" si="9"/>
        <v>3.1164320000000014</v>
      </c>
      <c r="J109" s="1">
        <f t="shared" si="10"/>
        <v>0.95391245791245838</v>
      </c>
      <c r="K109" s="17" t="str">
        <f t="shared" si="11"/>
        <v/>
      </c>
      <c r="L109" s="17" t="str">
        <f t="shared" si="12"/>
        <v/>
      </c>
    </row>
    <row r="110" spans="1:12">
      <c r="A110" s="17">
        <v>100</v>
      </c>
      <c r="B110" s="17">
        <v>3</v>
      </c>
      <c r="C110" s="17">
        <v>24</v>
      </c>
      <c r="D110" s="17" t="s">
        <v>474</v>
      </c>
      <c r="E110" s="17">
        <v>701.10599999999999</v>
      </c>
      <c r="F110" s="17">
        <f t="shared" si="13"/>
        <v>7.7999999999974534E-2</v>
      </c>
      <c r="G110" s="1">
        <f t="shared" si="7"/>
        <v>701.16808389261723</v>
      </c>
      <c r="H110" s="1">
        <f t="shared" si="8"/>
        <v>703.70508511046955</v>
      </c>
      <c r="I110" s="1">
        <f t="shared" si="9"/>
        <v>3.1164320000000014</v>
      </c>
      <c r="J110" s="1">
        <f t="shared" si="10"/>
        <v>0.95391245791245838</v>
      </c>
      <c r="K110" s="17" t="str">
        <f t="shared" si="11"/>
        <v/>
      </c>
      <c r="L110" s="17" t="str">
        <f t="shared" si="12"/>
        <v/>
      </c>
    </row>
    <row r="111" spans="1:12">
      <c r="A111" s="17">
        <v>101</v>
      </c>
      <c r="B111" s="17">
        <v>3</v>
      </c>
      <c r="C111" s="17">
        <v>23</v>
      </c>
      <c r="D111" s="17" t="s">
        <v>475</v>
      </c>
      <c r="E111" s="17">
        <v>700.00900000000001</v>
      </c>
      <c r="F111" s="17">
        <f t="shared" si="13"/>
        <v>1.09699999999998</v>
      </c>
      <c r="G111" s="1">
        <f t="shared" si="7"/>
        <v>701.16808389261723</v>
      </c>
      <c r="H111" s="1">
        <f t="shared" si="8"/>
        <v>703.70508511046955</v>
      </c>
      <c r="I111" s="1">
        <f t="shared" si="9"/>
        <v>3.1164320000000014</v>
      </c>
      <c r="J111" s="1">
        <f t="shared" si="10"/>
        <v>0.95391245791245838</v>
      </c>
      <c r="K111" s="17" t="str">
        <f t="shared" si="11"/>
        <v/>
      </c>
      <c r="L111" s="17" t="str">
        <f t="shared" si="12"/>
        <v/>
      </c>
    </row>
    <row r="112" spans="1:12">
      <c r="A112" s="17">
        <v>102</v>
      </c>
      <c r="B112" s="17">
        <v>3</v>
      </c>
      <c r="C112" s="17">
        <v>22</v>
      </c>
      <c r="D112" s="17" t="s">
        <v>476</v>
      </c>
      <c r="E112" s="17">
        <v>699.89200000000005</v>
      </c>
      <c r="F112" s="17">
        <f t="shared" si="13"/>
        <v>0.1169999999999618</v>
      </c>
      <c r="G112" s="1">
        <f t="shared" si="7"/>
        <v>701.16808389261723</v>
      </c>
      <c r="H112" s="1">
        <f t="shared" si="8"/>
        <v>703.70508511046955</v>
      </c>
      <c r="I112" s="1">
        <f t="shared" si="9"/>
        <v>3.1164320000000014</v>
      </c>
      <c r="J112" s="1">
        <f t="shared" si="10"/>
        <v>0.95391245791245838</v>
      </c>
      <c r="K112" s="17" t="str">
        <f t="shared" si="11"/>
        <v/>
      </c>
      <c r="L112" s="17" t="str">
        <f t="shared" si="12"/>
        <v/>
      </c>
    </row>
    <row r="113" spans="1:12">
      <c r="A113" s="17">
        <v>103</v>
      </c>
      <c r="B113" s="17">
        <v>3</v>
      </c>
      <c r="C113" s="17">
        <v>21</v>
      </c>
      <c r="D113" s="17" t="s">
        <v>477</v>
      </c>
      <c r="E113" s="17">
        <v>701.33900000000006</v>
      </c>
      <c r="F113" s="17">
        <f t="shared" si="13"/>
        <v>1.4470000000000027</v>
      </c>
      <c r="G113" s="1">
        <f t="shared" si="7"/>
        <v>701.16808389261723</v>
      </c>
      <c r="H113" s="1">
        <f t="shared" si="8"/>
        <v>703.70508511046955</v>
      </c>
      <c r="I113" s="1">
        <f t="shared" si="9"/>
        <v>3.1164320000000014</v>
      </c>
      <c r="J113" s="1">
        <f t="shared" si="10"/>
        <v>0.95391245791245838</v>
      </c>
      <c r="K113" s="17" t="str">
        <f t="shared" si="11"/>
        <v/>
      </c>
      <c r="L113" s="17" t="str">
        <f t="shared" si="12"/>
        <v/>
      </c>
    </row>
    <row r="114" spans="1:12">
      <c r="A114" s="17">
        <v>104</v>
      </c>
      <c r="B114" s="17">
        <v>3</v>
      </c>
      <c r="C114" s="17">
        <v>20</v>
      </c>
      <c r="D114" s="17" t="s">
        <v>478</v>
      </c>
      <c r="E114" s="17">
        <v>701.19600000000003</v>
      </c>
      <c r="F114" s="17">
        <f t="shared" si="13"/>
        <v>0.1430000000000291</v>
      </c>
      <c r="G114" s="1">
        <f t="shared" si="7"/>
        <v>701.16808389261723</v>
      </c>
      <c r="H114" s="1">
        <f t="shared" si="8"/>
        <v>703.70508511046955</v>
      </c>
      <c r="I114" s="1">
        <f t="shared" si="9"/>
        <v>3.1164320000000014</v>
      </c>
      <c r="J114" s="1">
        <f t="shared" si="10"/>
        <v>0.95391245791245838</v>
      </c>
      <c r="K114" s="17" t="str">
        <f t="shared" si="11"/>
        <v/>
      </c>
      <c r="L114" s="17" t="str">
        <f t="shared" si="12"/>
        <v/>
      </c>
    </row>
    <row r="115" spans="1:12">
      <c r="A115" s="17">
        <v>105</v>
      </c>
      <c r="B115" s="17">
        <v>3</v>
      </c>
      <c r="C115" s="17">
        <v>19</v>
      </c>
      <c r="D115" s="17" t="s">
        <v>479</v>
      </c>
      <c r="E115" s="17">
        <v>701.53099999999995</v>
      </c>
      <c r="F115" s="17">
        <f t="shared" si="13"/>
        <v>0.33499999999992269</v>
      </c>
      <c r="G115" s="1">
        <f t="shared" si="7"/>
        <v>701.16808389261723</v>
      </c>
      <c r="H115" s="1">
        <f t="shared" si="8"/>
        <v>703.70508511046955</v>
      </c>
      <c r="I115" s="1">
        <f t="shared" si="9"/>
        <v>3.1164320000000014</v>
      </c>
      <c r="J115" s="1">
        <f t="shared" si="10"/>
        <v>0.95391245791245838</v>
      </c>
      <c r="K115" s="17" t="str">
        <f t="shared" si="11"/>
        <v/>
      </c>
      <c r="L115" s="17" t="str">
        <f t="shared" si="12"/>
        <v/>
      </c>
    </row>
    <row r="116" spans="1:12">
      <c r="A116" s="17">
        <v>106</v>
      </c>
      <c r="B116" s="17">
        <v>3</v>
      </c>
      <c r="C116" s="17">
        <v>18</v>
      </c>
      <c r="D116" s="17" t="s">
        <v>480</v>
      </c>
      <c r="E116" s="17">
        <v>701.84699999999998</v>
      </c>
      <c r="F116" s="17">
        <f t="shared" si="13"/>
        <v>0.31600000000003092</v>
      </c>
      <c r="G116" s="1">
        <f t="shared" si="7"/>
        <v>701.16808389261723</v>
      </c>
      <c r="H116" s="1">
        <f t="shared" si="8"/>
        <v>703.70508511046955</v>
      </c>
      <c r="I116" s="1">
        <f t="shared" si="9"/>
        <v>3.1164320000000014</v>
      </c>
      <c r="J116" s="1">
        <f t="shared" si="10"/>
        <v>0.95391245791245838</v>
      </c>
      <c r="K116" s="17" t="str">
        <f t="shared" si="11"/>
        <v/>
      </c>
      <c r="L116" s="17" t="str">
        <f t="shared" si="12"/>
        <v/>
      </c>
    </row>
    <row r="117" spans="1:12">
      <c r="A117" s="17">
        <v>107</v>
      </c>
      <c r="B117" s="17">
        <v>3</v>
      </c>
      <c r="C117" s="17">
        <v>17</v>
      </c>
      <c r="D117" s="17" t="s">
        <v>481</v>
      </c>
      <c r="E117" s="17">
        <v>701.64499999999998</v>
      </c>
      <c r="F117" s="17">
        <f t="shared" si="13"/>
        <v>0.20199999999999818</v>
      </c>
      <c r="G117" s="1">
        <f t="shared" si="7"/>
        <v>701.16808389261723</v>
      </c>
      <c r="H117" s="1">
        <f t="shared" si="8"/>
        <v>703.70508511046955</v>
      </c>
      <c r="I117" s="1">
        <f t="shared" si="9"/>
        <v>3.1164320000000014</v>
      </c>
      <c r="J117" s="1">
        <f t="shared" si="10"/>
        <v>0.95391245791245838</v>
      </c>
      <c r="K117" s="17" t="str">
        <f t="shared" si="11"/>
        <v/>
      </c>
      <c r="L117" s="17" t="str">
        <f t="shared" si="12"/>
        <v/>
      </c>
    </row>
    <row r="118" spans="1:12">
      <c r="A118" s="17">
        <v>108</v>
      </c>
      <c r="B118" s="17">
        <v>3</v>
      </c>
      <c r="C118" s="17">
        <v>16</v>
      </c>
      <c r="D118" s="17" t="s">
        <v>482</v>
      </c>
      <c r="E118" s="17">
        <v>701.93799999999999</v>
      </c>
      <c r="F118" s="17">
        <f t="shared" si="13"/>
        <v>0.29300000000000637</v>
      </c>
      <c r="G118" s="1">
        <f t="shared" si="7"/>
        <v>701.16808389261723</v>
      </c>
      <c r="H118" s="1">
        <f t="shared" si="8"/>
        <v>703.70508511046955</v>
      </c>
      <c r="I118" s="1">
        <f t="shared" si="9"/>
        <v>3.1164320000000014</v>
      </c>
      <c r="J118" s="1">
        <f t="shared" si="10"/>
        <v>0.95391245791245838</v>
      </c>
      <c r="K118" s="17" t="str">
        <f t="shared" si="11"/>
        <v/>
      </c>
      <c r="L118" s="17" t="str">
        <f t="shared" si="12"/>
        <v/>
      </c>
    </row>
    <row r="119" spans="1:12">
      <c r="A119" s="17">
        <v>109</v>
      </c>
      <c r="B119" s="17">
        <v>3</v>
      </c>
      <c r="C119" s="17">
        <v>15</v>
      </c>
      <c r="D119" s="17" t="s">
        <v>483</v>
      </c>
      <c r="E119" s="17">
        <v>702.30799999999999</v>
      </c>
      <c r="F119" s="17">
        <f t="shared" si="13"/>
        <v>0.37000000000000455</v>
      </c>
      <c r="G119" s="1">
        <f t="shared" si="7"/>
        <v>701.16808389261723</v>
      </c>
      <c r="H119" s="1">
        <f t="shared" si="8"/>
        <v>703.70508511046955</v>
      </c>
      <c r="I119" s="1">
        <f t="shared" si="9"/>
        <v>3.1164320000000014</v>
      </c>
      <c r="J119" s="1">
        <f t="shared" si="10"/>
        <v>0.95391245791245838</v>
      </c>
      <c r="K119" s="17" t="str">
        <f t="shared" si="11"/>
        <v/>
      </c>
      <c r="L119" s="17" t="str">
        <f t="shared" si="12"/>
        <v/>
      </c>
    </row>
    <row r="120" spans="1:12">
      <c r="A120" s="17">
        <v>110</v>
      </c>
      <c r="B120" s="17">
        <v>3</v>
      </c>
      <c r="C120" s="17">
        <v>14</v>
      </c>
      <c r="D120" s="17" t="s">
        <v>484</v>
      </c>
      <c r="E120" s="17">
        <v>702.19500000000005</v>
      </c>
      <c r="F120" s="17">
        <f t="shared" si="13"/>
        <v>0.1129999999999427</v>
      </c>
      <c r="G120" s="1">
        <f t="shared" si="7"/>
        <v>701.16808389261723</v>
      </c>
      <c r="H120" s="1">
        <f t="shared" si="8"/>
        <v>703.70508511046955</v>
      </c>
      <c r="I120" s="1">
        <f t="shared" si="9"/>
        <v>3.1164320000000014</v>
      </c>
      <c r="J120" s="1">
        <f t="shared" si="10"/>
        <v>0.95391245791245838</v>
      </c>
      <c r="K120" s="17" t="str">
        <f t="shared" si="11"/>
        <v/>
      </c>
      <c r="L120" s="17" t="str">
        <f t="shared" si="12"/>
        <v/>
      </c>
    </row>
    <row r="121" spans="1:12">
      <c r="A121" s="17">
        <v>111</v>
      </c>
      <c r="B121" s="17">
        <v>3</v>
      </c>
      <c r="C121" s="17">
        <v>13</v>
      </c>
      <c r="D121" s="17" t="s">
        <v>485</v>
      </c>
      <c r="E121" s="17">
        <v>701.63800000000003</v>
      </c>
      <c r="F121" s="17">
        <f t="shared" si="13"/>
        <v>0.55700000000001637</v>
      </c>
      <c r="G121" s="1">
        <f t="shared" si="7"/>
        <v>701.16808389261723</v>
      </c>
      <c r="H121" s="1">
        <f t="shared" si="8"/>
        <v>703.70508511046955</v>
      </c>
      <c r="I121" s="1">
        <f t="shared" si="9"/>
        <v>3.1164320000000014</v>
      </c>
      <c r="J121" s="1">
        <f t="shared" si="10"/>
        <v>0.95391245791245838</v>
      </c>
      <c r="K121" s="17" t="str">
        <f t="shared" si="11"/>
        <v/>
      </c>
      <c r="L121" s="17" t="str">
        <f t="shared" si="12"/>
        <v/>
      </c>
    </row>
    <row r="122" spans="1:12">
      <c r="A122" s="17">
        <v>112</v>
      </c>
      <c r="B122" s="17">
        <v>3</v>
      </c>
      <c r="C122" s="17">
        <v>12</v>
      </c>
      <c r="D122" s="17" t="s">
        <v>486</v>
      </c>
      <c r="E122" s="17">
        <v>702.76800000000003</v>
      </c>
      <c r="F122" s="17">
        <f t="shared" si="13"/>
        <v>1.1299999999999955</v>
      </c>
      <c r="G122" s="1">
        <f t="shared" si="7"/>
        <v>701.16808389261723</v>
      </c>
      <c r="H122" s="1">
        <f t="shared" si="8"/>
        <v>703.70508511046955</v>
      </c>
      <c r="I122" s="1">
        <f t="shared" si="9"/>
        <v>3.1164320000000014</v>
      </c>
      <c r="J122" s="1">
        <f t="shared" si="10"/>
        <v>0.95391245791245838</v>
      </c>
      <c r="K122" s="17" t="str">
        <f t="shared" si="11"/>
        <v/>
      </c>
      <c r="L122" s="17" t="str">
        <f t="shared" si="12"/>
        <v/>
      </c>
    </row>
    <row r="123" spans="1:12">
      <c r="A123" s="17">
        <v>113</v>
      </c>
      <c r="B123" s="17">
        <v>3</v>
      </c>
      <c r="C123" s="17">
        <v>11</v>
      </c>
      <c r="D123" s="17" t="s">
        <v>487</v>
      </c>
      <c r="E123" s="17">
        <v>702.87599999999998</v>
      </c>
      <c r="F123" s="17">
        <f t="shared" si="13"/>
        <v>0.10799999999994725</v>
      </c>
      <c r="G123" s="1">
        <f t="shared" si="7"/>
        <v>701.16808389261723</v>
      </c>
      <c r="H123" s="1">
        <f t="shared" si="8"/>
        <v>703.70508511046955</v>
      </c>
      <c r="I123" s="1">
        <f t="shared" si="9"/>
        <v>3.1164320000000014</v>
      </c>
      <c r="J123" s="1">
        <f t="shared" si="10"/>
        <v>0.95391245791245838</v>
      </c>
      <c r="K123" s="17" t="str">
        <f t="shared" si="11"/>
        <v/>
      </c>
      <c r="L123" s="17" t="str">
        <f t="shared" si="12"/>
        <v/>
      </c>
    </row>
    <row r="124" spans="1:12">
      <c r="A124" s="17">
        <v>114</v>
      </c>
      <c r="B124" s="17">
        <v>3</v>
      </c>
      <c r="C124" s="17">
        <v>10</v>
      </c>
      <c r="D124" s="17" t="s">
        <v>488</v>
      </c>
      <c r="E124" s="17">
        <v>702.625</v>
      </c>
      <c r="F124" s="17">
        <f t="shared" si="13"/>
        <v>0.25099999999997635</v>
      </c>
      <c r="G124" s="1">
        <f t="shared" si="7"/>
        <v>701.16808389261723</v>
      </c>
      <c r="H124" s="1">
        <f t="shared" si="8"/>
        <v>703.70508511046955</v>
      </c>
      <c r="I124" s="1">
        <f t="shared" si="9"/>
        <v>3.1164320000000014</v>
      </c>
      <c r="J124" s="1">
        <f t="shared" si="10"/>
        <v>0.95391245791245838</v>
      </c>
      <c r="K124" s="17" t="str">
        <f t="shared" si="11"/>
        <v/>
      </c>
      <c r="L124" s="17" t="str">
        <f t="shared" si="12"/>
        <v/>
      </c>
    </row>
    <row r="125" spans="1:12">
      <c r="A125" s="17">
        <v>115</v>
      </c>
      <c r="B125" s="17">
        <v>3</v>
      </c>
      <c r="C125" s="17">
        <v>9</v>
      </c>
      <c r="D125" s="17" t="s">
        <v>489</v>
      </c>
      <c r="E125" s="17">
        <v>699.02</v>
      </c>
      <c r="F125" s="17">
        <f t="shared" si="13"/>
        <v>3.6050000000000182</v>
      </c>
      <c r="G125" s="1">
        <f t="shared" si="7"/>
        <v>701.16808389261723</v>
      </c>
      <c r="H125" s="1">
        <f t="shared" si="8"/>
        <v>703.70508511046955</v>
      </c>
      <c r="I125" s="1">
        <f t="shared" si="9"/>
        <v>3.1164320000000014</v>
      </c>
      <c r="J125" s="1">
        <f t="shared" si="10"/>
        <v>0.95391245791245838</v>
      </c>
      <c r="K125" s="17" t="str">
        <f t="shared" si="11"/>
        <v/>
      </c>
      <c r="L125" s="17" t="str">
        <f t="shared" si="12"/>
        <v/>
      </c>
    </row>
    <row r="126" spans="1:12">
      <c r="A126" s="17">
        <v>116</v>
      </c>
      <c r="B126" s="17">
        <v>3</v>
      </c>
      <c r="C126" s="17">
        <v>8</v>
      </c>
      <c r="D126" s="17" t="s">
        <v>490</v>
      </c>
      <c r="E126" s="17">
        <v>699.18899999999996</v>
      </c>
      <c r="F126" s="17">
        <f t="shared" si="13"/>
        <v>0.16899999999998272</v>
      </c>
      <c r="G126" s="1">
        <f t="shared" si="7"/>
        <v>701.16808389261723</v>
      </c>
      <c r="H126" s="1">
        <f t="shared" si="8"/>
        <v>703.70508511046955</v>
      </c>
      <c r="I126" s="1">
        <f t="shared" si="9"/>
        <v>3.1164320000000014</v>
      </c>
      <c r="J126" s="1">
        <f t="shared" si="10"/>
        <v>0.95391245791245838</v>
      </c>
      <c r="K126" s="17" t="str">
        <f t="shared" si="11"/>
        <v/>
      </c>
      <c r="L126" s="17" t="str">
        <f t="shared" si="12"/>
        <v/>
      </c>
    </row>
    <row r="127" spans="1:12">
      <c r="A127" s="17">
        <v>117</v>
      </c>
      <c r="B127" s="17">
        <v>3</v>
      </c>
      <c r="C127" s="17">
        <v>7</v>
      </c>
      <c r="D127" s="17" t="s">
        <v>491</v>
      </c>
      <c r="E127" s="17">
        <v>698.79600000000005</v>
      </c>
      <c r="F127" s="17">
        <f t="shared" si="13"/>
        <v>0.39299999999991542</v>
      </c>
      <c r="G127" s="1">
        <f t="shared" si="7"/>
        <v>701.16808389261723</v>
      </c>
      <c r="H127" s="1">
        <f t="shared" si="8"/>
        <v>703.70508511046955</v>
      </c>
      <c r="I127" s="1">
        <f t="shared" si="9"/>
        <v>3.1164320000000014</v>
      </c>
      <c r="J127" s="1">
        <f t="shared" si="10"/>
        <v>0.95391245791245838</v>
      </c>
      <c r="K127" s="17" t="str">
        <f t="shared" si="11"/>
        <v/>
      </c>
      <c r="L127" s="17" t="str">
        <f t="shared" si="12"/>
        <v/>
      </c>
    </row>
    <row r="128" spans="1:12">
      <c r="A128" s="17">
        <v>118</v>
      </c>
      <c r="B128" s="17">
        <v>3</v>
      </c>
      <c r="C128" s="17">
        <v>6</v>
      </c>
      <c r="D128" s="17" t="s">
        <v>492</v>
      </c>
      <c r="E128" s="17">
        <v>701</v>
      </c>
      <c r="F128" s="17">
        <f t="shared" si="13"/>
        <v>2.2039999999999509</v>
      </c>
      <c r="G128" s="1">
        <f t="shared" si="7"/>
        <v>701.16808389261723</v>
      </c>
      <c r="H128" s="1">
        <f t="shared" si="8"/>
        <v>703.70508511046955</v>
      </c>
      <c r="I128" s="1">
        <f t="shared" si="9"/>
        <v>3.1164320000000014</v>
      </c>
      <c r="J128" s="1">
        <f t="shared" si="10"/>
        <v>0.95391245791245838</v>
      </c>
      <c r="K128" s="17" t="str">
        <f t="shared" si="11"/>
        <v/>
      </c>
      <c r="L128" s="17" t="str">
        <f t="shared" si="12"/>
        <v/>
      </c>
    </row>
    <row r="129" spans="1:12">
      <c r="A129" s="17">
        <v>119</v>
      </c>
      <c r="B129" s="17">
        <v>3</v>
      </c>
      <c r="C129" s="17">
        <v>5</v>
      </c>
      <c r="D129" s="17" t="s">
        <v>493</v>
      </c>
      <c r="E129" s="17">
        <v>701.25</v>
      </c>
      <c r="F129" s="17">
        <f t="shared" si="13"/>
        <v>0.25</v>
      </c>
      <c r="G129" s="1">
        <f t="shared" si="7"/>
        <v>701.16808389261723</v>
      </c>
      <c r="H129" s="1">
        <f t="shared" si="8"/>
        <v>703.70508511046955</v>
      </c>
      <c r="I129" s="1">
        <f t="shared" si="9"/>
        <v>3.1164320000000014</v>
      </c>
      <c r="J129" s="1">
        <f t="shared" si="10"/>
        <v>0.95391245791245838</v>
      </c>
      <c r="K129" s="17" t="str">
        <f t="shared" si="11"/>
        <v/>
      </c>
      <c r="L129" s="17" t="str">
        <f t="shared" si="12"/>
        <v/>
      </c>
    </row>
    <row r="130" spans="1:12">
      <c r="A130" s="17">
        <v>120</v>
      </c>
      <c r="B130" s="17">
        <v>3</v>
      </c>
      <c r="C130" s="17">
        <v>4</v>
      </c>
      <c r="D130" s="17" t="s">
        <v>494</v>
      </c>
      <c r="E130" s="17">
        <v>701.15099999999995</v>
      </c>
      <c r="F130" s="17">
        <f t="shared" si="13"/>
        <v>9.9000000000046384E-2</v>
      </c>
      <c r="G130" s="1">
        <f t="shared" si="7"/>
        <v>701.16808389261723</v>
      </c>
      <c r="H130" s="1">
        <f t="shared" si="8"/>
        <v>703.70508511046955</v>
      </c>
      <c r="I130" s="1">
        <f t="shared" si="9"/>
        <v>3.1164320000000014</v>
      </c>
      <c r="J130" s="1">
        <f t="shared" si="10"/>
        <v>0.95391245791245838</v>
      </c>
      <c r="K130" s="17" t="str">
        <f t="shared" si="11"/>
        <v/>
      </c>
      <c r="L130" s="17" t="str">
        <f t="shared" si="12"/>
        <v/>
      </c>
    </row>
    <row r="131" spans="1:12">
      <c r="A131" s="17">
        <v>121</v>
      </c>
      <c r="B131" s="17">
        <v>3</v>
      </c>
      <c r="C131" s="17">
        <v>3</v>
      </c>
      <c r="D131" s="17" t="s">
        <v>495</v>
      </c>
      <c r="E131" s="17">
        <v>700.63599999999997</v>
      </c>
      <c r="F131" s="17">
        <f t="shared" si="13"/>
        <v>0.51499999999998636</v>
      </c>
      <c r="G131" s="1">
        <f t="shared" si="7"/>
        <v>701.16808389261723</v>
      </c>
      <c r="H131" s="1">
        <f t="shared" si="8"/>
        <v>703.70508511046955</v>
      </c>
      <c r="I131" s="1">
        <f t="shared" si="9"/>
        <v>3.1164320000000014</v>
      </c>
      <c r="J131" s="1">
        <f t="shared" si="10"/>
        <v>0.95391245791245838</v>
      </c>
      <c r="K131" s="17" t="str">
        <f t="shared" si="11"/>
        <v/>
      </c>
      <c r="L131" s="17" t="str">
        <f t="shared" si="12"/>
        <v/>
      </c>
    </row>
    <row r="132" spans="1:12">
      <c r="A132" s="17">
        <v>122</v>
      </c>
      <c r="B132" s="17">
        <v>3</v>
      </c>
      <c r="C132" s="17">
        <v>2</v>
      </c>
      <c r="D132" s="17" t="s">
        <v>496</v>
      </c>
      <c r="E132" s="17">
        <v>701.11500000000001</v>
      </c>
      <c r="F132" s="17">
        <f t="shared" si="13"/>
        <v>0.47900000000004184</v>
      </c>
      <c r="G132" s="1">
        <f t="shared" si="7"/>
        <v>701.16808389261723</v>
      </c>
      <c r="H132" s="1">
        <f t="shared" si="8"/>
        <v>703.70508511046955</v>
      </c>
      <c r="I132" s="1">
        <f t="shared" si="9"/>
        <v>3.1164320000000014</v>
      </c>
      <c r="J132" s="1">
        <f t="shared" si="10"/>
        <v>0.95391245791245838</v>
      </c>
      <c r="K132" s="17" t="str">
        <f t="shared" si="11"/>
        <v/>
      </c>
      <c r="L132" s="17" t="str">
        <f t="shared" si="12"/>
        <v/>
      </c>
    </row>
    <row r="133" spans="1:12">
      <c r="A133" s="17">
        <v>123</v>
      </c>
      <c r="B133" s="17">
        <v>3</v>
      </c>
      <c r="C133" s="17">
        <v>1</v>
      </c>
      <c r="D133" s="17" t="s">
        <v>497</v>
      </c>
      <c r="E133" s="17">
        <v>701.29499999999996</v>
      </c>
      <c r="F133" s="17">
        <f t="shared" si="13"/>
        <v>0.17999999999994998</v>
      </c>
      <c r="G133" s="1">
        <f t="shared" si="7"/>
        <v>701.16808389261723</v>
      </c>
      <c r="H133" s="1">
        <f t="shared" si="8"/>
        <v>703.70508511046955</v>
      </c>
      <c r="I133" s="1">
        <f t="shared" si="9"/>
        <v>3.1164320000000014</v>
      </c>
      <c r="J133" s="1">
        <f t="shared" si="10"/>
        <v>0.95391245791245838</v>
      </c>
      <c r="K133" s="17" t="str">
        <f t="shared" si="11"/>
        <v/>
      </c>
      <c r="L133" s="17" t="str">
        <f t="shared" si="12"/>
        <v/>
      </c>
    </row>
    <row r="134" spans="1:12">
      <c r="A134" s="17">
        <v>124</v>
      </c>
      <c r="B134" s="17">
        <v>3</v>
      </c>
      <c r="C134" s="17">
        <v>25</v>
      </c>
      <c r="D134" s="17" t="s">
        <v>498</v>
      </c>
      <c r="E134" s="17">
        <v>701.16700000000003</v>
      </c>
      <c r="F134" s="17">
        <f t="shared" si="13"/>
        <v>0.12799999999992906</v>
      </c>
      <c r="G134" s="1">
        <f t="shared" si="7"/>
        <v>701.16808389261723</v>
      </c>
      <c r="H134" s="1">
        <f t="shared" si="8"/>
        <v>703.70508511046955</v>
      </c>
      <c r="I134" s="1">
        <f t="shared" si="9"/>
        <v>3.1164320000000014</v>
      </c>
      <c r="J134" s="1">
        <f t="shared" si="10"/>
        <v>0.95391245791245838</v>
      </c>
      <c r="K134" s="17" t="str">
        <f t="shared" si="11"/>
        <v/>
      </c>
      <c r="L134" s="17" t="str">
        <f t="shared" si="12"/>
        <v/>
      </c>
    </row>
    <row r="135" spans="1:12">
      <c r="A135" s="17">
        <v>125</v>
      </c>
      <c r="B135" s="17">
        <v>3</v>
      </c>
      <c r="C135" s="17">
        <v>24</v>
      </c>
      <c r="D135" s="17" t="s">
        <v>499</v>
      </c>
      <c r="E135" s="17">
        <v>700.37800000000004</v>
      </c>
      <c r="F135" s="17">
        <f t="shared" si="13"/>
        <v>0.78899999999998727</v>
      </c>
      <c r="G135" s="1">
        <f t="shared" si="7"/>
        <v>701.16808389261723</v>
      </c>
      <c r="H135" s="1">
        <f t="shared" si="8"/>
        <v>703.70508511046955</v>
      </c>
      <c r="I135" s="1">
        <f t="shared" si="9"/>
        <v>3.1164320000000014</v>
      </c>
      <c r="J135" s="1">
        <f t="shared" si="10"/>
        <v>0.95391245791245838</v>
      </c>
      <c r="K135" s="17" t="str">
        <f t="shared" si="11"/>
        <v/>
      </c>
      <c r="L135" s="17" t="str">
        <f t="shared" si="12"/>
        <v/>
      </c>
    </row>
    <row r="136" spans="1:12">
      <c r="A136" s="17">
        <v>126</v>
      </c>
      <c r="B136" s="17">
        <v>3</v>
      </c>
      <c r="C136" s="17">
        <v>23</v>
      </c>
      <c r="D136" s="17" t="s">
        <v>500</v>
      </c>
      <c r="E136" s="17">
        <v>700.76900000000001</v>
      </c>
      <c r="F136" s="17">
        <f t="shared" si="13"/>
        <v>0.39099999999996271</v>
      </c>
      <c r="G136" s="1">
        <f t="shared" si="7"/>
        <v>701.16808389261723</v>
      </c>
      <c r="H136" s="1">
        <f t="shared" si="8"/>
        <v>703.70508511046955</v>
      </c>
      <c r="I136" s="1">
        <f t="shared" si="9"/>
        <v>3.1164320000000014</v>
      </c>
      <c r="J136" s="1">
        <f t="shared" si="10"/>
        <v>0.95391245791245838</v>
      </c>
      <c r="K136" s="17" t="str">
        <f t="shared" si="11"/>
        <v/>
      </c>
      <c r="L136" s="17" t="str">
        <f t="shared" si="12"/>
        <v/>
      </c>
    </row>
    <row r="137" spans="1:12">
      <c r="A137" s="17">
        <v>127</v>
      </c>
      <c r="B137" s="17">
        <v>3</v>
      </c>
      <c r="C137" s="17">
        <v>22</v>
      </c>
      <c r="D137" s="17" t="s">
        <v>501</v>
      </c>
      <c r="E137" s="17">
        <v>700.37599999999998</v>
      </c>
      <c r="F137" s="17">
        <f t="shared" si="13"/>
        <v>0.3930000000000291</v>
      </c>
      <c r="G137" s="1">
        <f t="shared" si="7"/>
        <v>701.16808389261723</v>
      </c>
      <c r="H137" s="1">
        <f t="shared" si="8"/>
        <v>703.70508511046955</v>
      </c>
      <c r="I137" s="1">
        <f t="shared" si="9"/>
        <v>3.1164320000000014</v>
      </c>
      <c r="J137" s="1">
        <f t="shared" si="10"/>
        <v>0.95391245791245838</v>
      </c>
      <c r="K137" s="17" t="str">
        <f t="shared" si="11"/>
        <v/>
      </c>
      <c r="L137" s="17" t="str">
        <f t="shared" si="12"/>
        <v/>
      </c>
    </row>
    <row r="138" spans="1:12">
      <c r="A138" s="17">
        <v>128</v>
      </c>
      <c r="B138" s="17">
        <v>3</v>
      </c>
      <c r="C138" s="17">
        <v>21</v>
      </c>
      <c r="D138" s="17" t="s">
        <v>502</v>
      </c>
      <c r="E138" s="17">
        <v>702.27800000000002</v>
      </c>
      <c r="F138" s="17">
        <f t="shared" si="13"/>
        <v>1.9020000000000437</v>
      </c>
      <c r="G138" s="1">
        <f t="shared" si="7"/>
        <v>701.16808389261723</v>
      </c>
      <c r="H138" s="1">
        <f t="shared" si="8"/>
        <v>703.70508511046955</v>
      </c>
      <c r="I138" s="1">
        <f t="shared" si="9"/>
        <v>3.1164320000000014</v>
      </c>
      <c r="J138" s="1">
        <f t="shared" si="10"/>
        <v>0.95391245791245838</v>
      </c>
      <c r="K138" s="17" t="str">
        <f t="shared" si="11"/>
        <v/>
      </c>
      <c r="L138" s="17" t="str">
        <f t="shared" si="12"/>
        <v/>
      </c>
    </row>
    <row r="139" spans="1:12">
      <c r="A139" s="17">
        <v>129</v>
      </c>
      <c r="B139" s="17">
        <v>3</v>
      </c>
      <c r="C139" s="17">
        <v>20</v>
      </c>
      <c r="D139" s="17" t="s">
        <v>503</v>
      </c>
      <c r="E139" s="17">
        <v>700.63900000000001</v>
      </c>
      <c r="F139" s="17">
        <f t="shared" si="13"/>
        <v>1.63900000000001</v>
      </c>
      <c r="G139" s="1">
        <f t="shared" ref="G139:G202" si="14">$Q$3</f>
        <v>701.16808389261723</v>
      </c>
      <c r="H139" s="1">
        <f t="shared" ref="H139:H202" si="15">$Q$6</f>
        <v>703.70508511046955</v>
      </c>
      <c r="I139" s="1">
        <f t="shared" ref="I139:I202" si="16">$Q$7</f>
        <v>3.1164320000000014</v>
      </c>
      <c r="J139" s="1">
        <f t="shared" ref="J139:J202" si="17">$Q$4</f>
        <v>0.95391245791245838</v>
      </c>
      <c r="K139" s="17" t="str">
        <f t="shared" ref="K139:K202" si="18">IF(E139&gt;$Q$6,"OOC","" )</f>
        <v/>
      </c>
      <c r="L139" s="17" t="str">
        <f t="shared" ref="L139:L202" si="19">IF(E139&gt;$B$4,"OOS","" )</f>
        <v/>
      </c>
    </row>
    <row r="140" spans="1:12">
      <c r="A140" s="17">
        <v>130</v>
      </c>
      <c r="B140" s="17">
        <v>3</v>
      </c>
      <c r="C140" s="17">
        <v>19</v>
      </c>
      <c r="D140" s="17" t="s">
        <v>504</v>
      </c>
      <c r="E140" s="17">
        <v>702.32399999999996</v>
      </c>
      <c r="F140" s="17">
        <f t="shared" ref="F140:F203" si="20">ABS(E140-E139)</f>
        <v>1.6849999999999454</v>
      </c>
      <c r="G140" s="1">
        <f t="shared" si="14"/>
        <v>701.16808389261723</v>
      </c>
      <c r="H140" s="1">
        <f t="shared" si="15"/>
        <v>703.70508511046955</v>
      </c>
      <c r="I140" s="1">
        <f t="shared" si="16"/>
        <v>3.1164320000000014</v>
      </c>
      <c r="J140" s="1">
        <f t="shared" si="17"/>
        <v>0.95391245791245838</v>
      </c>
      <c r="K140" s="17" t="str">
        <f t="shared" si="18"/>
        <v/>
      </c>
      <c r="L140" s="17" t="str">
        <f t="shared" si="19"/>
        <v/>
      </c>
    </row>
    <row r="141" spans="1:12">
      <c r="A141" s="17">
        <v>131</v>
      </c>
      <c r="B141" s="17">
        <v>3</v>
      </c>
      <c r="C141" s="17">
        <v>18</v>
      </c>
      <c r="D141" s="17" t="s">
        <v>505</v>
      </c>
      <c r="E141" s="17">
        <v>700.65800000000002</v>
      </c>
      <c r="F141" s="17">
        <f t="shared" si="20"/>
        <v>1.66599999999994</v>
      </c>
      <c r="G141" s="1">
        <f t="shared" si="14"/>
        <v>701.16808389261723</v>
      </c>
      <c r="H141" s="1">
        <f t="shared" si="15"/>
        <v>703.70508511046955</v>
      </c>
      <c r="I141" s="1">
        <f t="shared" si="16"/>
        <v>3.1164320000000014</v>
      </c>
      <c r="J141" s="1">
        <f t="shared" si="17"/>
        <v>0.95391245791245838</v>
      </c>
      <c r="K141" s="17" t="str">
        <f t="shared" si="18"/>
        <v/>
      </c>
      <c r="L141" s="17" t="str">
        <f t="shared" si="19"/>
        <v/>
      </c>
    </row>
    <row r="142" spans="1:12">
      <c r="A142" s="17">
        <v>132</v>
      </c>
      <c r="B142" s="17">
        <v>3</v>
      </c>
      <c r="C142" s="17">
        <v>17</v>
      </c>
      <c r="D142" s="17" t="s">
        <v>506</v>
      </c>
      <c r="E142" s="17">
        <v>702.29700000000003</v>
      </c>
      <c r="F142" s="17">
        <f t="shared" si="20"/>
        <v>1.63900000000001</v>
      </c>
      <c r="G142" s="1">
        <f t="shared" si="14"/>
        <v>701.16808389261723</v>
      </c>
      <c r="H142" s="1">
        <f t="shared" si="15"/>
        <v>703.70508511046955</v>
      </c>
      <c r="I142" s="1">
        <f t="shared" si="16"/>
        <v>3.1164320000000014</v>
      </c>
      <c r="J142" s="1">
        <f t="shared" si="17"/>
        <v>0.95391245791245838</v>
      </c>
      <c r="K142" s="17" t="str">
        <f t="shared" si="18"/>
        <v/>
      </c>
      <c r="L142" s="17" t="str">
        <f t="shared" si="19"/>
        <v/>
      </c>
    </row>
    <row r="143" spans="1:12">
      <c r="A143" s="17">
        <v>133</v>
      </c>
      <c r="B143" s="17">
        <v>3</v>
      </c>
      <c r="C143" s="17">
        <v>16</v>
      </c>
      <c r="D143" s="17" t="s">
        <v>507</v>
      </c>
      <c r="E143" s="17">
        <v>701.48500000000001</v>
      </c>
      <c r="F143" s="17">
        <f t="shared" si="20"/>
        <v>0.81200000000001182</v>
      </c>
      <c r="G143" s="1">
        <f t="shared" si="14"/>
        <v>701.16808389261723</v>
      </c>
      <c r="H143" s="1">
        <f t="shared" si="15"/>
        <v>703.70508511046955</v>
      </c>
      <c r="I143" s="1">
        <f t="shared" si="16"/>
        <v>3.1164320000000014</v>
      </c>
      <c r="J143" s="1">
        <f t="shared" si="17"/>
        <v>0.95391245791245838</v>
      </c>
      <c r="K143" s="17" t="str">
        <f t="shared" si="18"/>
        <v/>
      </c>
      <c r="L143" s="17" t="str">
        <f t="shared" si="19"/>
        <v/>
      </c>
    </row>
    <row r="144" spans="1:12">
      <c r="A144" s="17">
        <v>134</v>
      </c>
      <c r="B144" s="17">
        <v>3</v>
      </c>
      <c r="C144" s="17">
        <v>15</v>
      </c>
      <c r="D144" s="17" t="s">
        <v>508</v>
      </c>
      <c r="E144" s="17">
        <v>700.97400000000005</v>
      </c>
      <c r="F144" s="17">
        <f t="shared" si="20"/>
        <v>0.51099999999996726</v>
      </c>
      <c r="G144" s="1">
        <f t="shared" si="14"/>
        <v>701.16808389261723</v>
      </c>
      <c r="H144" s="1">
        <f t="shared" si="15"/>
        <v>703.70508511046955</v>
      </c>
      <c r="I144" s="1">
        <f t="shared" si="16"/>
        <v>3.1164320000000014</v>
      </c>
      <c r="J144" s="1">
        <f t="shared" si="17"/>
        <v>0.95391245791245838</v>
      </c>
      <c r="K144" s="17" t="str">
        <f t="shared" si="18"/>
        <v/>
      </c>
      <c r="L144" s="17" t="str">
        <f t="shared" si="19"/>
        <v/>
      </c>
    </row>
    <row r="145" spans="1:12">
      <c r="A145" s="17">
        <v>135</v>
      </c>
      <c r="B145" s="17">
        <v>3</v>
      </c>
      <c r="C145" s="17">
        <v>14</v>
      </c>
      <c r="D145" s="17" t="s">
        <v>509</v>
      </c>
      <c r="E145" s="17">
        <v>700.95299999999997</v>
      </c>
      <c r="F145" s="17">
        <f t="shared" si="20"/>
        <v>2.100000000007185E-2</v>
      </c>
      <c r="G145" s="1">
        <f t="shared" si="14"/>
        <v>701.16808389261723</v>
      </c>
      <c r="H145" s="1">
        <f t="shared" si="15"/>
        <v>703.70508511046955</v>
      </c>
      <c r="I145" s="1">
        <f t="shared" si="16"/>
        <v>3.1164320000000014</v>
      </c>
      <c r="J145" s="1">
        <f t="shared" si="17"/>
        <v>0.95391245791245838</v>
      </c>
      <c r="K145" s="17" t="str">
        <f t="shared" si="18"/>
        <v/>
      </c>
      <c r="L145" s="17" t="str">
        <f t="shared" si="19"/>
        <v/>
      </c>
    </row>
    <row r="146" spans="1:12">
      <c r="A146" s="17">
        <v>136</v>
      </c>
      <c r="B146" s="17">
        <v>3</v>
      </c>
      <c r="C146" s="17">
        <v>13</v>
      </c>
      <c r="D146" s="17" t="s">
        <v>510</v>
      </c>
      <c r="E146" s="17">
        <v>701.476</v>
      </c>
      <c r="F146" s="17">
        <f t="shared" si="20"/>
        <v>0.52300000000002456</v>
      </c>
      <c r="G146" s="1">
        <f t="shared" si="14"/>
        <v>701.16808389261723</v>
      </c>
      <c r="H146" s="1">
        <f t="shared" si="15"/>
        <v>703.70508511046955</v>
      </c>
      <c r="I146" s="1">
        <f t="shared" si="16"/>
        <v>3.1164320000000014</v>
      </c>
      <c r="J146" s="1">
        <f t="shared" si="17"/>
        <v>0.95391245791245838</v>
      </c>
      <c r="K146" s="17" t="str">
        <f t="shared" si="18"/>
        <v/>
      </c>
      <c r="L146" s="17" t="str">
        <f t="shared" si="19"/>
        <v/>
      </c>
    </row>
    <row r="147" spans="1:12">
      <c r="A147" s="17">
        <v>137</v>
      </c>
      <c r="B147" s="17">
        <v>3</v>
      </c>
      <c r="C147" s="17">
        <v>12</v>
      </c>
      <c r="D147" s="17" t="s">
        <v>511</v>
      </c>
      <c r="E147" s="17">
        <v>701.84199999999998</v>
      </c>
      <c r="F147" s="17">
        <f t="shared" si="20"/>
        <v>0.36599999999998545</v>
      </c>
      <c r="G147" s="1">
        <f t="shared" si="14"/>
        <v>701.16808389261723</v>
      </c>
      <c r="H147" s="1">
        <f t="shared" si="15"/>
        <v>703.70508511046955</v>
      </c>
      <c r="I147" s="1">
        <f t="shared" si="16"/>
        <v>3.1164320000000014</v>
      </c>
      <c r="J147" s="1">
        <f t="shared" si="17"/>
        <v>0.95391245791245838</v>
      </c>
      <c r="K147" s="17" t="str">
        <f t="shared" si="18"/>
        <v/>
      </c>
      <c r="L147" s="17" t="str">
        <f t="shared" si="19"/>
        <v/>
      </c>
    </row>
    <row r="148" spans="1:12">
      <c r="A148" s="17">
        <v>138</v>
      </c>
      <c r="B148" s="17">
        <v>3</v>
      </c>
      <c r="C148" s="17">
        <v>11</v>
      </c>
      <c r="D148" s="17" t="s">
        <v>512</v>
      </c>
      <c r="E148" s="17">
        <v>701.25099999999998</v>
      </c>
      <c r="F148" s="17">
        <f t="shared" si="20"/>
        <v>0.59100000000000819</v>
      </c>
      <c r="G148" s="1">
        <f t="shared" si="14"/>
        <v>701.16808389261723</v>
      </c>
      <c r="H148" s="1">
        <f t="shared" si="15"/>
        <v>703.70508511046955</v>
      </c>
      <c r="I148" s="1">
        <f t="shared" si="16"/>
        <v>3.1164320000000014</v>
      </c>
      <c r="J148" s="1">
        <f t="shared" si="17"/>
        <v>0.95391245791245838</v>
      </c>
      <c r="K148" s="17" t="str">
        <f t="shared" si="18"/>
        <v/>
      </c>
      <c r="L148" s="17" t="str">
        <f t="shared" si="19"/>
        <v/>
      </c>
    </row>
    <row r="149" spans="1:12">
      <c r="A149" s="17">
        <v>139</v>
      </c>
      <c r="B149" s="17">
        <v>3</v>
      </c>
      <c r="C149" s="17">
        <v>10</v>
      </c>
      <c r="D149" s="17" t="s">
        <v>513</v>
      </c>
      <c r="E149" s="17">
        <v>700.76400000000001</v>
      </c>
      <c r="F149" s="17">
        <f t="shared" si="20"/>
        <v>0.48699999999996635</v>
      </c>
      <c r="G149" s="1">
        <f t="shared" si="14"/>
        <v>701.16808389261723</v>
      </c>
      <c r="H149" s="1">
        <f t="shared" si="15"/>
        <v>703.70508511046955</v>
      </c>
      <c r="I149" s="1">
        <f t="shared" si="16"/>
        <v>3.1164320000000014</v>
      </c>
      <c r="J149" s="1">
        <f t="shared" si="17"/>
        <v>0.95391245791245838</v>
      </c>
      <c r="K149" s="17" t="str">
        <f t="shared" si="18"/>
        <v/>
      </c>
      <c r="L149" s="17" t="str">
        <f t="shared" si="19"/>
        <v/>
      </c>
    </row>
    <row r="150" spans="1:12">
      <c r="A150" s="17">
        <v>140</v>
      </c>
      <c r="B150" s="17">
        <v>3</v>
      </c>
      <c r="C150" s="17">
        <v>9</v>
      </c>
      <c r="D150" s="17" t="s">
        <v>514</v>
      </c>
      <c r="E150" s="17">
        <v>699.90599999999995</v>
      </c>
      <c r="F150" s="17">
        <f t="shared" si="20"/>
        <v>0.85800000000006094</v>
      </c>
      <c r="G150" s="1">
        <f t="shared" si="14"/>
        <v>701.16808389261723</v>
      </c>
      <c r="H150" s="1">
        <f t="shared" si="15"/>
        <v>703.70508511046955</v>
      </c>
      <c r="I150" s="1">
        <f t="shared" si="16"/>
        <v>3.1164320000000014</v>
      </c>
      <c r="J150" s="1">
        <f t="shared" si="17"/>
        <v>0.95391245791245838</v>
      </c>
      <c r="K150" s="17" t="str">
        <f t="shared" si="18"/>
        <v/>
      </c>
      <c r="L150" s="17" t="str">
        <f t="shared" si="19"/>
        <v/>
      </c>
    </row>
    <row r="151" spans="1:12">
      <c r="A151" s="17">
        <v>141</v>
      </c>
      <c r="B151" s="17">
        <v>3</v>
      </c>
      <c r="C151" s="17">
        <v>8</v>
      </c>
      <c r="D151" s="17" t="s">
        <v>515</v>
      </c>
      <c r="E151" s="17">
        <v>700.5</v>
      </c>
      <c r="F151" s="17">
        <f t="shared" si="20"/>
        <v>0.59400000000005093</v>
      </c>
      <c r="G151" s="1">
        <f t="shared" si="14"/>
        <v>701.16808389261723</v>
      </c>
      <c r="H151" s="1">
        <f t="shared" si="15"/>
        <v>703.70508511046955</v>
      </c>
      <c r="I151" s="1">
        <f t="shared" si="16"/>
        <v>3.1164320000000014</v>
      </c>
      <c r="J151" s="1">
        <f t="shared" si="17"/>
        <v>0.95391245791245838</v>
      </c>
      <c r="K151" s="17" t="str">
        <f t="shared" si="18"/>
        <v/>
      </c>
      <c r="L151" s="17" t="str">
        <f t="shared" si="19"/>
        <v/>
      </c>
    </row>
    <row r="152" spans="1:12">
      <c r="A152" s="17">
        <v>142</v>
      </c>
      <c r="B152" s="17">
        <v>3</v>
      </c>
      <c r="C152" s="17">
        <v>7</v>
      </c>
      <c r="D152" s="17" t="s">
        <v>516</v>
      </c>
      <c r="E152" s="17">
        <v>701.41</v>
      </c>
      <c r="F152" s="17">
        <f t="shared" si="20"/>
        <v>0.90999999999996817</v>
      </c>
      <c r="G152" s="1">
        <f t="shared" si="14"/>
        <v>701.16808389261723</v>
      </c>
      <c r="H152" s="1">
        <f t="shared" si="15"/>
        <v>703.70508511046955</v>
      </c>
      <c r="I152" s="1">
        <f t="shared" si="16"/>
        <v>3.1164320000000014</v>
      </c>
      <c r="J152" s="1">
        <f t="shared" si="17"/>
        <v>0.95391245791245838</v>
      </c>
      <c r="K152" s="17" t="str">
        <f t="shared" si="18"/>
        <v/>
      </c>
      <c r="L152" s="17" t="str">
        <f t="shared" si="19"/>
        <v/>
      </c>
    </row>
    <row r="153" spans="1:12">
      <c r="A153" s="17">
        <v>143</v>
      </c>
      <c r="B153" s="17">
        <v>3</v>
      </c>
      <c r="C153" s="17">
        <v>6</v>
      </c>
      <c r="D153" s="17" t="s">
        <v>517</v>
      </c>
      <c r="E153" s="17">
        <v>701.77200000000005</v>
      </c>
      <c r="F153" s="17">
        <f t="shared" si="20"/>
        <v>0.36200000000008004</v>
      </c>
      <c r="G153" s="1">
        <f t="shared" si="14"/>
        <v>701.16808389261723</v>
      </c>
      <c r="H153" s="1">
        <f t="shared" si="15"/>
        <v>703.70508511046955</v>
      </c>
      <c r="I153" s="1">
        <f t="shared" si="16"/>
        <v>3.1164320000000014</v>
      </c>
      <c r="J153" s="1">
        <f t="shared" si="17"/>
        <v>0.95391245791245838</v>
      </c>
      <c r="K153" s="17" t="str">
        <f t="shared" si="18"/>
        <v/>
      </c>
      <c r="L153" s="17" t="str">
        <f t="shared" si="19"/>
        <v/>
      </c>
    </row>
    <row r="154" spans="1:12">
      <c r="A154" s="17">
        <v>144</v>
      </c>
      <c r="B154" s="17">
        <v>3</v>
      </c>
      <c r="C154" s="17">
        <v>5</v>
      </c>
      <c r="D154" s="17" t="s">
        <v>518</v>
      </c>
      <c r="E154" s="17">
        <v>699.73400000000004</v>
      </c>
      <c r="F154" s="17">
        <f t="shared" si="20"/>
        <v>2.0380000000000109</v>
      </c>
      <c r="G154" s="1">
        <f t="shared" si="14"/>
        <v>701.16808389261723</v>
      </c>
      <c r="H154" s="1">
        <f t="shared" si="15"/>
        <v>703.70508511046955</v>
      </c>
      <c r="I154" s="1">
        <f t="shared" si="16"/>
        <v>3.1164320000000014</v>
      </c>
      <c r="J154" s="1">
        <f t="shared" si="17"/>
        <v>0.95391245791245838</v>
      </c>
      <c r="K154" s="17" t="str">
        <f t="shared" si="18"/>
        <v/>
      </c>
      <c r="L154" s="17" t="str">
        <f t="shared" si="19"/>
        <v/>
      </c>
    </row>
    <row r="155" spans="1:12">
      <c r="A155" s="17">
        <v>145</v>
      </c>
      <c r="B155" s="17">
        <v>3</v>
      </c>
      <c r="C155" s="17">
        <v>4</v>
      </c>
      <c r="D155" s="17" t="s">
        <v>519</v>
      </c>
      <c r="E155" s="17">
        <v>701.81399999999996</v>
      </c>
      <c r="F155" s="17">
        <f t="shared" si="20"/>
        <v>2.0799999999999272</v>
      </c>
      <c r="G155" s="1">
        <f t="shared" si="14"/>
        <v>701.16808389261723</v>
      </c>
      <c r="H155" s="1">
        <f t="shared" si="15"/>
        <v>703.70508511046955</v>
      </c>
      <c r="I155" s="1">
        <f t="shared" si="16"/>
        <v>3.1164320000000014</v>
      </c>
      <c r="J155" s="1">
        <f t="shared" si="17"/>
        <v>0.95391245791245838</v>
      </c>
      <c r="K155" s="17" t="str">
        <f t="shared" si="18"/>
        <v/>
      </c>
      <c r="L155" s="17" t="str">
        <f t="shared" si="19"/>
        <v/>
      </c>
    </row>
    <row r="156" spans="1:12">
      <c r="A156" s="17">
        <v>146</v>
      </c>
      <c r="B156" s="17">
        <v>3</v>
      </c>
      <c r="C156" s="17">
        <v>3</v>
      </c>
      <c r="D156" s="17" t="s">
        <v>520</v>
      </c>
      <c r="E156" s="17">
        <v>702.23800000000006</v>
      </c>
      <c r="F156" s="17">
        <f t="shared" si="20"/>
        <v>0.42400000000009186</v>
      </c>
      <c r="G156" s="1">
        <f t="shared" si="14"/>
        <v>701.16808389261723</v>
      </c>
      <c r="H156" s="1">
        <f t="shared" si="15"/>
        <v>703.70508511046955</v>
      </c>
      <c r="I156" s="1">
        <f t="shared" si="16"/>
        <v>3.1164320000000014</v>
      </c>
      <c r="J156" s="1">
        <f t="shared" si="17"/>
        <v>0.95391245791245838</v>
      </c>
      <c r="K156" s="17" t="str">
        <f t="shared" si="18"/>
        <v/>
      </c>
      <c r="L156" s="17" t="str">
        <f t="shared" si="19"/>
        <v/>
      </c>
    </row>
    <row r="157" spans="1:12">
      <c r="A157" s="17">
        <v>147</v>
      </c>
      <c r="B157" s="17">
        <v>3</v>
      </c>
      <c r="C157" s="17">
        <v>2</v>
      </c>
      <c r="D157" s="17" t="s">
        <v>521</v>
      </c>
      <c r="E157" s="17">
        <v>701.34500000000003</v>
      </c>
      <c r="F157" s="17">
        <f t="shared" si="20"/>
        <v>0.8930000000000291</v>
      </c>
      <c r="G157" s="1">
        <f t="shared" si="14"/>
        <v>701.16808389261723</v>
      </c>
      <c r="H157" s="1">
        <f t="shared" si="15"/>
        <v>703.70508511046955</v>
      </c>
      <c r="I157" s="1">
        <f t="shared" si="16"/>
        <v>3.1164320000000014</v>
      </c>
      <c r="J157" s="1">
        <f t="shared" si="17"/>
        <v>0.95391245791245838</v>
      </c>
      <c r="K157" s="17" t="str">
        <f t="shared" si="18"/>
        <v/>
      </c>
      <c r="L157" s="17" t="str">
        <f t="shared" si="19"/>
        <v/>
      </c>
    </row>
    <row r="158" spans="1:12">
      <c r="A158" s="17">
        <v>148</v>
      </c>
      <c r="B158" s="17">
        <v>3</v>
      </c>
      <c r="C158" s="17">
        <v>1</v>
      </c>
      <c r="D158" s="17" t="s">
        <v>522</v>
      </c>
      <c r="E158" s="17">
        <v>700.51499999999999</v>
      </c>
      <c r="F158" s="17">
        <f t="shared" si="20"/>
        <v>0.83000000000004093</v>
      </c>
      <c r="G158" s="1">
        <f t="shared" si="14"/>
        <v>701.16808389261723</v>
      </c>
      <c r="H158" s="1">
        <f t="shared" si="15"/>
        <v>703.70508511046955</v>
      </c>
      <c r="I158" s="1">
        <f t="shared" si="16"/>
        <v>3.1164320000000014</v>
      </c>
      <c r="J158" s="1">
        <f t="shared" si="17"/>
        <v>0.95391245791245838</v>
      </c>
      <c r="K158" s="17" t="str">
        <f t="shared" si="18"/>
        <v/>
      </c>
      <c r="L158" s="17" t="str">
        <f t="shared" si="19"/>
        <v/>
      </c>
    </row>
    <row r="159" spans="1:12">
      <c r="A159" s="17">
        <v>149</v>
      </c>
      <c r="B159" s="17">
        <v>4</v>
      </c>
      <c r="C159" s="17">
        <v>25</v>
      </c>
      <c r="D159" s="17" t="s">
        <v>523</v>
      </c>
      <c r="E159" s="17">
        <v>700.77099999999996</v>
      </c>
      <c r="F159" s="17">
        <f t="shared" si="20"/>
        <v>0.25599999999997181</v>
      </c>
      <c r="G159" s="1">
        <f t="shared" si="14"/>
        <v>701.16808389261723</v>
      </c>
      <c r="H159" s="1">
        <f t="shared" si="15"/>
        <v>703.70508511046955</v>
      </c>
      <c r="I159" s="1">
        <f t="shared" si="16"/>
        <v>3.1164320000000014</v>
      </c>
      <c r="J159" s="1">
        <f t="shared" si="17"/>
        <v>0.95391245791245838</v>
      </c>
      <c r="K159" s="17" t="str">
        <f t="shared" si="18"/>
        <v/>
      </c>
      <c r="L159" s="17" t="str">
        <f t="shared" si="19"/>
        <v/>
      </c>
    </row>
    <row r="160" spans="1:12">
      <c r="A160" s="17">
        <v>150</v>
      </c>
      <c r="B160" s="17">
        <v>4</v>
      </c>
      <c r="C160" s="17">
        <v>24</v>
      </c>
      <c r="D160" s="17" t="s">
        <v>524</v>
      </c>
      <c r="E160" s="17">
        <v>701.19899999999996</v>
      </c>
      <c r="F160" s="17">
        <f t="shared" si="20"/>
        <v>0.42799999999999727</v>
      </c>
      <c r="G160" s="1">
        <f t="shared" si="14"/>
        <v>701.16808389261723</v>
      </c>
      <c r="H160" s="1">
        <f t="shared" si="15"/>
        <v>703.70508511046955</v>
      </c>
      <c r="I160" s="1">
        <f t="shared" si="16"/>
        <v>3.1164320000000014</v>
      </c>
      <c r="J160" s="1">
        <f t="shared" si="17"/>
        <v>0.95391245791245838</v>
      </c>
      <c r="K160" s="17" t="str">
        <f t="shared" si="18"/>
        <v/>
      </c>
      <c r="L160" s="17" t="str">
        <f t="shared" si="19"/>
        <v/>
      </c>
    </row>
    <row r="161" spans="1:12">
      <c r="A161" s="17">
        <v>151</v>
      </c>
      <c r="B161" s="17">
        <v>4</v>
      </c>
      <c r="C161" s="17">
        <v>23</v>
      </c>
      <c r="D161" s="17" t="s">
        <v>525</v>
      </c>
      <c r="E161" s="17">
        <v>701.41700000000003</v>
      </c>
      <c r="F161" s="17">
        <f t="shared" si="20"/>
        <v>0.21800000000007458</v>
      </c>
      <c r="G161" s="1">
        <f t="shared" si="14"/>
        <v>701.16808389261723</v>
      </c>
      <c r="H161" s="1">
        <f t="shared" si="15"/>
        <v>703.70508511046955</v>
      </c>
      <c r="I161" s="1">
        <f t="shared" si="16"/>
        <v>3.1164320000000014</v>
      </c>
      <c r="J161" s="1">
        <f t="shared" si="17"/>
        <v>0.95391245791245838</v>
      </c>
      <c r="K161" s="17" t="str">
        <f t="shared" si="18"/>
        <v/>
      </c>
      <c r="L161" s="17" t="str">
        <f t="shared" si="19"/>
        <v/>
      </c>
    </row>
    <row r="162" spans="1:12">
      <c r="A162" s="17">
        <v>152</v>
      </c>
      <c r="B162" s="17">
        <v>4</v>
      </c>
      <c r="C162" s="17">
        <v>22</v>
      </c>
      <c r="D162" s="17" t="s">
        <v>526</v>
      </c>
      <c r="E162" s="17">
        <v>699.23900000000003</v>
      </c>
      <c r="F162" s="17">
        <f t="shared" si="20"/>
        <v>2.1779999999999973</v>
      </c>
      <c r="G162" s="1">
        <f t="shared" si="14"/>
        <v>701.16808389261723</v>
      </c>
      <c r="H162" s="1">
        <f t="shared" si="15"/>
        <v>703.70508511046955</v>
      </c>
      <c r="I162" s="1">
        <f t="shared" si="16"/>
        <v>3.1164320000000014</v>
      </c>
      <c r="J162" s="1">
        <f t="shared" si="17"/>
        <v>0.95391245791245838</v>
      </c>
      <c r="K162" s="17" t="str">
        <f t="shared" si="18"/>
        <v/>
      </c>
      <c r="L162" s="17" t="str">
        <f t="shared" si="19"/>
        <v/>
      </c>
    </row>
    <row r="163" spans="1:12">
      <c r="A163" s="17">
        <v>153</v>
      </c>
      <c r="B163" s="17">
        <v>4</v>
      </c>
      <c r="C163" s="17">
        <v>21</v>
      </c>
      <c r="D163" s="17" t="s">
        <v>527</v>
      </c>
      <c r="E163" s="17">
        <v>698.36300000000006</v>
      </c>
      <c r="F163" s="17">
        <f t="shared" si="20"/>
        <v>0.87599999999997635</v>
      </c>
      <c r="G163" s="1">
        <f t="shared" si="14"/>
        <v>701.16808389261723</v>
      </c>
      <c r="H163" s="1">
        <f t="shared" si="15"/>
        <v>703.70508511046955</v>
      </c>
      <c r="I163" s="1">
        <f t="shared" si="16"/>
        <v>3.1164320000000014</v>
      </c>
      <c r="J163" s="1">
        <f t="shared" si="17"/>
        <v>0.95391245791245838</v>
      </c>
      <c r="K163" s="17" t="str">
        <f t="shared" si="18"/>
        <v/>
      </c>
      <c r="L163" s="17" t="str">
        <f t="shared" si="19"/>
        <v/>
      </c>
    </row>
    <row r="164" spans="1:12">
      <c r="A164" s="17">
        <v>154</v>
      </c>
      <c r="B164" s="17">
        <v>4</v>
      </c>
      <c r="C164" s="17">
        <v>20</v>
      </c>
      <c r="D164" s="17" t="s">
        <v>528</v>
      </c>
      <c r="E164" s="17">
        <v>699.99300000000005</v>
      </c>
      <c r="F164" s="17">
        <f t="shared" si="20"/>
        <v>1.6299999999999955</v>
      </c>
      <c r="G164" s="1">
        <f t="shared" si="14"/>
        <v>701.16808389261723</v>
      </c>
      <c r="H164" s="1">
        <f t="shared" si="15"/>
        <v>703.70508511046955</v>
      </c>
      <c r="I164" s="1">
        <f t="shared" si="16"/>
        <v>3.1164320000000014</v>
      </c>
      <c r="J164" s="1">
        <f t="shared" si="17"/>
        <v>0.95391245791245838</v>
      </c>
      <c r="K164" s="17" t="str">
        <f t="shared" si="18"/>
        <v/>
      </c>
      <c r="L164" s="17" t="str">
        <f t="shared" si="19"/>
        <v/>
      </c>
    </row>
    <row r="165" spans="1:12">
      <c r="A165" s="17">
        <v>155</v>
      </c>
      <c r="B165" s="17">
        <v>4</v>
      </c>
      <c r="C165" s="17">
        <v>19</v>
      </c>
      <c r="D165" s="17" t="s">
        <v>529</v>
      </c>
      <c r="E165" s="17">
        <v>700.56299999999999</v>
      </c>
      <c r="F165" s="17">
        <f t="shared" si="20"/>
        <v>0.56999999999993634</v>
      </c>
      <c r="G165" s="1">
        <f t="shared" si="14"/>
        <v>701.16808389261723</v>
      </c>
      <c r="H165" s="1">
        <f t="shared" si="15"/>
        <v>703.70508511046955</v>
      </c>
      <c r="I165" s="1">
        <f t="shared" si="16"/>
        <v>3.1164320000000014</v>
      </c>
      <c r="J165" s="1">
        <f t="shared" si="17"/>
        <v>0.95391245791245838</v>
      </c>
      <c r="K165" s="17" t="str">
        <f t="shared" si="18"/>
        <v/>
      </c>
      <c r="L165" s="17" t="str">
        <f t="shared" si="19"/>
        <v/>
      </c>
    </row>
    <row r="166" spans="1:12">
      <c r="A166" s="17">
        <v>156</v>
      </c>
      <c r="B166" s="17">
        <v>4</v>
      </c>
      <c r="C166" s="17">
        <v>18</v>
      </c>
      <c r="D166" s="17" t="s">
        <v>530</v>
      </c>
      <c r="E166" s="17">
        <v>700.65300000000002</v>
      </c>
      <c r="F166" s="17">
        <f t="shared" si="20"/>
        <v>9.0000000000031832E-2</v>
      </c>
      <c r="G166" s="1">
        <f t="shared" si="14"/>
        <v>701.16808389261723</v>
      </c>
      <c r="H166" s="1">
        <f t="shared" si="15"/>
        <v>703.70508511046955</v>
      </c>
      <c r="I166" s="1">
        <f t="shared" si="16"/>
        <v>3.1164320000000014</v>
      </c>
      <c r="J166" s="1">
        <f t="shared" si="17"/>
        <v>0.95391245791245838</v>
      </c>
      <c r="K166" s="17" t="str">
        <f t="shared" si="18"/>
        <v/>
      </c>
      <c r="L166" s="17" t="str">
        <f t="shared" si="19"/>
        <v/>
      </c>
    </row>
    <row r="167" spans="1:12">
      <c r="A167" s="17">
        <v>157</v>
      </c>
      <c r="B167" s="17">
        <v>4</v>
      </c>
      <c r="C167" s="17">
        <v>17</v>
      </c>
      <c r="D167" s="17" t="s">
        <v>531</v>
      </c>
      <c r="E167" s="17">
        <v>702.21199999999999</v>
      </c>
      <c r="F167" s="17">
        <f t="shared" si="20"/>
        <v>1.5589999999999691</v>
      </c>
      <c r="G167" s="1">
        <f t="shared" si="14"/>
        <v>701.16808389261723</v>
      </c>
      <c r="H167" s="1">
        <f t="shared" si="15"/>
        <v>703.70508511046955</v>
      </c>
      <c r="I167" s="1">
        <f t="shared" si="16"/>
        <v>3.1164320000000014</v>
      </c>
      <c r="J167" s="1">
        <f t="shared" si="17"/>
        <v>0.95391245791245838</v>
      </c>
      <c r="K167" s="17" t="str">
        <f t="shared" si="18"/>
        <v/>
      </c>
      <c r="L167" s="17" t="str">
        <f t="shared" si="19"/>
        <v/>
      </c>
    </row>
    <row r="168" spans="1:12">
      <c r="A168" s="17">
        <v>158</v>
      </c>
      <c r="B168" s="17">
        <v>4</v>
      </c>
      <c r="C168" s="17">
        <v>16</v>
      </c>
      <c r="D168" s="17" t="s">
        <v>532</v>
      </c>
      <c r="E168" s="17">
        <v>701.60400000000004</v>
      </c>
      <c r="F168" s="17">
        <f t="shared" si="20"/>
        <v>0.60799999999994725</v>
      </c>
      <c r="G168" s="1">
        <f t="shared" si="14"/>
        <v>701.16808389261723</v>
      </c>
      <c r="H168" s="1">
        <f t="shared" si="15"/>
        <v>703.70508511046955</v>
      </c>
      <c r="I168" s="1">
        <f t="shared" si="16"/>
        <v>3.1164320000000014</v>
      </c>
      <c r="J168" s="1">
        <f t="shared" si="17"/>
        <v>0.95391245791245838</v>
      </c>
      <c r="K168" s="17" t="str">
        <f t="shared" si="18"/>
        <v/>
      </c>
      <c r="L168" s="17" t="str">
        <f t="shared" si="19"/>
        <v/>
      </c>
    </row>
    <row r="169" spans="1:12">
      <c r="A169" s="17">
        <v>159</v>
      </c>
      <c r="B169" s="17">
        <v>4</v>
      </c>
      <c r="C169" s="17">
        <v>15</v>
      </c>
      <c r="D169" s="17" t="s">
        <v>533</v>
      </c>
      <c r="E169" s="17">
        <v>702.18399999999997</v>
      </c>
      <c r="F169" s="17">
        <f t="shared" si="20"/>
        <v>0.57999999999992724</v>
      </c>
      <c r="G169" s="1">
        <f t="shared" si="14"/>
        <v>701.16808389261723</v>
      </c>
      <c r="H169" s="1">
        <f t="shared" si="15"/>
        <v>703.70508511046955</v>
      </c>
      <c r="I169" s="1">
        <f t="shared" si="16"/>
        <v>3.1164320000000014</v>
      </c>
      <c r="J169" s="1">
        <f t="shared" si="17"/>
        <v>0.95391245791245838</v>
      </c>
      <c r="K169" s="17" t="str">
        <f t="shared" si="18"/>
        <v/>
      </c>
      <c r="L169" s="17" t="str">
        <f t="shared" si="19"/>
        <v/>
      </c>
    </row>
    <row r="170" spans="1:12">
      <c r="A170" s="17">
        <v>160</v>
      </c>
      <c r="B170" s="17">
        <v>4</v>
      </c>
      <c r="C170" s="17">
        <v>14</v>
      </c>
      <c r="D170" s="17" t="s">
        <v>534</v>
      </c>
      <c r="E170" s="17">
        <v>702.37199999999996</v>
      </c>
      <c r="F170" s="17">
        <f t="shared" si="20"/>
        <v>0.18799999999998818</v>
      </c>
      <c r="G170" s="1">
        <f t="shared" si="14"/>
        <v>701.16808389261723</v>
      </c>
      <c r="H170" s="1">
        <f t="shared" si="15"/>
        <v>703.70508511046955</v>
      </c>
      <c r="I170" s="1">
        <f t="shared" si="16"/>
        <v>3.1164320000000014</v>
      </c>
      <c r="J170" s="1">
        <f t="shared" si="17"/>
        <v>0.95391245791245838</v>
      </c>
      <c r="K170" s="17" t="str">
        <f t="shared" si="18"/>
        <v/>
      </c>
      <c r="L170" s="17" t="str">
        <f t="shared" si="19"/>
        <v/>
      </c>
    </row>
    <row r="171" spans="1:12">
      <c r="A171" s="17">
        <v>161</v>
      </c>
      <c r="B171" s="17">
        <v>4</v>
      </c>
      <c r="C171" s="17">
        <v>13</v>
      </c>
      <c r="D171" s="17" t="s">
        <v>535</v>
      </c>
      <c r="E171" s="17">
        <v>701.101</v>
      </c>
      <c r="F171" s="17">
        <f t="shared" si="20"/>
        <v>1.2709999999999582</v>
      </c>
      <c r="G171" s="1">
        <f t="shared" si="14"/>
        <v>701.16808389261723</v>
      </c>
      <c r="H171" s="1">
        <f t="shared" si="15"/>
        <v>703.70508511046955</v>
      </c>
      <c r="I171" s="1">
        <f t="shared" si="16"/>
        <v>3.1164320000000014</v>
      </c>
      <c r="J171" s="1">
        <f t="shared" si="17"/>
        <v>0.95391245791245838</v>
      </c>
      <c r="K171" s="17" t="str">
        <f t="shared" si="18"/>
        <v/>
      </c>
      <c r="L171" s="17" t="str">
        <f t="shared" si="19"/>
        <v/>
      </c>
    </row>
    <row r="172" spans="1:12">
      <c r="A172" s="17">
        <v>162</v>
      </c>
      <c r="B172" s="17">
        <v>4</v>
      </c>
      <c r="C172" s="17">
        <v>12</v>
      </c>
      <c r="D172" s="17" t="s">
        <v>536</v>
      </c>
      <c r="E172" s="17">
        <v>701.68600000000004</v>
      </c>
      <c r="F172" s="17">
        <f t="shared" si="20"/>
        <v>0.58500000000003638</v>
      </c>
      <c r="G172" s="1">
        <f t="shared" si="14"/>
        <v>701.16808389261723</v>
      </c>
      <c r="H172" s="1">
        <f t="shared" si="15"/>
        <v>703.70508511046955</v>
      </c>
      <c r="I172" s="1">
        <f t="shared" si="16"/>
        <v>3.1164320000000014</v>
      </c>
      <c r="J172" s="1">
        <f t="shared" si="17"/>
        <v>0.95391245791245838</v>
      </c>
      <c r="K172" s="17" t="str">
        <f t="shared" si="18"/>
        <v/>
      </c>
      <c r="L172" s="17" t="str">
        <f t="shared" si="19"/>
        <v/>
      </c>
    </row>
    <row r="173" spans="1:12">
      <c r="A173" s="17">
        <v>163</v>
      </c>
      <c r="B173" s="17">
        <v>4</v>
      </c>
      <c r="C173" s="17">
        <v>11</v>
      </c>
      <c r="D173" s="17" t="s">
        <v>537</v>
      </c>
      <c r="E173" s="17">
        <v>703.01599999999996</v>
      </c>
      <c r="F173" s="17">
        <f t="shared" si="20"/>
        <v>1.3299999999999272</v>
      </c>
      <c r="G173" s="1">
        <f t="shared" si="14"/>
        <v>701.16808389261723</v>
      </c>
      <c r="H173" s="1">
        <f t="shared" si="15"/>
        <v>703.70508511046955</v>
      </c>
      <c r="I173" s="1">
        <f t="shared" si="16"/>
        <v>3.1164320000000014</v>
      </c>
      <c r="J173" s="1">
        <f t="shared" si="17"/>
        <v>0.95391245791245838</v>
      </c>
      <c r="K173" s="17" t="str">
        <f t="shared" si="18"/>
        <v/>
      </c>
      <c r="L173" s="17" t="str">
        <f t="shared" si="19"/>
        <v/>
      </c>
    </row>
    <row r="174" spans="1:12">
      <c r="A174" s="17">
        <v>164</v>
      </c>
      <c r="B174" s="17">
        <v>4</v>
      </c>
      <c r="C174" s="17">
        <v>10</v>
      </c>
      <c r="D174" s="17" t="s">
        <v>538</v>
      </c>
      <c r="E174" s="17">
        <v>701.14599999999996</v>
      </c>
      <c r="F174" s="17">
        <f t="shared" si="20"/>
        <v>1.8700000000000045</v>
      </c>
      <c r="G174" s="1">
        <f t="shared" si="14"/>
        <v>701.16808389261723</v>
      </c>
      <c r="H174" s="1">
        <f t="shared" si="15"/>
        <v>703.70508511046955</v>
      </c>
      <c r="I174" s="1">
        <f t="shared" si="16"/>
        <v>3.1164320000000014</v>
      </c>
      <c r="J174" s="1">
        <f t="shared" si="17"/>
        <v>0.95391245791245838</v>
      </c>
      <c r="K174" s="17" t="str">
        <f t="shared" si="18"/>
        <v/>
      </c>
      <c r="L174" s="17" t="str">
        <f t="shared" si="19"/>
        <v/>
      </c>
    </row>
    <row r="175" spans="1:12">
      <c r="A175" s="17">
        <v>165</v>
      </c>
      <c r="B175" s="17">
        <v>4</v>
      </c>
      <c r="C175" s="17">
        <v>9</v>
      </c>
      <c r="D175" s="17" t="s">
        <v>539</v>
      </c>
      <c r="E175" s="17">
        <v>701.17200000000003</v>
      </c>
      <c r="F175" s="17">
        <f t="shared" si="20"/>
        <v>2.6000000000067303E-2</v>
      </c>
      <c r="G175" s="1">
        <f t="shared" si="14"/>
        <v>701.16808389261723</v>
      </c>
      <c r="H175" s="1">
        <f t="shared" si="15"/>
        <v>703.70508511046955</v>
      </c>
      <c r="I175" s="1">
        <f t="shared" si="16"/>
        <v>3.1164320000000014</v>
      </c>
      <c r="J175" s="1">
        <f t="shared" si="17"/>
        <v>0.95391245791245838</v>
      </c>
      <c r="K175" s="17" t="str">
        <f t="shared" si="18"/>
        <v/>
      </c>
      <c r="L175" s="17" t="str">
        <f t="shared" si="19"/>
        <v/>
      </c>
    </row>
    <row r="176" spans="1:12">
      <c r="A176" s="17">
        <v>166</v>
      </c>
      <c r="B176" s="17">
        <v>4</v>
      </c>
      <c r="C176" s="17">
        <v>8</v>
      </c>
      <c r="D176" s="17" t="s">
        <v>540</v>
      </c>
      <c r="E176" s="17">
        <v>701.61500000000001</v>
      </c>
      <c r="F176" s="17">
        <f t="shared" si="20"/>
        <v>0.44299999999998363</v>
      </c>
      <c r="G176" s="1">
        <f t="shared" si="14"/>
        <v>701.16808389261723</v>
      </c>
      <c r="H176" s="1">
        <f t="shared" si="15"/>
        <v>703.70508511046955</v>
      </c>
      <c r="I176" s="1">
        <f t="shared" si="16"/>
        <v>3.1164320000000014</v>
      </c>
      <c r="J176" s="1">
        <f t="shared" si="17"/>
        <v>0.95391245791245838</v>
      </c>
      <c r="K176" s="17" t="str">
        <f t="shared" si="18"/>
        <v/>
      </c>
      <c r="L176" s="17" t="str">
        <f t="shared" si="19"/>
        <v/>
      </c>
    </row>
    <row r="177" spans="1:12">
      <c r="A177" s="17">
        <v>167</v>
      </c>
      <c r="B177" s="17">
        <v>4</v>
      </c>
      <c r="C177" s="17">
        <v>7</v>
      </c>
      <c r="D177" s="17" t="s">
        <v>541</v>
      </c>
      <c r="E177" s="17">
        <v>702.97</v>
      </c>
      <c r="F177" s="17">
        <f t="shared" si="20"/>
        <v>1.3550000000000182</v>
      </c>
      <c r="G177" s="1">
        <f t="shared" si="14"/>
        <v>701.16808389261723</v>
      </c>
      <c r="H177" s="1">
        <f t="shared" si="15"/>
        <v>703.70508511046955</v>
      </c>
      <c r="I177" s="1">
        <f t="shared" si="16"/>
        <v>3.1164320000000014</v>
      </c>
      <c r="J177" s="1">
        <f t="shared" si="17"/>
        <v>0.95391245791245838</v>
      </c>
      <c r="K177" s="17" t="str">
        <f t="shared" si="18"/>
        <v/>
      </c>
      <c r="L177" s="17" t="str">
        <f t="shared" si="19"/>
        <v/>
      </c>
    </row>
    <row r="178" spans="1:12">
      <c r="A178" s="17">
        <v>168</v>
      </c>
      <c r="B178" s="17">
        <v>4</v>
      </c>
      <c r="C178" s="17">
        <v>6</v>
      </c>
      <c r="D178" s="17" t="s">
        <v>542</v>
      </c>
      <c r="E178" s="17">
        <v>701.50400000000002</v>
      </c>
      <c r="F178" s="17">
        <f t="shared" si="20"/>
        <v>1.4660000000000082</v>
      </c>
      <c r="G178" s="1">
        <f t="shared" si="14"/>
        <v>701.16808389261723</v>
      </c>
      <c r="H178" s="1">
        <f t="shared" si="15"/>
        <v>703.70508511046955</v>
      </c>
      <c r="I178" s="1">
        <f t="shared" si="16"/>
        <v>3.1164320000000014</v>
      </c>
      <c r="J178" s="1">
        <f t="shared" si="17"/>
        <v>0.95391245791245838</v>
      </c>
      <c r="K178" s="17" t="str">
        <f t="shared" si="18"/>
        <v/>
      </c>
      <c r="L178" s="17" t="str">
        <f t="shared" si="19"/>
        <v/>
      </c>
    </row>
    <row r="179" spans="1:12">
      <c r="A179" s="17">
        <v>169</v>
      </c>
      <c r="B179" s="17">
        <v>4</v>
      </c>
      <c r="C179" s="17">
        <v>5</v>
      </c>
      <c r="D179" s="17" t="s">
        <v>543</v>
      </c>
      <c r="E179" s="17">
        <v>701.54100000000005</v>
      </c>
      <c r="F179" s="17">
        <f t="shared" si="20"/>
        <v>3.7000000000034561E-2</v>
      </c>
      <c r="G179" s="1">
        <f t="shared" si="14"/>
        <v>701.16808389261723</v>
      </c>
      <c r="H179" s="1">
        <f t="shared" si="15"/>
        <v>703.70508511046955</v>
      </c>
      <c r="I179" s="1">
        <f t="shared" si="16"/>
        <v>3.1164320000000014</v>
      </c>
      <c r="J179" s="1">
        <f t="shared" si="17"/>
        <v>0.95391245791245838</v>
      </c>
      <c r="K179" s="17" t="str">
        <f t="shared" si="18"/>
        <v/>
      </c>
      <c r="L179" s="17" t="str">
        <f t="shared" si="19"/>
        <v/>
      </c>
    </row>
    <row r="180" spans="1:12">
      <c r="A180" s="17">
        <v>170</v>
      </c>
      <c r="B180" s="17">
        <v>4</v>
      </c>
      <c r="C180" s="17">
        <v>4</v>
      </c>
      <c r="D180" s="17" t="s">
        <v>544</v>
      </c>
      <c r="E180" s="17">
        <v>702.44799999999998</v>
      </c>
      <c r="F180" s="17">
        <f t="shared" si="20"/>
        <v>0.90699999999992542</v>
      </c>
      <c r="G180" s="1">
        <f t="shared" si="14"/>
        <v>701.16808389261723</v>
      </c>
      <c r="H180" s="1">
        <f t="shared" si="15"/>
        <v>703.70508511046955</v>
      </c>
      <c r="I180" s="1">
        <f t="shared" si="16"/>
        <v>3.1164320000000014</v>
      </c>
      <c r="J180" s="1">
        <f t="shared" si="17"/>
        <v>0.95391245791245838</v>
      </c>
      <c r="K180" s="17" t="str">
        <f t="shared" si="18"/>
        <v/>
      </c>
      <c r="L180" s="17" t="str">
        <f t="shared" si="19"/>
        <v/>
      </c>
    </row>
    <row r="181" spans="1:12">
      <c r="A181" s="17">
        <v>171</v>
      </c>
      <c r="B181" s="17">
        <v>4</v>
      </c>
      <c r="C181" s="17">
        <v>3</v>
      </c>
      <c r="D181" s="17" t="s">
        <v>545</v>
      </c>
      <c r="E181" s="17">
        <v>702.06600000000003</v>
      </c>
      <c r="F181" s="17">
        <f t="shared" si="20"/>
        <v>0.38199999999994816</v>
      </c>
      <c r="G181" s="1">
        <f t="shared" si="14"/>
        <v>701.16808389261723</v>
      </c>
      <c r="H181" s="1">
        <f t="shared" si="15"/>
        <v>703.70508511046955</v>
      </c>
      <c r="I181" s="1">
        <f t="shared" si="16"/>
        <v>3.1164320000000014</v>
      </c>
      <c r="J181" s="1">
        <f t="shared" si="17"/>
        <v>0.95391245791245838</v>
      </c>
      <c r="K181" s="17" t="str">
        <f t="shared" si="18"/>
        <v/>
      </c>
      <c r="L181" s="17" t="str">
        <f t="shared" si="19"/>
        <v/>
      </c>
    </row>
    <row r="182" spans="1:12">
      <c r="A182" s="17">
        <v>172</v>
      </c>
      <c r="B182" s="17">
        <v>4</v>
      </c>
      <c r="C182" s="17">
        <v>2</v>
      </c>
      <c r="D182" s="17" t="s">
        <v>546</v>
      </c>
      <c r="E182" s="17">
        <v>701.36300000000006</v>
      </c>
      <c r="F182" s="17">
        <f t="shared" si="20"/>
        <v>0.70299999999997453</v>
      </c>
      <c r="G182" s="1">
        <f t="shared" si="14"/>
        <v>701.16808389261723</v>
      </c>
      <c r="H182" s="1">
        <f t="shared" si="15"/>
        <v>703.70508511046955</v>
      </c>
      <c r="I182" s="1">
        <f t="shared" si="16"/>
        <v>3.1164320000000014</v>
      </c>
      <c r="J182" s="1">
        <f t="shared" si="17"/>
        <v>0.95391245791245838</v>
      </c>
      <c r="K182" s="17" t="str">
        <f t="shared" si="18"/>
        <v/>
      </c>
      <c r="L182" s="17" t="str">
        <f t="shared" si="19"/>
        <v/>
      </c>
    </row>
    <row r="183" spans="1:12">
      <c r="A183" s="17">
        <v>173</v>
      </c>
      <c r="B183" s="17">
        <v>4</v>
      </c>
      <c r="C183" s="17">
        <v>1</v>
      </c>
      <c r="D183" s="17" t="s">
        <v>547</v>
      </c>
      <c r="E183" s="17">
        <v>700.74400000000003</v>
      </c>
      <c r="F183" s="17">
        <f t="shared" si="20"/>
        <v>0.61900000000002819</v>
      </c>
      <c r="G183" s="1">
        <f t="shared" si="14"/>
        <v>701.16808389261723</v>
      </c>
      <c r="H183" s="1">
        <f t="shared" si="15"/>
        <v>703.70508511046955</v>
      </c>
      <c r="I183" s="1">
        <f t="shared" si="16"/>
        <v>3.1164320000000014</v>
      </c>
      <c r="J183" s="1">
        <f t="shared" si="17"/>
        <v>0.95391245791245838</v>
      </c>
      <c r="K183" s="17" t="str">
        <f t="shared" si="18"/>
        <v/>
      </c>
      <c r="L183" s="17" t="str">
        <f t="shared" si="19"/>
        <v/>
      </c>
    </row>
    <row r="184" spans="1:12">
      <c r="A184" s="17">
        <v>174</v>
      </c>
      <c r="B184" s="17">
        <v>4</v>
      </c>
      <c r="C184" s="17">
        <v>25</v>
      </c>
      <c r="D184" s="17" t="s">
        <v>548</v>
      </c>
      <c r="E184" s="17">
        <v>701.37599999999998</v>
      </c>
      <c r="F184" s="17">
        <f t="shared" si="20"/>
        <v>0.63199999999994816</v>
      </c>
      <c r="G184" s="1">
        <f t="shared" si="14"/>
        <v>701.16808389261723</v>
      </c>
      <c r="H184" s="1">
        <f t="shared" si="15"/>
        <v>703.70508511046955</v>
      </c>
      <c r="I184" s="1">
        <f t="shared" si="16"/>
        <v>3.1164320000000014</v>
      </c>
      <c r="J184" s="1">
        <f t="shared" si="17"/>
        <v>0.95391245791245838</v>
      </c>
      <c r="K184" s="17" t="str">
        <f t="shared" si="18"/>
        <v/>
      </c>
      <c r="L184" s="17" t="str">
        <f t="shared" si="19"/>
        <v/>
      </c>
    </row>
    <row r="185" spans="1:12">
      <c r="A185" s="17">
        <v>175</v>
      </c>
      <c r="B185" s="17">
        <v>4</v>
      </c>
      <c r="C185" s="17">
        <v>24</v>
      </c>
      <c r="D185" s="17" t="s">
        <v>549</v>
      </c>
      <c r="E185" s="17">
        <v>700.04600000000005</v>
      </c>
      <c r="F185" s="17">
        <f t="shared" si="20"/>
        <v>1.3299999999999272</v>
      </c>
      <c r="G185" s="1">
        <f t="shared" si="14"/>
        <v>701.16808389261723</v>
      </c>
      <c r="H185" s="1">
        <f t="shared" si="15"/>
        <v>703.70508511046955</v>
      </c>
      <c r="I185" s="1">
        <f t="shared" si="16"/>
        <v>3.1164320000000014</v>
      </c>
      <c r="J185" s="1">
        <f t="shared" si="17"/>
        <v>0.95391245791245838</v>
      </c>
      <c r="K185" s="17" t="str">
        <f t="shared" si="18"/>
        <v/>
      </c>
      <c r="L185" s="17" t="str">
        <f t="shared" si="19"/>
        <v/>
      </c>
    </row>
    <row r="186" spans="1:12">
      <c r="A186" s="17">
        <v>176</v>
      </c>
      <c r="B186" s="17">
        <v>4</v>
      </c>
      <c r="C186" s="17">
        <v>23</v>
      </c>
      <c r="D186" s="17" t="s">
        <v>550</v>
      </c>
      <c r="E186" s="17">
        <v>699.98199999999997</v>
      </c>
      <c r="F186" s="17">
        <f t="shared" si="20"/>
        <v>6.4000000000078217E-2</v>
      </c>
      <c r="G186" s="1">
        <f t="shared" si="14"/>
        <v>701.16808389261723</v>
      </c>
      <c r="H186" s="1">
        <f t="shared" si="15"/>
        <v>703.70508511046955</v>
      </c>
      <c r="I186" s="1">
        <f t="shared" si="16"/>
        <v>3.1164320000000014</v>
      </c>
      <c r="J186" s="1">
        <f t="shared" si="17"/>
        <v>0.95391245791245838</v>
      </c>
      <c r="K186" s="17" t="str">
        <f t="shared" si="18"/>
        <v/>
      </c>
      <c r="L186" s="17" t="str">
        <f t="shared" si="19"/>
        <v/>
      </c>
    </row>
    <row r="187" spans="1:12">
      <c r="A187" s="17">
        <v>177</v>
      </c>
      <c r="B187" s="17">
        <v>4</v>
      </c>
      <c r="C187" s="17">
        <v>22</v>
      </c>
      <c r="D187" s="17" t="s">
        <v>551</v>
      </c>
      <c r="E187" s="17">
        <v>700.78899999999999</v>
      </c>
      <c r="F187" s="17">
        <f t="shared" si="20"/>
        <v>0.80700000000001637</v>
      </c>
      <c r="G187" s="1">
        <f t="shared" si="14"/>
        <v>701.16808389261723</v>
      </c>
      <c r="H187" s="1">
        <f t="shared" si="15"/>
        <v>703.70508511046955</v>
      </c>
      <c r="I187" s="1">
        <f t="shared" si="16"/>
        <v>3.1164320000000014</v>
      </c>
      <c r="J187" s="1">
        <f t="shared" si="17"/>
        <v>0.95391245791245838</v>
      </c>
      <c r="K187" s="17" t="str">
        <f t="shared" si="18"/>
        <v/>
      </c>
      <c r="L187" s="17" t="str">
        <f t="shared" si="19"/>
        <v/>
      </c>
    </row>
    <row r="188" spans="1:12">
      <c r="A188" s="17">
        <v>178</v>
      </c>
      <c r="B188" s="17">
        <v>4</v>
      </c>
      <c r="C188" s="17">
        <v>21</v>
      </c>
      <c r="D188" s="17" t="s">
        <v>552</v>
      </c>
      <c r="E188" s="17">
        <v>699.97699999999998</v>
      </c>
      <c r="F188" s="17">
        <f t="shared" si="20"/>
        <v>0.81200000000001182</v>
      </c>
      <c r="G188" s="1">
        <f t="shared" si="14"/>
        <v>701.16808389261723</v>
      </c>
      <c r="H188" s="1">
        <f t="shared" si="15"/>
        <v>703.70508511046955</v>
      </c>
      <c r="I188" s="1">
        <f t="shared" si="16"/>
        <v>3.1164320000000014</v>
      </c>
      <c r="J188" s="1">
        <f t="shared" si="17"/>
        <v>0.95391245791245838</v>
      </c>
      <c r="K188" s="17" t="str">
        <f t="shared" si="18"/>
        <v/>
      </c>
      <c r="L188" s="17" t="str">
        <f t="shared" si="19"/>
        <v/>
      </c>
    </row>
    <row r="189" spans="1:12">
      <c r="A189" s="17">
        <v>179</v>
      </c>
      <c r="B189" s="17">
        <v>4</v>
      </c>
      <c r="C189" s="17">
        <v>20</v>
      </c>
      <c r="D189" s="17" t="s">
        <v>553</v>
      </c>
      <c r="E189" s="17">
        <v>701.11900000000003</v>
      </c>
      <c r="F189" s="17">
        <f t="shared" si="20"/>
        <v>1.1420000000000528</v>
      </c>
      <c r="G189" s="1">
        <f t="shared" si="14"/>
        <v>701.16808389261723</v>
      </c>
      <c r="H189" s="1">
        <f t="shared" si="15"/>
        <v>703.70508511046955</v>
      </c>
      <c r="I189" s="1">
        <f t="shared" si="16"/>
        <v>3.1164320000000014</v>
      </c>
      <c r="J189" s="1">
        <f t="shared" si="17"/>
        <v>0.95391245791245838</v>
      </c>
      <c r="K189" s="17" t="str">
        <f t="shared" si="18"/>
        <v/>
      </c>
      <c r="L189" s="17" t="str">
        <f t="shared" si="19"/>
        <v/>
      </c>
    </row>
    <row r="190" spans="1:12">
      <c r="A190" s="17">
        <v>180</v>
      </c>
      <c r="B190" s="17">
        <v>4</v>
      </c>
      <c r="C190" s="17">
        <v>19</v>
      </c>
      <c r="D190" s="17" t="s">
        <v>554</v>
      </c>
      <c r="E190" s="17">
        <v>703.29700000000003</v>
      </c>
      <c r="F190" s="17">
        <f t="shared" si="20"/>
        <v>2.1779999999999973</v>
      </c>
      <c r="G190" s="1">
        <f t="shared" si="14"/>
        <v>701.16808389261723</v>
      </c>
      <c r="H190" s="1">
        <f t="shared" si="15"/>
        <v>703.70508511046955</v>
      </c>
      <c r="I190" s="1">
        <f t="shared" si="16"/>
        <v>3.1164320000000014</v>
      </c>
      <c r="J190" s="1">
        <f t="shared" si="17"/>
        <v>0.95391245791245838</v>
      </c>
      <c r="K190" s="17" t="str">
        <f t="shared" si="18"/>
        <v/>
      </c>
      <c r="L190" s="17" t="str">
        <f t="shared" si="19"/>
        <v/>
      </c>
    </row>
    <row r="191" spans="1:12">
      <c r="A191" s="17">
        <v>181</v>
      </c>
      <c r="B191" s="17">
        <v>4</v>
      </c>
      <c r="C191" s="17">
        <v>18</v>
      </c>
      <c r="D191" s="17" t="s">
        <v>555</v>
      </c>
      <c r="E191" s="17">
        <v>701.56899999999996</v>
      </c>
      <c r="F191" s="17">
        <f t="shared" si="20"/>
        <v>1.7280000000000655</v>
      </c>
      <c r="G191" s="1">
        <f t="shared" si="14"/>
        <v>701.16808389261723</v>
      </c>
      <c r="H191" s="1">
        <f t="shared" si="15"/>
        <v>703.70508511046955</v>
      </c>
      <c r="I191" s="1">
        <f t="shared" si="16"/>
        <v>3.1164320000000014</v>
      </c>
      <c r="J191" s="1">
        <f t="shared" si="17"/>
        <v>0.95391245791245838</v>
      </c>
      <c r="K191" s="17" t="str">
        <f t="shared" si="18"/>
        <v/>
      </c>
      <c r="L191" s="17" t="str">
        <f t="shared" si="19"/>
        <v/>
      </c>
    </row>
    <row r="192" spans="1:12">
      <c r="A192" s="17">
        <v>182</v>
      </c>
      <c r="B192" s="17">
        <v>4</v>
      </c>
      <c r="C192" s="17">
        <v>17</v>
      </c>
      <c r="D192" s="17" t="s">
        <v>556</v>
      </c>
      <c r="E192" s="17">
        <v>701.20500000000004</v>
      </c>
      <c r="F192" s="17">
        <f t="shared" si="20"/>
        <v>0.36399999999991905</v>
      </c>
      <c r="G192" s="1">
        <f t="shared" si="14"/>
        <v>701.16808389261723</v>
      </c>
      <c r="H192" s="1">
        <f t="shared" si="15"/>
        <v>703.70508511046955</v>
      </c>
      <c r="I192" s="1">
        <f t="shared" si="16"/>
        <v>3.1164320000000014</v>
      </c>
      <c r="J192" s="1">
        <f t="shared" si="17"/>
        <v>0.95391245791245838</v>
      </c>
      <c r="K192" s="17" t="str">
        <f t="shared" si="18"/>
        <v/>
      </c>
      <c r="L192" s="17" t="str">
        <f t="shared" si="19"/>
        <v/>
      </c>
    </row>
    <row r="193" spans="1:12">
      <c r="A193" s="17">
        <v>183</v>
      </c>
      <c r="B193" s="17">
        <v>4</v>
      </c>
      <c r="C193" s="17">
        <v>16</v>
      </c>
      <c r="D193" s="17" t="s">
        <v>557</v>
      </c>
      <c r="E193" s="17">
        <v>702.48900000000003</v>
      </c>
      <c r="F193" s="17">
        <f t="shared" si="20"/>
        <v>1.2839999999999918</v>
      </c>
      <c r="G193" s="1">
        <f t="shared" si="14"/>
        <v>701.16808389261723</v>
      </c>
      <c r="H193" s="1">
        <f t="shared" si="15"/>
        <v>703.70508511046955</v>
      </c>
      <c r="I193" s="1">
        <f t="shared" si="16"/>
        <v>3.1164320000000014</v>
      </c>
      <c r="J193" s="1">
        <f t="shared" si="17"/>
        <v>0.95391245791245838</v>
      </c>
      <c r="K193" s="17" t="str">
        <f t="shared" si="18"/>
        <v/>
      </c>
      <c r="L193" s="17" t="str">
        <f t="shared" si="19"/>
        <v/>
      </c>
    </row>
    <row r="194" spans="1:12">
      <c r="A194" s="17">
        <v>184</v>
      </c>
      <c r="B194" s="17">
        <v>4</v>
      </c>
      <c r="C194" s="17">
        <v>15</v>
      </c>
      <c r="D194" s="17" t="s">
        <v>558</v>
      </c>
      <c r="E194" s="17">
        <v>702.48099999999999</v>
      </c>
      <c r="F194" s="17">
        <f t="shared" si="20"/>
        <v>8.0000000000381988E-3</v>
      </c>
      <c r="G194" s="1">
        <f t="shared" si="14"/>
        <v>701.16808389261723</v>
      </c>
      <c r="H194" s="1">
        <f t="shared" si="15"/>
        <v>703.70508511046955</v>
      </c>
      <c r="I194" s="1">
        <f t="shared" si="16"/>
        <v>3.1164320000000014</v>
      </c>
      <c r="J194" s="1">
        <f t="shared" si="17"/>
        <v>0.95391245791245838</v>
      </c>
      <c r="K194" s="17" t="str">
        <f t="shared" si="18"/>
        <v/>
      </c>
      <c r="L194" s="17" t="str">
        <f t="shared" si="19"/>
        <v/>
      </c>
    </row>
    <row r="195" spans="1:12">
      <c r="A195" s="17">
        <v>185</v>
      </c>
      <c r="B195" s="17">
        <v>4</v>
      </c>
      <c r="C195" s="17">
        <v>14</v>
      </c>
      <c r="D195" s="17" t="s">
        <v>559</v>
      </c>
      <c r="E195" s="17">
        <v>701.04</v>
      </c>
      <c r="F195" s="17">
        <f t="shared" si="20"/>
        <v>1.4410000000000309</v>
      </c>
      <c r="G195" s="1">
        <f t="shared" si="14"/>
        <v>701.16808389261723</v>
      </c>
      <c r="H195" s="1">
        <f t="shared" si="15"/>
        <v>703.70508511046955</v>
      </c>
      <c r="I195" s="1">
        <f t="shared" si="16"/>
        <v>3.1164320000000014</v>
      </c>
      <c r="J195" s="1">
        <f t="shared" si="17"/>
        <v>0.95391245791245838</v>
      </c>
      <c r="K195" s="17" t="str">
        <f t="shared" si="18"/>
        <v/>
      </c>
      <c r="L195" s="17" t="str">
        <f t="shared" si="19"/>
        <v/>
      </c>
    </row>
    <row r="196" spans="1:12">
      <c r="A196" s="17">
        <v>186</v>
      </c>
      <c r="B196" s="17">
        <v>4</v>
      </c>
      <c r="C196" s="17">
        <v>13</v>
      </c>
      <c r="D196" s="17" t="s">
        <v>560</v>
      </c>
      <c r="E196" s="17">
        <v>702.02</v>
      </c>
      <c r="F196" s="17">
        <f t="shared" si="20"/>
        <v>0.98000000000001819</v>
      </c>
      <c r="G196" s="1">
        <f t="shared" si="14"/>
        <v>701.16808389261723</v>
      </c>
      <c r="H196" s="1">
        <f t="shared" si="15"/>
        <v>703.70508511046955</v>
      </c>
      <c r="I196" s="1">
        <f t="shared" si="16"/>
        <v>3.1164320000000014</v>
      </c>
      <c r="J196" s="1">
        <f t="shared" si="17"/>
        <v>0.95391245791245838</v>
      </c>
      <c r="K196" s="17" t="str">
        <f t="shared" si="18"/>
        <v/>
      </c>
      <c r="L196" s="17" t="str">
        <f t="shared" si="19"/>
        <v/>
      </c>
    </row>
    <row r="197" spans="1:12">
      <c r="A197" s="17">
        <v>187</v>
      </c>
      <c r="B197" s="17">
        <v>4</v>
      </c>
      <c r="C197" s="17">
        <v>12</v>
      </c>
      <c r="D197" s="17" t="s">
        <v>561</v>
      </c>
      <c r="E197" s="17">
        <v>700.90200000000004</v>
      </c>
      <c r="F197" s="17">
        <f t="shared" si="20"/>
        <v>1.1179999999999382</v>
      </c>
      <c r="G197" s="1">
        <f t="shared" si="14"/>
        <v>701.16808389261723</v>
      </c>
      <c r="H197" s="1">
        <f t="shared" si="15"/>
        <v>703.70508511046955</v>
      </c>
      <c r="I197" s="1">
        <f t="shared" si="16"/>
        <v>3.1164320000000014</v>
      </c>
      <c r="J197" s="1">
        <f t="shared" si="17"/>
        <v>0.95391245791245838</v>
      </c>
      <c r="K197" s="17" t="str">
        <f t="shared" si="18"/>
        <v/>
      </c>
      <c r="L197" s="17" t="str">
        <f t="shared" si="19"/>
        <v/>
      </c>
    </row>
    <row r="198" spans="1:12">
      <c r="A198" s="17">
        <v>188</v>
      </c>
      <c r="B198" s="17">
        <v>4</v>
      </c>
      <c r="C198" s="17">
        <v>11</v>
      </c>
      <c r="D198" s="17" t="s">
        <v>562</v>
      </c>
      <c r="E198" s="17">
        <v>703.00900000000001</v>
      </c>
      <c r="F198" s="17">
        <f t="shared" si="20"/>
        <v>2.1069999999999709</v>
      </c>
      <c r="G198" s="1">
        <f t="shared" si="14"/>
        <v>701.16808389261723</v>
      </c>
      <c r="H198" s="1">
        <f t="shared" si="15"/>
        <v>703.70508511046955</v>
      </c>
      <c r="I198" s="1">
        <f t="shared" si="16"/>
        <v>3.1164320000000014</v>
      </c>
      <c r="J198" s="1">
        <f t="shared" si="17"/>
        <v>0.95391245791245838</v>
      </c>
      <c r="K198" s="17" t="str">
        <f t="shared" si="18"/>
        <v/>
      </c>
      <c r="L198" s="17" t="str">
        <f t="shared" si="19"/>
        <v/>
      </c>
    </row>
    <row r="199" spans="1:12">
      <c r="A199" s="17">
        <v>189</v>
      </c>
      <c r="B199" s="17">
        <v>4</v>
      </c>
      <c r="C199" s="17">
        <v>10</v>
      </c>
      <c r="D199" s="17" t="s">
        <v>563</v>
      </c>
      <c r="E199" s="17">
        <v>700.20399999999995</v>
      </c>
      <c r="F199" s="17">
        <f t="shared" si="20"/>
        <v>2.8050000000000637</v>
      </c>
      <c r="G199" s="1">
        <f t="shared" si="14"/>
        <v>701.16808389261723</v>
      </c>
      <c r="H199" s="1">
        <f t="shared" si="15"/>
        <v>703.70508511046955</v>
      </c>
      <c r="I199" s="1">
        <f t="shared" si="16"/>
        <v>3.1164320000000014</v>
      </c>
      <c r="J199" s="1">
        <f t="shared" si="17"/>
        <v>0.95391245791245838</v>
      </c>
      <c r="K199" s="17" t="str">
        <f t="shared" si="18"/>
        <v/>
      </c>
      <c r="L199" s="17" t="str">
        <f t="shared" si="19"/>
        <v/>
      </c>
    </row>
    <row r="200" spans="1:12">
      <c r="A200" s="17">
        <v>190</v>
      </c>
      <c r="B200" s="17">
        <v>4</v>
      </c>
      <c r="C200" s="17">
        <v>9</v>
      </c>
      <c r="D200" s="17" t="s">
        <v>564</v>
      </c>
      <c r="E200" s="17">
        <v>701.399</v>
      </c>
      <c r="F200" s="17">
        <f t="shared" si="20"/>
        <v>1.19500000000005</v>
      </c>
      <c r="G200" s="1">
        <f t="shared" si="14"/>
        <v>701.16808389261723</v>
      </c>
      <c r="H200" s="1">
        <f t="shared" si="15"/>
        <v>703.70508511046955</v>
      </c>
      <c r="I200" s="1">
        <f t="shared" si="16"/>
        <v>3.1164320000000014</v>
      </c>
      <c r="J200" s="1">
        <f t="shared" si="17"/>
        <v>0.95391245791245838</v>
      </c>
      <c r="K200" s="17" t="str">
        <f t="shared" si="18"/>
        <v/>
      </c>
      <c r="L200" s="17" t="str">
        <f t="shared" si="19"/>
        <v/>
      </c>
    </row>
    <row r="201" spans="1:12">
      <c r="A201" s="17">
        <v>191</v>
      </c>
      <c r="B201" s="17">
        <v>4</v>
      </c>
      <c r="C201" s="17">
        <v>8</v>
      </c>
      <c r="D201" s="17" t="s">
        <v>565</v>
      </c>
      <c r="E201" s="17">
        <v>701.10400000000004</v>
      </c>
      <c r="F201" s="17">
        <f t="shared" si="20"/>
        <v>0.29499999999995907</v>
      </c>
      <c r="G201" s="1">
        <f t="shared" si="14"/>
        <v>701.16808389261723</v>
      </c>
      <c r="H201" s="1">
        <f t="shared" si="15"/>
        <v>703.70508511046955</v>
      </c>
      <c r="I201" s="1">
        <f t="shared" si="16"/>
        <v>3.1164320000000014</v>
      </c>
      <c r="J201" s="1">
        <f t="shared" si="17"/>
        <v>0.95391245791245838</v>
      </c>
      <c r="K201" s="17" t="str">
        <f t="shared" si="18"/>
        <v/>
      </c>
      <c r="L201" s="17" t="str">
        <f t="shared" si="19"/>
        <v/>
      </c>
    </row>
    <row r="202" spans="1:12">
      <c r="A202" s="17">
        <v>192</v>
      </c>
      <c r="B202" s="17">
        <v>4</v>
      </c>
      <c r="C202" s="17">
        <v>7</v>
      </c>
      <c r="D202" s="17" t="s">
        <v>566</v>
      </c>
      <c r="E202" s="17">
        <v>701.70399999999995</v>
      </c>
      <c r="F202" s="17">
        <f t="shared" si="20"/>
        <v>0.59999999999990905</v>
      </c>
      <c r="G202" s="1">
        <f t="shared" si="14"/>
        <v>701.16808389261723</v>
      </c>
      <c r="H202" s="1">
        <f t="shared" si="15"/>
        <v>703.70508511046955</v>
      </c>
      <c r="I202" s="1">
        <f t="shared" si="16"/>
        <v>3.1164320000000014</v>
      </c>
      <c r="J202" s="1">
        <f t="shared" si="17"/>
        <v>0.95391245791245838</v>
      </c>
      <c r="K202" s="17" t="str">
        <f t="shared" si="18"/>
        <v/>
      </c>
      <c r="L202" s="17" t="str">
        <f t="shared" si="19"/>
        <v/>
      </c>
    </row>
    <row r="203" spans="1:12">
      <c r="A203" s="17">
        <v>193</v>
      </c>
      <c r="B203" s="17">
        <v>4</v>
      </c>
      <c r="C203" s="17">
        <v>6</v>
      </c>
      <c r="D203" s="17" t="s">
        <v>567</v>
      </c>
      <c r="E203" s="17">
        <v>700.03899999999999</v>
      </c>
      <c r="F203" s="17">
        <f t="shared" si="20"/>
        <v>1.6649999999999636</v>
      </c>
      <c r="G203" s="1">
        <f t="shared" ref="G203:G266" si="21">$Q$3</f>
        <v>701.16808389261723</v>
      </c>
      <c r="H203" s="1">
        <f t="shared" ref="H203:H266" si="22">$Q$6</f>
        <v>703.70508511046955</v>
      </c>
      <c r="I203" s="1">
        <f t="shared" ref="I203:I266" si="23">$Q$7</f>
        <v>3.1164320000000014</v>
      </c>
      <c r="J203" s="1">
        <f t="shared" ref="J203:J266" si="24">$Q$4</f>
        <v>0.95391245791245838</v>
      </c>
      <c r="K203" s="17" t="str">
        <f t="shared" ref="K203:K266" si="25">IF(E203&gt;$Q$6,"OOC","" )</f>
        <v/>
      </c>
      <c r="L203" s="17" t="str">
        <f t="shared" ref="L203:L266" si="26">IF(E203&gt;$B$4,"OOS","" )</f>
        <v/>
      </c>
    </row>
    <row r="204" spans="1:12">
      <c r="A204" s="17">
        <v>194</v>
      </c>
      <c r="B204" s="17">
        <v>4</v>
      </c>
      <c r="C204" s="17">
        <v>5</v>
      </c>
      <c r="D204" s="17" t="s">
        <v>568</v>
      </c>
      <c r="E204" s="17">
        <v>699.61</v>
      </c>
      <c r="F204" s="17">
        <f t="shared" ref="F204:F267" si="27">ABS(E204-E203)</f>
        <v>0.42899999999997362</v>
      </c>
      <c r="G204" s="1">
        <f t="shared" si="21"/>
        <v>701.16808389261723</v>
      </c>
      <c r="H204" s="1">
        <f t="shared" si="22"/>
        <v>703.70508511046955</v>
      </c>
      <c r="I204" s="1">
        <f t="shared" si="23"/>
        <v>3.1164320000000014</v>
      </c>
      <c r="J204" s="1">
        <f t="shared" si="24"/>
        <v>0.95391245791245838</v>
      </c>
      <c r="K204" s="17" t="str">
        <f t="shared" si="25"/>
        <v/>
      </c>
      <c r="L204" s="17" t="str">
        <f t="shared" si="26"/>
        <v/>
      </c>
    </row>
    <row r="205" spans="1:12">
      <c r="A205" s="17">
        <v>195</v>
      </c>
      <c r="B205" s="17">
        <v>4</v>
      </c>
      <c r="C205" s="17">
        <v>4</v>
      </c>
      <c r="D205" s="17" t="s">
        <v>569</v>
      </c>
      <c r="E205" s="17">
        <v>703.66899999999998</v>
      </c>
      <c r="F205" s="17">
        <f t="shared" si="27"/>
        <v>4.0589999999999691</v>
      </c>
      <c r="G205" s="1">
        <f t="shared" si="21"/>
        <v>701.16808389261723</v>
      </c>
      <c r="H205" s="1">
        <f t="shared" si="22"/>
        <v>703.70508511046955</v>
      </c>
      <c r="I205" s="1">
        <f t="shared" si="23"/>
        <v>3.1164320000000014</v>
      </c>
      <c r="J205" s="1">
        <f t="shared" si="24"/>
        <v>0.95391245791245838</v>
      </c>
      <c r="K205" s="17" t="str">
        <f t="shared" si="25"/>
        <v/>
      </c>
      <c r="L205" s="17" t="str">
        <f t="shared" si="26"/>
        <v/>
      </c>
    </row>
    <row r="206" spans="1:12">
      <c r="A206" s="17">
        <v>196</v>
      </c>
      <c r="B206" s="17">
        <v>4</v>
      </c>
      <c r="C206" s="17">
        <v>3</v>
      </c>
      <c r="D206" s="17" t="s">
        <v>570</v>
      </c>
      <c r="E206" s="17">
        <v>703.03499999999997</v>
      </c>
      <c r="F206" s="17">
        <f t="shared" si="27"/>
        <v>0.63400000000001455</v>
      </c>
      <c r="G206" s="1">
        <f t="shared" si="21"/>
        <v>701.16808389261723</v>
      </c>
      <c r="H206" s="1">
        <f t="shared" si="22"/>
        <v>703.70508511046955</v>
      </c>
      <c r="I206" s="1">
        <f t="shared" si="23"/>
        <v>3.1164320000000014</v>
      </c>
      <c r="J206" s="1">
        <f t="shared" si="24"/>
        <v>0.95391245791245838</v>
      </c>
      <c r="K206" s="17" t="str">
        <f t="shared" si="25"/>
        <v/>
      </c>
      <c r="L206" s="17" t="str">
        <f t="shared" si="26"/>
        <v/>
      </c>
    </row>
    <row r="207" spans="1:12">
      <c r="A207" s="17">
        <v>197</v>
      </c>
      <c r="B207" s="17">
        <v>4</v>
      </c>
      <c r="C207" s="17">
        <v>2</v>
      </c>
      <c r="D207" s="17" t="s">
        <v>571</v>
      </c>
      <c r="E207" s="17">
        <v>703.64099999999996</v>
      </c>
      <c r="F207" s="17">
        <f t="shared" si="27"/>
        <v>0.60599999999999454</v>
      </c>
      <c r="G207" s="1">
        <f t="shared" si="21"/>
        <v>701.16808389261723</v>
      </c>
      <c r="H207" s="1">
        <f t="shared" si="22"/>
        <v>703.70508511046955</v>
      </c>
      <c r="I207" s="1">
        <f t="shared" si="23"/>
        <v>3.1164320000000014</v>
      </c>
      <c r="J207" s="1">
        <f t="shared" si="24"/>
        <v>0.95391245791245838</v>
      </c>
      <c r="K207" s="17" t="str">
        <f t="shared" si="25"/>
        <v/>
      </c>
      <c r="L207" s="17" t="str">
        <f t="shared" si="26"/>
        <v/>
      </c>
    </row>
    <row r="208" spans="1:12">
      <c r="A208" s="17">
        <v>198</v>
      </c>
      <c r="B208" s="17">
        <v>4</v>
      </c>
      <c r="C208" s="17">
        <v>1</v>
      </c>
      <c r="D208" s="17" t="s">
        <v>572</v>
      </c>
      <c r="E208" s="17">
        <v>702.86500000000001</v>
      </c>
      <c r="F208" s="17">
        <f t="shared" si="27"/>
        <v>0.77599999999995362</v>
      </c>
      <c r="G208" s="1">
        <f t="shared" si="21"/>
        <v>701.16808389261723</v>
      </c>
      <c r="H208" s="1">
        <f t="shared" si="22"/>
        <v>703.70508511046955</v>
      </c>
      <c r="I208" s="1">
        <f t="shared" si="23"/>
        <v>3.1164320000000014</v>
      </c>
      <c r="J208" s="1">
        <f t="shared" si="24"/>
        <v>0.95391245791245838</v>
      </c>
      <c r="K208" s="17" t="str">
        <f t="shared" si="25"/>
        <v/>
      </c>
      <c r="L208" s="17" t="str">
        <f t="shared" si="26"/>
        <v/>
      </c>
    </row>
    <row r="209" spans="1:12">
      <c r="A209" s="17">
        <v>199</v>
      </c>
      <c r="B209" s="17">
        <v>5</v>
      </c>
      <c r="C209" s="17">
        <v>25</v>
      </c>
      <c r="D209" s="17" t="s">
        <v>573</v>
      </c>
      <c r="E209" s="17">
        <v>700.846</v>
      </c>
      <c r="F209" s="17">
        <f t="shared" si="27"/>
        <v>2.0190000000000055</v>
      </c>
      <c r="G209" s="1">
        <f t="shared" si="21"/>
        <v>701.16808389261723</v>
      </c>
      <c r="H209" s="1">
        <f t="shared" si="22"/>
        <v>703.70508511046955</v>
      </c>
      <c r="I209" s="1">
        <f t="shared" si="23"/>
        <v>3.1164320000000014</v>
      </c>
      <c r="J209" s="1">
        <f t="shared" si="24"/>
        <v>0.95391245791245838</v>
      </c>
      <c r="K209" s="17" t="str">
        <f t="shared" si="25"/>
        <v/>
      </c>
      <c r="L209" s="17" t="str">
        <f t="shared" si="26"/>
        <v/>
      </c>
    </row>
    <row r="210" spans="1:12">
      <c r="A210" s="17">
        <v>200</v>
      </c>
      <c r="B210" s="17">
        <v>5</v>
      </c>
      <c r="C210" s="17">
        <v>24</v>
      </c>
      <c r="D210" s="17" t="s">
        <v>574</v>
      </c>
      <c r="E210" s="17">
        <v>701.22400000000005</v>
      </c>
      <c r="F210" s="17">
        <f t="shared" si="27"/>
        <v>0.37800000000004275</v>
      </c>
      <c r="G210" s="1">
        <f t="shared" si="21"/>
        <v>701.16808389261723</v>
      </c>
      <c r="H210" s="1">
        <f t="shared" si="22"/>
        <v>703.70508511046955</v>
      </c>
      <c r="I210" s="1">
        <f t="shared" si="23"/>
        <v>3.1164320000000014</v>
      </c>
      <c r="J210" s="1">
        <f t="shared" si="24"/>
        <v>0.95391245791245838</v>
      </c>
      <c r="K210" s="17" t="str">
        <f t="shared" si="25"/>
        <v/>
      </c>
      <c r="L210" s="17" t="str">
        <f t="shared" si="26"/>
        <v/>
      </c>
    </row>
    <row r="211" spans="1:12">
      <c r="A211" s="17">
        <v>201</v>
      </c>
      <c r="B211" s="17">
        <v>5</v>
      </c>
      <c r="C211" s="17">
        <v>23</v>
      </c>
      <c r="D211" s="17" t="s">
        <v>575</v>
      </c>
      <c r="E211" s="17">
        <v>703.40499999999997</v>
      </c>
      <c r="F211" s="17">
        <f t="shared" si="27"/>
        <v>2.1809999999999263</v>
      </c>
      <c r="G211" s="1">
        <f t="shared" si="21"/>
        <v>701.16808389261723</v>
      </c>
      <c r="H211" s="1">
        <f t="shared" si="22"/>
        <v>703.70508511046955</v>
      </c>
      <c r="I211" s="1">
        <f t="shared" si="23"/>
        <v>3.1164320000000014</v>
      </c>
      <c r="J211" s="1">
        <f t="shared" si="24"/>
        <v>0.95391245791245838</v>
      </c>
      <c r="K211" s="17" t="str">
        <f t="shared" si="25"/>
        <v/>
      </c>
      <c r="L211" s="17" t="str">
        <f t="shared" si="26"/>
        <v/>
      </c>
    </row>
    <row r="212" spans="1:12">
      <c r="A212" s="17">
        <v>202</v>
      </c>
      <c r="B212" s="17">
        <v>5</v>
      </c>
      <c r="C212" s="17">
        <v>22</v>
      </c>
      <c r="D212" s="17" t="s">
        <v>576</v>
      </c>
      <c r="E212" s="17">
        <v>702.28899999999999</v>
      </c>
      <c r="F212" s="17">
        <f t="shared" si="27"/>
        <v>1.1159999999999854</v>
      </c>
      <c r="G212" s="1">
        <f t="shared" si="21"/>
        <v>701.16808389261723</v>
      </c>
      <c r="H212" s="1">
        <f t="shared" si="22"/>
        <v>703.70508511046955</v>
      </c>
      <c r="I212" s="1">
        <f t="shared" si="23"/>
        <v>3.1164320000000014</v>
      </c>
      <c r="J212" s="1">
        <f t="shared" si="24"/>
        <v>0.95391245791245838</v>
      </c>
      <c r="K212" s="17" t="str">
        <f t="shared" si="25"/>
        <v/>
      </c>
      <c r="L212" s="17" t="str">
        <f t="shared" si="26"/>
        <v/>
      </c>
    </row>
    <row r="213" spans="1:12">
      <c r="A213" s="17">
        <v>203</v>
      </c>
      <c r="B213" s="17">
        <v>5</v>
      </c>
      <c r="C213" s="17">
        <v>21</v>
      </c>
      <c r="D213" s="17" t="s">
        <v>577</v>
      </c>
      <c r="E213" s="17">
        <v>700.85599999999999</v>
      </c>
      <c r="F213" s="17">
        <f t="shared" si="27"/>
        <v>1.4329999999999927</v>
      </c>
      <c r="G213" s="1">
        <f t="shared" si="21"/>
        <v>701.16808389261723</v>
      </c>
      <c r="H213" s="1">
        <f t="shared" si="22"/>
        <v>703.70508511046955</v>
      </c>
      <c r="I213" s="1">
        <f t="shared" si="23"/>
        <v>3.1164320000000014</v>
      </c>
      <c r="J213" s="1">
        <f t="shared" si="24"/>
        <v>0.95391245791245838</v>
      </c>
      <c r="K213" s="17" t="str">
        <f t="shared" si="25"/>
        <v/>
      </c>
      <c r="L213" s="17" t="str">
        <f t="shared" si="26"/>
        <v/>
      </c>
    </row>
    <row r="214" spans="1:12">
      <c r="A214" s="17">
        <v>204</v>
      </c>
      <c r="B214" s="17">
        <v>5</v>
      </c>
      <c r="C214" s="17">
        <v>20</v>
      </c>
      <c r="D214" s="17" t="s">
        <v>578</v>
      </c>
      <c r="E214" s="17">
        <v>700.75900000000001</v>
      </c>
      <c r="F214" s="17">
        <f t="shared" si="27"/>
        <v>9.6999999999979991E-2</v>
      </c>
      <c r="G214" s="1">
        <f t="shared" si="21"/>
        <v>701.16808389261723</v>
      </c>
      <c r="H214" s="1">
        <f t="shared" si="22"/>
        <v>703.70508511046955</v>
      </c>
      <c r="I214" s="1">
        <f t="shared" si="23"/>
        <v>3.1164320000000014</v>
      </c>
      <c r="J214" s="1">
        <f t="shared" si="24"/>
        <v>0.95391245791245838</v>
      </c>
      <c r="K214" s="17" t="str">
        <f t="shared" si="25"/>
        <v/>
      </c>
      <c r="L214" s="17" t="str">
        <f t="shared" si="26"/>
        <v/>
      </c>
    </row>
    <row r="215" spans="1:12">
      <c r="A215" s="17">
        <v>205</v>
      </c>
      <c r="B215" s="17">
        <v>5</v>
      </c>
      <c r="C215" s="17">
        <v>19</v>
      </c>
      <c r="D215" s="17" t="s">
        <v>579</v>
      </c>
      <c r="E215" s="17">
        <v>701.41099999999994</v>
      </c>
      <c r="F215" s="17">
        <f t="shared" si="27"/>
        <v>0.65199999999992997</v>
      </c>
      <c r="G215" s="1">
        <f t="shared" si="21"/>
        <v>701.16808389261723</v>
      </c>
      <c r="H215" s="1">
        <f t="shared" si="22"/>
        <v>703.70508511046955</v>
      </c>
      <c r="I215" s="1">
        <f t="shared" si="23"/>
        <v>3.1164320000000014</v>
      </c>
      <c r="J215" s="1">
        <f t="shared" si="24"/>
        <v>0.95391245791245838</v>
      </c>
      <c r="K215" s="17" t="str">
        <f t="shared" si="25"/>
        <v/>
      </c>
      <c r="L215" s="17" t="str">
        <f t="shared" si="26"/>
        <v/>
      </c>
    </row>
    <row r="216" spans="1:12">
      <c r="A216" s="17">
        <v>206</v>
      </c>
      <c r="B216" s="17">
        <v>5</v>
      </c>
      <c r="C216" s="17">
        <v>18</v>
      </c>
      <c r="D216" s="17" t="s">
        <v>580</v>
      </c>
      <c r="E216" s="17">
        <v>700.428</v>
      </c>
      <c r="F216" s="17">
        <f t="shared" si="27"/>
        <v>0.98299999999994725</v>
      </c>
      <c r="G216" s="1">
        <f t="shared" si="21"/>
        <v>701.16808389261723</v>
      </c>
      <c r="H216" s="1">
        <f t="shared" si="22"/>
        <v>703.70508511046955</v>
      </c>
      <c r="I216" s="1">
        <f t="shared" si="23"/>
        <v>3.1164320000000014</v>
      </c>
      <c r="J216" s="1">
        <f t="shared" si="24"/>
        <v>0.95391245791245838</v>
      </c>
      <c r="K216" s="17" t="str">
        <f t="shared" si="25"/>
        <v/>
      </c>
      <c r="L216" s="17" t="str">
        <f t="shared" si="26"/>
        <v/>
      </c>
    </row>
    <row r="217" spans="1:12">
      <c r="A217" s="17">
        <v>207</v>
      </c>
      <c r="B217" s="17">
        <v>5</v>
      </c>
      <c r="C217" s="17">
        <v>17</v>
      </c>
      <c r="D217" s="17" t="s">
        <v>581</v>
      </c>
      <c r="E217" s="17">
        <v>701.28399999999999</v>
      </c>
      <c r="F217" s="17">
        <f t="shared" si="27"/>
        <v>0.85599999999999454</v>
      </c>
      <c r="G217" s="1">
        <f t="shared" si="21"/>
        <v>701.16808389261723</v>
      </c>
      <c r="H217" s="1">
        <f t="shared" si="22"/>
        <v>703.70508511046955</v>
      </c>
      <c r="I217" s="1">
        <f t="shared" si="23"/>
        <v>3.1164320000000014</v>
      </c>
      <c r="J217" s="1">
        <f t="shared" si="24"/>
        <v>0.95391245791245838</v>
      </c>
      <c r="K217" s="17" t="str">
        <f t="shared" si="25"/>
        <v/>
      </c>
      <c r="L217" s="17" t="str">
        <f t="shared" si="26"/>
        <v/>
      </c>
    </row>
    <row r="218" spans="1:12">
      <c r="A218" s="17">
        <v>208</v>
      </c>
      <c r="B218" s="17">
        <v>5</v>
      </c>
      <c r="C218" s="17">
        <v>16</v>
      </c>
      <c r="D218" s="17" t="s">
        <v>582</v>
      </c>
      <c r="E218" s="17">
        <v>703.02300000000002</v>
      </c>
      <c r="F218" s="17">
        <f t="shared" si="27"/>
        <v>1.7390000000000327</v>
      </c>
      <c r="G218" s="1">
        <f t="shared" si="21"/>
        <v>701.16808389261723</v>
      </c>
      <c r="H218" s="1">
        <f t="shared" si="22"/>
        <v>703.70508511046955</v>
      </c>
      <c r="I218" s="1">
        <f t="shared" si="23"/>
        <v>3.1164320000000014</v>
      </c>
      <c r="J218" s="1">
        <f t="shared" si="24"/>
        <v>0.95391245791245838</v>
      </c>
      <c r="K218" s="17" t="str">
        <f t="shared" si="25"/>
        <v/>
      </c>
      <c r="L218" s="17" t="str">
        <f t="shared" si="26"/>
        <v/>
      </c>
    </row>
    <row r="219" spans="1:12">
      <c r="A219" s="17">
        <v>209</v>
      </c>
      <c r="B219" s="17">
        <v>5</v>
      </c>
      <c r="C219" s="17">
        <v>15</v>
      </c>
      <c r="D219" s="17" t="s">
        <v>583</v>
      </c>
      <c r="E219" s="17">
        <v>700.65700000000004</v>
      </c>
      <c r="F219" s="17">
        <f t="shared" si="27"/>
        <v>2.3659999999999854</v>
      </c>
      <c r="G219" s="1">
        <f t="shared" si="21"/>
        <v>701.16808389261723</v>
      </c>
      <c r="H219" s="1">
        <f t="shared" si="22"/>
        <v>703.70508511046955</v>
      </c>
      <c r="I219" s="1">
        <f t="shared" si="23"/>
        <v>3.1164320000000014</v>
      </c>
      <c r="J219" s="1">
        <f t="shared" si="24"/>
        <v>0.95391245791245838</v>
      </c>
      <c r="K219" s="17" t="str">
        <f t="shared" si="25"/>
        <v/>
      </c>
      <c r="L219" s="17" t="str">
        <f t="shared" si="26"/>
        <v/>
      </c>
    </row>
    <row r="220" spans="1:12">
      <c r="A220" s="17">
        <v>210</v>
      </c>
      <c r="B220" s="17">
        <v>5</v>
      </c>
      <c r="C220" s="17">
        <v>14</v>
      </c>
      <c r="D220" s="17" t="s">
        <v>584</v>
      </c>
      <c r="E220" s="17">
        <v>700.49300000000005</v>
      </c>
      <c r="F220" s="17">
        <f t="shared" si="27"/>
        <v>0.16399999999998727</v>
      </c>
      <c r="G220" s="1">
        <f t="shared" si="21"/>
        <v>701.16808389261723</v>
      </c>
      <c r="H220" s="1">
        <f t="shared" si="22"/>
        <v>703.70508511046955</v>
      </c>
      <c r="I220" s="1">
        <f t="shared" si="23"/>
        <v>3.1164320000000014</v>
      </c>
      <c r="J220" s="1">
        <f t="shared" si="24"/>
        <v>0.95391245791245838</v>
      </c>
      <c r="K220" s="17" t="str">
        <f t="shared" si="25"/>
        <v/>
      </c>
      <c r="L220" s="17" t="str">
        <f t="shared" si="26"/>
        <v/>
      </c>
    </row>
    <row r="221" spans="1:12">
      <c r="A221" s="17">
        <v>211</v>
      </c>
      <c r="B221" s="17">
        <v>5</v>
      </c>
      <c r="C221" s="17">
        <v>13</v>
      </c>
      <c r="D221" s="17" t="s">
        <v>585</v>
      </c>
      <c r="E221" s="17">
        <v>701.83900000000006</v>
      </c>
      <c r="F221" s="17">
        <f t="shared" si="27"/>
        <v>1.3460000000000036</v>
      </c>
      <c r="G221" s="1">
        <f t="shared" si="21"/>
        <v>701.16808389261723</v>
      </c>
      <c r="H221" s="1">
        <f t="shared" si="22"/>
        <v>703.70508511046955</v>
      </c>
      <c r="I221" s="1">
        <f t="shared" si="23"/>
        <v>3.1164320000000014</v>
      </c>
      <c r="J221" s="1">
        <f t="shared" si="24"/>
        <v>0.95391245791245838</v>
      </c>
      <c r="K221" s="17" t="str">
        <f t="shared" si="25"/>
        <v/>
      </c>
      <c r="L221" s="17" t="str">
        <f t="shared" si="26"/>
        <v/>
      </c>
    </row>
    <row r="222" spans="1:12">
      <c r="A222" s="17">
        <v>212</v>
      </c>
      <c r="B222" s="17">
        <v>5</v>
      </c>
      <c r="C222" s="17">
        <v>12</v>
      </c>
      <c r="D222" s="17" t="s">
        <v>586</v>
      </c>
      <c r="E222" s="17">
        <v>702.20399999999995</v>
      </c>
      <c r="F222" s="17">
        <f t="shared" si="27"/>
        <v>0.36499999999989541</v>
      </c>
      <c r="G222" s="1">
        <f t="shared" si="21"/>
        <v>701.16808389261723</v>
      </c>
      <c r="H222" s="1">
        <f t="shared" si="22"/>
        <v>703.70508511046955</v>
      </c>
      <c r="I222" s="1">
        <f t="shared" si="23"/>
        <v>3.1164320000000014</v>
      </c>
      <c r="J222" s="1">
        <f t="shared" si="24"/>
        <v>0.95391245791245838</v>
      </c>
      <c r="K222" s="17" t="str">
        <f t="shared" si="25"/>
        <v/>
      </c>
      <c r="L222" s="17" t="str">
        <f t="shared" si="26"/>
        <v/>
      </c>
    </row>
    <row r="223" spans="1:12">
      <c r="A223" s="17">
        <v>213</v>
      </c>
      <c r="B223" s="17">
        <v>5</v>
      </c>
      <c r="C223" s="17">
        <v>11</v>
      </c>
      <c r="D223" s="17" t="s">
        <v>587</v>
      </c>
      <c r="E223" s="17">
        <v>701.31500000000005</v>
      </c>
      <c r="F223" s="17">
        <f t="shared" si="27"/>
        <v>0.88899999999989632</v>
      </c>
      <c r="G223" s="1">
        <f t="shared" si="21"/>
        <v>701.16808389261723</v>
      </c>
      <c r="H223" s="1">
        <f t="shared" si="22"/>
        <v>703.70508511046955</v>
      </c>
      <c r="I223" s="1">
        <f t="shared" si="23"/>
        <v>3.1164320000000014</v>
      </c>
      <c r="J223" s="1">
        <f t="shared" si="24"/>
        <v>0.95391245791245838</v>
      </c>
      <c r="K223" s="17" t="str">
        <f t="shared" si="25"/>
        <v/>
      </c>
      <c r="L223" s="17" t="str">
        <f t="shared" si="26"/>
        <v/>
      </c>
    </row>
    <row r="224" spans="1:12">
      <c r="A224" s="17">
        <v>214</v>
      </c>
      <c r="B224" s="17">
        <v>5</v>
      </c>
      <c r="C224" s="17">
        <v>10</v>
      </c>
      <c r="D224" s="17" t="s">
        <v>588</v>
      </c>
      <c r="E224" s="17">
        <v>701.72</v>
      </c>
      <c r="F224" s="17">
        <f t="shared" si="27"/>
        <v>0.40499999999997272</v>
      </c>
      <c r="G224" s="1">
        <f t="shared" si="21"/>
        <v>701.16808389261723</v>
      </c>
      <c r="H224" s="1">
        <f t="shared" si="22"/>
        <v>703.70508511046955</v>
      </c>
      <c r="I224" s="1">
        <f t="shared" si="23"/>
        <v>3.1164320000000014</v>
      </c>
      <c r="J224" s="1">
        <f t="shared" si="24"/>
        <v>0.95391245791245838</v>
      </c>
      <c r="K224" s="17" t="str">
        <f t="shared" si="25"/>
        <v/>
      </c>
      <c r="L224" s="17" t="str">
        <f t="shared" si="26"/>
        <v/>
      </c>
    </row>
    <row r="225" spans="1:12">
      <c r="A225" s="17">
        <v>215</v>
      </c>
      <c r="B225" s="17">
        <v>5</v>
      </c>
      <c r="C225" s="17">
        <v>9</v>
      </c>
      <c r="D225" s="17" t="s">
        <v>589</v>
      </c>
      <c r="E225" s="17">
        <v>702.88499999999999</v>
      </c>
      <c r="F225" s="17">
        <f t="shared" si="27"/>
        <v>1.1649999999999636</v>
      </c>
      <c r="G225" s="1">
        <f t="shared" si="21"/>
        <v>701.16808389261723</v>
      </c>
      <c r="H225" s="1">
        <f t="shared" si="22"/>
        <v>703.70508511046955</v>
      </c>
      <c r="I225" s="1">
        <f t="shared" si="23"/>
        <v>3.1164320000000014</v>
      </c>
      <c r="J225" s="1">
        <f t="shared" si="24"/>
        <v>0.95391245791245838</v>
      </c>
      <c r="K225" s="17" t="str">
        <f t="shared" si="25"/>
        <v/>
      </c>
      <c r="L225" s="17" t="str">
        <f t="shared" si="26"/>
        <v/>
      </c>
    </row>
    <row r="226" spans="1:12">
      <c r="A226" s="17">
        <v>216</v>
      </c>
      <c r="B226" s="17">
        <v>5</v>
      </c>
      <c r="C226" s="17">
        <v>8</v>
      </c>
      <c r="D226" s="17" t="s">
        <v>590</v>
      </c>
      <c r="E226" s="17">
        <v>700.89800000000002</v>
      </c>
      <c r="F226" s="17">
        <f t="shared" si="27"/>
        <v>1.9869999999999663</v>
      </c>
      <c r="G226" s="1">
        <f t="shared" si="21"/>
        <v>701.16808389261723</v>
      </c>
      <c r="H226" s="1">
        <f t="shared" si="22"/>
        <v>703.70508511046955</v>
      </c>
      <c r="I226" s="1">
        <f t="shared" si="23"/>
        <v>3.1164320000000014</v>
      </c>
      <c r="J226" s="1">
        <f t="shared" si="24"/>
        <v>0.95391245791245838</v>
      </c>
      <c r="K226" s="17" t="str">
        <f t="shared" si="25"/>
        <v/>
      </c>
      <c r="L226" s="17" t="str">
        <f t="shared" si="26"/>
        <v/>
      </c>
    </row>
    <row r="227" spans="1:12">
      <c r="A227" s="17">
        <v>217</v>
      </c>
      <c r="B227" s="17">
        <v>5</v>
      </c>
      <c r="C227" s="17">
        <v>7</v>
      </c>
      <c r="D227" s="17" t="s">
        <v>591</v>
      </c>
      <c r="E227" s="17">
        <v>701.06600000000003</v>
      </c>
      <c r="F227" s="17">
        <f t="shared" si="27"/>
        <v>0.16800000000000637</v>
      </c>
      <c r="G227" s="1">
        <f t="shared" si="21"/>
        <v>701.16808389261723</v>
      </c>
      <c r="H227" s="1">
        <f t="shared" si="22"/>
        <v>703.70508511046955</v>
      </c>
      <c r="I227" s="1">
        <f t="shared" si="23"/>
        <v>3.1164320000000014</v>
      </c>
      <c r="J227" s="1">
        <f t="shared" si="24"/>
        <v>0.95391245791245838</v>
      </c>
      <c r="K227" s="17" t="str">
        <f t="shared" si="25"/>
        <v/>
      </c>
      <c r="L227" s="17" t="str">
        <f t="shared" si="26"/>
        <v/>
      </c>
    </row>
    <row r="228" spans="1:12">
      <c r="A228" s="17">
        <v>218</v>
      </c>
      <c r="B228" s="17">
        <v>5</v>
      </c>
      <c r="C228" s="17">
        <v>6</v>
      </c>
      <c r="D228" s="17" t="s">
        <v>592</v>
      </c>
      <c r="E228" s="17">
        <v>703.28300000000002</v>
      </c>
      <c r="F228" s="17">
        <f t="shared" si="27"/>
        <v>2.2169999999999845</v>
      </c>
      <c r="G228" s="1">
        <f t="shared" si="21"/>
        <v>701.16808389261723</v>
      </c>
      <c r="H228" s="1">
        <f t="shared" si="22"/>
        <v>703.70508511046955</v>
      </c>
      <c r="I228" s="1">
        <f t="shared" si="23"/>
        <v>3.1164320000000014</v>
      </c>
      <c r="J228" s="1">
        <f t="shared" si="24"/>
        <v>0.95391245791245838</v>
      </c>
      <c r="K228" s="17" t="str">
        <f t="shared" si="25"/>
        <v/>
      </c>
      <c r="L228" s="17" t="str">
        <f t="shared" si="26"/>
        <v/>
      </c>
    </row>
    <row r="229" spans="1:12">
      <c r="A229" s="17">
        <v>219</v>
      </c>
      <c r="B229" s="17">
        <v>5</v>
      </c>
      <c r="C229" s="17">
        <v>5</v>
      </c>
      <c r="D229" s="17" t="s">
        <v>593</v>
      </c>
      <c r="E229" s="17">
        <v>701.79</v>
      </c>
      <c r="F229" s="17">
        <f t="shared" si="27"/>
        <v>1.4930000000000518</v>
      </c>
      <c r="G229" s="1">
        <f t="shared" si="21"/>
        <v>701.16808389261723</v>
      </c>
      <c r="H229" s="1">
        <f t="shared" si="22"/>
        <v>703.70508511046955</v>
      </c>
      <c r="I229" s="1">
        <f t="shared" si="23"/>
        <v>3.1164320000000014</v>
      </c>
      <c r="J229" s="1">
        <f t="shared" si="24"/>
        <v>0.95391245791245838</v>
      </c>
      <c r="K229" s="17" t="str">
        <f t="shared" si="25"/>
        <v/>
      </c>
      <c r="L229" s="17" t="str">
        <f t="shared" si="26"/>
        <v/>
      </c>
    </row>
    <row r="230" spans="1:12">
      <c r="A230" s="17">
        <v>220</v>
      </c>
      <c r="B230" s="17">
        <v>5</v>
      </c>
      <c r="C230" s="17">
        <v>4</v>
      </c>
      <c r="D230" s="17" t="s">
        <v>594</v>
      </c>
      <c r="E230" s="17">
        <v>700.85500000000002</v>
      </c>
      <c r="F230" s="17">
        <f t="shared" si="27"/>
        <v>0.93499999999994543</v>
      </c>
      <c r="G230" s="1">
        <f t="shared" si="21"/>
        <v>701.16808389261723</v>
      </c>
      <c r="H230" s="1">
        <f t="shared" si="22"/>
        <v>703.70508511046955</v>
      </c>
      <c r="I230" s="1">
        <f t="shared" si="23"/>
        <v>3.1164320000000014</v>
      </c>
      <c r="J230" s="1">
        <f t="shared" si="24"/>
        <v>0.95391245791245838</v>
      </c>
      <c r="K230" s="17" t="str">
        <f t="shared" si="25"/>
        <v/>
      </c>
      <c r="L230" s="17" t="str">
        <f t="shared" si="26"/>
        <v/>
      </c>
    </row>
    <row r="231" spans="1:12">
      <c r="A231" s="17">
        <v>221</v>
      </c>
      <c r="B231" s="17">
        <v>5</v>
      </c>
      <c r="C231" s="17">
        <v>3</v>
      </c>
      <c r="D231" s="17" t="s">
        <v>595</v>
      </c>
      <c r="E231" s="17">
        <v>701.14200000000005</v>
      </c>
      <c r="F231" s="17">
        <f t="shared" si="27"/>
        <v>0.28700000000003456</v>
      </c>
      <c r="G231" s="1">
        <f t="shared" si="21"/>
        <v>701.16808389261723</v>
      </c>
      <c r="H231" s="1">
        <f t="shared" si="22"/>
        <v>703.70508511046955</v>
      </c>
      <c r="I231" s="1">
        <f t="shared" si="23"/>
        <v>3.1164320000000014</v>
      </c>
      <c r="J231" s="1">
        <f t="shared" si="24"/>
        <v>0.95391245791245838</v>
      </c>
      <c r="K231" s="17" t="str">
        <f t="shared" si="25"/>
        <v/>
      </c>
      <c r="L231" s="17" t="str">
        <f t="shared" si="26"/>
        <v/>
      </c>
    </row>
    <row r="232" spans="1:12">
      <c r="A232" s="17">
        <v>222</v>
      </c>
      <c r="B232" s="17">
        <v>5</v>
      </c>
      <c r="C232" s="17">
        <v>2</v>
      </c>
      <c r="D232" s="17" t="s">
        <v>596</v>
      </c>
      <c r="E232" s="17">
        <v>700.01</v>
      </c>
      <c r="F232" s="17">
        <f t="shared" si="27"/>
        <v>1.1320000000000618</v>
      </c>
      <c r="G232" s="1">
        <f t="shared" si="21"/>
        <v>701.16808389261723</v>
      </c>
      <c r="H232" s="1">
        <f t="shared" si="22"/>
        <v>703.70508511046955</v>
      </c>
      <c r="I232" s="1">
        <f t="shared" si="23"/>
        <v>3.1164320000000014</v>
      </c>
      <c r="J232" s="1">
        <f t="shared" si="24"/>
        <v>0.95391245791245838</v>
      </c>
      <c r="K232" s="17" t="str">
        <f t="shared" si="25"/>
        <v/>
      </c>
      <c r="L232" s="17" t="str">
        <f t="shared" si="26"/>
        <v/>
      </c>
    </row>
    <row r="233" spans="1:12">
      <c r="A233" s="17">
        <v>223</v>
      </c>
      <c r="B233" s="17">
        <v>5</v>
      </c>
      <c r="C233" s="17">
        <v>1</v>
      </c>
      <c r="D233" s="17" t="s">
        <v>597</v>
      </c>
      <c r="E233" s="17">
        <v>701.62300000000005</v>
      </c>
      <c r="F233" s="17">
        <f t="shared" si="27"/>
        <v>1.6130000000000564</v>
      </c>
      <c r="G233" s="1">
        <f t="shared" si="21"/>
        <v>701.16808389261723</v>
      </c>
      <c r="H233" s="1">
        <f t="shared" si="22"/>
        <v>703.70508511046955</v>
      </c>
      <c r="I233" s="1">
        <f t="shared" si="23"/>
        <v>3.1164320000000014</v>
      </c>
      <c r="J233" s="1">
        <f t="shared" si="24"/>
        <v>0.95391245791245838</v>
      </c>
      <c r="K233" s="17" t="str">
        <f t="shared" si="25"/>
        <v/>
      </c>
      <c r="L233" s="17" t="str">
        <f t="shared" si="26"/>
        <v/>
      </c>
    </row>
    <row r="234" spans="1:12">
      <c r="A234" s="17">
        <v>224</v>
      </c>
      <c r="B234" s="17">
        <v>5</v>
      </c>
      <c r="C234" s="17">
        <v>25</v>
      </c>
      <c r="D234" s="17" t="s">
        <v>598</v>
      </c>
      <c r="E234" s="17">
        <v>700.55200000000002</v>
      </c>
      <c r="F234" s="17">
        <f t="shared" si="27"/>
        <v>1.0710000000000264</v>
      </c>
      <c r="G234" s="1">
        <f t="shared" si="21"/>
        <v>701.16808389261723</v>
      </c>
      <c r="H234" s="1">
        <f t="shared" si="22"/>
        <v>703.70508511046955</v>
      </c>
      <c r="I234" s="1">
        <f t="shared" si="23"/>
        <v>3.1164320000000014</v>
      </c>
      <c r="J234" s="1">
        <f t="shared" si="24"/>
        <v>0.95391245791245838</v>
      </c>
      <c r="K234" s="17" t="str">
        <f t="shared" si="25"/>
        <v/>
      </c>
      <c r="L234" s="17" t="str">
        <f t="shared" si="26"/>
        <v/>
      </c>
    </row>
    <row r="235" spans="1:12">
      <c r="A235" s="17">
        <v>225</v>
      </c>
      <c r="B235" s="17">
        <v>5</v>
      </c>
      <c r="C235" s="17">
        <v>24</v>
      </c>
      <c r="D235" s="17" t="s">
        <v>599</v>
      </c>
      <c r="E235" s="17">
        <v>701.221</v>
      </c>
      <c r="F235" s="17">
        <f t="shared" si="27"/>
        <v>0.66899999999998272</v>
      </c>
      <c r="G235" s="1">
        <f t="shared" si="21"/>
        <v>701.16808389261723</v>
      </c>
      <c r="H235" s="1">
        <f t="shared" si="22"/>
        <v>703.70508511046955</v>
      </c>
      <c r="I235" s="1">
        <f t="shared" si="23"/>
        <v>3.1164320000000014</v>
      </c>
      <c r="J235" s="1">
        <f t="shared" si="24"/>
        <v>0.95391245791245838</v>
      </c>
      <c r="K235" s="17" t="str">
        <f t="shared" si="25"/>
        <v/>
      </c>
      <c r="L235" s="17" t="str">
        <f t="shared" si="26"/>
        <v/>
      </c>
    </row>
    <row r="236" spans="1:12">
      <c r="A236" s="17">
        <v>226</v>
      </c>
      <c r="B236" s="17">
        <v>5</v>
      </c>
      <c r="C236" s="17">
        <v>23</v>
      </c>
      <c r="D236" s="17" t="s">
        <v>600</v>
      </c>
      <c r="E236" s="17">
        <v>700.98500000000001</v>
      </c>
      <c r="F236" s="17">
        <f t="shared" si="27"/>
        <v>0.23599999999999</v>
      </c>
      <c r="G236" s="1">
        <f t="shared" si="21"/>
        <v>701.16808389261723</v>
      </c>
      <c r="H236" s="1">
        <f t="shared" si="22"/>
        <v>703.70508511046955</v>
      </c>
      <c r="I236" s="1">
        <f t="shared" si="23"/>
        <v>3.1164320000000014</v>
      </c>
      <c r="J236" s="1">
        <f t="shared" si="24"/>
        <v>0.95391245791245838</v>
      </c>
      <c r="K236" s="17" t="str">
        <f t="shared" si="25"/>
        <v/>
      </c>
      <c r="L236" s="17" t="str">
        <f t="shared" si="26"/>
        <v/>
      </c>
    </row>
    <row r="237" spans="1:12">
      <c r="A237" s="17">
        <v>227</v>
      </c>
      <c r="B237" s="17">
        <v>5</v>
      </c>
      <c r="C237" s="17">
        <v>22</v>
      </c>
      <c r="D237" s="17" t="s">
        <v>601</v>
      </c>
      <c r="E237" s="17">
        <v>701.26199999999994</v>
      </c>
      <c r="F237" s="17">
        <f t="shared" si="27"/>
        <v>0.27699999999992997</v>
      </c>
      <c r="G237" s="1">
        <f t="shared" si="21"/>
        <v>701.16808389261723</v>
      </c>
      <c r="H237" s="1">
        <f t="shared" si="22"/>
        <v>703.70508511046955</v>
      </c>
      <c r="I237" s="1">
        <f t="shared" si="23"/>
        <v>3.1164320000000014</v>
      </c>
      <c r="J237" s="1">
        <f t="shared" si="24"/>
        <v>0.95391245791245838</v>
      </c>
      <c r="K237" s="17" t="str">
        <f t="shared" si="25"/>
        <v/>
      </c>
      <c r="L237" s="17" t="str">
        <f t="shared" si="26"/>
        <v/>
      </c>
    </row>
    <row r="238" spans="1:12">
      <c r="A238" s="17">
        <v>228</v>
      </c>
      <c r="B238" s="17">
        <v>5</v>
      </c>
      <c r="C238" s="17">
        <v>21</v>
      </c>
      <c r="D238" s="17" t="s">
        <v>602</v>
      </c>
      <c r="E238" s="17">
        <v>701.61300000000006</v>
      </c>
      <c r="F238" s="17">
        <f t="shared" si="27"/>
        <v>0.35100000000011278</v>
      </c>
      <c r="G238" s="1">
        <f t="shared" si="21"/>
        <v>701.16808389261723</v>
      </c>
      <c r="H238" s="1">
        <f t="shared" si="22"/>
        <v>703.70508511046955</v>
      </c>
      <c r="I238" s="1">
        <f t="shared" si="23"/>
        <v>3.1164320000000014</v>
      </c>
      <c r="J238" s="1">
        <f t="shared" si="24"/>
        <v>0.95391245791245838</v>
      </c>
      <c r="K238" s="17" t="str">
        <f t="shared" si="25"/>
        <v/>
      </c>
      <c r="L238" s="17" t="str">
        <f t="shared" si="26"/>
        <v/>
      </c>
    </row>
    <row r="239" spans="1:12">
      <c r="A239" s="17">
        <v>229</v>
      </c>
      <c r="B239" s="17">
        <v>5</v>
      </c>
      <c r="C239" s="17">
        <v>20</v>
      </c>
      <c r="D239" s="17" t="s">
        <v>603</v>
      </c>
      <c r="E239" s="17">
        <v>701.39099999999996</v>
      </c>
      <c r="F239" s="17">
        <f t="shared" si="27"/>
        <v>0.22200000000009368</v>
      </c>
      <c r="G239" s="1">
        <f t="shared" si="21"/>
        <v>701.16808389261723</v>
      </c>
      <c r="H239" s="1">
        <f t="shared" si="22"/>
        <v>703.70508511046955</v>
      </c>
      <c r="I239" s="1">
        <f t="shared" si="23"/>
        <v>3.1164320000000014</v>
      </c>
      <c r="J239" s="1">
        <f t="shared" si="24"/>
        <v>0.95391245791245838</v>
      </c>
      <c r="K239" s="17" t="str">
        <f t="shared" si="25"/>
        <v/>
      </c>
      <c r="L239" s="17" t="str">
        <f t="shared" si="26"/>
        <v/>
      </c>
    </row>
    <row r="240" spans="1:12">
      <c r="A240" s="17">
        <v>230</v>
      </c>
      <c r="B240" s="17">
        <v>5</v>
      </c>
      <c r="C240" s="17">
        <v>19</v>
      </c>
      <c r="D240" s="17" t="s">
        <v>604</v>
      </c>
      <c r="E240" s="17">
        <v>701.63</v>
      </c>
      <c r="F240" s="17">
        <f t="shared" si="27"/>
        <v>0.23900000000003274</v>
      </c>
      <c r="G240" s="1">
        <f t="shared" si="21"/>
        <v>701.16808389261723</v>
      </c>
      <c r="H240" s="1">
        <f t="shared" si="22"/>
        <v>703.70508511046955</v>
      </c>
      <c r="I240" s="1">
        <f t="shared" si="23"/>
        <v>3.1164320000000014</v>
      </c>
      <c r="J240" s="1">
        <f t="shared" si="24"/>
        <v>0.95391245791245838</v>
      </c>
      <c r="K240" s="17" t="str">
        <f t="shared" si="25"/>
        <v/>
      </c>
      <c r="L240" s="17" t="str">
        <f t="shared" si="26"/>
        <v/>
      </c>
    </row>
    <row r="241" spans="1:12">
      <c r="A241" s="17">
        <v>231</v>
      </c>
      <c r="B241" s="17">
        <v>5</v>
      </c>
      <c r="C241" s="17">
        <v>18</v>
      </c>
      <c r="D241" s="17" t="s">
        <v>605</v>
      </c>
      <c r="E241" s="17">
        <v>700.09299999999996</v>
      </c>
      <c r="F241" s="17">
        <f t="shared" si="27"/>
        <v>1.5370000000000346</v>
      </c>
      <c r="G241" s="1">
        <f t="shared" si="21"/>
        <v>701.16808389261723</v>
      </c>
      <c r="H241" s="1">
        <f t="shared" si="22"/>
        <v>703.70508511046955</v>
      </c>
      <c r="I241" s="1">
        <f t="shared" si="23"/>
        <v>3.1164320000000014</v>
      </c>
      <c r="J241" s="1">
        <f t="shared" si="24"/>
        <v>0.95391245791245838</v>
      </c>
      <c r="K241" s="17" t="str">
        <f t="shared" si="25"/>
        <v/>
      </c>
      <c r="L241" s="17" t="str">
        <f t="shared" si="26"/>
        <v/>
      </c>
    </row>
    <row r="242" spans="1:12">
      <c r="A242" s="17">
        <v>232</v>
      </c>
      <c r="B242" s="17">
        <v>5</v>
      </c>
      <c r="C242" s="17">
        <v>17</v>
      </c>
      <c r="D242" s="17" t="s">
        <v>606</v>
      </c>
      <c r="E242" s="17">
        <v>703.41700000000003</v>
      </c>
      <c r="F242" s="17">
        <f t="shared" si="27"/>
        <v>3.3240000000000691</v>
      </c>
      <c r="G242" s="1">
        <f t="shared" si="21"/>
        <v>701.16808389261723</v>
      </c>
      <c r="H242" s="1">
        <f t="shared" si="22"/>
        <v>703.70508511046955</v>
      </c>
      <c r="I242" s="1">
        <f t="shared" si="23"/>
        <v>3.1164320000000014</v>
      </c>
      <c r="J242" s="1">
        <f t="shared" si="24"/>
        <v>0.95391245791245838</v>
      </c>
      <c r="K242" s="17" t="str">
        <f t="shared" si="25"/>
        <v/>
      </c>
      <c r="L242" s="17" t="str">
        <f t="shared" si="26"/>
        <v/>
      </c>
    </row>
    <row r="243" spans="1:12">
      <c r="A243" s="17">
        <v>233</v>
      </c>
      <c r="B243" s="17">
        <v>5</v>
      </c>
      <c r="C243" s="17">
        <v>16</v>
      </c>
      <c r="D243" s="17" t="s">
        <v>607</v>
      </c>
      <c r="E243" s="17">
        <v>701.55</v>
      </c>
      <c r="F243" s="17">
        <f t="shared" si="27"/>
        <v>1.8670000000000755</v>
      </c>
      <c r="G243" s="1">
        <f t="shared" si="21"/>
        <v>701.16808389261723</v>
      </c>
      <c r="H243" s="1">
        <f t="shared" si="22"/>
        <v>703.70508511046955</v>
      </c>
      <c r="I243" s="1">
        <f t="shared" si="23"/>
        <v>3.1164320000000014</v>
      </c>
      <c r="J243" s="1">
        <f t="shared" si="24"/>
        <v>0.95391245791245838</v>
      </c>
      <c r="K243" s="17" t="str">
        <f t="shared" si="25"/>
        <v/>
      </c>
      <c r="L243" s="17" t="str">
        <f t="shared" si="26"/>
        <v/>
      </c>
    </row>
    <row r="244" spans="1:12">
      <c r="A244" s="17">
        <v>234</v>
      </c>
      <c r="B244" s="17">
        <v>5</v>
      </c>
      <c r="C244" s="17">
        <v>15</v>
      </c>
      <c r="D244" s="17" t="s">
        <v>608</v>
      </c>
      <c r="E244" s="17">
        <v>701.62400000000002</v>
      </c>
      <c r="F244" s="17">
        <f t="shared" si="27"/>
        <v>7.4000000000069122E-2</v>
      </c>
      <c r="G244" s="1">
        <f t="shared" si="21"/>
        <v>701.16808389261723</v>
      </c>
      <c r="H244" s="1">
        <f t="shared" si="22"/>
        <v>703.70508511046955</v>
      </c>
      <c r="I244" s="1">
        <f t="shared" si="23"/>
        <v>3.1164320000000014</v>
      </c>
      <c r="J244" s="1">
        <f t="shared" si="24"/>
        <v>0.95391245791245838</v>
      </c>
      <c r="K244" s="17" t="str">
        <f t="shared" si="25"/>
        <v/>
      </c>
      <c r="L244" s="17" t="str">
        <f t="shared" si="26"/>
        <v/>
      </c>
    </row>
    <row r="245" spans="1:12">
      <c r="A245" s="17">
        <v>235</v>
      </c>
      <c r="B245" s="17">
        <v>5</v>
      </c>
      <c r="C245" s="17">
        <v>14</v>
      </c>
      <c r="D245" s="17" t="s">
        <v>609</v>
      </c>
      <c r="E245" s="17">
        <v>701.15599999999995</v>
      </c>
      <c r="F245" s="17">
        <f t="shared" si="27"/>
        <v>0.46800000000007458</v>
      </c>
      <c r="G245" s="1">
        <f t="shared" si="21"/>
        <v>701.16808389261723</v>
      </c>
      <c r="H245" s="1">
        <f t="shared" si="22"/>
        <v>703.70508511046955</v>
      </c>
      <c r="I245" s="1">
        <f t="shared" si="23"/>
        <v>3.1164320000000014</v>
      </c>
      <c r="J245" s="1">
        <f t="shared" si="24"/>
        <v>0.95391245791245838</v>
      </c>
      <c r="K245" s="17" t="str">
        <f t="shared" si="25"/>
        <v/>
      </c>
      <c r="L245" s="17" t="str">
        <f t="shared" si="26"/>
        <v/>
      </c>
    </row>
    <row r="246" spans="1:12">
      <c r="A246" s="17">
        <v>236</v>
      </c>
      <c r="B246" s="17">
        <v>5</v>
      </c>
      <c r="C246" s="17">
        <v>13</v>
      </c>
      <c r="D246" s="17" t="s">
        <v>610</v>
      </c>
      <c r="E246" s="17">
        <v>701.22500000000002</v>
      </c>
      <c r="F246" s="17">
        <f t="shared" si="27"/>
        <v>6.9000000000073669E-2</v>
      </c>
      <c r="G246" s="1">
        <f t="shared" si="21"/>
        <v>701.16808389261723</v>
      </c>
      <c r="H246" s="1">
        <f t="shared" si="22"/>
        <v>703.70508511046955</v>
      </c>
      <c r="I246" s="1">
        <f t="shared" si="23"/>
        <v>3.1164320000000014</v>
      </c>
      <c r="J246" s="1">
        <f t="shared" si="24"/>
        <v>0.95391245791245838</v>
      </c>
      <c r="K246" s="17" t="str">
        <f t="shared" si="25"/>
        <v/>
      </c>
      <c r="L246" s="17" t="str">
        <f t="shared" si="26"/>
        <v/>
      </c>
    </row>
    <row r="247" spans="1:12">
      <c r="A247" s="17">
        <v>237</v>
      </c>
      <c r="B247" s="17">
        <v>5</v>
      </c>
      <c r="C247" s="17">
        <v>12</v>
      </c>
      <c r="D247" s="17" t="s">
        <v>611</v>
      </c>
      <c r="E247" s="17">
        <v>701.47400000000005</v>
      </c>
      <c r="F247" s="17">
        <f t="shared" si="27"/>
        <v>0.24900000000002365</v>
      </c>
      <c r="G247" s="1">
        <f t="shared" si="21"/>
        <v>701.16808389261723</v>
      </c>
      <c r="H247" s="1">
        <f t="shared" si="22"/>
        <v>703.70508511046955</v>
      </c>
      <c r="I247" s="1">
        <f t="shared" si="23"/>
        <v>3.1164320000000014</v>
      </c>
      <c r="J247" s="1">
        <f t="shared" si="24"/>
        <v>0.95391245791245838</v>
      </c>
      <c r="K247" s="17" t="str">
        <f t="shared" si="25"/>
        <v/>
      </c>
      <c r="L247" s="17" t="str">
        <f t="shared" si="26"/>
        <v/>
      </c>
    </row>
    <row r="248" spans="1:12">
      <c r="A248" s="17">
        <v>238</v>
      </c>
      <c r="B248" s="17">
        <v>5</v>
      </c>
      <c r="C248" s="17">
        <v>11</v>
      </c>
      <c r="D248" s="17" t="s">
        <v>612</v>
      </c>
      <c r="E248" s="17">
        <v>700.08500000000004</v>
      </c>
      <c r="F248" s="17">
        <f t="shared" si="27"/>
        <v>1.38900000000001</v>
      </c>
      <c r="G248" s="1">
        <f t="shared" si="21"/>
        <v>701.16808389261723</v>
      </c>
      <c r="H248" s="1">
        <f t="shared" si="22"/>
        <v>703.70508511046955</v>
      </c>
      <c r="I248" s="1">
        <f t="shared" si="23"/>
        <v>3.1164320000000014</v>
      </c>
      <c r="J248" s="1">
        <f t="shared" si="24"/>
        <v>0.95391245791245838</v>
      </c>
      <c r="K248" s="17" t="str">
        <f t="shared" si="25"/>
        <v/>
      </c>
      <c r="L248" s="17" t="str">
        <f t="shared" si="26"/>
        <v/>
      </c>
    </row>
    <row r="249" spans="1:12">
      <c r="A249" s="17">
        <v>239</v>
      </c>
      <c r="B249" s="17">
        <v>5</v>
      </c>
      <c r="C249" s="17">
        <v>10</v>
      </c>
      <c r="D249" s="17" t="s">
        <v>613</v>
      </c>
      <c r="E249" s="17">
        <v>701.46299999999997</v>
      </c>
      <c r="F249" s="17">
        <f t="shared" si="27"/>
        <v>1.3779999999999291</v>
      </c>
      <c r="G249" s="1">
        <f t="shared" si="21"/>
        <v>701.16808389261723</v>
      </c>
      <c r="H249" s="1">
        <f t="shared" si="22"/>
        <v>703.70508511046955</v>
      </c>
      <c r="I249" s="1">
        <f t="shared" si="23"/>
        <v>3.1164320000000014</v>
      </c>
      <c r="J249" s="1">
        <f t="shared" si="24"/>
        <v>0.95391245791245838</v>
      </c>
      <c r="K249" s="17" t="str">
        <f t="shared" si="25"/>
        <v/>
      </c>
      <c r="L249" s="17" t="str">
        <f t="shared" si="26"/>
        <v/>
      </c>
    </row>
    <row r="250" spans="1:12">
      <c r="A250" s="17">
        <v>240</v>
      </c>
      <c r="B250" s="17">
        <v>5</v>
      </c>
      <c r="C250" s="17">
        <v>9</v>
      </c>
      <c r="D250" s="17" t="s">
        <v>614</v>
      </c>
      <c r="E250" s="17">
        <v>701.505</v>
      </c>
      <c r="F250" s="17">
        <f t="shared" si="27"/>
        <v>4.2000000000030013E-2</v>
      </c>
      <c r="G250" s="1">
        <f t="shared" si="21"/>
        <v>701.16808389261723</v>
      </c>
      <c r="H250" s="1">
        <f t="shared" si="22"/>
        <v>703.70508511046955</v>
      </c>
      <c r="I250" s="1">
        <f t="shared" si="23"/>
        <v>3.1164320000000014</v>
      </c>
      <c r="J250" s="1">
        <f t="shared" si="24"/>
        <v>0.95391245791245838</v>
      </c>
      <c r="K250" s="17" t="str">
        <f t="shared" si="25"/>
        <v/>
      </c>
      <c r="L250" s="17" t="str">
        <f t="shared" si="26"/>
        <v/>
      </c>
    </row>
    <row r="251" spans="1:12">
      <c r="A251" s="17">
        <v>241</v>
      </c>
      <c r="B251" s="17">
        <v>5</v>
      </c>
      <c r="C251" s="17">
        <v>8</v>
      </c>
      <c r="D251" s="17" t="s">
        <v>615</v>
      </c>
      <c r="E251" s="17">
        <v>701.49599999999998</v>
      </c>
      <c r="F251" s="17">
        <f t="shared" si="27"/>
        <v>9.0000000000145519E-3</v>
      </c>
      <c r="G251" s="1">
        <f t="shared" si="21"/>
        <v>701.16808389261723</v>
      </c>
      <c r="H251" s="1">
        <f t="shared" si="22"/>
        <v>703.70508511046955</v>
      </c>
      <c r="I251" s="1">
        <f t="shared" si="23"/>
        <v>3.1164320000000014</v>
      </c>
      <c r="J251" s="1">
        <f t="shared" si="24"/>
        <v>0.95391245791245838</v>
      </c>
      <c r="K251" s="17" t="str">
        <f t="shared" si="25"/>
        <v/>
      </c>
      <c r="L251" s="17" t="str">
        <f t="shared" si="26"/>
        <v/>
      </c>
    </row>
    <row r="252" spans="1:12">
      <c r="A252" s="17">
        <v>242</v>
      </c>
      <c r="B252" s="17">
        <v>5</v>
      </c>
      <c r="C252" s="17">
        <v>7</v>
      </c>
      <c r="D252" s="17" t="s">
        <v>616</v>
      </c>
      <c r="E252" s="17">
        <v>702.57899999999995</v>
      </c>
      <c r="F252" s="17">
        <f t="shared" si="27"/>
        <v>1.08299999999997</v>
      </c>
      <c r="G252" s="1">
        <f t="shared" si="21"/>
        <v>701.16808389261723</v>
      </c>
      <c r="H252" s="1">
        <f t="shared" si="22"/>
        <v>703.70508511046955</v>
      </c>
      <c r="I252" s="1">
        <f t="shared" si="23"/>
        <v>3.1164320000000014</v>
      </c>
      <c r="J252" s="1">
        <f t="shared" si="24"/>
        <v>0.95391245791245838</v>
      </c>
      <c r="K252" s="17" t="str">
        <f t="shared" si="25"/>
        <v/>
      </c>
      <c r="L252" s="17" t="str">
        <f t="shared" si="26"/>
        <v/>
      </c>
    </row>
    <row r="253" spans="1:12">
      <c r="A253" s="17">
        <v>243</v>
      </c>
      <c r="B253" s="17">
        <v>5</v>
      </c>
      <c r="C253" s="17">
        <v>6</v>
      </c>
      <c r="D253" s="17" t="s">
        <v>617</v>
      </c>
      <c r="E253" s="17">
        <v>699.76599999999996</v>
      </c>
      <c r="F253" s="17">
        <f t="shared" si="27"/>
        <v>2.8129999999999882</v>
      </c>
      <c r="G253" s="1">
        <f t="shared" si="21"/>
        <v>701.16808389261723</v>
      </c>
      <c r="H253" s="1">
        <f t="shared" si="22"/>
        <v>703.70508511046955</v>
      </c>
      <c r="I253" s="1">
        <f t="shared" si="23"/>
        <v>3.1164320000000014</v>
      </c>
      <c r="J253" s="1">
        <f t="shared" si="24"/>
        <v>0.95391245791245838</v>
      </c>
      <c r="K253" s="17" t="str">
        <f t="shared" si="25"/>
        <v/>
      </c>
      <c r="L253" s="17" t="str">
        <f t="shared" si="26"/>
        <v/>
      </c>
    </row>
    <row r="254" spans="1:12">
      <c r="A254" s="17">
        <v>244</v>
      </c>
      <c r="B254" s="17">
        <v>5</v>
      </c>
      <c r="C254" s="17">
        <v>5</v>
      </c>
      <c r="D254" s="17" t="s">
        <v>618</v>
      </c>
      <c r="E254" s="17">
        <v>701.255</v>
      </c>
      <c r="F254" s="17">
        <f t="shared" si="27"/>
        <v>1.4890000000000327</v>
      </c>
      <c r="G254" s="1">
        <f t="shared" si="21"/>
        <v>701.16808389261723</v>
      </c>
      <c r="H254" s="1">
        <f t="shared" si="22"/>
        <v>703.70508511046955</v>
      </c>
      <c r="I254" s="1">
        <f t="shared" si="23"/>
        <v>3.1164320000000014</v>
      </c>
      <c r="J254" s="1">
        <f t="shared" si="24"/>
        <v>0.95391245791245838</v>
      </c>
      <c r="K254" s="17" t="str">
        <f t="shared" si="25"/>
        <v/>
      </c>
      <c r="L254" s="17" t="str">
        <f t="shared" si="26"/>
        <v/>
      </c>
    </row>
    <row r="255" spans="1:12">
      <c r="A255" s="17">
        <v>245</v>
      </c>
      <c r="B255" s="17">
        <v>5</v>
      </c>
      <c r="C255" s="17">
        <v>4</v>
      </c>
      <c r="D255" s="17" t="s">
        <v>619</v>
      </c>
      <c r="E255" s="17">
        <v>700.42200000000003</v>
      </c>
      <c r="F255" s="17">
        <f t="shared" si="27"/>
        <v>0.83299999999996999</v>
      </c>
      <c r="G255" s="1">
        <f t="shared" si="21"/>
        <v>701.16808389261723</v>
      </c>
      <c r="H255" s="1">
        <f t="shared" si="22"/>
        <v>703.70508511046955</v>
      </c>
      <c r="I255" s="1">
        <f t="shared" si="23"/>
        <v>3.1164320000000014</v>
      </c>
      <c r="J255" s="1">
        <f t="shared" si="24"/>
        <v>0.95391245791245838</v>
      </c>
      <c r="K255" s="17" t="str">
        <f t="shared" si="25"/>
        <v/>
      </c>
      <c r="L255" s="17" t="str">
        <f t="shared" si="26"/>
        <v/>
      </c>
    </row>
    <row r="256" spans="1:12">
      <c r="A256" s="17">
        <v>246</v>
      </c>
      <c r="B256" s="17">
        <v>5</v>
      </c>
      <c r="C256" s="17">
        <v>3</v>
      </c>
      <c r="D256" s="17" t="s">
        <v>620</v>
      </c>
      <c r="E256" s="17">
        <v>702.26</v>
      </c>
      <c r="F256" s="17">
        <f t="shared" si="27"/>
        <v>1.8379999999999654</v>
      </c>
      <c r="G256" s="1">
        <f t="shared" si="21"/>
        <v>701.16808389261723</v>
      </c>
      <c r="H256" s="1">
        <f t="shared" si="22"/>
        <v>703.70508511046955</v>
      </c>
      <c r="I256" s="1">
        <f t="shared" si="23"/>
        <v>3.1164320000000014</v>
      </c>
      <c r="J256" s="1">
        <f t="shared" si="24"/>
        <v>0.95391245791245838</v>
      </c>
      <c r="K256" s="17" t="str">
        <f t="shared" si="25"/>
        <v/>
      </c>
      <c r="L256" s="17" t="str">
        <f t="shared" si="26"/>
        <v/>
      </c>
    </row>
    <row r="257" spans="1:12">
      <c r="A257" s="17">
        <v>247</v>
      </c>
      <c r="B257" s="17">
        <v>5</v>
      </c>
      <c r="C257" s="17">
        <v>2</v>
      </c>
      <c r="D257" s="17" t="s">
        <v>621</v>
      </c>
      <c r="E257" s="17">
        <v>700.58699999999999</v>
      </c>
      <c r="F257" s="17">
        <f t="shared" si="27"/>
        <v>1.6730000000000018</v>
      </c>
      <c r="G257" s="1">
        <f t="shared" si="21"/>
        <v>701.16808389261723</v>
      </c>
      <c r="H257" s="1">
        <f t="shared" si="22"/>
        <v>703.70508511046955</v>
      </c>
      <c r="I257" s="1">
        <f t="shared" si="23"/>
        <v>3.1164320000000014</v>
      </c>
      <c r="J257" s="1">
        <f t="shared" si="24"/>
        <v>0.95391245791245838</v>
      </c>
      <c r="K257" s="17" t="str">
        <f t="shared" si="25"/>
        <v/>
      </c>
      <c r="L257" s="17" t="str">
        <f t="shared" si="26"/>
        <v/>
      </c>
    </row>
    <row r="258" spans="1:12">
      <c r="A258" s="17">
        <v>248</v>
      </c>
      <c r="B258" s="17">
        <v>5</v>
      </c>
      <c r="C258" s="17">
        <v>1</v>
      </c>
      <c r="D258" s="17" t="s">
        <v>622</v>
      </c>
      <c r="E258" s="17">
        <v>701.95</v>
      </c>
      <c r="F258" s="17">
        <f t="shared" si="27"/>
        <v>1.3630000000000564</v>
      </c>
      <c r="G258" s="1">
        <f t="shared" si="21"/>
        <v>701.16808389261723</v>
      </c>
      <c r="H258" s="1">
        <f t="shared" si="22"/>
        <v>703.70508511046955</v>
      </c>
      <c r="I258" s="1">
        <f t="shared" si="23"/>
        <v>3.1164320000000014</v>
      </c>
      <c r="J258" s="1">
        <f t="shared" si="24"/>
        <v>0.95391245791245838</v>
      </c>
      <c r="K258" s="17" t="str">
        <f t="shared" si="25"/>
        <v/>
      </c>
      <c r="L258" s="17" t="str">
        <f t="shared" si="26"/>
        <v/>
      </c>
    </row>
    <row r="259" spans="1:12">
      <c r="A259" s="17">
        <v>249</v>
      </c>
      <c r="B259" s="17">
        <v>6</v>
      </c>
      <c r="C259" s="17">
        <v>25</v>
      </c>
      <c r="D259" s="17" t="s">
        <v>623</v>
      </c>
      <c r="E259" s="17">
        <v>701.52700000000004</v>
      </c>
      <c r="F259" s="17">
        <f t="shared" si="27"/>
        <v>0.42300000000000182</v>
      </c>
      <c r="G259" s="1">
        <f t="shared" si="21"/>
        <v>701.16808389261723</v>
      </c>
      <c r="H259" s="1">
        <f t="shared" si="22"/>
        <v>703.70508511046955</v>
      </c>
      <c r="I259" s="1">
        <f t="shared" si="23"/>
        <v>3.1164320000000014</v>
      </c>
      <c r="J259" s="1">
        <f t="shared" si="24"/>
        <v>0.95391245791245838</v>
      </c>
      <c r="K259" s="17" t="str">
        <f t="shared" si="25"/>
        <v/>
      </c>
      <c r="L259" s="17" t="str">
        <f t="shared" si="26"/>
        <v/>
      </c>
    </row>
    <row r="260" spans="1:12">
      <c r="A260" s="17">
        <v>250</v>
      </c>
      <c r="B260" s="17">
        <v>6</v>
      </c>
      <c r="C260" s="17">
        <v>24</v>
      </c>
      <c r="D260" s="17" t="s">
        <v>624</v>
      </c>
      <c r="E260" s="17">
        <v>700.024</v>
      </c>
      <c r="F260" s="17">
        <f t="shared" si="27"/>
        <v>1.5030000000000427</v>
      </c>
      <c r="G260" s="1">
        <f t="shared" si="21"/>
        <v>701.16808389261723</v>
      </c>
      <c r="H260" s="1">
        <f t="shared" si="22"/>
        <v>703.70508511046955</v>
      </c>
      <c r="I260" s="1">
        <f t="shared" si="23"/>
        <v>3.1164320000000014</v>
      </c>
      <c r="J260" s="1">
        <f t="shared" si="24"/>
        <v>0.95391245791245838</v>
      </c>
      <c r="K260" s="17" t="str">
        <f t="shared" si="25"/>
        <v/>
      </c>
      <c r="L260" s="17" t="str">
        <f t="shared" si="26"/>
        <v/>
      </c>
    </row>
    <row r="261" spans="1:12">
      <c r="A261" s="17">
        <v>251</v>
      </c>
      <c r="B261" s="17">
        <v>6</v>
      </c>
      <c r="C261" s="17">
        <v>23</v>
      </c>
      <c r="D261" s="17" t="s">
        <v>625</v>
      </c>
      <c r="E261" s="17">
        <v>700.92</v>
      </c>
      <c r="F261" s="17">
        <f t="shared" si="27"/>
        <v>0.89599999999995816</v>
      </c>
      <c r="G261" s="1">
        <f t="shared" si="21"/>
        <v>701.16808389261723</v>
      </c>
      <c r="H261" s="1">
        <f t="shared" si="22"/>
        <v>703.70508511046955</v>
      </c>
      <c r="I261" s="1">
        <f t="shared" si="23"/>
        <v>3.1164320000000014</v>
      </c>
      <c r="J261" s="1">
        <f t="shared" si="24"/>
        <v>0.95391245791245838</v>
      </c>
      <c r="K261" s="17" t="str">
        <f t="shared" si="25"/>
        <v/>
      </c>
      <c r="L261" s="17" t="str">
        <f t="shared" si="26"/>
        <v/>
      </c>
    </row>
    <row r="262" spans="1:12">
      <c r="A262" s="17">
        <v>252</v>
      </c>
      <c r="B262" s="17">
        <v>6</v>
      </c>
      <c r="C262" s="17">
        <v>22</v>
      </c>
      <c r="D262" s="17" t="s">
        <v>626</v>
      </c>
      <c r="E262" s="17">
        <v>699.72500000000002</v>
      </c>
      <c r="F262" s="17">
        <f t="shared" si="27"/>
        <v>1.1949999999999363</v>
      </c>
      <c r="G262" s="1">
        <f t="shared" si="21"/>
        <v>701.16808389261723</v>
      </c>
      <c r="H262" s="1">
        <f t="shared" si="22"/>
        <v>703.70508511046955</v>
      </c>
      <c r="I262" s="1">
        <f t="shared" si="23"/>
        <v>3.1164320000000014</v>
      </c>
      <c r="J262" s="1">
        <f t="shared" si="24"/>
        <v>0.95391245791245838</v>
      </c>
      <c r="K262" s="17" t="str">
        <f t="shared" si="25"/>
        <v/>
      </c>
      <c r="L262" s="17" t="str">
        <f t="shared" si="26"/>
        <v/>
      </c>
    </row>
    <row r="263" spans="1:12">
      <c r="A263" s="17">
        <v>253</v>
      </c>
      <c r="B263" s="17">
        <v>6</v>
      </c>
      <c r="C263" s="17">
        <v>21</v>
      </c>
      <c r="D263" s="17" t="s">
        <v>627</v>
      </c>
      <c r="E263" s="17">
        <v>700.19</v>
      </c>
      <c r="F263" s="17">
        <f t="shared" si="27"/>
        <v>0.46500000000003183</v>
      </c>
      <c r="G263" s="1">
        <f t="shared" si="21"/>
        <v>701.16808389261723</v>
      </c>
      <c r="H263" s="1">
        <f t="shared" si="22"/>
        <v>703.70508511046955</v>
      </c>
      <c r="I263" s="1">
        <f t="shared" si="23"/>
        <v>3.1164320000000014</v>
      </c>
      <c r="J263" s="1">
        <f t="shared" si="24"/>
        <v>0.95391245791245838</v>
      </c>
      <c r="K263" s="17" t="str">
        <f t="shared" si="25"/>
        <v/>
      </c>
      <c r="L263" s="17" t="str">
        <f t="shared" si="26"/>
        <v/>
      </c>
    </row>
    <row r="264" spans="1:12">
      <c r="A264" s="17">
        <v>254</v>
      </c>
      <c r="B264" s="17">
        <v>6</v>
      </c>
      <c r="C264" s="17">
        <v>20</v>
      </c>
      <c r="D264" s="17" t="s">
        <v>628</v>
      </c>
      <c r="E264" s="17">
        <v>700.35799999999995</v>
      </c>
      <c r="F264" s="17">
        <f t="shared" si="27"/>
        <v>0.16799999999989268</v>
      </c>
      <c r="G264" s="1">
        <f t="shared" si="21"/>
        <v>701.16808389261723</v>
      </c>
      <c r="H264" s="1">
        <f t="shared" si="22"/>
        <v>703.70508511046955</v>
      </c>
      <c r="I264" s="1">
        <f t="shared" si="23"/>
        <v>3.1164320000000014</v>
      </c>
      <c r="J264" s="1">
        <f t="shared" si="24"/>
        <v>0.95391245791245838</v>
      </c>
      <c r="K264" s="17" t="str">
        <f t="shared" si="25"/>
        <v/>
      </c>
      <c r="L264" s="17" t="str">
        <f t="shared" si="26"/>
        <v/>
      </c>
    </row>
    <row r="265" spans="1:12">
      <c r="A265" s="17">
        <v>255</v>
      </c>
      <c r="B265" s="17">
        <v>6</v>
      </c>
      <c r="C265" s="17">
        <v>19</v>
      </c>
      <c r="D265" s="17" t="s">
        <v>629</v>
      </c>
      <c r="E265" s="17">
        <v>700.19500000000005</v>
      </c>
      <c r="F265" s="17">
        <f t="shared" si="27"/>
        <v>0.16299999999989723</v>
      </c>
      <c r="G265" s="1">
        <f t="shared" si="21"/>
        <v>701.16808389261723</v>
      </c>
      <c r="H265" s="1">
        <f t="shared" si="22"/>
        <v>703.70508511046955</v>
      </c>
      <c r="I265" s="1">
        <f t="shared" si="23"/>
        <v>3.1164320000000014</v>
      </c>
      <c r="J265" s="1">
        <f t="shared" si="24"/>
        <v>0.95391245791245838</v>
      </c>
      <c r="K265" s="17" t="str">
        <f t="shared" si="25"/>
        <v/>
      </c>
      <c r="L265" s="17" t="str">
        <f t="shared" si="26"/>
        <v/>
      </c>
    </row>
    <row r="266" spans="1:12">
      <c r="A266" s="17">
        <v>256</v>
      </c>
      <c r="B266" s="17">
        <v>6</v>
      </c>
      <c r="C266" s="17">
        <v>18</v>
      </c>
      <c r="D266" s="17" t="s">
        <v>630</v>
      </c>
      <c r="E266" s="17">
        <v>699.29700000000003</v>
      </c>
      <c r="F266" s="17">
        <f t="shared" si="27"/>
        <v>0.89800000000002456</v>
      </c>
      <c r="G266" s="1">
        <f t="shared" si="21"/>
        <v>701.16808389261723</v>
      </c>
      <c r="H266" s="1">
        <f t="shared" si="22"/>
        <v>703.70508511046955</v>
      </c>
      <c r="I266" s="1">
        <f t="shared" si="23"/>
        <v>3.1164320000000014</v>
      </c>
      <c r="J266" s="1">
        <f t="shared" si="24"/>
        <v>0.95391245791245838</v>
      </c>
      <c r="K266" s="17" t="str">
        <f t="shared" si="25"/>
        <v/>
      </c>
      <c r="L266" s="17" t="str">
        <f t="shared" si="26"/>
        <v/>
      </c>
    </row>
    <row r="267" spans="1:12">
      <c r="A267" s="17">
        <v>257</v>
      </c>
      <c r="B267" s="17">
        <v>6</v>
      </c>
      <c r="C267" s="17">
        <v>17</v>
      </c>
      <c r="D267" s="17" t="s">
        <v>631</v>
      </c>
      <c r="E267" s="17">
        <v>700.70799999999997</v>
      </c>
      <c r="F267" s="17">
        <f t="shared" si="27"/>
        <v>1.4109999999999445</v>
      </c>
      <c r="G267" s="1">
        <f t="shared" ref="G267:G308" si="28">$Q$3</f>
        <v>701.16808389261723</v>
      </c>
      <c r="H267" s="1">
        <f t="shared" ref="H267:H308" si="29">$Q$6</f>
        <v>703.70508511046955</v>
      </c>
      <c r="I267" s="1">
        <f t="shared" ref="I267:I308" si="30">$Q$7</f>
        <v>3.1164320000000014</v>
      </c>
      <c r="J267" s="1">
        <f t="shared" ref="J267:J308" si="31">$Q$4</f>
        <v>0.95391245791245838</v>
      </c>
      <c r="K267" s="17" t="str">
        <f t="shared" ref="K267:K308" si="32">IF(E267&gt;$Q$6,"OOC","" )</f>
        <v/>
      </c>
      <c r="L267" s="17" t="str">
        <f t="shared" ref="L267:L308" si="33">IF(E267&gt;$B$4,"OOS","" )</f>
        <v/>
      </c>
    </row>
    <row r="268" spans="1:12">
      <c r="A268" s="17">
        <v>258</v>
      </c>
      <c r="B268" s="17">
        <v>6</v>
      </c>
      <c r="C268" s="17">
        <v>16</v>
      </c>
      <c r="D268" s="17" t="s">
        <v>632</v>
      </c>
      <c r="E268" s="17">
        <v>701.33</v>
      </c>
      <c r="F268" s="17">
        <f t="shared" ref="F268:F308" si="34">ABS(E268-E267)</f>
        <v>0.62200000000007094</v>
      </c>
      <c r="G268" s="1">
        <f t="shared" si="28"/>
        <v>701.16808389261723</v>
      </c>
      <c r="H268" s="1">
        <f t="shared" si="29"/>
        <v>703.70508511046955</v>
      </c>
      <c r="I268" s="1">
        <f t="shared" si="30"/>
        <v>3.1164320000000014</v>
      </c>
      <c r="J268" s="1">
        <f t="shared" si="31"/>
        <v>0.95391245791245838</v>
      </c>
      <c r="K268" s="17" t="str">
        <f t="shared" si="32"/>
        <v/>
      </c>
      <c r="L268" s="17" t="str">
        <f t="shared" si="33"/>
        <v/>
      </c>
    </row>
    <row r="269" spans="1:12">
      <c r="A269" s="17">
        <v>259</v>
      </c>
      <c r="B269" s="17">
        <v>6</v>
      </c>
      <c r="C269" s="17">
        <v>15</v>
      </c>
      <c r="D269" s="17" t="s">
        <v>633</v>
      </c>
      <c r="E269" s="17">
        <v>702.06899999999996</v>
      </c>
      <c r="F269" s="17">
        <f t="shared" si="34"/>
        <v>0.73899999999991905</v>
      </c>
      <c r="G269" s="1">
        <f t="shared" si="28"/>
        <v>701.16808389261723</v>
      </c>
      <c r="H269" s="1">
        <f t="shared" si="29"/>
        <v>703.70508511046955</v>
      </c>
      <c r="I269" s="1">
        <f t="shared" si="30"/>
        <v>3.1164320000000014</v>
      </c>
      <c r="J269" s="1">
        <f t="shared" si="31"/>
        <v>0.95391245791245838</v>
      </c>
      <c r="K269" s="17" t="str">
        <f t="shared" si="32"/>
        <v/>
      </c>
      <c r="L269" s="17" t="str">
        <f t="shared" si="33"/>
        <v/>
      </c>
    </row>
    <row r="270" spans="1:12">
      <c r="A270" s="17">
        <v>260</v>
      </c>
      <c r="B270" s="17">
        <v>6</v>
      </c>
      <c r="C270" s="17">
        <v>14</v>
      </c>
      <c r="D270" s="17" t="s">
        <v>634</v>
      </c>
      <c r="E270" s="17">
        <v>699.21</v>
      </c>
      <c r="F270" s="17">
        <f t="shared" si="34"/>
        <v>2.8589999999999236</v>
      </c>
      <c r="G270" s="1">
        <f t="shared" si="28"/>
        <v>701.16808389261723</v>
      </c>
      <c r="H270" s="1">
        <f t="shared" si="29"/>
        <v>703.70508511046955</v>
      </c>
      <c r="I270" s="1">
        <f t="shared" si="30"/>
        <v>3.1164320000000014</v>
      </c>
      <c r="J270" s="1">
        <f t="shared" si="31"/>
        <v>0.95391245791245838</v>
      </c>
      <c r="K270" s="17" t="str">
        <f t="shared" si="32"/>
        <v/>
      </c>
      <c r="L270" s="17" t="str">
        <f t="shared" si="33"/>
        <v/>
      </c>
    </row>
    <row r="271" spans="1:12">
      <c r="A271" s="17">
        <v>261</v>
      </c>
      <c r="B271" s="17">
        <v>6</v>
      </c>
      <c r="C271" s="17">
        <v>13</v>
      </c>
      <c r="D271" s="17" t="s">
        <v>635</v>
      </c>
      <c r="E271" s="17">
        <v>699.15599999999995</v>
      </c>
      <c r="F271" s="17">
        <f t="shared" si="34"/>
        <v>5.4000000000087311E-2</v>
      </c>
      <c r="G271" s="1">
        <f t="shared" si="28"/>
        <v>701.16808389261723</v>
      </c>
      <c r="H271" s="1">
        <f t="shared" si="29"/>
        <v>703.70508511046955</v>
      </c>
      <c r="I271" s="1">
        <f t="shared" si="30"/>
        <v>3.1164320000000014</v>
      </c>
      <c r="J271" s="1">
        <f t="shared" si="31"/>
        <v>0.95391245791245838</v>
      </c>
      <c r="K271" s="17" t="str">
        <f t="shared" si="32"/>
        <v/>
      </c>
      <c r="L271" s="17" t="str">
        <f t="shared" si="33"/>
        <v/>
      </c>
    </row>
    <row r="272" spans="1:12">
      <c r="A272" s="17">
        <v>262</v>
      </c>
      <c r="B272" s="17">
        <v>6</v>
      </c>
      <c r="C272" s="17">
        <v>12</v>
      </c>
      <c r="D272" s="17" t="s">
        <v>636</v>
      </c>
      <c r="E272" s="17">
        <v>701.51099999999997</v>
      </c>
      <c r="F272" s="17">
        <f t="shared" si="34"/>
        <v>2.3550000000000182</v>
      </c>
      <c r="G272" s="1">
        <f t="shared" si="28"/>
        <v>701.16808389261723</v>
      </c>
      <c r="H272" s="1">
        <f t="shared" si="29"/>
        <v>703.70508511046955</v>
      </c>
      <c r="I272" s="1">
        <f t="shared" si="30"/>
        <v>3.1164320000000014</v>
      </c>
      <c r="J272" s="1">
        <f t="shared" si="31"/>
        <v>0.95391245791245838</v>
      </c>
      <c r="K272" s="17" t="str">
        <f t="shared" si="32"/>
        <v/>
      </c>
      <c r="L272" s="17" t="str">
        <f t="shared" si="33"/>
        <v/>
      </c>
    </row>
    <row r="273" spans="1:12">
      <c r="A273" s="17">
        <v>263</v>
      </c>
      <c r="B273" s="17">
        <v>6</v>
      </c>
      <c r="C273" s="17">
        <v>11</v>
      </c>
      <c r="D273" s="17" t="s">
        <v>637</v>
      </c>
      <c r="E273" s="17">
        <v>699.64599999999996</v>
      </c>
      <c r="F273" s="17">
        <f t="shared" si="34"/>
        <v>1.8650000000000091</v>
      </c>
      <c r="G273" s="1">
        <f t="shared" si="28"/>
        <v>701.16808389261723</v>
      </c>
      <c r="H273" s="1">
        <f t="shared" si="29"/>
        <v>703.70508511046955</v>
      </c>
      <c r="I273" s="1">
        <f t="shared" si="30"/>
        <v>3.1164320000000014</v>
      </c>
      <c r="J273" s="1">
        <f t="shared" si="31"/>
        <v>0.95391245791245838</v>
      </c>
      <c r="K273" s="17" t="str">
        <f t="shared" si="32"/>
        <v/>
      </c>
      <c r="L273" s="17" t="str">
        <f t="shared" si="33"/>
        <v/>
      </c>
    </row>
    <row r="274" spans="1:12">
      <c r="A274" s="17">
        <v>264</v>
      </c>
      <c r="B274" s="17">
        <v>6</v>
      </c>
      <c r="C274" s="17">
        <v>10</v>
      </c>
      <c r="D274" s="17" t="s">
        <v>638</v>
      </c>
      <c r="E274" s="17">
        <v>699.00599999999997</v>
      </c>
      <c r="F274" s="17">
        <f t="shared" si="34"/>
        <v>0.63999999999998636</v>
      </c>
      <c r="G274" s="1">
        <f t="shared" si="28"/>
        <v>701.16808389261723</v>
      </c>
      <c r="H274" s="1">
        <f t="shared" si="29"/>
        <v>703.70508511046955</v>
      </c>
      <c r="I274" s="1">
        <f t="shared" si="30"/>
        <v>3.1164320000000014</v>
      </c>
      <c r="J274" s="1">
        <f t="shared" si="31"/>
        <v>0.95391245791245838</v>
      </c>
      <c r="K274" s="17" t="str">
        <f t="shared" si="32"/>
        <v/>
      </c>
      <c r="L274" s="17" t="str">
        <f t="shared" si="33"/>
        <v/>
      </c>
    </row>
    <row r="275" spans="1:12">
      <c r="A275" s="17">
        <v>265</v>
      </c>
      <c r="B275" s="17">
        <v>6</v>
      </c>
      <c r="C275" s="17">
        <v>9</v>
      </c>
      <c r="D275" s="17" t="s">
        <v>639</v>
      </c>
      <c r="E275" s="17">
        <v>699.47400000000005</v>
      </c>
      <c r="F275" s="17">
        <f t="shared" si="34"/>
        <v>0.46800000000007458</v>
      </c>
      <c r="G275" s="1">
        <f t="shared" si="28"/>
        <v>701.16808389261723</v>
      </c>
      <c r="H275" s="1">
        <f t="shared" si="29"/>
        <v>703.70508511046955</v>
      </c>
      <c r="I275" s="1">
        <f t="shared" si="30"/>
        <v>3.1164320000000014</v>
      </c>
      <c r="J275" s="1">
        <f t="shared" si="31"/>
        <v>0.95391245791245838</v>
      </c>
      <c r="K275" s="17" t="str">
        <f t="shared" si="32"/>
        <v/>
      </c>
      <c r="L275" s="17" t="str">
        <f t="shared" si="33"/>
        <v/>
      </c>
    </row>
    <row r="276" spans="1:12">
      <c r="A276" s="17">
        <v>266</v>
      </c>
      <c r="B276" s="17">
        <v>6</v>
      </c>
      <c r="C276" s="17">
        <v>8</v>
      </c>
      <c r="D276" s="17" t="s">
        <v>640</v>
      </c>
      <c r="E276" s="17">
        <v>699.65800000000002</v>
      </c>
      <c r="F276" s="17">
        <f t="shared" si="34"/>
        <v>0.18399999999996908</v>
      </c>
      <c r="G276" s="1">
        <f t="shared" si="28"/>
        <v>701.16808389261723</v>
      </c>
      <c r="H276" s="1">
        <f t="shared" si="29"/>
        <v>703.70508511046955</v>
      </c>
      <c r="I276" s="1">
        <f t="shared" si="30"/>
        <v>3.1164320000000014</v>
      </c>
      <c r="J276" s="1">
        <f t="shared" si="31"/>
        <v>0.95391245791245838</v>
      </c>
      <c r="K276" s="17" t="str">
        <f t="shared" si="32"/>
        <v/>
      </c>
      <c r="L276" s="17" t="str">
        <f t="shared" si="33"/>
        <v/>
      </c>
    </row>
    <row r="277" spans="1:12">
      <c r="A277" s="17">
        <v>267</v>
      </c>
      <c r="B277" s="17">
        <v>6</v>
      </c>
      <c r="C277" s="17">
        <v>7</v>
      </c>
      <c r="D277" s="17" t="s">
        <v>641</v>
      </c>
      <c r="E277" s="17">
        <v>699.67200000000003</v>
      </c>
      <c r="F277" s="17">
        <f t="shared" si="34"/>
        <v>1.4000000000010004E-2</v>
      </c>
      <c r="G277" s="1">
        <f t="shared" si="28"/>
        <v>701.16808389261723</v>
      </c>
      <c r="H277" s="1">
        <f t="shared" si="29"/>
        <v>703.70508511046955</v>
      </c>
      <c r="I277" s="1">
        <f t="shared" si="30"/>
        <v>3.1164320000000014</v>
      </c>
      <c r="J277" s="1">
        <f t="shared" si="31"/>
        <v>0.95391245791245838</v>
      </c>
      <c r="K277" s="17" t="str">
        <f t="shared" si="32"/>
        <v/>
      </c>
      <c r="L277" s="17" t="str">
        <f t="shared" si="33"/>
        <v/>
      </c>
    </row>
    <row r="278" spans="1:12">
      <c r="A278" s="17">
        <v>268</v>
      </c>
      <c r="B278" s="17">
        <v>6</v>
      </c>
      <c r="C278" s="17">
        <v>6</v>
      </c>
      <c r="D278" s="17" t="s">
        <v>642</v>
      </c>
      <c r="E278" s="17">
        <v>700.36</v>
      </c>
      <c r="F278" s="17">
        <f t="shared" si="34"/>
        <v>0.68799999999998818</v>
      </c>
      <c r="G278" s="1">
        <f t="shared" si="28"/>
        <v>701.16808389261723</v>
      </c>
      <c r="H278" s="1">
        <f t="shared" si="29"/>
        <v>703.70508511046955</v>
      </c>
      <c r="I278" s="1">
        <f t="shared" si="30"/>
        <v>3.1164320000000014</v>
      </c>
      <c r="J278" s="1">
        <f t="shared" si="31"/>
        <v>0.95391245791245838</v>
      </c>
      <c r="K278" s="17" t="str">
        <f t="shared" si="32"/>
        <v/>
      </c>
      <c r="L278" s="17" t="str">
        <f t="shared" si="33"/>
        <v/>
      </c>
    </row>
    <row r="279" spans="1:12">
      <c r="A279" s="17">
        <v>269</v>
      </c>
      <c r="B279" s="17">
        <v>6</v>
      </c>
      <c r="C279" s="17">
        <v>5</v>
      </c>
      <c r="D279" s="17" t="s">
        <v>643</v>
      </c>
      <c r="E279" s="17">
        <v>700.12800000000004</v>
      </c>
      <c r="F279" s="17">
        <f t="shared" si="34"/>
        <v>0.2319999999999709</v>
      </c>
      <c r="G279" s="1">
        <f t="shared" si="28"/>
        <v>701.16808389261723</v>
      </c>
      <c r="H279" s="1">
        <f t="shared" si="29"/>
        <v>703.70508511046955</v>
      </c>
      <c r="I279" s="1">
        <f t="shared" si="30"/>
        <v>3.1164320000000014</v>
      </c>
      <c r="J279" s="1">
        <f t="shared" si="31"/>
        <v>0.95391245791245838</v>
      </c>
      <c r="K279" s="17" t="str">
        <f t="shared" si="32"/>
        <v/>
      </c>
      <c r="L279" s="17" t="str">
        <f t="shared" si="33"/>
        <v/>
      </c>
    </row>
    <row r="280" spans="1:12">
      <c r="A280" s="17">
        <v>270</v>
      </c>
      <c r="B280" s="17">
        <v>6</v>
      </c>
      <c r="C280" s="17">
        <v>4</v>
      </c>
      <c r="D280" s="17" t="s">
        <v>644</v>
      </c>
      <c r="E280" s="17">
        <v>700.39499999999998</v>
      </c>
      <c r="F280" s="17">
        <f t="shared" si="34"/>
        <v>0.26699999999993906</v>
      </c>
      <c r="G280" s="1">
        <f t="shared" si="28"/>
        <v>701.16808389261723</v>
      </c>
      <c r="H280" s="1">
        <f t="shared" si="29"/>
        <v>703.70508511046955</v>
      </c>
      <c r="I280" s="1">
        <f t="shared" si="30"/>
        <v>3.1164320000000014</v>
      </c>
      <c r="J280" s="1">
        <f t="shared" si="31"/>
        <v>0.95391245791245838</v>
      </c>
      <c r="K280" s="17" t="str">
        <f t="shared" si="32"/>
        <v/>
      </c>
      <c r="L280" s="17" t="str">
        <f t="shared" si="33"/>
        <v/>
      </c>
    </row>
    <row r="281" spans="1:12">
      <c r="A281" s="17">
        <v>271</v>
      </c>
      <c r="B281" s="17">
        <v>6</v>
      </c>
      <c r="C281" s="17">
        <v>3</v>
      </c>
      <c r="D281" s="17" t="s">
        <v>645</v>
      </c>
      <c r="E281" s="17">
        <v>700.85</v>
      </c>
      <c r="F281" s="17">
        <f t="shared" si="34"/>
        <v>0.45500000000004093</v>
      </c>
      <c r="G281" s="1">
        <f t="shared" si="28"/>
        <v>701.16808389261723</v>
      </c>
      <c r="H281" s="1">
        <f t="shared" si="29"/>
        <v>703.70508511046955</v>
      </c>
      <c r="I281" s="1">
        <f t="shared" si="30"/>
        <v>3.1164320000000014</v>
      </c>
      <c r="J281" s="1">
        <f t="shared" si="31"/>
        <v>0.95391245791245838</v>
      </c>
      <c r="K281" s="17" t="str">
        <f t="shared" si="32"/>
        <v/>
      </c>
      <c r="L281" s="17" t="str">
        <f t="shared" si="33"/>
        <v/>
      </c>
    </row>
    <row r="282" spans="1:12">
      <c r="A282" s="17">
        <v>272</v>
      </c>
      <c r="B282" s="17">
        <v>6</v>
      </c>
      <c r="C282" s="17">
        <v>2</v>
      </c>
      <c r="D282" s="17" t="s">
        <v>646</v>
      </c>
      <c r="E282" s="17">
        <v>699.53700000000003</v>
      </c>
      <c r="F282" s="17">
        <f t="shared" si="34"/>
        <v>1.3129999999999882</v>
      </c>
      <c r="G282" s="1">
        <f t="shared" si="28"/>
        <v>701.16808389261723</v>
      </c>
      <c r="H282" s="1">
        <f t="shared" si="29"/>
        <v>703.70508511046955</v>
      </c>
      <c r="I282" s="1">
        <f t="shared" si="30"/>
        <v>3.1164320000000014</v>
      </c>
      <c r="J282" s="1">
        <f t="shared" si="31"/>
        <v>0.95391245791245838</v>
      </c>
      <c r="K282" s="17" t="str">
        <f t="shared" si="32"/>
        <v/>
      </c>
      <c r="L282" s="17" t="str">
        <f t="shared" si="33"/>
        <v/>
      </c>
    </row>
    <row r="283" spans="1:12">
      <c r="A283" s="17">
        <v>273</v>
      </c>
      <c r="B283" s="17">
        <v>6</v>
      </c>
      <c r="C283" s="17">
        <v>1</v>
      </c>
      <c r="D283" s="17" t="s">
        <v>647</v>
      </c>
      <c r="E283" s="17">
        <v>701.90800000000002</v>
      </c>
      <c r="F283" s="17">
        <f t="shared" si="34"/>
        <v>2.3709999999999809</v>
      </c>
      <c r="G283" s="1">
        <f t="shared" si="28"/>
        <v>701.16808389261723</v>
      </c>
      <c r="H283" s="1">
        <f t="shared" si="29"/>
        <v>703.70508511046955</v>
      </c>
      <c r="I283" s="1">
        <f t="shared" si="30"/>
        <v>3.1164320000000014</v>
      </c>
      <c r="J283" s="1">
        <f t="shared" si="31"/>
        <v>0.95391245791245838</v>
      </c>
      <c r="K283" s="17" t="str">
        <f t="shared" si="32"/>
        <v/>
      </c>
      <c r="L283" s="17" t="str">
        <f t="shared" si="33"/>
        <v/>
      </c>
    </row>
    <row r="284" spans="1:12">
      <c r="A284" s="17">
        <v>274</v>
      </c>
      <c r="B284" s="17">
        <v>6</v>
      </c>
      <c r="C284" s="17">
        <v>25</v>
      </c>
      <c r="D284" s="17" t="s">
        <v>648</v>
      </c>
      <c r="E284" s="17">
        <v>701.67200000000003</v>
      </c>
      <c r="F284" s="17">
        <f t="shared" si="34"/>
        <v>0.23599999999999</v>
      </c>
      <c r="G284" s="1">
        <f t="shared" si="28"/>
        <v>701.16808389261723</v>
      </c>
      <c r="H284" s="1">
        <f t="shared" si="29"/>
        <v>703.70508511046955</v>
      </c>
      <c r="I284" s="1">
        <f t="shared" si="30"/>
        <v>3.1164320000000014</v>
      </c>
      <c r="J284" s="1">
        <f t="shared" si="31"/>
        <v>0.95391245791245838</v>
      </c>
      <c r="K284" s="17" t="str">
        <f t="shared" si="32"/>
        <v/>
      </c>
      <c r="L284" s="17" t="str">
        <f t="shared" si="33"/>
        <v/>
      </c>
    </row>
    <row r="285" spans="1:12">
      <c r="A285" s="17">
        <v>275</v>
      </c>
      <c r="B285" s="17">
        <v>6</v>
      </c>
      <c r="C285" s="17">
        <v>24</v>
      </c>
      <c r="D285" s="17" t="s">
        <v>649</v>
      </c>
      <c r="E285" s="17">
        <v>701.03399999999999</v>
      </c>
      <c r="F285" s="17">
        <f t="shared" si="34"/>
        <v>0.63800000000003365</v>
      </c>
      <c r="G285" s="1">
        <f t="shared" si="28"/>
        <v>701.16808389261723</v>
      </c>
      <c r="H285" s="1">
        <f t="shared" si="29"/>
        <v>703.70508511046955</v>
      </c>
      <c r="I285" s="1">
        <f t="shared" si="30"/>
        <v>3.1164320000000014</v>
      </c>
      <c r="J285" s="1">
        <f t="shared" si="31"/>
        <v>0.95391245791245838</v>
      </c>
      <c r="K285" s="17" t="str">
        <f t="shared" si="32"/>
        <v/>
      </c>
      <c r="L285" s="17" t="str">
        <f t="shared" si="33"/>
        <v/>
      </c>
    </row>
    <row r="286" spans="1:12">
      <c r="A286" s="17">
        <v>276</v>
      </c>
      <c r="B286" s="17">
        <v>6</v>
      </c>
      <c r="C286" s="17">
        <v>23</v>
      </c>
      <c r="D286" s="17" t="s">
        <v>650</v>
      </c>
      <c r="E286" s="17">
        <v>701.95600000000002</v>
      </c>
      <c r="F286" s="17">
        <f t="shared" si="34"/>
        <v>0.92200000000002547</v>
      </c>
      <c r="G286" s="1">
        <f t="shared" si="28"/>
        <v>701.16808389261723</v>
      </c>
      <c r="H286" s="1">
        <f t="shared" si="29"/>
        <v>703.70508511046955</v>
      </c>
      <c r="I286" s="1">
        <f t="shared" si="30"/>
        <v>3.1164320000000014</v>
      </c>
      <c r="J286" s="1">
        <f t="shared" si="31"/>
        <v>0.95391245791245838</v>
      </c>
      <c r="K286" s="17" t="str">
        <f t="shared" si="32"/>
        <v/>
      </c>
      <c r="L286" s="17" t="str">
        <f t="shared" si="33"/>
        <v/>
      </c>
    </row>
    <row r="287" spans="1:12">
      <c r="A287" s="17">
        <v>277</v>
      </c>
      <c r="B287" s="17">
        <v>6</v>
      </c>
      <c r="C287" s="17">
        <v>22</v>
      </c>
      <c r="D287" s="17" t="s">
        <v>651</v>
      </c>
      <c r="E287" s="17">
        <v>701.904</v>
      </c>
      <c r="F287" s="17">
        <f t="shared" si="34"/>
        <v>5.2000000000020918E-2</v>
      </c>
      <c r="G287" s="1">
        <f t="shared" si="28"/>
        <v>701.16808389261723</v>
      </c>
      <c r="H287" s="1">
        <f t="shared" si="29"/>
        <v>703.70508511046955</v>
      </c>
      <c r="I287" s="1">
        <f t="shared" si="30"/>
        <v>3.1164320000000014</v>
      </c>
      <c r="J287" s="1">
        <f t="shared" si="31"/>
        <v>0.95391245791245838</v>
      </c>
      <c r="K287" s="17" t="str">
        <f t="shared" si="32"/>
        <v/>
      </c>
      <c r="L287" s="17" t="str">
        <f t="shared" si="33"/>
        <v/>
      </c>
    </row>
    <row r="288" spans="1:12">
      <c r="A288" s="17">
        <v>278</v>
      </c>
      <c r="B288" s="17">
        <v>6</v>
      </c>
      <c r="C288" s="17">
        <v>21</v>
      </c>
      <c r="D288" s="17" t="s">
        <v>652</v>
      </c>
      <c r="E288" s="17">
        <v>701.08699999999999</v>
      </c>
      <c r="F288" s="17">
        <f t="shared" si="34"/>
        <v>0.81700000000000728</v>
      </c>
      <c r="G288" s="1">
        <f t="shared" si="28"/>
        <v>701.16808389261723</v>
      </c>
      <c r="H288" s="1">
        <f t="shared" si="29"/>
        <v>703.70508511046955</v>
      </c>
      <c r="I288" s="1">
        <f t="shared" si="30"/>
        <v>3.1164320000000014</v>
      </c>
      <c r="J288" s="1">
        <f t="shared" si="31"/>
        <v>0.95391245791245838</v>
      </c>
      <c r="K288" s="17" t="str">
        <f t="shared" si="32"/>
        <v/>
      </c>
      <c r="L288" s="17" t="str">
        <f t="shared" si="33"/>
        <v/>
      </c>
    </row>
    <row r="289" spans="1:12">
      <c r="A289" s="17">
        <v>279</v>
      </c>
      <c r="B289" s="17">
        <v>6</v>
      </c>
      <c r="C289" s="17">
        <v>20</v>
      </c>
      <c r="D289" s="17" t="s">
        <v>653</v>
      </c>
      <c r="E289" s="17">
        <v>701.44200000000001</v>
      </c>
      <c r="F289" s="17">
        <f t="shared" si="34"/>
        <v>0.35500000000001819</v>
      </c>
      <c r="G289" s="1">
        <f t="shared" si="28"/>
        <v>701.16808389261723</v>
      </c>
      <c r="H289" s="1">
        <f t="shared" si="29"/>
        <v>703.70508511046955</v>
      </c>
      <c r="I289" s="1">
        <f t="shared" si="30"/>
        <v>3.1164320000000014</v>
      </c>
      <c r="J289" s="1">
        <f t="shared" si="31"/>
        <v>0.95391245791245838</v>
      </c>
      <c r="K289" s="17" t="str">
        <f t="shared" si="32"/>
        <v/>
      </c>
      <c r="L289" s="17" t="str">
        <f t="shared" si="33"/>
        <v/>
      </c>
    </row>
    <row r="290" spans="1:12">
      <c r="A290" s="17">
        <v>280</v>
      </c>
      <c r="B290" s="17">
        <v>6</v>
      </c>
      <c r="C290" s="17">
        <v>19</v>
      </c>
      <c r="D290" s="17" t="s">
        <v>654</v>
      </c>
      <c r="E290" s="17">
        <v>702.54</v>
      </c>
      <c r="F290" s="17">
        <f t="shared" si="34"/>
        <v>1.0979999999999563</v>
      </c>
      <c r="G290" s="1">
        <f t="shared" si="28"/>
        <v>701.16808389261723</v>
      </c>
      <c r="H290" s="1">
        <f t="shared" si="29"/>
        <v>703.70508511046955</v>
      </c>
      <c r="I290" s="1">
        <f t="shared" si="30"/>
        <v>3.1164320000000014</v>
      </c>
      <c r="J290" s="1">
        <f t="shared" si="31"/>
        <v>0.95391245791245838</v>
      </c>
      <c r="K290" s="17" t="str">
        <f t="shared" si="32"/>
        <v/>
      </c>
      <c r="L290" s="17" t="str">
        <f t="shared" si="33"/>
        <v/>
      </c>
    </row>
    <row r="291" spans="1:12">
      <c r="A291" s="17">
        <v>281</v>
      </c>
      <c r="B291" s="17">
        <v>6</v>
      </c>
      <c r="C291" s="17">
        <v>18</v>
      </c>
      <c r="D291" s="17" t="s">
        <v>655</v>
      </c>
      <c r="E291" s="17">
        <v>702.31799999999998</v>
      </c>
      <c r="F291" s="17">
        <f t="shared" si="34"/>
        <v>0.22199999999997999</v>
      </c>
      <c r="G291" s="1">
        <f t="shared" si="28"/>
        <v>701.16808389261723</v>
      </c>
      <c r="H291" s="1">
        <f t="shared" si="29"/>
        <v>703.70508511046955</v>
      </c>
      <c r="I291" s="1">
        <f t="shared" si="30"/>
        <v>3.1164320000000014</v>
      </c>
      <c r="J291" s="1">
        <f t="shared" si="31"/>
        <v>0.95391245791245838</v>
      </c>
      <c r="K291" s="17" t="str">
        <f t="shared" si="32"/>
        <v/>
      </c>
      <c r="L291" s="17" t="str">
        <f t="shared" si="33"/>
        <v/>
      </c>
    </row>
    <row r="292" spans="1:12">
      <c r="A292" s="17">
        <v>282</v>
      </c>
      <c r="B292" s="17">
        <v>6</v>
      </c>
      <c r="C292" s="17">
        <v>17</v>
      </c>
      <c r="D292" s="17" t="s">
        <v>656</v>
      </c>
      <c r="E292" s="17">
        <v>702.43899999999996</v>
      </c>
      <c r="F292" s="17">
        <f t="shared" si="34"/>
        <v>0.1209999999999809</v>
      </c>
      <c r="G292" s="1">
        <f t="shared" si="28"/>
        <v>701.16808389261723</v>
      </c>
      <c r="H292" s="1">
        <f t="shared" si="29"/>
        <v>703.70508511046955</v>
      </c>
      <c r="I292" s="1">
        <f t="shared" si="30"/>
        <v>3.1164320000000014</v>
      </c>
      <c r="J292" s="1">
        <f t="shared" si="31"/>
        <v>0.95391245791245838</v>
      </c>
      <c r="K292" s="17" t="str">
        <f t="shared" si="32"/>
        <v/>
      </c>
      <c r="L292" s="17" t="str">
        <f t="shared" si="33"/>
        <v/>
      </c>
    </row>
    <row r="293" spans="1:12">
      <c r="A293" s="17">
        <v>283</v>
      </c>
      <c r="B293" s="17">
        <v>6</v>
      </c>
      <c r="C293" s="17">
        <v>16</v>
      </c>
      <c r="D293" s="17" t="s">
        <v>657</v>
      </c>
      <c r="E293" s="17">
        <v>702.875</v>
      </c>
      <c r="F293" s="17">
        <f t="shared" si="34"/>
        <v>0.43600000000003547</v>
      </c>
      <c r="G293" s="1">
        <f t="shared" si="28"/>
        <v>701.16808389261723</v>
      </c>
      <c r="H293" s="1">
        <f t="shared" si="29"/>
        <v>703.70508511046955</v>
      </c>
      <c r="I293" s="1">
        <f t="shared" si="30"/>
        <v>3.1164320000000014</v>
      </c>
      <c r="J293" s="1">
        <f t="shared" si="31"/>
        <v>0.95391245791245838</v>
      </c>
      <c r="K293" s="17" t="str">
        <f t="shared" si="32"/>
        <v/>
      </c>
      <c r="L293" s="17" t="str">
        <f t="shared" si="33"/>
        <v/>
      </c>
    </row>
    <row r="294" spans="1:12">
      <c r="A294" s="17">
        <v>284</v>
      </c>
      <c r="B294" s="17">
        <v>6</v>
      </c>
      <c r="C294" s="17">
        <v>15</v>
      </c>
      <c r="D294" s="17" t="s">
        <v>658</v>
      </c>
      <c r="E294" s="17">
        <v>702.423</v>
      </c>
      <c r="F294" s="17">
        <f t="shared" si="34"/>
        <v>0.45199999999999818</v>
      </c>
      <c r="G294" s="1">
        <f t="shared" si="28"/>
        <v>701.16808389261723</v>
      </c>
      <c r="H294" s="1">
        <f t="shared" si="29"/>
        <v>703.70508511046955</v>
      </c>
      <c r="I294" s="1">
        <f t="shared" si="30"/>
        <v>3.1164320000000014</v>
      </c>
      <c r="J294" s="1">
        <f t="shared" si="31"/>
        <v>0.95391245791245838</v>
      </c>
      <c r="K294" s="17" t="str">
        <f t="shared" si="32"/>
        <v/>
      </c>
      <c r="L294" s="17" t="str">
        <f t="shared" si="33"/>
        <v/>
      </c>
    </row>
    <row r="295" spans="1:12">
      <c r="A295" s="17">
        <v>285</v>
      </c>
      <c r="B295" s="17">
        <v>6</v>
      </c>
      <c r="C295" s="17">
        <v>14</v>
      </c>
      <c r="D295" s="17" t="s">
        <v>659</v>
      </c>
      <c r="E295" s="17">
        <v>702.87800000000004</v>
      </c>
      <c r="F295" s="17">
        <f t="shared" si="34"/>
        <v>0.45500000000004093</v>
      </c>
      <c r="G295" s="1">
        <f t="shared" si="28"/>
        <v>701.16808389261723</v>
      </c>
      <c r="H295" s="1">
        <f t="shared" si="29"/>
        <v>703.70508511046955</v>
      </c>
      <c r="I295" s="1">
        <f t="shared" si="30"/>
        <v>3.1164320000000014</v>
      </c>
      <c r="J295" s="1">
        <f t="shared" si="31"/>
        <v>0.95391245791245838</v>
      </c>
      <c r="K295" s="17" t="str">
        <f t="shared" si="32"/>
        <v/>
      </c>
      <c r="L295" s="17" t="str">
        <f t="shared" si="33"/>
        <v/>
      </c>
    </row>
    <row r="296" spans="1:12">
      <c r="A296" s="17">
        <v>286</v>
      </c>
      <c r="B296" s="17">
        <v>6</v>
      </c>
      <c r="C296" s="17">
        <v>13</v>
      </c>
      <c r="D296" s="17" t="s">
        <v>660</v>
      </c>
      <c r="E296" s="17">
        <v>702.34500000000003</v>
      </c>
      <c r="F296" s="17">
        <f t="shared" si="34"/>
        <v>0.53300000000001546</v>
      </c>
      <c r="G296" s="1">
        <f t="shared" si="28"/>
        <v>701.16808389261723</v>
      </c>
      <c r="H296" s="1">
        <f t="shared" si="29"/>
        <v>703.70508511046955</v>
      </c>
      <c r="I296" s="1">
        <f t="shared" si="30"/>
        <v>3.1164320000000014</v>
      </c>
      <c r="J296" s="1">
        <f t="shared" si="31"/>
        <v>0.95391245791245838</v>
      </c>
      <c r="K296" s="17" t="str">
        <f t="shared" si="32"/>
        <v/>
      </c>
      <c r="L296" s="17" t="str">
        <f t="shared" si="33"/>
        <v/>
      </c>
    </row>
    <row r="297" spans="1:12">
      <c r="A297" s="17">
        <v>287</v>
      </c>
      <c r="B297" s="17">
        <v>6</v>
      </c>
      <c r="C297" s="17">
        <v>12</v>
      </c>
      <c r="D297" s="17" t="s">
        <v>661</v>
      </c>
      <c r="E297" s="17">
        <v>702.24400000000003</v>
      </c>
      <c r="F297" s="17">
        <f t="shared" si="34"/>
        <v>0.10099999999999909</v>
      </c>
      <c r="G297" s="1">
        <f t="shared" si="28"/>
        <v>701.16808389261723</v>
      </c>
      <c r="H297" s="1">
        <f t="shared" si="29"/>
        <v>703.70508511046955</v>
      </c>
      <c r="I297" s="1">
        <f t="shared" si="30"/>
        <v>3.1164320000000014</v>
      </c>
      <c r="J297" s="1">
        <f t="shared" si="31"/>
        <v>0.95391245791245838</v>
      </c>
      <c r="K297" s="17" t="str">
        <f t="shared" si="32"/>
        <v/>
      </c>
      <c r="L297" s="17" t="str">
        <f t="shared" si="33"/>
        <v/>
      </c>
    </row>
    <row r="298" spans="1:12">
      <c r="A298" s="17">
        <v>288</v>
      </c>
      <c r="B298" s="17">
        <v>6</v>
      </c>
      <c r="C298" s="17">
        <v>11</v>
      </c>
      <c r="D298" s="17" t="s">
        <v>662</v>
      </c>
      <c r="E298" s="17">
        <v>700.91399999999999</v>
      </c>
      <c r="F298" s="17">
        <f t="shared" si="34"/>
        <v>1.3300000000000409</v>
      </c>
      <c r="G298" s="1">
        <f t="shared" si="28"/>
        <v>701.16808389261723</v>
      </c>
      <c r="H298" s="1">
        <f t="shared" si="29"/>
        <v>703.70508511046955</v>
      </c>
      <c r="I298" s="1">
        <f t="shared" si="30"/>
        <v>3.1164320000000014</v>
      </c>
      <c r="J298" s="1">
        <f t="shared" si="31"/>
        <v>0.95391245791245838</v>
      </c>
      <c r="K298" s="17" t="str">
        <f t="shared" si="32"/>
        <v/>
      </c>
      <c r="L298" s="17" t="str">
        <f t="shared" si="33"/>
        <v/>
      </c>
    </row>
    <row r="299" spans="1:12">
      <c r="A299" s="17">
        <v>289</v>
      </c>
      <c r="B299" s="17">
        <v>6</v>
      </c>
      <c r="C299" s="17">
        <v>10</v>
      </c>
      <c r="D299" s="17" t="s">
        <v>663</v>
      </c>
      <c r="E299" s="17">
        <v>701.38800000000003</v>
      </c>
      <c r="F299" s="17">
        <f t="shared" si="34"/>
        <v>0.47400000000004638</v>
      </c>
      <c r="G299" s="1">
        <f t="shared" si="28"/>
        <v>701.16808389261723</v>
      </c>
      <c r="H299" s="1">
        <f t="shared" si="29"/>
        <v>703.70508511046955</v>
      </c>
      <c r="I299" s="1">
        <f t="shared" si="30"/>
        <v>3.1164320000000014</v>
      </c>
      <c r="J299" s="1">
        <f t="shared" si="31"/>
        <v>0.95391245791245838</v>
      </c>
      <c r="K299" s="17" t="str">
        <f t="shared" si="32"/>
        <v/>
      </c>
      <c r="L299" s="17" t="str">
        <f t="shared" si="33"/>
        <v/>
      </c>
    </row>
    <row r="300" spans="1:12">
      <c r="A300" s="17">
        <v>290</v>
      </c>
      <c r="B300" s="17">
        <v>6</v>
      </c>
      <c r="C300" s="17">
        <v>9</v>
      </c>
      <c r="D300" s="17" t="s">
        <v>664</v>
      </c>
      <c r="E300" s="17">
        <v>699.63800000000003</v>
      </c>
      <c r="F300" s="17">
        <f t="shared" si="34"/>
        <v>1.75</v>
      </c>
      <c r="G300" s="1">
        <f t="shared" si="28"/>
        <v>701.16808389261723</v>
      </c>
      <c r="H300" s="1">
        <f t="shared" si="29"/>
        <v>703.70508511046955</v>
      </c>
      <c r="I300" s="1">
        <f t="shared" si="30"/>
        <v>3.1164320000000014</v>
      </c>
      <c r="J300" s="1">
        <f t="shared" si="31"/>
        <v>0.95391245791245838</v>
      </c>
      <c r="K300" s="17" t="str">
        <f t="shared" si="32"/>
        <v/>
      </c>
      <c r="L300" s="17" t="str">
        <f t="shared" si="33"/>
        <v/>
      </c>
    </row>
    <row r="301" spans="1:12">
      <c r="A301" s="17">
        <v>291</v>
      </c>
      <c r="B301" s="17">
        <v>6</v>
      </c>
      <c r="C301" s="17">
        <v>8</v>
      </c>
      <c r="D301" s="17" t="s">
        <v>665</v>
      </c>
      <c r="E301" s="17">
        <v>699.92399999999998</v>
      </c>
      <c r="F301" s="17">
        <f t="shared" si="34"/>
        <v>0.28599999999994452</v>
      </c>
      <c r="G301" s="1">
        <f t="shared" si="28"/>
        <v>701.16808389261723</v>
      </c>
      <c r="H301" s="1">
        <f t="shared" si="29"/>
        <v>703.70508511046955</v>
      </c>
      <c r="I301" s="1">
        <f t="shared" si="30"/>
        <v>3.1164320000000014</v>
      </c>
      <c r="J301" s="1">
        <f t="shared" si="31"/>
        <v>0.95391245791245838</v>
      </c>
      <c r="K301" s="17" t="str">
        <f t="shared" si="32"/>
        <v/>
      </c>
      <c r="L301" s="17" t="str">
        <f t="shared" si="33"/>
        <v/>
      </c>
    </row>
    <row r="302" spans="1:12">
      <c r="A302" s="17">
        <v>292</v>
      </c>
      <c r="B302" s="17">
        <v>6</v>
      </c>
      <c r="C302" s="17">
        <v>7</v>
      </c>
      <c r="D302" s="17" t="s">
        <v>666</v>
      </c>
      <c r="E302" s="17">
        <v>703.28399999999999</v>
      </c>
      <c r="F302" s="17">
        <f t="shared" si="34"/>
        <v>3.3600000000000136</v>
      </c>
      <c r="G302" s="1">
        <f t="shared" si="28"/>
        <v>701.16808389261723</v>
      </c>
      <c r="H302" s="1">
        <f t="shared" si="29"/>
        <v>703.70508511046955</v>
      </c>
      <c r="I302" s="1">
        <f t="shared" si="30"/>
        <v>3.1164320000000014</v>
      </c>
      <c r="J302" s="1">
        <f t="shared" si="31"/>
        <v>0.95391245791245838</v>
      </c>
      <c r="K302" s="17" t="str">
        <f t="shared" si="32"/>
        <v/>
      </c>
      <c r="L302" s="17" t="str">
        <f t="shared" si="33"/>
        <v/>
      </c>
    </row>
    <row r="303" spans="1:12">
      <c r="A303" s="17">
        <v>293</v>
      </c>
      <c r="B303" s="17">
        <v>6</v>
      </c>
      <c r="C303" s="17">
        <v>6</v>
      </c>
      <c r="D303" s="17" t="s">
        <v>667</v>
      </c>
      <c r="E303" s="17">
        <v>700.46</v>
      </c>
      <c r="F303" s="17">
        <f t="shared" si="34"/>
        <v>2.8239999999999554</v>
      </c>
      <c r="G303" s="1">
        <f t="shared" si="28"/>
        <v>701.16808389261723</v>
      </c>
      <c r="H303" s="1">
        <f t="shared" si="29"/>
        <v>703.70508511046955</v>
      </c>
      <c r="I303" s="1">
        <f t="shared" si="30"/>
        <v>3.1164320000000014</v>
      </c>
      <c r="J303" s="1">
        <f t="shared" si="31"/>
        <v>0.95391245791245838</v>
      </c>
      <c r="K303" s="17" t="str">
        <f t="shared" si="32"/>
        <v/>
      </c>
      <c r="L303" s="17" t="str">
        <f t="shared" si="33"/>
        <v/>
      </c>
    </row>
    <row r="304" spans="1:12">
      <c r="A304" s="17">
        <v>294</v>
      </c>
      <c r="B304" s="17">
        <v>6</v>
      </c>
      <c r="C304" s="17">
        <v>5</v>
      </c>
      <c r="D304" s="17" t="s">
        <v>668</v>
      </c>
      <c r="E304" s="17">
        <v>700.46199999999999</v>
      </c>
      <c r="F304" s="17">
        <f t="shared" si="34"/>
        <v>1.9999999999527063E-3</v>
      </c>
      <c r="G304" s="1">
        <f t="shared" si="28"/>
        <v>701.16808389261723</v>
      </c>
      <c r="H304" s="1">
        <f t="shared" si="29"/>
        <v>703.70508511046955</v>
      </c>
      <c r="I304" s="1">
        <f t="shared" si="30"/>
        <v>3.1164320000000014</v>
      </c>
      <c r="J304" s="1">
        <f t="shared" si="31"/>
        <v>0.95391245791245838</v>
      </c>
      <c r="K304" s="17" t="str">
        <f t="shared" si="32"/>
        <v/>
      </c>
      <c r="L304" s="17" t="str">
        <f t="shared" si="33"/>
        <v/>
      </c>
    </row>
    <row r="305" spans="1:12">
      <c r="A305" s="17">
        <v>295</v>
      </c>
      <c r="B305" s="17">
        <v>6</v>
      </c>
      <c r="C305" s="17">
        <v>4</v>
      </c>
      <c r="D305" s="17" t="s">
        <v>669</v>
      </c>
      <c r="E305" s="17">
        <v>699.64700000000005</v>
      </c>
      <c r="F305" s="17">
        <f t="shared" si="34"/>
        <v>0.81499999999994088</v>
      </c>
      <c r="G305" s="1">
        <f t="shared" si="28"/>
        <v>701.16808389261723</v>
      </c>
      <c r="H305" s="1">
        <f t="shared" si="29"/>
        <v>703.70508511046955</v>
      </c>
      <c r="I305" s="1">
        <f t="shared" si="30"/>
        <v>3.1164320000000014</v>
      </c>
      <c r="J305" s="1">
        <f t="shared" si="31"/>
        <v>0.95391245791245838</v>
      </c>
      <c r="K305" s="17" t="str">
        <f t="shared" si="32"/>
        <v/>
      </c>
      <c r="L305" s="17" t="str">
        <f t="shared" si="33"/>
        <v/>
      </c>
    </row>
    <row r="306" spans="1:12">
      <c r="A306" s="17">
        <v>296</v>
      </c>
      <c r="B306" s="17">
        <v>6</v>
      </c>
      <c r="C306" s="17">
        <v>3</v>
      </c>
      <c r="D306" s="17" t="s">
        <v>670</v>
      </c>
      <c r="E306" s="17">
        <v>700.56700000000001</v>
      </c>
      <c r="F306" s="17">
        <f t="shared" si="34"/>
        <v>0.91999999999995907</v>
      </c>
      <c r="G306" s="1">
        <f t="shared" si="28"/>
        <v>701.16808389261723</v>
      </c>
      <c r="H306" s="1">
        <f t="shared" si="29"/>
        <v>703.70508511046955</v>
      </c>
      <c r="I306" s="1">
        <f t="shared" si="30"/>
        <v>3.1164320000000014</v>
      </c>
      <c r="J306" s="1">
        <f t="shared" si="31"/>
        <v>0.95391245791245838</v>
      </c>
      <c r="K306" s="17" t="str">
        <f t="shared" si="32"/>
        <v/>
      </c>
      <c r="L306" s="17" t="str">
        <f t="shared" si="33"/>
        <v/>
      </c>
    </row>
    <row r="307" spans="1:12">
      <c r="A307" s="17">
        <v>297</v>
      </c>
      <c r="B307" s="17">
        <v>6</v>
      </c>
      <c r="C307" s="17">
        <v>2</v>
      </c>
      <c r="D307" s="17" t="s">
        <v>671</v>
      </c>
      <c r="E307" s="17">
        <v>701.49699999999996</v>
      </c>
      <c r="F307" s="17">
        <f t="shared" si="34"/>
        <v>0.92999999999994998</v>
      </c>
      <c r="G307" s="1">
        <f t="shared" si="28"/>
        <v>701.16808389261723</v>
      </c>
      <c r="H307" s="1">
        <f t="shared" si="29"/>
        <v>703.70508511046955</v>
      </c>
      <c r="I307" s="1">
        <f t="shared" si="30"/>
        <v>3.1164320000000014</v>
      </c>
      <c r="J307" s="1">
        <f t="shared" si="31"/>
        <v>0.95391245791245838</v>
      </c>
      <c r="K307" s="17" t="str">
        <f t="shared" si="32"/>
        <v/>
      </c>
      <c r="L307" s="17" t="str">
        <f t="shared" si="33"/>
        <v/>
      </c>
    </row>
    <row r="308" spans="1:12">
      <c r="A308" s="17">
        <v>298</v>
      </c>
      <c r="B308" s="17">
        <v>6</v>
      </c>
      <c r="C308" s="17">
        <v>1</v>
      </c>
      <c r="D308" s="17" t="s">
        <v>672</v>
      </c>
      <c r="E308" s="17">
        <v>701.11699999999996</v>
      </c>
      <c r="F308" s="17">
        <f t="shared" si="34"/>
        <v>0.37999999999999545</v>
      </c>
      <c r="G308" s="1">
        <f t="shared" si="28"/>
        <v>701.16808389261723</v>
      </c>
      <c r="H308" s="1">
        <f t="shared" si="29"/>
        <v>703.70508511046955</v>
      </c>
      <c r="I308" s="1">
        <f t="shared" si="30"/>
        <v>3.1164320000000014</v>
      </c>
      <c r="J308" s="1">
        <f t="shared" si="31"/>
        <v>0.95391245791245838</v>
      </c>
      <c r="K308" s="17" t="str">
        <f t="shared" si="32"/>
        <v/>
      </c>
      <c r="L308" s="17" t="str">
        <f t="shared" si="33"/>
        <v/>
      </c>
    </row>
  </sheetData>
  <mergeCells count="6">
    <mergeCell ref="B6:D6"/>
    <mergeCell ref="A1:M1"/>
    <mergeCell ref="P1:Q1"/>
    <mergeCell ref="A3:D3"/>
    <mergeCell ref="B4:D4"/>
    <mergeCell ref="B5:D5"/>
  </mergeCells>
  <phoneticPr fontId="4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7"/>
  <sheetViews>
    <sheetView showGridLines="0" workbookViewId="0">
      <pane ySplit="10" topLeftCell="A11" activePane="bottomLeft" state="frozen"/>
      <selection pane="bottomLeft" activeCell="F6" sqref="F6"/>
    </sheetView>
  </sheetViews>
  <sheetFormatPr defaultRowHeight="15.75"/>
  <cols>
    <col min="1" max="1" width="6" customWidth="1"/>
    <col min="2" max="2" width="8" customWidth="1"/>
    <col min="3" max="4" width="6" customWidth="1"/>
    <col min="5" max="5" width="16" customWidth="1"/>
    <col min="6" max="6" width="12" customWidth="1"/>
    <col min="7" max="13" width="10" customWidth="1"/>
    <col min="14" max="15" width="3" customWidth="1"/>
    <col min="16" max="21" width="16" customWidth="1"/>
  </cols>
  <sheetData>
    <row r="1" spans="1:21" ht="19.5">
      <c r="A1" s="71" t="s">
        <v>674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21">
      <c r="A2" s="80"/>
      <c r="B2" s="80"/>
      <c r="C2" s="80"/>
      <c r="D2" s="80"/>
      <c r="E2" s="79" t="s">
        <v>47</v>
      </c>
      <c r="F2" s="79"/>
      <c r="G2" s="79"/>
    </row>
    <row r="3" spans="1:21" ht="15.75" customHeight="1">
      <c r="A3" s="73" t="s">
        <v>46</v>
      </c>
      <c r="B3" s="68"/>
      <c r="C3" s="68"/>
      <c r="D3" s="68"/>
      <c r="E3" s="16" t="s">
        <v>48</v>
      </c>
      <c r="F3" s="27">
        <f>COUNT(F11:F607)</f>
        <v>597</v>
      </c>
      <c r="G3" s="31" t="s">
        <v>50</v>
      </c>
      <c r="S3" s="4"/>
      <c r="T3" s="4"/>
      <c r="U3" s="4"/>
    </row>
    <row r="4" spans="1:21">
      <c r="A4" s="8" t="s">
        <v>23</v>
      </c>
      <c r="B4" s="77">
        <v>1</v>
      </c>
      <c r="C4" s="65"/>
      <c r="D4" s="65"/>
      <c r="E4" s="16" t="s">
        <v>24</v>
      </c>
      <c r="F4" s="27">
        <f>AVERAGE(F11:F607)</f>
        <v>0.32666164154103872</v>
      </c>
      <c r="G4" s="56" t="s">
        <v>51</v>
      </c>
    </row>
    <row r="5" spans="1:21" ht="110.25" customHeight="1">
      <c r="A5" s="9" t="s">
        <v>49</v>
      </c>
      <c r="B5" s="76">
        <v>1.1279999999999999</v>
      </c>
      <c r="C5" s="75"/>
      <c r="D5" s="75"/>
      <c r="E5" s="16" t="s">
        <v>53</v>
      </c>
      <c r="F5" s="27">
        <f>AVERAGE(G12:G607)</f>
        <v>0.14549161073825498</v>
      </c>
      <c r="G5" s="57"/>
    </row>
    <row r="6" spans="1:21" ht="63" customHeight="1">
      <c r="A6" s="9" t="s">
        <v>52</v>
      </c>
      <c r="B6" s="76">
        <v>3.2669999999999999</v>
      </c>
      <c r="C6" s="75"/>
      <c r="D6" s="75"/>
      <c r="E6" s="16" t="s">
        <v>54</v>
      </c>
      <c r="F6" s="27">
        <f>F5/$B$5</f>
        <v>0.12898192441334663</v>
      </c>
      <c r="G6" s="57"/>
    </row>
    <row r="7" spans="1:21">
      <c r="E7" s="16" t="s">
        <v>55</v>
      </c>
      <c r="F7" s="27">
        <f>F4+3*F6</f>
        <v>0.71360741478107859</v>
      </c>
      <c r="G7" s="57"/>
    </row>
    <row r="8" spans="1:21">
      <c r="E8" s="16" t="s">
        <v>56</v>
      </c>
      <c r="F8" s="27">
        <f>$B$6*F5</f>
        <v>0.47532109228187902</v>
      </c>
      <c r="G8" s="57"/>
    </row>
    <row r="9" spans="1:21">
      <c r="E9" s="16" t="s">
        <v>70</v>
      </c>
      <c r="F9" s="27">
        <f>($B$4-F4)/(3*F6)</f>
        <v>1.740136228445786</v>
      </c>
      <c r="G9" s="58"/>
    </row>
    <row r="10" spans="1:21" ht="31.5">
      <c r="A10" s="10" t="s">
        <v>57</v>
      </c>
      <c r="B10" s="10" t="s">
        <v>58</v>
      </c>
      <c r="C10" s="10" t="s">
        <v>59</v>
      </c>
      <c r="D10" s="10" t="s">
        <v>60</v>
      </c>
      <c r="E10" s="10" t="s">
        <v>61</v>
      </c>
      <c r="F10" s="10" t="s">
        <v>62</v>
      </c>
      <c r="G10" s="10" t="s">
        <v>63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68</v>
      </c>
      <c r="M10" s="10" t="s">
        <v>69</v>
      </c>
    </row>
    <row r="11" spans="1:21" ht="31.5">
      <c r="A11" s="3">
        <v>1</v>
      </c>
      <c r="B11" s="11" t="s">
        <v>71</v>
      </c>
      <c r="C11" s="3">
        <v>1</v>
      </c>
      <c r="D11" s="3">
        <v>25</v>
      </c>
      <c r="E11" s="11" t="s">
        <v>72</v>
      </c>
      <c r="F11" s="14">
        <v>0.32600000000000001</v>
      </c>
      <c r="G11" s="14"/>
      <c r="H11" s="14">
        <f t="shared" ref="H11:H74" si="0">$F$4</f>
        <v>0.32666164154103872</v>
      </c>
      <c r="I11" s="14">
        <f t="shared" ref="I11:I74" si="1">$F$7</f>
        <v>0.71360741478107859</v>
      </c>
      <c r="J11" s="14">
        <f t="shared" ref="J11:J74" si="2">$F$8</f>
        <v>0.47532109228187902</v>
      </c>
      <c r="K11" s="14">
        <f t="shared" ref="K11:K74" si="3">$F$5</f>
        <v>0.14549161073825498</v>
      </c>
      <c r="L11" s="12" t="str">
        <f t="shared" ref="L11:L74" si="4">IF(F11&gt;$F$7,"OOC","" )</f>
        <v/>
      </c>
      <c r="M11" s="12" t="str">
        <f t="shared" ref="M11:M74" si="5">IF(F11&gt;$B$4,"OOS","" )</f>
        <v/>
      </c>
    </row>
    <row r="12" spans="1:21" ht="31.5">
      <c r="A12" s="3">
        <v>2</v>
      </c>
      <c r="B12" s="11" t="s">
        <v>71</v>
      </c>
      <c r="C12" s="3">
        <v>1</v>
      </c>
      <c r="D12" s="3">
        <v>24</v>
      </c>
      <c r="E12" s="11" t="s">
        <v>73</v>
      </c>
      <c r="F12" s="14">
        <v>0.49299999999999999</v>
      </c>
      <c r="G12" s="14">
        <f t="shared" ref="G12:G75" si="6">ABS(F12-F11)</f>
        <v>0.16699999999999998</v>
      </c>
      <c r="H12" s="14">
        <f t="shared" si="0"/>
        <v>0.32666164154103872</v>
      </c>
      <c r="I12" s="14">
        <f t="shared" si="1"/>
        <v>0.71360741478107859</v>
      </c>
      <c r="J12" s="14">
        <f t="shared" si="2"/>
        <v>0.47532109228187902</v>
      </c>
      <c r="K12" s="14">
        <f t="shared" si="3"/>
        <v>0.14549161073825498</v>
      </c>
      <c r="L12" s="12" t="str">
        <f t="shared" si="4"/>
        <v/>
      </c>
      <c r="M12" s="12" t="str">
        <f t="shared" si="5"/>
        <v/>
      </c>
    </row>
    <row r="13" spans="1:21" ht="31.5">
      <c r="A13" s="3">
        <v>3</v>
      </c>
      <c r="B13" s="11" t="s">
        <v>71</v>
      </c>
      <c r="C13" s="3">
        <v>1</v>
      </c>
      <c r="D13" s="3">
        <v>23</v>
      </c>
      <c r="E13" s="11" t="s">
        <v>74</v>
      </c>
      <c r="F13" s="14">
        <v>0.27400000000000002</v>
      </c>
      <c r="G13" s="14">
        <f t="shared" si="6"/>
        <v>0.21899999999999997</v>
      </c>
      <c r="H13" s="14">
        <f t="shared" si="0"/>
        <v>0.32666164154103872</v>
      </c>
      <c r="I13" s="14">
        <f t="shared" si="1"/>
        <v>0.71360741478107859</v>
      </c>
      <c r="J13" s="14">
        <f t="shared" si="2"/>
        <v>0.47532109228187902</v>
      </c>
      <c r="K13" s="14">
        <f t="shared" si="3"/>
        <v>0.14549161073825498</v>
      </c>
      <c r="L13" s="12" t="str">
        <f t="shared" si="4"/>
        <v/>
      </c>
      <c r="M13" s="12" t="str">
        <f t="shared" si="5"/>
        <v/>
      </c>
    </row>
    <row r="14" spans="1:21" ht="31.5">
      <c r="A14" s="3">
        <v>4</v>
      </c>
      <c r="B14" s="11" t="s">
        <v>71</v>
      </c>
      <c r="C14" s="3">
        <v>1</v>
      </c>
      <c r="D14" s="3">
        <v>22</v>
      </c>
      <c r="E14" s="11" t="s">
        <v>75</v>
      </c>
      <c r="F14" s="14">
        <v>0.156</v>
      </c>
      <c r="G14" s="14">
        <f t="shared" si="6"/>
        <v>0.11800000000000002</v>
      </c>
      <c r="H14" s="14">
        <f t="shared" si="0"/>
        <v>0.32666164154103872</v>
      </c>
      <c r="I14" s="14">
        <f t="shared" si="1"/>
        <v>0.71360741478107859</v>
      </c>
      <c r="J14" s="14">
        <f t="shared" si="2"/>
        <v>0.47532109228187902</v>
      </c>
      <c r="K14" s="14">
        <f t="shared" si="3"/>
        <v>0.14549161073825498</v>
      </c>
      <c r="L14" s="12" t="str">
        <f t="shared" si="4"/>
        <v/>
      </c>
      <c r="M14" s="12" t="str">
        <f t="shared" si="5"/>
        <v/>
      </c>
    </row>
    <row r="15" spans="1:21" ht="31.5">
      <c r="A15" s="3">
        <v>5</v>
      </c>
      <c r="B15" s="11" t="s">
        <v>71</v>
      </c>
      <c r="C15" s="3">
        <v>1</v>
      </c>
      <c r="D15" s="3">
        <v>21</v>
      </c>
      <c r="E15" s="11" t="s">
        <v>76</v>
      </c>
      <c r="F15" s="14">
        <v>0.25800000000000001</v>
      </c>
      <c r="G15" s="14">
        <f t="shared" si="6"/>
        <v>0.10200000000000001</v>
      </c>
      <c r="H15" s="14">
        <f t="shared" si="0"/>
        <v>0.32666164154103872</v>
      </c>
      <c r="I15" s="14">
        <f t="shared" si="1"/>
        <v>0.71360741478107859</v>
      </c>
      <c r="J15" s="14">
        <f t="shared" si="2"/>
        <v>0.47532109228187902</v>
      </c>
      <c r="K15" s="14">
        <f t="shared" si="3"/>
        <v>0.14549161073825498</v>
      </c>
      <c r="L15" s="12" t="str">
        <f t="shared" si="4"/>
        <v/>
      </c>
      <c r="M15" s="12" t="str">
        <f t="shared" si="5"/>
        <v/>
      </c>
    </row>
    <row r="16" spans="1:21" ht="31.5">
      <c r="A16" s="3">
        <v>6</v>
      </c>
      <c r="B16" s="11" t="s">
        <v>71</v>
      </c>
      <c r="C16" s="3">
        <v>1</v>
      </c>
      <c r="D16" s="3">
        <v>20</v>
      </c>
      <c r="E16" s="11" t="s">
        <v>77</v>
      </c>
      <c r="F16" s="14">
        <v>0.153</v>
      </c>
      <c r="G16" s="14">
        <f t="shared" si="6"/>
        <v>0.10500000000000001</v>
      </c>
      <c r="H16" s="14">
        <f t="shared" si="0"/>
        <v>0.32666164154103872</v>
      </c>
      <c r="I16" s="14">
        <f t="shared" si="1"/>
        <v>0.71360741478107859</v>
      </c>
      <c r="J16" s="14">
        <f t="shared" si="2"/>
        <v>0.47532109228187902</v>
      </c>
      <c r="K16" s="14">
        <f t="shared" si="3"/>
        <v>0.14549161073825498</v>
      </c>
      <c r="L16" s="12" t="str">
        <f t="shared" si="4"/>
        <v/>
      </c>
      <c r="M16" s="12" t="str">
        <f t="shared" si="5"/>
        <v/>
      </c>
    </row>
    <row r="17" spans="1:13" ht="31.5">
      <c r="A17" s="3">
        <v>7</v>
      </c>
      <c r="B17" s="11" t="s">
        <v>71</v>
      </c>
      <c r="C17" s="3">
        <v>1</v>
      </c>
      <c r="D17" s="3">
        <v>19</v>
      </c>
      <c r="E17" s="11" t="s">
        <v>78</v>
      </c>
      <c r="F17" s="14">
        <v>0.38600000000000001</v>
      </c>
      <c r="G17" s="14">
        <f t="shared" si="6"/>
        <v>0.23300000000000001</v>
      </c>
      <c r="H17" s="14">
        <f t="shared" si="0"/>
        <v>0.32666164154103872</v>
      </c>
      <c r="I17" s="14">
        <f t="shared" si="1"/>
        <v>0.71360741478107859</v>
      </c>
      <c r="J17" s="14">
        <f t="shared" si="2"/>
        <v>0.47532109228187902</v>
      </c>
      <c r="K17" s="14">
        <f t="shared" si="3"/>
        <v>0.14549161073825498</v>
      </c>
      <c r="L17" s="12" t="str">
        <f t="shared" si="4"/>
        <v/>
      </c>
      <c r="M17" s="12" t="str">
        <f t="shared" si="5"/>
        <v/>
      </c>
    </row>
    <row r="18" spans="1:13" ht="31.5">
      <c r="A18" s="3">
        <v>8</v>
      </c>
      <c r="B18" s="11" t="s">
        <v>71</v>
      </c>
      <c r="C18" s="3">
        <v>1</v>
      </c>
      <c r="D18" s="3">
        <v>18</v>
      </c>
      <c r="E18" s="11" t="s">
        <v>79</v>
      </c>
      <c r="F18" s="14">
        <v>0.36299999999999999</v>
      </c>
      <c r="G18" s="14">
        <f t="shared" si="6"/>
        <v>2.300000000000002E-2</v>
      </c>
      <c r="H18" s="14">
        <f t="shared" si="0"/>
        <v>0.32666164154103872</v>
      </c>
      <c r="I18" s="14">
        <f t="shared" si="1"/>
        <v>0.71360741478107859</v>
      </c>
      <c r="J18" s="14">
        <f t="shared" si="2"/>
        <v>0.47532109228187902</v>
      </c>
      <c r="K18" s="14">
        <f t="shared" si="3"/>
        <v>0.14549161073825498</v>
      </c>
      <c r="L18" s="12" t="str">
        <f t="shared" si="4"/>
        <v/>
      </c>
      <c r="M18" s="12" t="str">
        <f t="shared" si="5"/>
        <v/>
      </c>
    </row>
    <row r="19" spans="1:13" ht="31.5">
      <c r="A19" s="3">
        <v>9</v>
      </c>
      <c r="B19" s="11" t="s">
        <v>71</v>
      </c>
      <c r="C19" s="3">
        <v>1</v>
      </c>
      <c r="D19" s="3">
        <v>17</v>
      </c>
      <c r="E19" s="11" t="s">
        <v>80</v>
      </c>
      <c r="F19" s="14">
        <v>0.20899999999999999</v>
      </c>
      <c r="G19" s="14">
        <f t="shared" si="6"/>
        <v>0.154</v>
      </c>
      <c r="H19" s="14">
        <f t="shared" si="0"/>
        <v>0.32666164154103872</v>
      </c>
      <c r="I19" s="14">
        <f t="shared" si="1"/>
        <v>0.71360741478107859</v>
      </c>
      <c r="J19" s="14">
        <f t="shared" si="2"/>
        <v>0.47532109228187902</v>
      </c>
      <c r="K19" s="14">
        <f t="shared" si="3"/>
        <v>0.14549161073825498</v>
      </c>
      <c r="L19" s="12" t="str">
        <f t="shared" si="4"/>
        <v/>
      </c>
      <c r="M19" s="12" t="str">
        <f t="shared" si="5"/>
        <v/>
      </c>
    </row>
    <row r="20" spans="1:13" ht="31.5">
      <c r="A20" s="3">
        <v>10</v>
      </c>
      <c r="B20" s="11" t="s">
        <v>71</v>
      </c>
      <c r="C20" s="3">
        <v>1</v>
      </c>
      <c r="D20" s="3">
        <v>16</v>
      </c>
      <c r="E20" s="11" t="s">
        <v>81</v>
      </c>
      <c r="F20" s="14">
        <v>0.16900000000000001</v>
      </c>
      <c r="G20" s="14">
        <f t="shared" si="6"/>
        <v>3.999999999999998E-2</v>
      </c>
      <c r="H20" s="14">
        <f t="shared" si="0"/>
        <v>0.32666164154103872</v>
      </c>
      <c r="I20" s="14">
        <f t="shared" si="1"/>
        <v>0.71360741478107859</v>
      </c>
      <c r="J20" s="14">
        <f t="shared" si="2"/>
        <v>0.47532109228187902</v>
      </c>
      <c r="K20" s="14">
        <f t="shared" si="3"/>
        <v>0.14549161073825498</v>
      </c>
      <c r="L20" s="12" t="str">
        <f t="shared" si="4"/>
        <v/>
      </c>
      <c r="M20" s="12" t="str">
        <f t="shared" si="5"/>
        <v/>
      </c>
    </row>
    <row r="21" spans="1:13" ht="31.5">
      <c r="A21" s="3">
        <v>11</v>
      </c>
      <c r="B21" s="11" t="s">
        <v>71</v>
      </c>
      <c r="C21" s="3">
        <v>1</v>
      </c>
      <c r="D21" s="3">
        <v>15</v>
      </c>
      <c r="E21" s="11" t="s">
        <v>82</v>
      </c>
      <c r="F21" s="14">
        <v>0.46</v>
      </c>
      <c r="G21" s="14">
        <f t="shared" si="6"/>
        <v>0.29100000000000004</v>
      </c>
      <c r="H21" s="14">
        <f t="shared" si="0"/>
        <v>0.32666164154103872</v>
      </c>
      <c r="I21" s="14">
        <f t="shared" si="1"/>
        <v>0.71360741478107859</v>
      </c>
      <c r="J21" s="14">
        <f t="shared" si="2"/>
        <v>0.47532109228187902</v>
      </c>
      <c r="K21" s="14">
        <f t="shared" si="3"/>
        <v>0.14549161073825498</v>
      </c>
      <c r="L21" s="12" t="str">
        <f t="shared" si="4"/>
        <v/>
      </c>
      <c r="M21" s="12" t="str">
        <f t="shared" si="5"/>
        <v/>
      </c>
    </row>
    <row r="22" spans="1:13" ht="31.5">
      <c r="A22" s="3">
        <v>12</v>
      </c>
      <c r="B22" s="11" t="s">
        <v>71</v>
      </c>
      <c r="C22" s="3">
        <v>1</v>
      </c>
      <c r="D22" s="3">
        <v>14</v>
      </c>
      <c r="E22" s="11" t="s">
        <v>83</v>
      </c>
      <c r="F22" s="14">
        <v>0.4</v>
      </c>
      <c r="G22" s="14">
        <f t="shared" si="6"/>
        <v>0.06</v>
      </c>
      <c r="H22" s="14">
        <f t="shared" si="0"/>
        <v>0.32666164154103872</v>
      </c>
      <c r="I22" s="14">
        <f t="shared" si="1"/>
        <v>0.71360741478107859</v>
      </c>
      <c r="J22" s="14">
        <f t="shared" si="2"/>
        <v>0.47532109228187902</v>
      </c>
      <c r="K22" s="14">
        <f t="shared" si="3"/>
        <v>0.14549161073825498</v>
      </c>
      <c r="L22" s="12" t="str">
        <f t="shared" si="4"/>
        <v/>
      </c>
      <c r="M22" s="12" t="str">
        <f t="shared" si="5"/>
        <v/>
      </c>
    </row>
    <row r="23" spans="1:13" ht="31.5">
      <c r="A23" s="3">
        <v>13</v>
      </c>
      <c r="B23" s="11" t="s">
        <v>71</v>
      </c>
      <c r="C23" s="3">
        <v>1</v>
      </c>
      <c r="D23" s="3">
        <v>13</v>
      </c>
      <c r="E23" s="11" t="s">
        <v>84</v>
      </c>
      <c r="F23" s="14">
        <v>0.33600000000000002</v>
      </c>
      <c r="G23" s="14">
        <f t="shared" si="6"/>
        <v>6.4000000000000001E-2</v>
      </c>
      <c r="H23" s="14">
        <f t="shared" si="0"/>
        <v>0.32666164154103872</v>
      </c>
      <c r="I23" s="14">
        <f t="shared" si="1"/>
        <v>0.71360741478107859</v>
      </c>
      <c r="J23" s="14">
        <f t="shared" si="2"/>
        <v>0.47532109228187902</v>
      </c>
      <c r="K23" s="14">
        <f t="shared" si="3"/>
        <v>0.14549161073825498</v>
      </c>
      <c r="L23" s="12" t="str">
        <f t="shared" si="4"/>
        <v/>
      </c>
      <c r="M23" s="12" t="str">
        <f t="shared" si="5"/>
        <v/>
      </c>
    </row>
    <row r="24" spans="1:13" ht="31.5">
      <c r="A24" s="3">
        <v>14</v>
      </c>
      <c r="B24" s="11" t="s">
        <v>71</v>
      </c>
      <c r="C24" s="3">
        <v>1</v>
      </c>
      <c r="D24" s="3">
        <v>12</v>
      </c>
      <c r="E24" s="11" t="s">
        <v>85</v>
      </c>
      <c r="F24" s="14">
        <v>0.50800000000000001</v>
      </c>
      <c r="G24" s="14">
        <f t="shared" si="6"/>
        <v>0.17199999999999999</v>
      </c>
      <c r="H24" s="14">
        <f t="shared" si="0"/>
        <v>0.32666164154103872</v>
      </c>
      <c r="I24" s="14">
        <f t="shared" si="1"/>
        <v>0.71360741478107859</v>
      </c>
      <c r="J24" s="14">
        <f t="shared" si="2"/>
        <v>0.47532109228187902</v>
      </c>
      <c r="K24" s="14">
        <f t="shared" si="3"/>
        <v>0.14549161073825498</v>
      </c>
      <c r="L24" s="12" t="str">
        <f t="shared" si="4"/>
        <v/>
      </c>
      <c r="M24" s="12" t="str">
        <f t="shared" si="5"/>
        <v/>
      </c>
    </row>
    <row r="25" spans="1:13" ht="31.5">
      <c r="A25" s="3">
        <v>15</v>
      </c>
      <c r="B25" s="11" t="s">
        <v>71</v>
      </c>
      <c r="C25" s="3">
        <v>1</v>
      </c>
      <c r="D25" s="3">
        <v>11</v>
      </c>
      <c r="E25" s="11" t="s">
        <v>86</v>
      </c>
      <c r="F25" s="14">
        <v>0.59199999999999997</v>
      </c>
      <c r="G25" s="14">
        <f t="shared" si="6"/>
        <v>8.3999999999999964E-2</v>
      </c>
      <c r="H25" s="14">
        <f t="shared" si="0"/>
        <v>0.32666164154103872</v>
      </c>
      <c r="I25" s="14">
        <f t="shared" si="1"/>
        <v>0.71360741478107859</v>
      </c>
      <c r="J25" s="14">
        <f t="shared" si="2"/>
        <v>0.47532109228187902</v>
      </c>
      <c r="K25" s="14">
        <f t="shared" si="3"/>
        <v>0.14549161073825498</v>
      </c>
      <c r="L25" s="12" t="str">
        <f t="shared" si="4"/>
        <v/>
      </c>
      <c r="M25" s="12" t="str">
        <f t="shared" si="5"/>
        <v/>
      </c>
    </row>
    <row r="26" spans="1:13" ht="31.5">
      <c r="A26" s="3">
        <v>16</v>
      </c>
      <c r="B26" s="11" t="s">
        <v>71</v>
      </c>
      <c r="C26" s="3">
        <v>1</v>
      </c>
      <c r="D26" s="3">
        <v>10</v>
      </c>
      <c r="E26" s="11" t="s">
        <v>87</v>
      </c>
      <c r="F26" s="14">
        <v>0.32900000000000001</v>
      </c>
      <c r="G26" s="14">
        <f t="shared" si="6"/>
        <v>0.26299999999999996</v>
      </c>
      <c r="H26" s="14">
        <f t="shared" si="0"/>
        <v>0.32666164154103872</v>
      </c>
      <c r="I26" s="14">
        <f t="shared" si="1"/>
        <v>0.71360741478107859</v>
      </c>
      <c r="J26" s="14">
        <f t="shared" si="2"/>
        <v>0.47532109228187902</v>
      </c>
      <c r="K26" s="14">
        <f t="shared" si="3"/>
        <v>0.14549161073825498</v>
      </c>
      <c r="L26" s="12" t="str">
        <f t="shared" si="4"/>
        <v/>
      </c>
      <c r="M26" s="12" t="str">
        <f t="shared" si="5"/>
        <v/>
      </c>
    </row>
    <row r="27" spans="1:13" ht="31.5">
      <c r="A27" s="3">
        <v>17</v>
      </c>
      <c r="B27" s="11" t="s">
        <v>71</v>
      </c>
      <c r="C27" s="3">
        <v>1</v>
      </c>
      <c r="D27" s="3">
        <v>9</v>
      </c>
      <c r="E27" s="11" t="s">
        <v>88</v>
      </c>
      <c r="F27" s="14">
        <v>0.24</v>
      </c>
      <c r="G27" s="14">
        <f t="shared" si="6"/>
        <v>8.9000000000000024E-2</v>
      </c>
      <c r="H27" s="14">
        <f t="shared" si="0"/>
        <v>0.32666164154103872</v>
      </c>
      <c r="I27" s="14">
        <f t="shared" si="1"/>
        <v>0.71360741478107859</v>
      </c>
      <c r="J27" s="14">
        <f t="shared" si="2"/>
        <v>0.47532109228187902</v>
      </c>
      <c r="K27" s="14">
        <f t="shared" si="3"/>
        <v>0.14549161073825498</v>
      </c>
      <c r="L27" s="12" t="str">
        <f t="shared" si="4"/>
        <v/>
      </c>
      <c r="M27" s="12" t="str">
        <f t="shared" si="5"/>
        <v/>
      </c>
    </row>
    <row r="28" spans="1:13" ht="31.5">
      <c r="A28" s="3">
        <v>18</v>
      </c>
      <c r="B28" s="11" t="s">
        <v>71</v>
      </c>
      <c r="C28" s="3">
        <v>1</v>
      </c>
      <c r="D28" s="3">
        <v>8</v>
      </c>
      <c r="E28" s="11" t="s">
        <v>89</v>
      </c>
      <c r="F28" s="14">
        <v>7.3999999999999996E-2</v>
      </c>
      <c r="G28" s="14">
        <f t="shared" si="6"/>
        <v>0.16599999999999998</v>
      </c>
      <c r="H28" s="14">
        <f t="shared" si="0"/>
        <v>0.32666164154103872</v>
      </c>
      <c r="I28" s="14">
        <f t="shared" si="1"/>
        <v>0.71360741478107859</v>
      </c>
      <c r="J28" s="14">
        <f t="shared" si="2"/>
        <v>0.47532109228187902</v>
      </c>
      <c r="K28" s="14">
        <f t="shared" si="3"/>
        <v>0.14549161073825498</v>
      </c>
      <c r="L28" s="12" t="str">
        <f t="shared" si="4"/>
        <v/>
      </c>
      <c r="M28" s="12" t="str">
        <f t="shared" si="5"/>
        <v/>
      </c>
    </row>
    <row r="29" spans="1:13" ht="31.5">
      <c r="A29" s="3">
        <v>19</v>
      </c>
      <c r="B29" s="11" t="s">
        <v>71</v>
      </c>
      <c r="C29" s="3">
        <v>1</v>
      </c>
      <c r="D29" s="3">
        <v>7</v>
      </c>
      <c r="E29" s="11" t="s">
        <v>90</v>
      </c>
      <c r="F29" s="14">
        <v>0.36099999999999999</v>
      </c>
      <c r="G29" s="14">
        <f t="shared" si="6"/>
        <v>0.28699999999999998</v>
      </c>
      <c r="H29" s="14">
        <f t="shared" si="0"/>
        <v>0.32666164154103872</v>
      </c>
      <c r="I29" s="14">
        <f t="shared" si="1"/>
        <v>0.71360741478107859</v>
      </c>
      <c r="J29" s="14">
        <f t="shared" si="2"/>
        <v>0.47532109228187902</v>
      </c>
      <c r="K29" s="14">
        <f t="shared" si="3"/>
        <v>0.14549161073825498</v>
      </c>
      <c r="L29" s="12" t="str">
        <f t="shared" si="4"/>
        <v/>
      </c>
      <c r="M29" s="12" t="str">
        <f t="shared" si="5"/>
        <v/>
      </c>
    </row>
    <row r="30" spans="1:13" ht="31.5">
      <c r="A30" s="3">
        <v>21</v>
      </c>
      <c r="B30" s="11" t="s">
        <v>71</v>
      </c>
      <c r="C30" s="3">
        <v>1</v>
      </c>
      <c r="D30" s="3">
        <v>5</v>
      </c>
      <c r="E30" s="11" t="s">
        <v>92</v>
      </c>
      <c r="F30" s="14">
        <v>0.312</v>
      </c>
      <c r="G30" s="14">
        <f t="shared" si="6"/>
        <v>4.8999999999999988E-2</v>
      </c>
      <c r="H30" s="14">
        <f t="shared" si="0"/>
        <v>0.32666164154103872</v>
      </c>
      <c r="I30" s="14">
        <f t="shared" si="1"/>
        <v>0.71360741478107859</v>
      </c>
      <c r="J30" s="14">
        <f t="shared" si="2"/>
        <v>0.47532109228187902</v>
      </c>
      <c r="K30" s="14">
        <f t="shared" si="3"/>
        <v>0.14549161073825498</v>
      </c>
      <c r="L30" s="12" t="str">
        <f t="shared" si="4"/>
        <v/>
      </c>
      <c r="M30" s="12" t="str">
        <f t="shared" si="5"/>
        <v/>
      </c>
    </row>
    <row r="31" spans="1:13" ht="31.5">
      <c r="A31" s="3">
        <v>22</v>
      </c>
      <c r="B31" s="11" t="s">
        <v>71</v>
      </c>
      <c r="C31" s="3">
        <v>1</v>
      </c>
      <c r="D31" s="3">
        <v>4</v>
      </c>
      <c r="E31" s="11" t="s">
        <v>93</v>
      </c>
      <c r="F31" s="14">
        <v>0.36099999999999999</v>
      </c>
      <c r="G31" s="14">
        <f t="shared" si="6"/>
        <v>4.8999999999999988E-2</v>
      </c>
      <c r="H31" s="14">
        <f t="shared" si="0"/>
        <v>0.32666164154103872</v>
      </c>
      <c r="I31" s="14">
        <f t="shared" si="1"/>
        <v>0.71360741478107859</v>
      </c>
      <c r="J31" s="14">
        <f t="shared" si="2"/>
        <v>0.47532109228187902</v>
      </c>
      <c r="K31" s="14">
        <f t="shared" si="3"/>
        <v>0.14549161073825498</v>
      </c>
      <c r="L31" s="12" t="str">
        <f t="shared" si="4"/>
        <v/>
      </c>
      <c r="M31" s="12" t="str">
        <f t="shared" si="5"/>
        <v/>
      </c>
    </row>
    <row r="32" spans="1:13" ht="31.5">
      <c r="A32" s="3">
        <v>23</v>
      </c>
      <c r="B32" s="11" t="s">
        <v>71</v>
      </c>
      <c r="C32" s="3">
        <v>1</v>
      </c>
      <c r="D32" s="3">
        <v>3</v>
      </c>
      <c r="E32" s="11" t="s">
        <v>94</v>
      </c>
      <c r="F32" s="14">
        <v>0.23</v>
      </c>
      <c r="G32" s="14">
        <f t="shared" si="6"/>
        <v>0.13099999999999998</v>
      </c>
      <c r="H32" s="14">
        <f t="shared" si="0"/>
        <v>0.32666164154103872</v>
      </c>
      <c r="I32" s="14">
        <f t="shared" si="1"/>
        <v>0.71360741478107859</v>
      </c>
      <c r="J32" s="14">
        <f t="shared" si="2"/>
        <v>0.47532109228187902</v>
      </c>
      <c r="K32" s="14">
        <f t="shared" si="3"/>
        <v>0.14549161073825498</v>
      </c>
      <c r="L32" s="12" t="str">
        <f t="shared" si="4"/>
        <v/>
      </c>
      <c r="M32" s="12" t="str">
        <f t="shared" si="5"/>
        <v/>
      </c>
    </row>
    <row r="33" spans="1:13" ht="31.5">
      <c r="A33" s="3">
        <v>24</v>
      </c>
      <c r="B33" s="11" t="s">
        <v>71</v>
      </c>
      <c r="C33" s="3">
        <v>1</v>
      </c>
      <c r="D33" s="3">
        <v>2</v>
      </c>
      <c r="E33" s="11" t="s">
        <v>95</v>
      </c>
      <c r="F33" s="14">
        <v>0.28199999999999997</v>
      </c>
      <c r="G33" s="14">
        <f t="shared" si="6"/>
        <v>5.1999999999999963E-2</v>
      </c>
      <c r="H33" s="14">
        <f t="shared" si="0"/>
        <v>0.32666164154103872</v>
      </c>
      <c r="I33" s="14">
        <f t="shared" si="1"/>
        <v>0.71360741478107859</v>
      </c>
      <c r="J33" s="14">
        <f t="shared" si="2"/>
        <v>0.47532109228187902</v>
      </c>
      <c r="K33" s="14">
        <f t="shared" si="3"/>
        <v>0.14549161073825498</v>
      </c>
      <c r="L33" s="12" t="str">
        <f t="shared" si="4"/>
        <v/>
      </c>
      <c r="M33" s="12" t="str">
        <f t="shared" si="5"/>
        <v/>
      </c>
    </row>
    <row r="34" spans="1:13" ht="31.5">
      <c r="A34" s="3">
        <v>25</v>
      </c>
      <c r="B34" s="11" t="s">
        <v>71</v>
      </c>
      <c r="C34" s="3">
        <v>1</v>
      </c>
      <c r="D34" s="3">
        <v>1</v>
      </c>
      <c r="E34" s="11" t="s">
        <v>96</v>
      </c>
      <c r="F34" s="14">
        <v>0.20699999999999999</v>
      </c>
      <c r="G34" s="14">
        <f t="shared" si="6"/>
        <v>7.4999999999999983E-2</v>
      </c>
      <c r="H34" s="14">
        <f t="shared" si="0"/>
        <v>0.32666164154103872</v>
      </c>
      <c r="I34" s="14">
        <f t="shared" si="1"/>
        <v>0.71360741478107859</v>
      </c>
      <c r="J34" s="14">
        <f t="shared" si="2"/>
        <v>0.47532109228187902</v>
      </c>
      <c r="K34" s="14">
        <f t="shared" si="3"/>
        <v>0.14549161073825498</v>
      </c>
      <c r="L34" s="12" t="str">
        <f t="shared" si="4"/>
        <v/>
      </c>
      <c r="M34" s="12" t="str">
        <f t="shared" si="5"/>
        <v/>
      </c>
    </row>
    <row r="35" spans="1:13" ht="31.5">
      <c r="A35" s="3">
        <v>26</v>
      </c>
      <c r="B35" s="11" t="s">
        <v>71</v>
      </c>
      <c r="C35" s="3">
        <v>1</v>
      </c>
      <c r="D35" s="3">
        <v>25</v>
      </c>
      <c r="E35" s="11" t="s">
        <v>97</v>
      </c>
      <c r="F35" s="14">
        <v>0.34799999999999998</v>
      </c>
      <c r="G35" s="14">
        <f t="shared" si="6"/>
        <v>0.14099999999999999</v>
      </c>
      <c r="H35" s="14">
        <f t="shared" si="0"/>
        <v>0.32666164154103872</v>
      </c>
      <c r="I35" s="14">
        <f t="shared" si="1"/>
        <v>0.71360741478107859</v>
      </c>
      <c r="J35" s="14">
        <f t="shared" si="2"/>
        <v>0.47532109228187902</v>
      </c>
      <c r="K35" s="14">
        <f t="shared" si="3"/>
        <v>0.14549161073825498</v>
      </c>
      <c r="L35" s="12" t="str">
        <f t="shared" si="4"/>
        <v/>
      </c>
      <c r="M35" s="12" t="str">
        <f t="shared" si="5"/>
        <v/>
      </c>
    </row>
    <row r="36" spans="1:13" ht="31.5">
      <c r="A36" s="3">
        <v>27</v>
      </c>
      <c r="B36" s="11" t="s">
        <v>71</v>
      </c>
      <c r="C36" s="3">
        <v>1</v>
      </c>
      <c r="D36" s="3">
        <v>24</v>
      </c>
      <c r="E36" s="11" t="s">
        <v>98</v>
      </c>
      <c r="F36" s="14">
        <v>0.26700000000000002</v>
      </c>
      <c r="G36" s="14">
        <f t="shared" si="6"/>
        <v>8.0999999999999961E-2</v>
      </c>
      <c r="H36" s="14">
        <f t="shared" si="0"/>
        <v>0.32666164154103872</v>
      </c>
      <c r="I36" s="14">
        <f t="shared" si="1"/>
        <v>0.71360741478107859</v>
      </c>
      <c r="J36" s="14">
        <f t="shared" si="2"/>
        <v>0.47532109228187902</v>
      </c>
      <c r="K36" s="14">
        <f t="shared" si="3"/>
        <v>0.14549161073825498</v>
      </c>
      <c r="L36" s="12" t="str">
        <f t="shared" si="4"/>
        <v/>
      </c>
      <c r="M36" s="12" t="str">
        <f t="shared" si="5"/>
        <v/>
      </c>
    </row>
    <row r="37" spans="1:13" ht="31.5">
      <c r="A37" s="3">
        <v>28</v>
      </c>
      <c r="B37" s="11" t="s">
        <v>71</v>
      </c>
      <c r="C37" s="3">
        <v>1</v>
      </c>
      <c r="D37" s="3">
        <v>23</v>
      </c>
      <c r="E37" s="11" t="s">
        <v>99</v>
      </c>
      <c r="F37" s="14">
        <v>0.28299999999999997</v>
      </c>
      <c r="G37" s="14">
        <f t="shared" si="6"/>
        <v>1.5999999999999959E-2</v>
      </c>
      <c r="H37" s="14">
        <f t="shared" si="0"/>
        <v>0.32666164154103872</v>
      </c>
      <c r="I37" s="14">
        <f t="shared" si="1"/>
        <v>0.71360741478107859</v>
      </c>
      <c r="J37" s="14">
        <f t="shared" si="2"/>
        <v>0.47532109228187902</v>
      </c>
      <c r="K37" s="14">
        <f t="shared" si="3"/>
        <v>0.14549161073825498</v>
      </c>
      <c r="L37" s="12" t="str">
        <f t="shared" si="4"/>
        <v/>
      </c>
      <c r="M37" s="12" t="str">
        <f t="shared" si="5"/>
        <v/>
      </c>
    </row>
    <row r="38" spans="1:13" ht="31.5">
      <c r="A38" s="3">
        <v>29</v>
      </c>
      <c r="B38" s="11" t="s">
        <v>71</v>
      </c>
      <c r="C38" s="3">
        <v>1</v>
      </c>
      <c r="D38" s="3">
        <v>22</v>
      </c>
      <c r="E38" s="11" t="s">
        <v>100</v>
      </c>
      <c r="F38" s="14">
        <v>0.19</v>
      </c>
      <c r="G38" s="14">
        <f t="shared" si="6"/>
        <v>9.2999999999999972E-2</v>
      </c>
      <c r="H38" s="14">
        <f t="shared" si="0"/>
        <v>0.32666164154103872</v>
      </c>
      <c r="I38" s="14">
        <f t="shared" si="1"/>
        <v>0.71360741478107859</v>
      </c>
      <c r="J38" s="14">
        <f t="shared" si="2"/>
        <v>0.47532109228187902</v>
      </c>
      <c r="K38" s="14">
        <f t="shared" si="3"/>
        <v>0.14549161073825498</v>
      </c>
      <c r="L38" s="12" t="str">
        <f t="shared" si="4"/>
        <v/>
      </c>
      <c r="M38" s="12" t="str">
        <f t="shared" si="5"/>
        <v/>
      </c>
    </row>
    <row r="39" spans="1:13" ht="31.5">
      <c r="A39" s="3">
        <v>30</v>
      </c>
      <c r="B39" s="11" t="s">
        <v>71</v>
      </c>
      <c r="C39" s="3">
        <v>1</v>
      </c>
      <c r="D39" s="3">
        <v>21</v>
      </c>
      <c r="E39" s="11" t="s">
        <v>101</v>
      </c>
      <c r="F39" s="14">
        <v>0.19900000000000001</v>
      </c>
      <c r="G39" s="14">
        <f t="shared" si="6"/>
        <v>9.000000000000008E-3</v>
      </c>
      <c r="H39" s="14">
        <f t="shared" si="0"/>
        <v>0.32666164154103872</v>
      </c>
      <c r="I39" s="14">
        <f t="shared" si="1"/>
        <v>0.71360741478107859</v>
      </c>
      <c r="J39" s="14">
        <f t="shared" si="2"/>
        <v>0.47532109228187902</v>
      </c>
      <c r="K39" s="14">
        <f t="shared" si="3"/>
        <v>0.14549161073825498</v>
      </c>
      <c r="L39" s="12" t="str">
        <f t="shared" si="4"/>
        <v/>
      </c>
      <c r="M39" s="12" t="str">
        <f t="shared" si="5"/>
        <v/>
      </c>
    </row>
    <row r="40" spans="1:13" ht="31.5">
      <c r="A40" s="3">
        <v>31</v>
      </c>
      <c r="B40" s="11" t="s">
        <v>71</v>
      </c>
      <c r="C40" s="3">
        <v>1</v>
      </c>
      <c r="D40" s="3">
        <v>20</v>
      </c>
      <c r="E40" s="11" t="s">
        <v>102</v>
      </c>
      <c r="F40" s="14">
        <v>0.37</v>
      </c>
      <c r="G40" s="14">
        <f t="shared" si="6"/>
        <v>0.17099999999999999</v>
      </c>
      <c r="H40" s="14">
        <f t="shared" si="0"/>
        <v>0.32666164154103872</v>
      </c>
      <c r="I40" s="14">
        <f t="shared" si="1"/>
        <v>0.71360741478107859</v>
      </c>
      <c r="J40" s="14">
        <f t="shared" si="2"/>
        <v>0.47532109228187902</v>
      </c>
      <c r="K40" s="14">
        <f t="shared" si="3"/>
        <v>0.14549161073825498</v>
      </c>
      <c r="L40" s="12" t="str">
        <f t="shared" si="4"/>
        <v/>
      </c>
      <c r="M40" s="12" t="str">
        <f t="shared" si="5"/>
        <v/>
      </c>
    </row>
    <row r="41" spans="1:13" ht="31.5">
      <c r="A41" s="3">
        <v>32</v>
      </c>
      <c r="B41" s="11" t="s">
        <v>71</v>
      </c>
      <c r="C41" s="3">
        <v>1</v>
      </c>
      <c r="D41" s="3">
        <v>19</v>
      </c>
      <c r="E41" s="11" t="s">
        <v>103</v>
      </c>
      <c r="F41" s="14">
        <v>0.155</v>
      </c>
      <c r="G41" s="14">
        <f t="shared" si="6"/>
        <v>0.215</v>
      </c>
      <c r="H41" s="14">
        <f t="shared" si="0"/>
        <v>0.32666164154103872</v>
      </c>
      <c r="I41" s="14">
        <f t="shared" si="1"/>
        <v>0.71360741478107859</v>
      </c>
      <c r="J41" s="14">
        <f t="shared" si="2"/>
        <v>0.47532109228187902</v>
      </c>
      <c r="K41" s="14">
        <f t="shared" si="3"/>
        <v>0.14549161073825498</v>
      </c>
      <c r="L41" s="12" t="str">
        <f t="shared" si="4"/>
        <v/>
      </c>
      <c r="M41" s="12" t="str">
        <f t="shared" si="5"/>
        <v/>
      </c>
    </row>
    <row r="42" spans="1:13" ht="31.5">
      <c r="A42" s="3">
        <v>33</v>
      </c>
      <c r="B42" s="11" t="s">
        <v>71</v>
      </c>
      <c r="C42" s="3">
        <v>1</v>
      </c>
      <c r="D42" s="3">
        <v>18</v>
      </c>
      <c r="E42" s="11" t="s">
        <v>104</v>
      </c>
      <c r="F42" s="14">
        <v>0.48199999999999998</v>
      </c>
      <c r="G42" s="14">
        <f t="shared" si="6"/>
        <v>0.32699999999999996</v>
      </c>
      <c r="H42" s="14">
        <f t="shared" si="0"/>
        <v>0.32666164154103872</v>
      </c>
      <c r="I42" s="14">
        <f t="shared" si="1"/>
        <v>0.71360741478107859</v>
      </c>
      <c r="J42" s="14">
        <f t="shared" si="2"/>
        <v>0.47532109228187902</v>
      </c>
      <c r="K42" s="14">
        <f t="shared" si="3"/>
        <v>0.14549161073825498</v>
      </c>
      <c r="L42" s="12" t="str">
        <f t="shared" si="4"/>
        <v/>
      </c>
      <c r="M42" s="12" t="str">
        <f t="shared" si="5"/>
        <v/>
      </c>
    </row>
    <row r="43" spans="1:13" ht="31.5">
      <c r="A43" s="3">
        <v>34</v>
      </c>
      <c r="B43" s="11" t="s">
        <v>71</v>
      </c>
      <c r="C43" s="3">
        <v>1</v>
      </c>
      <c r="D43" s="3">
        <v>17</v>
      </c>
      <c r="E43" s="11" t="s">
        <v>105</v>
      </c>
      <c r="F43" s="14">
        <v>0.23799999999999999</v>
      </c>
      <c r="G43" s="14">
        <f t="shared" si="6"/>
        <v>0.24399999999999999</v>
      </c>
      <c r="H43" s="14">
        <f t="shared" si="0"/>
        <v>0.32666164154103872</v>
      </c>
      <c r="I43" s="14">
        <f t="shared" si="1"/>
        <v>0.71360741478107859</v>
      </c>
      <c r="J43" s="14">
        <f t="shared" si="2"/>
        <v>0.47532109228187902</v>
      </c>
      <c r="K43" s="14">
        <f t="shared" si="3"/>
        <v>0.14549161073825498</v>
      </c>
      <c r="L43" s="12" t="str">
        <f t="shared" si="4"/>
        <v/>
      </c>
      <c r="M43" s="12" t="str">
        <f t="shared" si="5"/>
        <v/>
      </c>
    </row>
    <row r="44" spans="1:13" ht="31.5">
      <c r="A44" s="3">
        <v>35</v>
      </c>
      <c r="B44" s="11" t="s">
        <v>71</v>
      </c>
      <c r="C44" s="3">
        <v>1</v>
      </c>
      <c r="D44" s="3">
        <v>16</v>
      </c>
      <c r="E44" s="11" t="s">
        <v>106</v>
      </c>
      <c r="F44" s="14">
        <v>0.20699999999999999</v>
      </c>
      <c r="G44" s="14">
        <f t="shared" si="6"/>
        <v>3.1E-2</v>
      </c>
      <c r="H44" s="14">
        <f t="shared" si="0"/>
        <v>0.32666164154103872</v>
      </c>
      <c r="I44" s="14">
        <f t="shared" si="1"/>
        <v>0.71360741478107859</v>
      </c>
      <c r="J44" s="14">
        <f t="shared" si="2"/>
        <v>0.47532109228187902</v>
      </c>
      <c r="K44" s="14">
        <f t="shared" si="3"/>
        <v>0.14549161073825498</v>
      </c>
      <c r="L44" s="12" t="str">
        <f t="shared" si="4"/>
        <v/>
      </c>
      <c r="M44" s="12" t="str">
        <f t="shared" si="5"/>
        <v/>
      </c>
    </row>
    <row r="45" spans="1:13" ht="31.5">
      <c r="A45" s="3">
        <v>36</v>
      </c>
      <c r="B45" s="11" t="s">
        <v>71</v>
      </c>
      <c r="C45" s="3">
        <v>1</v>
      </c>
      <c r="D45" s="3">
        <v>15</v>
      </c>
      <c r="E45" s="11" t="s">
        <v>107</v>
      </c>
      <c r="F45" s="14">
        <v>0.247</v>
      </c>
      <c r="G45" s="14">
        <f t="shared" si="6"/>
        <v>4.0000000000000008E-2</v>
      </c>
      <c r="H45" s="14">
        <f t="shared" si="0"/>
        <v>0.32666164154103872</v>
      </c>
      <c r="I45" s="14">
        <f t="shared" si="1"/>
        <v>0.71360741478107859</v>
      </c>
      <c r="J45" s="14">
        <f t="shared" si="2"/>
        <v>0.47532109228187902</v>
      </c>
      <c r="K45" s="14">
        <f t="shared" si="3"/>
        <v>0.14549161073825498</v>
      </c>
      <c r="L45" s="12" t="str">
        <f t="shared" si="4"/>
        <v/>
      </c>
      <c r="M45" s="12" t="str">
        <f t="shared" si="5"/>
        <v/>
      </c>
    </row>
    <row r="46" spans="1:13" ht="31.5">
      <c r="A46" s="3">
        <v>37</v>
      </c>
      <c r="B46" s="11" t="s">
        <v>71</v>
      </c>
      <c r="C46" s="3">
        <v>1</v>
      </c>
      <c r="D46" s="3">
        <v>14</v>
      </c>
      <c r="E46" s="11" t="s">
        <v>108</v>
      </c>
      <c r="F46" s="14">
        <v>0.30099999999999999</v>
      </c>
      <c r="G46" s="14">
        <f t="shared" si="6"/>
        <v>5.3999999999999992E-2</v>
      </c>
      <c r="H46" s="14">
        <f t="shared" si="0"/>
        <v>0.32666164154103872</v>
      </c>
      <c r="I46" s="14">
        <f t="shared" si="1"/>
        <v>0.71360741478107859</v>
      </c>
      <c r="J46" s="14">
        <f t="shared" si="2"/>
        <v>0.47532109228187902</v>
      </c>
      <c r="K46" s="14">
        <f t="shared" si="3"/>
        <v>0.14549161073825498</v>
      </c>
      <c r="L46" s="12" t="str">
        <f t="shared" si="4"/>
        <v/>
      </c>
      <c r="M46" s="12" t="str">
        <f t="shared" si="5"/>
        <v/>
      </c>
    </row>
    <row r="47" spans="1:13" ht="31.5">
      <c r="A47" s="3">
        <v>38</v>
      </c>
      <c r="B47" s="11" t="s">
        <v>71</v>
      </c>
      <c r="C47" s="3">
        <v>1</v>
      </c>
      <c r="D47" s="3">
        <v>13</v>
      </c>
      <c r="E47" s="11" t="s">
        <v>109</v>
      </c>
      <c r="F47" s="14">
        <v>0.36899999999999999</v>
      </c>
      <c r="G47" s="14">
        <f t="shared" si="6"/>
        <v>6.8000000000000005E-2</v>
      </c>
      <c r="H47" s="14">
        <f t="shared" si="0"/>
        <v>0.32666164154103872</v>
      </c>
      <c r="I47" s="14">
        <f t="shared" si="1"/>
        <v>0.71360741478107859</v>
      </c>
      <c r="J47" s="14">
        <f t="shared" si="2"/>
        <v>0.47532109228187902</v>
      </c>
      <c r="K47" s="14">
        <f t="shared" si="3"/>
        <v>0.14549161073825498</v>
      </c>
      <c r="L47" s="12" t="str">
        <f t="shared" si="4"/>
        <v/>
      </c>
      <c r="M47" s="12" t="str">
        <f t="shared" si="5"/>
        <v/>
      </c>
    </row>
    <row r="48" spans="1:13" ht="31.5">
      <c r="A48" s="3">
        <v>39</v>
      </c>
      <c r="B48" s="11" t="s">
        <v>71</v>
      </c>
      <c r="C48" s="3">
        <v>1</v>
      </c>
      <c r="D48" s="3">
        <v>12</v>
      </c>
      <c r="E48" s="11" t="s">
        <v>110</v>
      </c>
      <c r="F48" s="14">
        <v>0.29699999999999999</v>
      </c>
      <c r="G48" s="14">
        <f t="shared" si="6"/>
        <v>7.2000000000000008E-2</v>
      </c>
      <c r="H48" s="14">
        <f t="shared" si="0"/>
        <v>0.32666164154103872</v>
      </c>
      <c r="I48" s="14">
        <f t="shared" si="1"/>
        <v>0.71360741478107859</v>
      </c>
      <c r="J48" s="14">
        <f t="shared" si="2"/>
        <v>0.47532109228187902</v>
      </c>
      <c r="K48" s="14">
        <f t="shared" si="3"/>
        <v>0.14549161073825498</v>
      </c>
      <c r="L48" s="12" t="str">
        <f t="shared" si="4"/>
        <v/>
      </c>
      <c r="M48" s="12" t="str">
        <f t="shared" si="5"/>
        <v/>
      </c>
    </row>
    <row r="49" spans="1:13" ht="31.5">
      <c r="A49" s="3">
        <v>40</v>
      </c>
      <c r="B49" s="11" t="s">
        <v>71</v>
      </c>
      <c r="C49" s="3">
        <v>1</v>
      </c>
      <c r="D49" s="3">
        <v>11</v>
      </c>
      <c r="E49" s="11" t="s">
        <v>111</v>
      </c>
      <c r="F49" s="14">
        <v>0.33</v>
      </c>
      <c r="G49" s="14">
        <f t="shared" si="6"/>
        <v>3.3000000000000029E-2</v>
      </c>
      <c r="H49" s="14">
        <f t="shared" si="0"/>
        <v>0.32666164154103872</v>
      </c>
      <c r="I49" s="14">
        <f t="shared" si="1"/>
        <v>0.71360741478107859</v>
      </c>
      <c r="J49" s="14">
        <f t="shared" si="2"/>
        <v>0.47532109228187902</v>
      </c>
      <c r="K49" s="14">
        <f t="shared" si="3"/>
        <v>0.14549161073825498</v>
      </c>
      <c r="L49" s="12" t="str">
        <f t="shared" si="4"/>
        <v/>
      </c>
      <c r="M49" s="12" t="str">
        <f t="shared" si="5"/>
        <v/>
      </c>
    </row>
    <row r="50" spans="1:13" ht="31.5">
      <c r="A50" s="3">
        <v>41</v>
      </c>
      <c r="B50" s="11" t="s">
        <v>71</v>
      </c>
      <c r="C50" s="3">
        <v>1</v>
      </c>
      <c r="D50" s="3">
        <v>10</v>
      </c>
      <c r="E50" s="11" t="s">
        <v>112</v>
      </c>
      <c r="F50" s="14">
        <v>0.39</v>
      </c>
      <c r="G50" s="14">
        <f t="shared" si="6"/>
        <v>0.06</v>
      </c>
      <c r="H50" s="14">
        <f t="shared" si="0"/>
        <v>0.32666164154103872</v>
      </c>
      <c r="I50" s="14">
        <f t="shared" si="1"/>
        <v>0.71360741478107859</v>
      </c>
      <c r="J50" s="14">
        <f t="shared" si="2"/>
        <v>0.47532109228187902</v>
      </c>
      <c r="K50" s="14">
        <f t="shared" si="3"/>
        <v>0.14549161073825498</v>
      </c>
      <c r="L50" s="12" t="str">
        <f t="shared" si="4"/>
        <v/>
      </c>
      <c r="M50" s="12" t="str">
        <f t="shared" si="5"/>
        <v/>
      </c>
    </row>
    <row r="51" spans="1:13" ht="31.5">
      <c r="A51" s="3">
        <v>42</v>
      </c>
      <c r="B51" s="11" t="s">
        <v>71</v>
      </c>
      <c r="C51" s="3">
        <v>1</v>
      </c>
      <c r="D51" s="3">
        <v>9</v>
      </c>
      <c r="E51" s="11" t="s">
        <v>113</v>
      </c>
      <c r="F51" s="14">
        <v>0.245</v>
      </c>
      <c r="G51" s="14">
        <f t="shared" si="6"/>
        <v>0.14500000000000002</v>
      </c>
      <c r="H51" s="14">
        <f t="shared" si="0"/>
        <v>0.32666164154103872</v>
      </c>
      <c r="I51" s="14">
        <f t="shared" si="1"/>
        <v>0.71360741478107859</v>
      </c>
      <c r="J51" s="14">
        <f t="shared" si="2"/>
        <v>0.47532109228187902</v>
      </c>
      <c r="K51" s="14">
        <f t="shared" si="3"/>
        <v>0.14549161073825498</v>
      </c>
      <c r="L51" s="12" t="str">
        <f t="shared" si="4"/>
        <v/>
      </c>
      <c r="M51" s="12" t="str">
        <f t="shared" si="5"/>
        <v/>
      </c>
    </row>
    <row r="52" spans="1:13" ht="31.5">
      <c r="A52" s="3">
        <v>43</v>
      </c>
      <c r="B52" s="11" t="s">
        <v>71</v>
      </c>
      <c r="C52" s="3">
        <v>1</v>
      </c>
      <c r="D52" s="3">
        <v>8</v>
      </c>
      <c r="E52" s="11" t="s">
        <v>114</v>
      </c>
      <c r="F52" s="14">
        <v>0.40200000000000002</v>
      </c>
      <c r="G52" s="14">
        <f t="shared" si="6"/>
        <v>0.15700000000000003</v>
      </c>
      <c r="H52" s="14">
        <f t="shared" si="0"/>
        <v>0.32666164154103872</v>
      </c>
      <c r="I52" s="14">
        <f t="shared" si="1"/>
        <v>0.71360741478107859</v>
      </c>
      <c r="J52" s="14">
        <f t="shared" si="2"/>
        <v>0.47532109228187902</v>
      </c>
      <c r="K52" s="14">
        <f t="shared" si="3"/>
        <v>0.14549161073825498</v>
      </c>
      <c r="L52" s="12" t="str">
        <f t="shared" si="4"/>
        <v/>
      </c>
      <c r="M52" s="12" t="str">
        <f t="shared" si="5"/>
        <v/>
      </c>
    </row>
    <row r="53" spans="1:13" ht="31.5">
      <c r="A53" s="3">
        <v>44</v>
      </c>
      <c r="B53" s="11" t="s">
        <v>71</v>
      </c>
      <c r="C53" s="3">
        <v>1</v>
      </c>
      <c r="D53" s="3">
        <v>7</v>
      </c>
      <c r="E53" s="11" t="s">
        <v>115</v>
      </c>
      <c r="F53" s="14">
        <v>0.251</v>
      </c>
      <c r="G53" s="14">
        <f t="shared" si="6"/>
        <v>0.15100000000000002</v>
      </c>
      <c r="H53" s="14">
        <f t="shared" si="0"/>
        <v>0.32666164154103872</v>
      </c>
      <c r="I53" s="14">
        <f t="shared" si="1"/>
        <v>0.71360741478107859</v>
      </c>
      <c r="J53" s="14">
        <f t="shared" si="2"/>
        <v>0.47532109228187902</v>
      </c>
      <c r="K53" s="14">
        <f t="shared" si="3"/>
        <v>0.14549161073825498</v>
      </c>
      <c r="L53" s="12" t="str">
        <f t="shared" si="4"/>
        <v/>
      </c>
      <c r="M53" s="12" t="str">
        <f t="shared" si="5"/>
        <v/>
      </c>
    </row>
    <row r="54" spans="1:13" ht="31.5">
      <c r="A54" s="3">
        <v>45</v>
      </c>
      <c r="B54" s="11" t="s">
        <v>71</v>
      </c>
      <c r="C54" s="3">
        <v>1</v>
      </c>
      <c r="D54" s="3">
        <v>6</v>
      </c>
      <c r="E54" s="11" t="s">
        <v>116</v>
      </c>
      <c r="F54" s="14">
        <v>0.32100000000000001</v>
      </c>
      <c r="G54" s="14">
        <f t="shared" si="6"/>
        <v>7.0000000000000007E-2</v>
      </c>
      <c r="H54" s="14">
        <f t="shared" si="0"/>
        <v>0.32666164154103872</v>
      </c>
      <c r="I54" s="14">
        <f t="shared" si="1"/>
        <v>0.71360741478107859</v>
      </c>
      <c r="J54" s="14">
        <f t="shared" si="2"/>
        <v>0.47532109228187902</v>
      </c>
      <c r="K54" s="14">
        <f t="shared" si="3"/>
        <v>0.14549161073825498</v>
      </c>
      <c r="L54" s="12" t="str">
        <f t="shared" si="4"/>
        <v/>
      </c>
      <c r="M54" s="12" t="str">
        <f t="shared" si="5"/>
        <v/>
      </c>
    </row>
    <row r="55" spans="1:13" ht="31.5">
      <c r="A55" s="3">
        <v>46</v>
      </c>
      <c r="B55" s="11" t="s">
        <v>71</v>
      </c>
      <c r="C55" s="3">
        <v>1</v>
      </c>
      <c r="D55" s="3">
        <v>5</v>
      </c>
      <c r="E55" s="11" t="s">
        <v>117</v>
      </c>
      <c r="F55" s="14">
        <v>0.312</v>
      </c>
      <c r="G55" s="14">
        <f t="shared" si="6"/>
        <v>9.000000000000008E-3</v>
      </c>
      <c r="H55" s="14">
        <f t="shared" si="0"/>
        <v>0.32666164154103872</v>
      </c>
      <c r="I55" s="14">
        <f t="shared" si="1"/>
        <v>0.71360741478107859</v>
      </c>
      <c r="J55" s="14">
        <f t="shared" si="2"/>
        <v>0.47532109228187902</v>
      </c>
      <c r="K55" s="14">
        <f t="shared" si="3"/>
        <v>0.14549161073825498</v>
      </c>
      <c r="L55" s="12" t="str">
        <f t="shared" si="4"/>
        <v/>
      </c>
      <c r="M55" s="12" t="str">
        <f t="shared" si="5"/>
        <v/>
      </c>
    </row>
    <row r="56" spans="1:13" ht="31.5">
      <c r="A56" s="3">
        <v>47</v>
      </c>
      <c r="B56" s="11" t="s">
        <v>71</v>
      </c>
      <c r="C56" s="3">
        <v>1</v>
      </c>
      <c r="D56" s="3">
        <v>4</v>
      </c>
      <c r="E56" s="11" t="s">
        <v>118</v>
      </c>
      <c r="F56" s="14">
        <v>0.32800000000000001</v>
      </c>
      <c r="G56" s="14">
        <f t="shared" si="6"/>
        <v>1.6000000000000014E-2</v>
      </c>
      <c r="H56" s="14">
        <f t="shared" si="0"/>
        <v>0.32666164154103872</v>
      </c>
      <c r="I56" s="14">
        <f t="shared" si="1"/>
        <v>0.71360741478107859</v>
      </c>
      <c r="J56" s="14">
        <f t="shared" si="2"/>
        <v>0.47532109228187902</v>
      </c>
      <c r="K56" s="14">
        <f t="shared" si="3"/>
        <v>0.14549161073825498</v>
      </c>
      <c r="L56" s="12" t="str">
        <f t="shared" si="4"/>
        <v/>
      </c>
      <c r="M56" s="12" t="str">
        <f t="shared" si="5"/>
        <v/>
      </c>
    </row>
    <row r="57" spans="1:13" ht="31.5">
      <c r="A57" s="3">
        <v>48</v>
      </c>
      <c r="B57" s="11" t="s">
        <v>71</v>
      </c>
      <c r="C57" s="3">
        <v>1</v>
      </c>
      <c r="D57" s="3">
        <v>3</v>
      </c>
      <c r="E57" s="11" t="s">
        <v>119</v>
      </c>
      <c r="F57" s="14">
        <v>0.33900000000000002</v>
      </c>
      <c r="G57" s="14">
        <f t="shared" si="6"/>
        <v>1.100000000000001E-2</v>
      </c>
      <c r="H57" s="14">
        <f t="shared" si="0"/>
        <v>0.32666164154103872</v>
      </c>
      <c r="I57" s="14">
        <f t="shared" si="1"/>
        <v>0.71360741478107859</v>
      </c>
      <c r="J57" s="14">
        <f t="shared" si="2"/>
        <v>0.47532109228187902</v>
      </c>
      <c r="K57" s="14">
        <f t="shared" si="3"/>
        <v>0.14549161073825498</v>
      </c>
      <c r="L57" s="12" t="str">
        <f t="shared" si="4"/>
        <v/>
      </c>
      <c r="M57" s="12" t="str">
        <f t="shared" si="5"/>
        <v/>
      </c>
    </row>
    <row r="58" spans="1:13" ht="31.5">
      <c r="A58" s="3">
        <v>49</v>
      </c>
      <c r="B58" s="11" t="s">
        <v>71</v>
      </c>
      <c r="C58" s="3">
        <v>1</v>
      </c>
      <c r="D58" s="3">
        <v>2</v>
      </c>
      <c r="E58" s="11" t="s">
        <v>120</v>
      </c>
      <c r="F58" s="14">
        <v>0.34699999999999998</v>
      </c>
      <c r="G58" s="14">
        <f t="shared" si="6"/>
        <v>7.9999999999999516E-3</v>
      </c>
      <c r="H58" s="14">
        <f t="shared" si="0"/>
        <v>0.32666164154103872</v>
      </c>
      <c r="I58" s="14">
        <f t="shared" si="1"/>
        <v>0.71360741478107859</v>
      </c>
      <c r="J58" s="14">
        <f t="shared" si="2"/>
        <v>0.47532109228187902</v>
      </c>
      <c r="K58" s="14">
        <f t="shared" si="3"/>
        <v>0.14549161073825498</v>
      </c>
      <c r="L58" s="12" t="str">
        <f t="shared" si="4"/>
        <v/>
      </c>
      <c r="M58" s="12" t="str">
        <f t="shared" si="5"/>
        <v/>
      </c>
    </row>
    <row r="59" spans="1:13" ht="31.5">
      <c r="A59" s="3">
        <v>50</v>
      </c>
      <c r="B59" s="11" t="s">
        <v>71</v>
      </c>
      <c r="C59" s="3">
        <v>1</v>
      </c>
      <c r="D59" s="3">
        <v>1</v>
      </c>
      <c r="E59" s="11" t="s">
        <v>121</v>
      </c>
      <c r="F59" s="14">
        <v>0.23200000000000001</v>
      </c>
      <c r="G59" s="14">
        <f t="shared" si="6"/>
        <v>0.11499999999999996</v>
      </c>
      <c r="H59" s="14">
        <f t="shared" si="0"/>
        <v>0.32666164154103872</v>
      </c>
      <c r="I59" s="14">
        <f t="shared" si="1"/>
        <v>0.71360741478107859</v>
      </c>
      <c r="J59" s="14">
        <f t="shared" si="2"/>
        <v>0.47532109228187902</v>
      </c>
      <c r="K59" s="14">
        <f t="shared" si="3"/>
        <v>0.14549161073825498</v>
      </c>
      <c r="L59" s="12" t="str">
        <f t="shared" si="4"/>
        <v/>
      </c>
      <c r="M59" s="12" t="str">
        <f t="shared" si="5"/>
        <v/>
      </c>
    </row>
    <row r="60" spans="1:13" ht="31.5">
      <c r="A60" s="3">
        <v>51</v>
      </c>
      <c r="B60" s="11" t="s">
        <v>71</v>
      </c>
      <c r="C60" s="3">
        <v>2</v>
      </c>
      <c r="D60" s="3">
        <v>25</v>
      </c>
      <c r="E60" s="11" t="s">
        <v>122</v>
      </c>
      <c r="F60" s="14">
        <v>0.29499999999999998</v>
      </c>
      <c r="G60" s="14">
        <f t="shared" si="6"/>
        <v>6.2999999999999973E-2</v>
      </c>
      <c r="H60" s="14">
        <f t="shared" si="0"/>
        <v>0.32666164154103872</v>
      </c>
      <c r="I60" s="14">
        <f t="shared" si="1"/>
        <v>0.71360741478107859</v>
      </c>
      <c r="J60" s="14">
        <f t="shared" si="2"/>
        <v>0.47532109228187902</v>
      </c>
      <c r="K60" s="14">
        <f t="shared" si="3"/>
        <v>0.14549161073825498</v>
      </c>
      <c r="L60" s="12" t="str">
        <f t="shared" si="4"/>
        <v/>
      </c>
      <c r="M60" s="12" t="str">
        <f t="shared" si="5"/>
        <v/>
      </c>
    </row>
    <row r="61" spans="1:13" ht="31.5">
      <c r="A61" s="3">
        <v>52</v>
      </c>
      <c r="B61" s="11" t="s">
        <v>71</v>
      </c>
      <c r="C61" s="3">
        <v>2</v>
      </c>
      <c r="D61" s="3">
        <v>24</v>
      </c>
      <c r="E61" s="11" t="s">
        <v>123</v>
      </c>
      <c r="F61" s="14">
        <v>0.33800000000000002</v>
      </c>
      <c r="G61" s="14">
        <f t="shared" si="6"/>
        <v>4.3000000000000038E-2</v>
      </c>
      <c r="H61" s="14">
        <f t="shared" si="0"/>
        <v>0.32666164154103872</v>
      </c>
      <c r="I61" s="14">
        <f t="shared" si="1"/>
        <v>0.71360741478107859</v>
      </c>
      <c r="J61" s="14">
        <f t="shared" si="2"/>
        <v>0.47532109228187902</v>
      </c>
      <c r="K61" s="14">
        <f t="shared" si="3"/>
        <v>0.14549161073825498</v>
      </c>
      <c r="L61" s="12" t="str">
        <f t="shared" si="4"/>
        <v/>
      </c>
      <c r="M61" s="12" t="str">
        <f t="shared" si="5"/>
        <v/>
      </c>
    </row>
    <row r="62" spans="1:13" ht="31.5">
      <c r="A62" s="3">
        <v>53</v>
      </c>
      <c r="B62" s="11" t="s">
        <v>71</v>
      </c>
      <c r="C62" s="3">
        <v>2</v>
      </c>
      <c r="D62" s="3">
        <v>23</v>
      </c>
      <c r="E62" s="11" t="s">
        <v>124</v>
      </c>
      <c r="F62" s="14">
        <v>0.29599999999999999</v>
      </c>
      <c r="G62" s="14">
        <f t="shared" si="6"/>
        <v>4.2000000000000037E-2</v>
      </c>
      <c r="H62" s="14">
        <f t="shared" si="0"/>
        <v>0.32666164154103872</v>
      </c>
      <c r="I62" s="14">
        <f t="shared" si="1"/>
        <v>0.71360741478107859</v>
      </c>
      <c r="J62" s="14">
        <f t="shared" si="2"/>
        <v>0.47532109228187902</v>
      </c>
      <c r="K62" s="14">
        <f t="shared" si="3"/>
        <v>0.14549161073825498</v>
      </c>
      <c r="L62" s="12" t="str">
        <f t="shared" si="4"/>
        <v/>
      </c>
      <c r="M62" s="12" t="str">
        <f t="shared" si="5"/>
        <v/>
      </c>
    </row>
    <row r="63" spans="1:13" ht="31.5">
      <c r="A63" s="3">
        <v>54</v>
      </c>
      <c r="B63" s="11" t="s">
        <v>71</v>
      </c>
      <c r="C63" s="3">
        <v>2</v>
      </c>
      <c r="D63" s="3">
        <v>22</v>
      </c>
      <c r="E63" s="11" t="s">
        <v>125</v>
      </c>
      <c r="F63" s="14">
        <v>0.308</v>
      </c>
      <c r="G63" s="14">
        <f t="shared" si="6"/>
        <v>1.2000000000000011E-2</v>
      </c>
      <c r="H63" s="14">
        <f t="shared" si="0"/>
        <v>0.32666164154103872</v>
      </c>
      <c r="I63" s="14">
        <f t="shared" si="1"/>
        <v>0.71360741478107859</v>
      </c>
      <c r="J63" s="14">
        <f t="shared" si="2"/>
        <v>0.47532109228187902</v>
      </c>
      <c r="K63" s="14">
        <f t="shared" si="3"/>
        <v>0.14549161073825498</v>
      </c>
      <c r="L63" s="12" t="str">
        <f t="shared" si="4"/>
        <v/>
      </c>
      <c r="M63" s="12" t="str">
        <f t="shared" si="5"/>
        <v/>
      </c>
    </row>
    <row r="64" spans="1:13" ht="31.5">
      <c r="A64" s="3">
        <v>55</v>
      </c>
      <c r="B64" s="11" t="s">
        <v>71</v>
      </c>
      <c r="C64" s="3">
        <v>2</v>
      </c>
      <c r="D64" s="3">
        <v>21</v>
      </c>
      <c r="E64" s="11" t="s">
        <v>126</v>
      </c>
      <c r="F64" s="14">
        <v>0.252</v>
      </c>
      <c r="G64" s="14">
        <f t="shared" si="6"/>
        <v>5.5999999999999994E-2</v>
      </c>
      <c r="H64" s="14">
        <f t="shared" si="0"/>
        <v>0.32666164154103872</v>
      </c>
      <c r="I64" s="14">
        <f t="shared" si="1"/>
        <v>0.71360741478107859</v>
      </c>
      <c r="J64" s="14">
        <f t="shared" si="2"/>
        <v>0.47532109228187902</v>
      </c>
      <c r="K64" s="14">
        <f t="shared" si="3"/>
        <v>0.14549161073825498</v>
      </c>
      <c r="L64" s="12" t="str">
        <f t="shared" si="4"/>
        <v/>
      </c>
      <c r="M64" s="12" t="str">
        <f t="shared" si="5"/>
        <v/>
      </c>
    </row>
    <row r="65" spans="1:13" ht="31.5">
      <c r="A65" s="3">
        <v>56</v>
      </c>
      <c r="B65" s="11" t="s">
        <v>71</v>
      </c>
      <c r="C65" s="3">
        <v>2</v>
      </c>
      <c r="D65" s="3">
        <v>20</v>
      </c>
      <c r="E65" s="11" t="s">
        <v>127</v>
      </c>
      <c r="F65" s="14">
        <v>0.26400000000000001</v>
      </c>
      <c r="G65" s="14">
        <f t="shared" si="6"/>
        <v>1.2000000000000011E-2</v>
      </c>
      <c r="H65" s="14">
        <f t="shared" si="0"/>
        <v>0.32666164154103872</v>
      </c>
      <c r="I65" s="14">
        <f t="shared" si="1"/>
        <v>0.71360741478107859</v>
      </c>
      <c r="J65" s="14">
        <f t="shared" si="2"/>
        <v>0.47532109228187902</v>
      </c>
      <c r="K65" s="14">
        <f t="shared" si="3"/>
        <v>0.14549161073825498</v>
      </c>
      <c r="L65" s="12" t="str">
        <f t="shared" si="4"/>
        <v/>
      </c>
      <c r="M65" s="12" t="str">
        <f t="shared" si="5"/>
        <v/>
      </c>
    </row>
    <row r="66" spans="1:13" ht="31.5">
      <c r="A66" s="3">
        <v>57</v>
      </c>
      <c r="B66" s="11" t="s">
        <v>71</v>
      </c>
      <c r="C66" s="3">
        <v>2</v>
      </c>
      <c r="D66" s="3">
        <v>19</v>
      </c>
      <c r="E66" s="11" t="s">
        <v>128</v>
      </c>
      <c r="F66" s="14">
        <v>0.55800000000000005</v>
      </c>
      <c r="G66" s="14">
        <f t="shared" si="6"/>
        <v>0.29400000000000004</v>
      </c>
      <c r="H66" s="14">
        <f t="shared" si="0"/>
        <v>0.32666164154103872</v>
      </c>
      <c r="I66" s="14">
        <f t="shared" si="1"/>
        <v>0.71360741478107859</v>
      </c>
      <c r="J66" s="14">
        <f t="shared" si="2"/>
        <v>0.47532109228187902</v>
      </c>
      <c r="K66" s="14">
        <f t="shared" si="3"/>
        <v>0.14549161073825498</v>
      </c>
      <c r="L66" s="12" t="str">
        <f t="shared" si="4"/>
        <v/>
      </c>
      <c r="M66" s="12" t="str">
        <f t="shared" si="5"/>
        <v/>
      </c>
    </row>
    <row r="67" spans="1:13" ht="31.5">
      <c r="A67" s="3">
        <v>58</v>
      </c>
      <c r="B67" s="11" t="s">
        <v>71</v>
      </c>
      <c r="C67" s="3">
        <v>2</v>
      </c>
      <c r="D67" s="3">
        <v>18</v>
      </c>
      <c r="E67" s="11" t="s">
        <v>129</v>
      </c>
      <c r="F67" s="14">
        <v>0.29799999999999999</v>
      </c>
      <c r="G67" s="14">
        <f t="shared" si="6"/>
        <v>0.26000000000000006</v>
      </c>
      <c r="H67" s="14">
        <f t="shared" si="0"/>
        <v>0.32666164154103872</v>
      </c>
      <c r="I67" s="14">
        <f t="shared" si="1"/>
        <v>0.71360741478107859</v>
      </c>
      <c r="J67" s="14">
        <f t="shared" si="2"/>
        <v>0.47532109228187902</v>
      </c>
      <c r="K67" s="14">
        <f t="shared" si="3"/>
        <v>0.14549161073825498</v>
      </c>
      <c r="L67" s="12" t="str">
        <f t="shared" si="4"/>
        <v/>
      </c>
      <c r="M67" s="12" t="str">
        <f t="shared" si="5"/>
        <v/>
      </c>
    </row>
    <row r="68" spans="1:13" ht="31.5">
      <c r="A68" s="3">
        <v>59</v>
      </c>
      <c r="B68" s="11" t="s">
        <v>71</v>
      </c>
      <c r="C68" s="3">
        <v>2</v>
      </c>
      <c r="D68" s="3">
        <v>17</v>
      </c>
      <c r="E68" s="11" t="s">
        <v>130</v>
      </c>
      <c r="F68" s="14">
        <v>0.23699999999999999</v>
      </c>
      <c r="G68" s="14">
        <f t="shared" si="6"/>
        <v>6.0999999999999999E-2</v>
      </c>
      <c r="H68" s="14">
        <f t="shared" si="0"/>
        <v>0.32666164154103872</v>
      </c>
      <c r="I68" s="14">
        <f t="shared" si="1"/>
        <v>0.71360741478107859</v>
      </c>
      <c r="J68" s="14">
        <f t="shared" si="2"/>
        <v>0.47532109228187902</v>
      </c>
      <c r="K68" s="14">
        <f t="shared" si="3"/>
        <v>0.14549161073825498</v>
      </c>
      <c r="L68" s="12" t="str">
        <f t="shared" si="4"/>
        <v/>
      </c>
      <c r="M68" s="12" t="str">
        <f t="shared" si="5"/>
        <v/>
      </c>
    </row>
    <row r="69" spans="1:13" ht="31.5">
      <c r="A69" s="3">
        <v>60</v>
      </c>
      <c r="B69" s="11" t="s">
        <v>71</v>
      </c>
      <c r="C69" s="3">
        <v>2</v>
      </c>
      <c r="D69" s="3">
        <v>16</v>
      </c>
      <c r="E69" s="11" t="s">
        <v>131</v>
      </c>
      <c r="F69" s="14">
        <v>0.29499999999999998</v>
      </c>
      <c r="G69" s="14">
        <f t="shared" si="6"/>
        <v>5.7999999999999996E-2</v>
      </c>
      <c r="H69" s="14">
        <f t="shared" si="0"/>
        <v>0.32666164154103872</v>
      </c>
      <c r="I69" s="14">
        <f t="shared" si="1"/>
        <v>0.71360741478107859</v>
      </c>
      <c r="J69" s="14">
        <f t="shared" si="2"/>
        <v>0.47532109228187902</v>
      </c>
      <c r="K69" s="14">
        <f t="shared" si="3"/>
        <v>0.14549161073825498</v>
      </c>
      <c r="L69" s="12" t="str">
        <f t="shared" si="4"/>
        <v/>
      </c>
      <c r="M69" s="12" t="str">
        <f t="shared" si="5"/>
        <v/>
      </c>
    </row>
    <row r="70" spans="1:13" ht="31.5">
      <c r="A70" s="3">
        <v>61</v>
      </c>
      <c r="B70" s="11" t="s">
        <v>71</v>
      </c>
      <c r="C70" s="3">
        <v>2</v>
      </c>
      <c r="D70" s="3">
        <v>15</v>
      </c>
      <c r="E70" s="11" t="s">
        <v>132</v>
      </c>
      <c r="F70" s="14">
        <v>0.59099999999999997</v>
      </c>
      <c r="G70" s="14">
        <f t="shared" si="6"/>
        <v>0.29599999999999999</v>
      </c>
      <c r="H70" s="14">
        <f t="shared" si="0"/>
        <v>0.32666164154103872</v>
      </c>
      <c r="I70" s="14">
        <f t="shared" si="1"/>
        <v>0.71360741478107859</v>
      </c>
      <c r="J70" s="14">
        <f t="shared" si="2"/>
        <v>0.47532109228187902</v>
      </c>
      <c r="K70" s="14">
        <f t="shared" si="3"/>
        <v>0.14549161073825498</v>
      </c>
      <c r="L70" s="12" t="str">
        <f t="shared" si="4"/>
        <v/>
      </c>
      <c r="M70" s="12" t="str">
        <f t="shared" si="5"/>
        <v/>
      </c>
    </row>
    <row r="71" spans="1:13" ht="31.5">
      <c r="A71" s="3">
        <v>62</v>
      </c>
      <c r="B71" s="11" t="s">
        <v>71</v>
      </c>
      <c r="C71" s="3">
        <v>2</v>
      </c>
      <c r="D71" s="3">
        <v>14</v>
      </c>
      <c r="E71" s="11" t="s">
        <v>133</v>
      </c>
      <c r="F71" s="14">
        <v>0.54700000000000004</v>
      </c>
      <c r="G71" s="14">
        <f t="shared" si="6"/>
        <v>4.3999999999999928E-2</v>
      </c>
      <c r="H71" s="14">
        <f t="shared" si="0"/>
        <v>0.32666164154103872</v>
      </c>
      <c r="I71" s="14">
        <f t="shared" si="1"/>
        <v>0.71360741478107859</v>
      </c>
      <c r="J71" s="14">
        <f t="shared" si="2"/>
        <v>0.47532109228187902</v>
      </c>
      <c r="K71" s="14">
        <f t="shared" si="3"/>
        <v>0.14549161073825498</v>
      </c>
      <c r="L71" s="12" t="str">
        <f t="shared" si="4"/>
        <v/>
      </c>
      <c r="M71" s="12" t="str">
        <f t="shared" si="5"/>
        <v/>
      </c>
    </row>
    <row r="72" spans="1:13" ht="31.5">
      <c r="A72" s="3">
        <v>63</v>
      </c>
      <c r="B72" s="11" t="s">
        <v>71</v>
      </c>
      <c r="C72" s="3">
        <v>2</v>
      </c>
      <c r="D72" s="3">
        <v>13</v>
      </c>
      <c r="E72" s="11" t="s">
        <v>134</v>
      </c>
      <c r="F72" s="14">
        <v>0.44900000000000001</v>
      </c>
      <c r="G72" s="14">
        <f t="shared" si="6"/>
        <v>9.8000000000000032E-2</v>
      </c>
      <c r="H72" s="14">
        <f t="shared" si="0"/>
        <v>0.32666164154103872</v>
      </c>
      <c r="I72" s="14">
        <f t="shared" si="1"/>
        <v>0.71360741478107859</v>
      </c>
      <c r="J72" s="14">
        <f t="shared" si="2"/>
        <v>0.47532109228187902</v>
      </c>
      <c r="K72" s="14">
        <f t="shared" si="3"/>
        <v>0.14549161073825498</v>
      </c>
      <c r="L72" s="12" t="str">
        <f t="shared" si="4"/>
        <v/>
      </c>
      <c r="M72" s="12" t="str">
        <f t="shared" si="5"/>
        <v/>
      </c>
    </row>
    <row r="73" spans="1:13" ht="31.5">
      <c r="A73" s="3">
        <v>64</v>
      </c>
      <c r="B73" s="11" t="s">
        <v>71</v>
      </c>
      <c r="C73" s="3">
        <v>2</v>
      </c>
      <c r="D73" s="3">
        <v>12</v>
      </c>
      <c r="E73" s="11" t="s">
        <v>135</v>
      </c>
      <c r="F73" s="14">
        <v>0.22</v>
      </c>
      <c r="G73" s="14">
        <f t="shared" si="6"/>
        <v>0.22900000000000001</v>
      </c>
      <c r="H73" s="14">
        <f t="shared" si="0"/>
        <v>0.32666164154103872</v>
      </c>
      <c r="I73" s="14">
        <f t="shared" si="1"/>
        <v>0.71360741478107859</v>
      </c>
      <c r="J73" s="14">
        <f t="shared" si="2"/>
        <v>0.47532109228187902</v>
      </c>
      <c r="K73" s="14">
        <f t="shared" si="3"/>
        <v>0.14549161073825498</v>
      </c>
      <c r="L73" s="12" t="str">
        <f t="shared" si="4"/>
        <v/>
      </c>
      <c r="M73" s="12" t="str">
        <f t="shared" si="5"/>
        <v/>
      </c>
    </row>
    <row r="74" spans="1:13" ht="31.5">
      <c r="A74" s="3">
        <v>65</v>
      </c>
      <c r="B74" s="11" t="s">
        <v>71</v>
      </c>
      <c r="C74" s="3">
        <v>2</v>
      </c>
      <c r="D74" s="3">
        <v>11</v>
      </c>
      <c r="E74" s="11" t="s">
        <v>136</v>
      </c>
      <c r="F74" s="14">
        <v>0.28299999999999997</v>
      </c>
      <c r="G74" s="14">
        <f t="shared" si="6"/>
        <v>6.2999999999999973E-2</v>
      </c>
      <c r="H74" s="14">
        <f t="shared" si="0"/>
        <v>0.32666164154103872</v>
      </c>
      <c r="I74" s="14">
        <f t="shared" si="1"/>
        <v>0.71360741478107859</v>
      </c>
      <c r="J74" s="14">
        <f t="shared" si="2"/>
        <v>0.47532109228187902</v>
      </c>
      <c r="K74" s="14">
        <f t="shared" si="3"/>
        <v>0.14549161073825498</v>
      </c>
      <c r="L74" s="12" t="str">
        <f t="shared" si="4"/>
        <v/>
      </c>
      <c r="M74" s="12" t="str">
        <f t="shared" si="5"/>
        <v/>
      </c>
    </row>
    <row r="75" spans="1:13" ht="31.5">
      <c r="A75" s="3">
        <v>66</v>
      </c>
      <c r="B75" s="11" t="s">
        <v>71</v>
      </c>
      <c r="C75" s="3">
        <v>2</v>
      </c>
      <c r="D75" s="3">
        <v>10</v>
      </c>
      <c r="E75" s="11" t="s">
        <v>137</v>
      </c>
      <c r="F75" s="14">
        <v>0.23899999999999999</v>
      </c>
      <c r="G75" s="14">
        <f t="shared" si="6"/>
        <v>4.3999999999999984E-2</v>
      </c>
      <c r="H75" s="14">
        <f t="shared" ref="H75:H138" si="7">$F$4</f>
        <v>0.32666164154103872</v>
      </c>
      <c r="I75" s="14">
        <f t="shared" ref="I75:I138" si="8">$F$7</f>
        <v>0.71360741478107859</v>
      </c>
      <c r="J75" s="14">
        <f t="shared" ref="J75:J138" si="9">$F$8</f>
        <v>0.47532109228187902</v>
      </c>
      <c r="K75" s="14">
        <f t="shared" ref="K75:K138" si="10">$F$5</f>
        <v>0.14549161073825498</v>
      </c>
      <c r="L75" s="12" t="str">
        <f t="shared" ref="L75:L138" si="11">IF(F75&gt;$F$7,"OOC","" )</f>
        <v/>
      </c>
      <c r="M75" s="12" t="str">
        <f t="shared" ref="M75:M138" si="12">IF(F75&gt;$B$4,"OOS","" )</f>
        <v/>
      </c>
    </row>
    <row r="76" spans="1:13" ht="31.5">
      <c r="A76" s="3">
        <v>67</v>
      </c>
      <c r="B76" s="11" t="s">
        <v>71</v>
      </c>
      <c r="C76" s="3">
        <v>2</v>
      </c>
      <c r="D76" s="3">
        <v>9</v>
      </c>
      <c r="E76" s="11" t="s">
        <v>138</v>
      </c>
      <c r="F76" s="14">
        <v>0.18099999999999999</v>
      </c>
      <c r="G76" s="14">
        <f t="shared" ref="G76:G139" si="13">ABS(F76-F75)</f>
        <v>5.7999999999999996E-2</v>
      </c>
      <c r="H76" s="14">
        <f t="shared" si="7"/>
        <v>0.32666164154103872</v>
      </c>
      <c r="I76" s="14">
        <f t="shared" si="8"/>
        <v>0.71360741478107859</v>
      </c>
      <c r="J76" s="14">
        <f t="shared" si="9"/>
        <v>0.47532109228187902</v>
      </c>
      <c r="K76" s="14">
        <f t="shared" si="10"/>
        <v>0.14549161073825498</v>
      </c>
      <c r="L76" s="12" t="str">
        <f t="shared" si="11"/>
        <v/>
      </c>
      <c r="M76" s="12" t="str">
        <f t="shared" si="12"/>
        <v/>
      </c>
    </row>
    <row r="77" spans="1:13" ht="31.5">
      <c r="A77" s="3">
        <v>68</v>
      </c>
      <c r="B77" s="11" t="s">
        <v>71</v>
      </c>
      <c r="C77" s="3">
        <v>2</v>
      </c>
      <c r="D77" s="3">
        <v>8</v>
      </c>
      <c r="E77" s="11" t="s">
        <v>139</v>
      </c>
      <c r="F77" s="14">
        <v>0.191</v>
      </c>
      <c r="G77" s="14">
        <f t="shared" si="13"/>
        <v>1.0000000000000009E-2</v>
      </c>
      <c r="H77" s="14">
        <f t="shared" si="7"/>
        <v>0.32666164154103872</v>
      </c>
      <c r="I77" s="14">
        <f t="shared" si="8"/>
        <v>0.71360741478107859</v>
      </c>
      <c r="J77" s="14">
        <f t="shared" si="9"/>
        <v>0.47532109228187902</v>
      </c>
      <c r="K77" s="14">
        <f t="shared" si="10"/>
        <v>0.14549161073825498</v>
      </c>
      <c r="L77" s="12" t="str">
        <f t="shared" si="11"/>
        <v/>
      </c>
      <c r="M77" s="12" t="str">
        <f t="shared" si="12"/>
        <v/>
      </c>
    </row>
    <row r="78" spans="1:13" ht="31.5">
      <c r="A78" s="3">
        <v>69</v>
      </c>
      <c r="B78" s="11" t="s">
        <v>71</v>
      </c>
      <c r="C78" s="3">
        <v>2</v>
      </c>
      <c r="D78" s="3">
        <v>7</v>
      </c>
      <c r="E78" s="11" t="s">
        <v>140</v>
      </c>
      <c r="F78" s="14">
        <v>9.4E-2</v>
      </c>
      <c r="G78" s="14">
        <f t="shared" si="13"/>
        <v>9.7000000000000003E-2</v>
      </c>
      <c r="H78" s="14">
        <f t="shared" si="7"/>
        <v>0.32666164154103872</v>
      </c>
      <c r="I78" s="14">
        <f t="shared" si="8"/>
        <v>0.71360741478107859</v>
      </c>
      <c r="J78" s="14">
        <f t="shared" si="9"/>
        <v>0.47532109228187902</v>
      </c>
      <c r="K78" s="14">
        <f t="shared" si="10"/>
        <v>0.14549161073825498</v>
      </c>
      <c r="L78" s="12" t="str">
        <f t="shared" si="11"/>
        <v/>
      </c>
      <c r="M78" s="12" t="str">
        <f t="shared" si="12"/>
        <v/>
      </c>
    </row>
    <row r="79" spans="1:13" ht="31.5">
      <c r="A79" s="3">
        <v>70</v>
      </c>
      <c r="B79" s="11" t="s">
        <v>71</v>
      </c>
      <c r="C79" s="3">
        <v>2</v>
      </c>
      <c r="D79" s="3">
        <v>6</v>
      </c>
      <c r="E79" s="11" t="s">
        <v>141</v>
      </c>
      <c r="F79" s="14">
        <v>0.13100000000000001</v>
      </c>
      <c r="G79" s="14">
        <f t="shared" si="13"/>
        <v>3.7000000000000005E-2</v>
      </c>
      <c r="H79" s="14">
        <f t="shared" si="7"/>
        <v>0.32666164154103872</v>
      </c>
      <c r="I79" s="14">
        <f t="shared" si="8"/>
        <v>0.71360741478107859</v>
      </c>
      <c r="J79" s="14">
        <f t="shared" si="9"/>
        <v>0.47532109228187902</v>
      </c>
      <c r="K79" s="14">
        <f t="shared" si="10"/>
        <v>0.14549161073825498</v>
      </c>
      <c r="L79" s="12" t="str">
        <f t="shared" si="11"/>
        <v/>
      </c>
      <c r="M79" s="12" t="str">
        <f t="shared" si="12"/>
        <v/>
      </c>
    </row>
    <row r="80" spans="1:13" ht="31.5">
      <c r="A80" s="3">
        <v>71</v>
      </c>
      <c r="B80" s="11" t="s">
        <v>71</v>
      </c>
      <c r="C80" s="3">
        <v>2</v>
      </c>
      <c r="D80" s="3">
        <v>5</v>
      </c>
      <c r="E80" s="11" t="s">
        <v>142</v>
      </c>
      <c r="F80" s="14">
        <v>0.2</v>
      </c>
      <c r="G80" s="14">
        <f t="shared" si="13"/>
        <v>6.9000000000000006E-2</v>
      </c>
      <c r="H80" s="14">
        <f t="shared" si="7"/>
        <v>0.32666164154103872</v>
      </c>
      <c r="I80" s="14">
        <f t="shared" si="8"/>
        <v>0.71360741478107859</v>
      </c>
      <c r="J80" s="14">
        <f t="shared" si="9"/>
        <v>0.47532109228187902</v>
      </c>
      <c r="K80" s="14">
        <f t="shared" si="10"/>
        <v>0.14549161073825498</v>
      </c>
      <c r="L80" s="12" t="str">
        <f t="shared" si="11"/>
        <v/>
      </c>
      <c r="M80" s="12" t="str">
        <f t="shared" si="12"/>
        <v/>
      </c>
    </row>
    <row r="81" spans="1:13" ht="31.5">
      <c r="A81" s="3">
        <v>72</v>
      </c>
      <c r="B81" s="11" t="s">
        <v>71</v>
      </c>
      <c r="C81" s="3">
        <v>2</v>
      </c>
      <c r="D81" s="3">
        <v>4</v>
      </c>
      <c r="E81" s="11" t="s">
        <v>143</v>
      </c>
      <c r="F81" s="14">
        <v>0.30399999999999999</v>
      </c>
      <c r="G81" s="14">
        <f t="shared" si="13"/>
        <v>0.10399999999999998</v>
      </c>
      <c r="H81" s="14">
        <f t="shared" si="7"/>
        <v>0.32666164154103872</v>
      </c>
      <c r="I81" s="14">
        <f t="shared" si="8"/>
        <v>0.71360741478107859</v>
      </c>
      <c r="J81" s="14">
        <f t="shared" si="9"/>
        <v>0.47532109228187902</v>
      </c>
      <c r="K81" s="14">
        <f t="shared" si="10"/>
        <v>0.14549161073825498</v>
      </c>
      <c r="L81" s="12" t="str">
        <f t="shared" si="11"/>
        <v/>
      </c>
      <c r="M81" s="12" t="str">
        <f t="shared" si="12"/>
        <v/>
      </c>
    </row>
    <row r="82" spans="1:13" ht="31.5">
      <c r="A82" s="3">
        <v>73</v>
      </c>
      <c r="B82" s="11" t="s">
        <v>71</v>
      </c>
      <c r="C82" s="3">
        <v>2</v>
      </c>
      <c r="D82" s="3">
        <v>3</v>
      </c>
      <c r="E82" s="11" t="s">
        <v>144</v>
      </c>
      <c r="F82" s="14">
        <v>0.36699999999999999</v>
      </c>
      <c r="G82" s="14">
        <f t="shared" si="13"/>
        <v>6.3E-2</v>
      </c>
      <c r="H82" s="14">
        <f t="shared" si="7"/>
        <v>0.32666164154103872</v>
      </c>
      <c r="I82" s="14">
        <f t="shared" si="8"/>
        <v>0.71360741478107859</v>
      </c>
      <c r="J82" s="14">
        <f t="shared" si="9"/>
        <v>0.47532109228187902</v>
      </c>
      <c r="K82" s="14">
        <f t="shared" si="10"/>
        <v>0.14549161073825498</v>
      </c>
      <c r="L82" s="12" t="str">
        <f t="shared" si="11"/>
        <v/>
      </c>
      <c r="M82" s="12" t="str">
        <f t="shared" si="12"/>
        <v/>
      </c>
    </row>
    <row r="83" spans="1:13" ht="31.5">
      <c r="A83" s="3">
        <v>74</v>
      </c>
      <c r="B83" s="11" t="s">
        <v>71</v>
      </c>
      <c r="C83" s="3">
        <v>2</v>
      </c>
      <c r="D83" s="3">
        <v>2</v>
      </c>
      <c r="E83" s="11" t="s">
        <v>145</v>
      </c>
      <c r="F83" s="14">
        <v>0.29899999999999999</v>
      </c>
      <c r="G83" s="14">
        <f t="shared" si="13"/>
        <v>6.8000000000000005E-2</v>
      </c>
      <c r="H83" s="14">
        <f t="shared" si="7"/>
        <v>0.32666164154103872</v>
      </c>
      <c r="I83" s="14">
        <f t="shared" si="8"/>
        <v>0.71360741478107859</v>
      </c>
      <c r="J83" s="14">
        <f t="shared" si="9"/>
        <v>0.47532109228187902</v>
      </c>
      <c r="K83" s="14">
        <f t="shared" si="10"/>
        <v>0.14549161073825498</v>
      </c>
      <c r="L83" s="12" t="str">
        <f t="shared" si="11"/>
        <v/>
      </c>
      <c r="M83" s="12" t="str">
        <f t="shared" si="12"/>
        <v/>
      </c>
    </row>
    <row r="84" spans="1:13" ht="31.5">
      <c r="A84" s="3">
        <v>75</v>
      </c>
      <c r="B84" s="11" t="s">
        <v>71</v>
      </c>
      <c r="C84" s="3">
        <v>2</v>
      </c>
      <c r="D84" s="3">
        <v>1</v>
      </c>
      <c r="E84" s="11" t="s">
        <v>146</v>
      </c>
      <c r="F84" s="14">
        <v>0.23400000000000001</v>
      </c>
      <c r="G84" s="14">
        <f t="shared" si="13"/>
        <v>6.4999999999999974E-2</v>
      </c>
      <c r="H84" s="14">
        <f t="shared" si="7"/>
        <v>0.32666164154103872</v>
      </c>
      <c r="I84" s="14">
        <f t="shared" si="8"/>
        <v>0.71360741478107859</v>
      </c>
      <c r="J84" s="14">
        <f t="shared" si="9"/>
        <v>0.47532109228187902</v>
      </c>
      <c r="K84" s="14">
        <f t="shared" si="10"/>
        <v>0.14549161073825498</v>
      </c>
      <c r="L84" s="12" t="str">
        <f t="shared" si="11"/>
        <v/>
      </c>
      <c r="M84" s="12" t="str">
        <f t="shared" si="12"/>
        <v/>
      </c>
    </row>
    <row r="85" spans="1:13" ht="31.5">
      <c r="A85" s="3">
        <v>76</v>
      </c>
      <c r="B85" s="11" t="s">
        <v>71</v>
      </c>
      <c r="C85" s="3">
        <v>2</v>
      </c>
      <c r="D85" s="3">
        <v>25</v>
      </c>
      <c r="E85" s="11" t="s">
        <v>147</v>
      </c>
      <c r="F85" s="14">
        <v>0.54200000000000004</v>
      </c>
      <c r="G85" s="14">
        <f t="shared" si="13"/>
        <v>0.30800000000000005</v>
      </c>
      <c r="H85" s="14">
        <f t="shared" si="7"/>
        <v>0.32666164154103872</v>
      </c>
      <c r="I85" s="14">
        <f t="shared" si="8"/>
        <v>0.71360741478107859</v>
      </c>
      <c r="J85" s="14">
        <f t="shared" si="9"/>
        <v>0.47532109228187902</v>
      </c>
      <c r="K85" s="14">
        <f t="shared" si="10"/>
        <v>0.14549161073825498</v>
      </c>
      <c r="L85" s="12" t="str">
        <f t="shared" si="11"/>
        <v/>
      </c>
      <c r="M85" s="12" t="str">
        <f t="shared" si="12"/>
        <v/>
      </c>
    </row>
    <row r="86" spans="1:13" ht="31.5">
      <c r="A86" s="3">
        <v>77</v>
      </c>
      <c r="B86" s="11" t="s">
        <v>71</v>
      </c>
      <c r="C86" s="3">
        <v>2</v>
      </c>
      <c r="D86" s="3">
        <v>24</v>
      </c>
      <c r="E86" s="11" t="s">
        <v>148</v>
      </c>
      <c r="F86" s="14">
        <v>0.42</v>
      </c>
      <c r="G86" s="14">
        <f t="shared" si="13"/>
        <v>0.12200000000000005</v>
      </c>
      <c r="H86" s="14">
        <f t="shared" si="7"/>
        <v>0.32666164154103872</v>
      </c>
      <c r="I86" s="14">
        <f t="shared" si="8"/>
        <v>0.71360741478107859</v>
      </c>
      <c r="J86" s="14">
        <f t="shared" si="9"/>
        <v>0.47532109228187902</v>
      </c>
      <c r="K86" s="14">
        <f t="shared" si="10"/>
        <v>0.14549161073825498</v>
      </c>
      <c r="L86" s="12" t="str">
        <f t="shared" si="11"/>
        <v/>
      </c>
      <c r="M86" s="12" t="str">
        <f t="shared" si="12"/>
        <v/>
      </c>
    </row>
    <row r="87" spans="1:13" ht="31.5">
      <c r="A87" s="3">
        <v>78</v>
      </c>
      <c r="B87" s="11" t="s">
        <v>71</v>
      </c>
      <c r="C87" s="3">
        <v>2</v>
      </c>
      <c r="D87" s="3">
        <v>23</v>
      </c>
      <c r="E87" s="11" t="s">
        <v>149</v>
      </c>
      <c r="F87" s="14">
        <v>0.41599999999999998</v>
      </c>
      <c r="G87" s="14">
        <f t="shared" si="13"/>
        <v>4.0000000000000036E-3</v>
      </c>
      <c r="H87" s="14">
        <f t="shared" si="7"/>
        <v>0.32666164154103872</v>
      </c>
      <c r="I87" s="14">
        <f t="shared" si="8"/>
        <v>0.71360741478107859</v>
      </c>
      <c r="J87" s="14">
        <f t="shared" si="9"/>
        <v>0.47532109228187902</v>
      </c>
      <c r="K87" s="14">
        <f t="shared" si="10"/>
        <v>0.14549161073825498</v>
      </c>
      <c r="L87" s="12" t="str">
        <f t="shared" si="11"/>
        <v/>
      </c>
      <c r="M87" s="12" t="str">
        <f t="shared" si="12"/>
        <v/>
      </c>
    </row>
    <row r="88" spans="1:13" ht="31.5">
      <c r="A88" s="3">
        <v>79</v>
      </c>
      <c r="B88" s="11" t="s">
        <v>71</v>
      </c>
      <c r="C88" s="3">
        <v>2</v>
      </c>
      <c r="D88" s="3">
        <v>22</v>
      </c>
      <c r="E88" s="11" t="s">
        <v>150</v>
      </c>
      <c r="F88" s="14">
        <v>0.38100000000000001</v>
      </c>
      <c r="G88" s="14">
        <f t="shared" si="13"/>
        <v>3.4999999999999976E-2</v>
      </c>
      <c r="H88" s="14">
        <f t="shared" si="7"/>
        <v>0.32666164154103872</v>
      </c>
      <c r="I88" s="14">
        <f t="shared" si="8"/>
        <v>0.71360741478107859</v>
      </c>
      <c r="J88" s="14">
        <f t="shared" si="9"/>
        <v>0.47532109228187902</v>
      </c>
      <c r="K88" s="14">
        <f t="shared" si="10"/>
        <v>0.14549161073825498</v>
      </c>
      <c r="L88" s="12" t="str">
        <f t="shared" si="11"/>
        <v/>
      </c>
      <c r="M88" s="12" t="str">
        <f t="shared" si="12"/>
        <v/>
      </c>
    </row>
    <row r="89" spans="1:13" ht="31.5">
      <c r="A89" s="3">
        <v>80</v>
      </c>
      <c r="B89" s="11" t="s">
        <v>71</v>
      </c>
      <c r="C89" s="3">
        <v>2</v>
      </c>
      <c r="D89" s="3">
        <v>21</v>
      </c>
      <c r="E89" s="11" t="s">
        <v>151</v>
      </c>
      <c r="F89" s="14">
        <v>0.16500000000000001</v>
      </c>
      <c r="G89" s="14">
        <f t="shared" si="13"/>
        <v>0.216</v>
      </c>
      <c r="H89" s="14">
        <f t="shared" si="7"/>
        <v>0.32666164154103872</v>
      </c>
      <c r="I89" s="14">
        <f t="shared" si="8"/>
        <v>0.71360741478107859</v>
      </c>
      <c r="J89" s="14">
        <f t="shared" si="9"/>
        <v>0.47532109228187902</v>
      </c>
      <c r="K89" s="14">
        <f t="shared" si="10"/>
        <v>0.14549161073825498</v>
      </c>
      <c r="L89" s="12" t="str">
        <f t="shared" si="11"/>
        <v/>
      </c>
      <c r="M89" s="12" t="str">
        <f t="shared" si="12"/>
        <v/>
      </c>
    </row>
    <row r="90" spans="1:13" ht="31.5">
      <c r="A90" s="3">
        <v>81</v>
      </c>
      <c r="B90" s="11" t="s">
        <v>71</v>
      </c>
      <c r="C90" s="3">
        <v>2</v>
      </c>
      <c r="D90" s="3">
        <v>20</v>
      </c>
      <c r="E90" s="11" t="s">
        <v>152</v>
      </c>
      <c r="F90" s="14">
        <v>0.189</v>
      </c>
      <c r="G90" s="14">
        <f t="shared" si="13"/>
        <v>2.3999999999999994E-2</v>
      </c>
      <c r="H90" s="14">
        <f t="shared" si="7"/>
        <v>0.32666164154103872</v>
      </c>
      <c r="I90" s="14">
        <f t="shared" si="8"/>
        <v>0.71360741478107859</v>
      </c>
      <c r="J90" s="14">
        <f t="shared" si="9"/>
        <v>0.47532109228187902</v>
      </c>
      <c r="K90" s="14">
        <f t="shared" si="10"/>
        <v>0.14549161073825498</v>
      </c>
      <c r="L90" s="12" t="str">
        <f t="shared" si="11"/>
        <v/>
      </c>
      <c r="M90" s="12" t="str">
        <f t="shared" si="12"/>
        <v/>
      </c>
    </row>
    <row r="91" spans="1:13" ht="31.5">
      <c r="A91" s="3">
        <v>82</v>
      </c>
      <c r="B91" s="11" t="s">
        <v>71</v>
      </c>
      <c r="C91" s="3">
        <v>2</v>
      </c>
      <c r="D91" s="3">
        <v>19</v>
      </c>
      <c r="E91" s="11" t="s">
        <v>153</v>
      </c>
      <c r="F91" s="14">
        <v>0.504</v>
      </c>
      <c r="G91" s="14">
        <f t="shared" si="13"/>
        <v>0.315</v>
      </c>
      <c r="H91" s="14">
        <f t="shared" si="7"/>
        <v>0.32666164154103872</v>
      </c>
      <c r="I91" s="14">
        <f t="shared" si="8"/>
        <v>0.71360741478107859</v>
      </c>
      <c r="J91" s="14">
        <f t="shared" si="9"/>
        <v>0.47532109228187902</v>
      </c>
      <c r="K91" s="14">
        <f t="shared" si="10"/>
        <v>0.14549161073825498</v>
      </c>
      <c r="L91" s="12" t="str">
        <f t="shared" si="11"/>
        <v/>
      </c>
      <c r="M91" s="12" t="str">
        <f t="shared" si="12"/>
        <v/>
      </c>
    </row>
    <row r="92" spans="1:13" ht="31.5">
      <c r="A92" s="3">
        <v>83</v>
      </c>
      <c r="B92" s="11" t="s">
        <v>71</v>
      </c>
      <c r="C92" s="3">
        <v>2</v>
      </c>
      <c r="D92" s="3">
        <v>18</v>
      </c>
      <c r="E92" s="11" t="s">
        <v>154</v>
      </c>
      <c r="F92" s="14">
        <v>0.439</v>
      </c>
      <c r="G92" s="14">
        <f t="shared" si="13"/>
        <v>6.5000000000000002E-2</v>
      </c>
      <c r="H92" s="14">
        <f t="shared" si="7"/>
        <v>0.32666164154103872</v>
      </c>
      <c r="I92" s="14">
        <f t="shared" si="8"/>
        <v>0.71360741478107859</v>
      </c>
      <c r="J92" s="14">
        <f t="shared" si="9"/>
        <v>0.47532109228187902</v>
      </c>
      <c r="K92" s="14">
        <f t="shared" si="10"/>
        <v>0.14549161073825498</v>
      </c>
      <c r="L92" s="12" t="str">
        <f t="shared" si="11"/>
        <v/>
      </c>
      <c r="M92" s="12" t="str">
        <f t="shared" si="12"/>
        <v/>
      </c>
    </row>
    <row r="93" spans="1:13" ht="31.5">
      <c r="A93" s="3">
        <v>84</v>
      </c>
      <c r="B93" s="11" t="s">
        <v>71</v>
      </c>
      <c r="C93" s="3">
        <v>2</v>
      </c>
      <c r="D93" s="3">
        <v>17</v>
      </c>
      <c r="E93" s="11" t="s">
        <v>155</v>
      </c>
      <c r="F93" s="14">
        <v>0.16400000000000001</v>
      </c>
      <c r="G93" s="14">
        <f t="shared" si="13"/>
        <v>0.27500000000000002</v>
      </c>
      <c r="H93" s="14">
        <f t="shared" si="7"/>
        <v>0.32666164154103872</v>
      </c>
      <c r="I93" s="14">
        <f t="shared" si="8"/>
        <v>0.71360741478107859</v>
      </c>
      <c r="J93" s="14">
        <f t="shared" si="9"/>
        <v>0.47532109228187902</v>
      </c>
      <c r="K93" s="14">
        <f t="shared" si="10"/>
        <v>0.14549161073825498</v>
      </c>
      <c r="L93" s="12" t="str">
        <f t="shared" si="11"/>
        <v/>
      </c>
      <c r="M93" s="12" t="str">
        <f t="shared" si="12"/>
        <v/>
      </c>
    </row>
    <row r="94" spans="1:13" ht="31.5">
      <c r="A94" s="3">
        <v>85</v>
      </c>
      <c r="B94" s="11" t="s">
        <v>71</v>
      </c>
      <c r="C94" s="3">
        <v>2</v>
      </c>
      <c r="D94" s="3">
        <v>16</v>
      </c>
      <c r="E94" s="11" t="s">
        <v>156</v>
      </c>
      <c r="F94" s="14">
        <v>0.35699999999999998</v>
      </c>
      <c r="G94" s="14">
        <f t="shared" si="13"/>
        <v>0.19299999999999998</v>
      </c>
      <c r="H94" s="14">
        <f t="shared" si="7"/>
        <v>0.32666164154103872</v>
      </c>
      <c r="I94" s="14">
        <f t="shared" si="8"/>
        <v>0.71360741478107859</v>
      </c>
      <c r="J94" s="14">
        <f t="shared" si="9"/>
        <v>0.47532109228187902</v>
      </c>
      <c r="K94" s="14">
        <f t="shared" si="10"/>
        <v>0.14549161073825498</v>
      </c>
      <c r="L94" s="12" t="str">
        <f t="shared" si="11"/>
        <v/>
      </c>
      <c r="M94" s="12" t="str">
        <f t="shared" si="12"/>
        <v/>
      </c>
    </row>
    <row r="95" spans="1:13" ht="31.5">
      <c r="A95" s="3">
        <v>86</v>
      </c>
      <c r="B95" s="11" t="s">
        <v>71</v>
      </c>
      <c r="C95" s="3">
        <v>2</v>
      </c>
      <c r="D95" s="3">
        <v>15</v>
      </c>
      <c r="E95" s="11" t="s">
        <v>157</v>
      </c>
      <c r="F95" s="14">
        <v>0.188</v>
      </c>
      <c r="G95" s="14">
        <f t="shared" si="13"/>
        <v>0.16899999999999998</v>
      </c>
      <c r="H95" s="14">
        <f t="shared" si="7"/>
        <v>0.32666164154103872</v>
      </c>
      <c r="I95" s="14">
        <f t="shared" si="8"/>
        <v>0.71360741478107859</v>
      </c>
      <c r="J95" s="14">
        <f t="shared" si="9"/>
        <v>0.47532109228187902</v>
      </c>
      <c r="K95" s="14">
        <f t="shared" si="10"/>
        <v>0.14549161073825498</v>
      </c>
      <c r="L95" s="12" t="str">
        <f t="shared" si="11"/>
        <v/>
      </c>
      <c r="M95" s="12" t="str">
        <f t="shared" si="12"/>
        <v/>
      </c>
    </row>
    <row r="96" spans="1:13" ht="31.5">
      <c r="A96" s="3">
        <v>87</v>
      </c>
      <c r="B96" s="11" t="s">
        <v>71</v>
      </c>
      <c r="C96" s="3">
        <v>2</v>
      </c>
      <c r="D96" s="3">
        <v>14</v>
      </c>
      <c r="E96" s="11" t="s">
        <v>158</v>
      </c>
      <c r="F96" s="14">
        <v>0.441</v>
      </c>
      <c r="G96" s="14">
        <f t="shared" si="13"/>
        <v>0.253</v>
      </c>
      <c r="H96" s="14">
        <f t="shared" si="7"/>
        <v>0.32666164154103872</v>
      </c>
      <c r="I96" s="14">
        <f t="shared" si="8"/>
        <v>0.71360741478107859</v>
      </c>
      <c r="J96" s="14">
        <f t="shared" si="9"/>
        <v>0.47532109228187902</v>
      </c>
      <c r="K96" s="14">
        <f t="shared" si="10"/>
        <v>0.14549161073825498</v>
      </c>
      <c r="L96" s="12" t="str">
        <f t="shared" si="11"/>
        <v/>
      </c>
      <c r="M96" s="12" t="str">
        <f t="shared" si="12"/>
        <v/>
      </c>
    </row>
    <row r="97" spans="1:13" ht="31.5">
      <c r="A97" s="3">
        <v>88</v>
      </c>
      <c r="B97" s="11" t="s">
        <v>71</v>
      </c>
      <c r="C97" s="3">
        <v>2</v>
      </c>
      <c r="D97" s="3">
        <v>13</v>
      </c>
      <c r="E97" s="11" t="s">
        <v>159</v>
      </c>
      <c r="F97" s="14">
        <v>0.36899999999999999</v>
      </c>
      <c r="G97" s="14">
        <f t="shared" si="13"/>
        <v>7.2000000000000008E-2</v>
      </c>
      <c r="H97" s="14">
        <f t="shared" si="7"/>
        <v>0.32666164154103872</v>
      </c>
      <c r="I97" s="14">
        <f t="shared" si="8"/>
        <v>0.71360741478107859</v>
      </c>
      <c r="J97" s="14">
        <f t="shared" si="9"/>
        <v>0.47532109228187902</v>
      </c>
      <c r="K97" s="14">
        <f t="shared" si="10"/>
        <v>0.14549161073825498</v>
      </c>
      <c r="L97" s="12" t="str">
        <f t="shared" si="11"/>
        <v/>
      </c>
      <c r="M97" s="12" t="str">
        <f t="shared" si="12"/>
        <v/>
      </c>
    </row>
    <row r="98" spans="1:13" ht="31.5">
      <c r="A98" s="3">
        <v>89</v>
      </c>
      <c r="B98" s="11" t="s">
        <v>71</v>
      </c>
      <c r="C98" s="3">
        <v>2</v>
      </c>
      <c r="D98" s="3">
        <v>12</v>
      </c>
      <c r="E98" s="11" t="s">
        <v>160</v>
      </c>
      <c r="F98" s="14">
        <v>0.35</v>
      </c>
      <c r="G98" s="14">
        <f t="shared" si="13"/>
        <v>1.9000000000000017E-2</v>
      </c>
      <c r="H98" s="14">
        <f t="shared" si="7"/>
        <v>0.32666164154103872</v>
      </c>
      <c r="I98" s="14">
        <f t="shared" si="8"/>
        <v>0.71360741478107859</v>
      </c>
      <c r="J98" s="14">
        <f t="shared" si="9"/>
        <v>0.47532109228187902</v>
      </c>
      <c r="K98" s="14">
        <f t="shared" si="10"/>
        <v>0.14549161073825498</v>
      </c>
      <c r="L98" s="12" t="str">
        <f t="shared" si="11"/>
        <v/>
      </c>
      <c r="M98" s="12" t="str">
        <f t="shared" si="12"/>
        <v/>
      </c>
    </row>
    <row r="99" spans="1:13" ht="31.5">
      <c r="A99" s="3">
        <v>90</v>
      </c>
      <c r="B99" s="11" t="s">
        <v>71</v>
      </c>
      <c r="C99" s="3">
        <v>2</v>
      </c>
      <c r="D99" s="3">
        <v>11</v>
      </c>
      <c r="E99" s="11" t="s">
        <v>161</v>
      </c>
      <c r="F99" s="14">
        <v>0.245</v>
      </c>
      <c r="G99" s="14">
        <f t="shared" si="13"/>
        <v>0.10499999999999998</v>
      </c>
      <c r="H99" s="14">
        <f t="shared" si="7"/>
        <v>0.32666164154103872</v>
      </c>
      <c r="I99" s="14">
        <f t="shared" si="8"/>
        <v>0.71360741478107859</v>
      </c>
      <c r="J99" s="14">
        <f t="shared" si="9"/>
        <v>0.47532109228187902</v>
      </c>
      <c r="K99" s="14">
        <f t="shared" si="10"/>
        <v>0.14549161073825498</v>
      </c>
      <c r="L99" s="12" t="str">
        <f t="shared" si="11"/>
        <v/>
      </c>
      <c r="M99" s="12" t="str">
        <f t="shared" si="12"/>
        <v/>
      </c>
    </row>
    <row r="100" spans="1:13" ht="31.5">
      <c r="A100" s="3">
        <v>91</v>
      </c>
      <c r="B100" s="11" t="s">
        <v>71</v>
      </c>
      <c r="C100" s="3">
        <v>2</v>
      </c>
      <c r="D100" s="3">
        <v>10</v>
      </c>
      <c r="E100" s="11" t="s">
        <v>162</v>
      </c>
      <c r="F100" s="14">
        <v>0.17399999999999999</v>
      </c>
      <c r="G100" s="14">
        <f t="shared" si="13"/>
        <v>7.1000000000000008E-2</v>
      </c>
      <c r="H100" s="14">
        <f t="shared" si="7"/>
        <v>0.32666164154103872</v>
      </c>
      <c r="I100" s="14">
        <f t="shared" si="8"/>
        <v>0.71360741478107859</v>
      </c>
      <c r="J100" s="14">
        <f t="shared" si="9"/>
        <v>0.47532109228187902</v>
      </c>
      <c r="K100" s="14">
        <f t="shared" si="10"/>
        <v>0.14549161073825498</v>
      </c>
      <c r="L100" s="12" t="str">
        <f t="shared" si="11"/>
        <v/>
      </c>
      <c r="M100" s="12" t="str">
        <f t="shared" si="12"/>
        <v/>
      </c>
    </row>
    <row r="101" spans="1:13" ht="31.5">
      <c r="A101" s="3">
        <v>92</v>
      </c>
      <c r="B101" s="11" t="s">
        <v>71</v>
      </c>
      <c r="C101" s="3">
        <v>2</v>
      </c>
      <c r="D101" s="3">
        <v>9</v>
      </c>
      <c r="E101" s="11" t="s">
        <v>163</v>
      </c>
      <c r="F101" s="14">
        <v>0.24</v>
      </c>
      <c r="G101" s="14">
        <f t="shared" si="13"/>
        <v>6.6000000000000003E-2</v>
      </c>
      <c r="H101" s="14">
        <f t="shared" si="7"/>
        <v>0.32666164154103872</v>
      </c>
      <c r="I101" s="14">
        <f t="shared" si="8"/>
        <v>0.71360741478107859</v>
      </c>
      <c r="J101" s="14">
        <f t="shared" si="9"/>
        <v>0.47532109228187902</v>
      </c>
      <c r="K101" s="14">
        <f t="shared" si="10"/>
        <v>0.14549161073825498</v>
      </c>
      <c r="L101" s="12" t="str">
        <f t="shared" si="11"/>
        <v/>
      </c>
      <c r="M101" s="12" t="str">
        <f t="shared" si="12"/>
        <v/>
      </c>
    </row>
    <row r="102" spans="1:13" ht="31.5">
      <c r="A102" s="3">
        <v>93</v>
      </c>
      <c r="B102" s="11" t="s">
        <v>71</v>
      </c>
      <c r="C102" s="3">
        <v>2</v>
      </c>
      <c r="D102" s="3">
        <v>8</v>
      </c>
      <c r="E102" s="11" t="s">
        <v>164</v>
      </c>
      <c r="F102" s="14">
        <v>0.17599999999999999</v>
      </c>
      <c r="G102" s="14">
        <f t="shared" si="13"/>
        <v>6.4000000000000001E-2</v>
      </c>
      <c r="H102" s="14">
        <f t="shared" si="7"/>
        <v>0.32666164154103872</v>
      </c>
      <c r="I102" s="14">
        <f t="shared" si="8"/>
        <v>0.71360741478107859</v>
      </c>
      <c r="J102" s="14">
        <f t="shared" si="9"/>
        <v>0.47532109228187902</v>
      </c>
      <c r="K102" s="14">
        <f t="shared" si="10"/>
        <v>0.14549161073825498</v>
      </c>
      <c r="L102" s="12" t="str">
        <f t="shared" si="11"/>
        <v/>
      </c>
      <c r="M102" s="12" t="str">
        <f t="shared" si="12"/>
        <v/>
      </c>
    </row>
    <row r="103" spans="1:13" ht="31.5">
      <c r="A103" s="3">
        <v>94</v>
      </c>
      <c r="B103" s="11" t="s">
        <v>71</v>
      </c>
      <c r="C103" s="3">
        <v>2</v>
      </c>
      <c r="D103" s="3">
        <v>7</v>
      </c>
      <c r="E103" s="11" t="s">
        <v>165</v>
      </c>
      <c r="F103" s="14">
        <v>8.5999999999999993E-2</v>
      </c>
      <c r="G103" s="14">
        <f t="shared" si="13"/>
        <v>0.09</v>
      </c>
      <c r="H103" s="14">
        <f t="shared" si="7"/>
        <v>0.32666164154103872</v>
      </c>
      <c r="I103" s="14">
        <f t="shared" si="8"/>
        <v>0.71360741478107859</v>
      </c>
      <c r="J103" s="14">
        <f t="shared" si="9"/>
        <v>0.47532109228187902</v>
      </c>
      <c r="K103" s="14">
        <f t="shared" si="10"/>
        <v>0.14549161073825498</v>
      </c>
      <c r="L103" s="12" t="str">
        <f t="shared" si="11"/>
        <v/>
      </c>
      <c r="M103" s="12" t="str">
        <f t="shared" si="12"/>
        <v/>
      </c>
    </row>
    <row r="104" spans="1:13" ht="31.5">
      <c r="A104" s="3">
        <v>95</v>
      </c>
      <c r="B104" s="11" t="s">
        <v>71</v>
      </c>
      <c r="C104" s="3">
        <v>2</v>
      </c>
      <c r="D104" s="3">
        <v>6</v>
      </c>
      <c r="E104" s="11" t="s">
        <v>166</v>
      </c>
      <c r="F104" s="14">
        <v>0.20699999999999999</v>
      </c>
      <c r="G104" s="14">
        <f t="shared" si="13"/>
        <v>0.121</v>
      </c>
      <c r="H104" s="14">
        <f t="shared" si="7"/>
        <v>0.32666164154103872</v>
      </c>
      <c r="I104" s="14">
        <f t="shared" si="8"/>
        <v>0.71360741478107859</v>
      </c>
      <c r="J104" s="14">
        <f t="shared" si="9"/>
        <v>0.47532109228187902</v>
      </c>
      <c r="K104" s="14">
        <f t="shared" si="10"/>
        <v>0.14549161073825498</v>
      </c>
      <c r="L104" s="12" t="str">
        <f t="shared" si="11"/>
        <v/>
      </c>
      <c r="M104" s="12" t="str">
        <f t="shared" si="12"/>
        <v/>
      </c>
    </row>
    <row r="105" spans="1:13" ht="31.5">
      <c r="A105" s="3">
        <v>96</v>
      </c>
      <c r="B105" s="11" t="s">
        <v>71</v>
      </c>
      <c r="C105" s="3">
        <v>2</v>
      </c>
      <c r="D105" s="3">
        <v>5</v>
      </c>
      <c r="E105" s="11" t="s">
        <v>167</v>
      </c>
      <c r="F105" s="14">
        <v>0.21099999999999999</v>
      </c>
      <c r="G105" s="14">
        <f t="shared" si="13"/>
        <v>4.0000000000000036E-3</v>
      </c>
      <c r="H105" s="14">
        <f t="shared" si="7"/>
        <v>0.32666164154103872</v>
      </c>
      <c r="I105" s="14">
        <f t="shared" si="8"/>
        <v>0.71360741478107859</v>
      </c>
      <c r="J105" s="14">
        <f t="shared" si="9"/>
        <v>0.47532109228187902</v>
      </c>
      <c r="K105" s="14">
        <f t="shared" si="10"/>
        <v>0.14549161073825498</v>
      </c>
      <c r="L105" s="12" t="str">
        <f t="shared" si="11"/>
        <v/>
      </c>
      <c r="M105" s="12" t="str">
        <f t="shared" si="12"/>
        <v/>
      </c>
    </row>
    <row r="106" spans="1:13" ht="31.5">
      <c r="A106" s="3">
        <v>97</v>
      </c>
      <c r="B106" s="11" t="s">
        <v>71</v>
      </c>
      <c r="C106" s="3">
        <v>2</v>
      </c>
      <c r="D106" s="3">
        <v>4</v>
      </c>
      <c r="E106" s="11" t="s">
        <v>168</v>
      </c>
      <c r="F106" s="14">
        <v>0.38300000000000001</v>
      </c>
      <c r="G106" s="14">
        <f t="shared" si="13"/>
        <v>0.17200000000000001</v>
      </c>
      <c r="H106" s="14">
        <f t="shared" si="7"/>
        <v>0.32666164154103872</v>
      </c>
      <c r="I106" s="14">
        <f t="shared" si="8"/>
        <v>0.71360741478107859</v>
      </c>
      <c r="J106" s="14">
        <f t="shared" si="9"/>
        <v>0.47532109228187902</v>
      </c>
      <c r="K106" s="14">
        <f t="shared" si="10"/>
        <v>0.14549161073825498</v>
      </c>
      <c r="L106" s="12" t="str">
        <f t="shared" si="11"/>
        <v/>
      </c>
      <c r="M106" s="12" t="str">
        <f t="shared" si="12"/>
        <v/>
      </c>
    </row>
    <row r="107" spans="1:13" ht="31.5">
      <c r="A107" s="3">
        <v>98</v>
      </c>
      <c r="B107" s="11" t="s">
        <v>71</v>
      </c>
      <c r="C107" s="3">
        <v>2</v>
      </c>
      <c r="D107" s="3">
        <v>3</v>
      </c>
      <c r="E107" s="11" t="s">
        <v>169</v>
      </c>
      <c r="F107" s="14">
        <v>0.40200000000000002</v>
      </c>
      <c r="G107" s="14">
        <f t="shared" si="13"/>
        <v>1.9000000000000017E-2</v>
      </c>
      <c r="H107" s="14">
        <f t="shared" si="7"/>
        <v>0.32666164154103872</v>
      </c>
      <c r="I107" s="14">
        <f t="shared" si="8"/>
        <v>0.71360741478107859</v>
      </c>
      <c r="J107" s="14">
        <f t="shared" si="9"/>
        <v>0.47532109228187902</v>
      </c>
      <c r="K107" s="14">
        <f t="shared" si="10"/>
        <v>0.14549161073825498</v>
      </c>
      <c r="L107" s="12" t="str">
        <f t="shared" si="11"/>
        <v/>
      </c>
      <c r="M107" s="12" t="str">
        <f t="shared" si="12"/>
        <v/>
      </c>
    </row>
    <row r="108" spans="1:13" ht="31.5">
      <c r="A108" s="3">
        <v>99</v>
      </c>
      <c r="B108" s="11" t="s">
        <v>71</v>
      </c>
      <c r="C108" s="3">
        <v>2</v>
      </c>
      <c r="D108" s="3">
        <v>2</v>
      </c>
      <c r="E108" s="11" t="s">
        <v>170</v>
      </c>
      <c r="F108" s="14">
        <v>0.57999999999999996</v>
      </c>
      <c r="G108" s="14">
        <f t="shared" si="13"/>
        <v>0.17799999999999994</v>
      </c>
      <c r="H108" s="14">
        <f t="shared" si="7"/>
        <v>0.32666164154103872</v>
      </c>
      <c r="I108" s="14">
        <f t="shared" si="8"/>
        <v>0.71360741478107859</v>
      </c>
      <c r="J108" s="14">
        <f t="shared" si="9"/>
        <v>0.47532109228187902</v>
      </c>
      <c r="K108" s="14">
        <f t="shared" si="10"/>
        <v>0.14549161073825498</v>
      </c>
      <c r="L108" s="12" t="str">
        <f t="shared" si="11"/>
        <v/>
      </c>
      <c r="M108" s="12" t="str">
        <f t="shared" si="12"/>
        <v/>
      </c>
    </row>
    <row r="109" spans="1:13" ht="31.5">
      <c r="A109" s="3">
        <v>100</v>
      </c>
      <c r="B109" s="11" t="s">
        <v>71</v>
      </c>
      <c r="C109" s="3">
        <v>2</v>
      </c>
      <c r="D109" s="3">
        <v>1</v>
      </c>
      <c r="E109" s="11" t="s">
        <v>171</v>
      </c>
      <c r="F109" s="14">
        <v>0.35199999999999998</v>
      </c>
      <c r="G109" s="14">
        <f t="shared" si="13"/>
        <v>0.22799999999999998</v>
      </c>
      <c r="H109" s="14">
        <f t="shared" si="7"/>
        <v>0.32666164154103872</v>
      </c>
      <c r="I109" s="14">
        <f t="shared" si="8"/>
        <v>0.71360741478107859</v>
      </c>
      <c r="J109" s="14">
        <f t="shared" si="9"/>
        <v>0.47532109228187902</v>
      </c>
      <c r="K109" s="14">
        <f t="shared" si="10"/>
        <v>0.14549161073825498</v>
      </c>
      <c r="L109" s="12" t="str">
        <f t="shared" si="11"/>
        <v/>
      </c>
      <c r="M109" s="12" t="str">
        <f t="shared" si="12"/>
        <v/>
      </c>
    </row>
    <row r="110" spans="1:13" ht="31.5">
      <c r="A110" s="3">
        <v>101</v>
      </c>
      <c r="B110" s="11" t="s">
        <v>71</v>
      </c>
      <c r="C110" s="3">
        <v>3</v>
      </c>
      <c r="D110" s="3">
        <v>25</v>
      </c>
      <c r="E110" s="11" t="s">
        <v>172</v>
      </c>
      <c r="F110" s="14">
        <v>0.28299999999999997</v>
      </c>
      <c r="G110" s="14">
        <f t="shared" si="13"/>
        <v>6.9000000000000006E-2</v>
      </c>
      <c r="H110" s="14">
        <f t="shared" si="7"/>
        <v>0.32666164154103872</v>
      </c>
      <c r="I110" s="14">
        <f t="shared" si="8"/>
        <v>0.71360741478107859</v>
      </c>
      <c r="J110" s="14">
        <f t="shared" si="9"/>
        <v>0.47532109228187902</v>
      </c>
      <c r="K110" s="14">
        <f t="shared" si="10"/>
        <v>0.14549161073825498</v>
      </c>
      <c r="L110" s="12" t="str">
        <f t="shared" si="11"/>
        <v/>
      </c>
      <c r="M110" s="12" t="str">
        <f t="shared" si="12"/>
        <v/>
      </c>
    </row>
    <row r="111" spans="1:13" ht="31.5">
      <c r="A111" s="3">
        <v>102</v>
      </c>
      <c r="B111" s="11" t="s">
        <v>71</v>
      </c>
      <c r="C111" s="3">
        <v>3</v>
      </c>
      <c r="D111" s="3">
        <v>24</v>
      </c>
      <c r="E111" s="11" t="s">
        <v>173</v>
      </c>
      <c r="F111" s="14">
        <v>0.20899999999999999</v>
      </c>
      <c r="G111" s="14">
        <f t="shared" si="13"/>
        <v>7.3999999999999982E-2</v>
      </c>
      <c r="H111" s="14">
        <f t="shared" si="7"/>
        <v>0.32666164154103872</v>
      </c>
      <c r="I111" s="14">
        <f t="shared" si="8"/>
        <v>0.71360741478107859</v>
      </c>
      <c r="J111" s="14">
        <f t="shared" si="9"/>
        <v>0.47532109228187902</v>
      </c>
      <c r="K111" s="14">
        <f t="shared" si="10"/>
        <v>0.14549161073825498</v>
      </c>
      <c r="L111" s="12" t="str">
        <f t="shared" si="11"/>
        <v/>
      </c>
      <c r="M111" s="12" t="str">
        <f t="shared" si="12"/>
        <v/>
      </c>
    </row>
    <row r="112" spans="1:13" ht="31.5">
      <c r="A112" s="3">
        <v>103</v>
      </c>
      <c r="B112" s="11" t="s">
        <v>71</v>
      </c>
      <c r="C112" s="3">
        <v>3</v>
      </c>
      <c r="D112" s="3">
        <v>23</v>
      </c>
      <c r="E112" s="11" t="s">
        <v>174</v>
      </c>
      <c r="F112" s="14">
        <v>0.27</v>
      </c>
      <c r="G112" s="14">
        <f t="shared" si="13"/>
        <v>6.1000000000000026E-2</v>
      </c>
      <c r="H112" s="14">
        <f t="shared" si="7"/>
        <v>0.32666164154103872</v>
      </c>
      <c r="I112" s="14">
        <f t="shared" si="8"/>
        <v>0.71360741478107859</v>
      </c>
      <c r="J112" s="14">
        <f t="shared" si="9"/>
        <v>0.47532109228187902</v>
      </c>
      <c r="K112" s="14">
        <f t="shared" si="10"/>
        <v>0.14549161073825498</v>
      </c>
      <c r="L112" s="12" t="str">
        <f t="shared" si="11"/>
        <v/>
      </c>
      <c r="M112" s="12" t="str">
        <f t="shared" si="12"/>
        <v/>
      </c>
    </row>
    <row r="113" spans="1:13" ht="31.5">
      <c r="A113" s="3">
        <v>104</v>
      </c>
      <c r="B113" s="11" t="s">
        <v>71</v>
      </c>
      <c r="C113" s="3">
        <v>3</v>
      </c>
      <c r="D113" s="3">
        <v>22</v>
      </c>
      <c r="E113" s="11" t="s">
        <v>175</v>
      </c>
      <c r="F113" s="14">
        <v>0.22</v>
      </c>
      <c r="G113" s="14">
        <f t="shared" si="13"/>
        <v>5.0000000000000017E-2</v>
      </c>
      <c r="H113" s="14">
        <f t="shared" si="7"/>
        <v>0.32666164154103872</v>
      </c>
      <c r="I113" s="14">
        <f t="shared" si="8"/>
        <v>0.71360741478107859</v>
      </c>
      <c r="J113" s="14">
        <f t="shared" si="9"/>
        <v>0.47532109228187902</v>
      </c>
      <c r="K113" s="14">
        <f t="shared" si="10"/>
        <v>0.14549161073825498</v>
      </c>
      <c r="L113" s="12" t="str">
        <f t="shared" si="11"/>
        <v/>
      </c>
      <c r="M113" s="12" t="str">
        <f t="shared" si="12"/>
        <v/>
      </c>
    </row>
    <row r="114" spans="1:13" ht="31.5">
      <c r="A114" s="3">
        <v>105</v>
      </c>
      <c r="B114" s="11" t="s">
        <v>71</v>
      </c>
      <c r="C114" s="3">
        <v>3</v>
      </c>
      <c r="D114" s="3">
        <v>21</v>
      </c>
      <c r="E114" s="11" t="s">
        <v>176</v>
      </c>
      <c r="F114" s="14">
        <v>0.502</v>
      </c>
      <c r="G114" s="14">
        <f t="shared" si="13"/>
        <v>0.28200000000000003</v>
      </c>
      <c r="H114" s="14">
        <f t="shared" si="7"/>
        <v>0.32666164154103872</v>
      </c>
      <c r="I114" s="14">
        <f t="shared" si="8"/>
        <v>0.71360741478107859</v>
      </c>
      <c r="J114" s="14">
        <f t="shared" si="9"/>
        <v>0.47532109228187902</v>
      </c>
      <c r="K114" s="14">
        <f t="shared" si="10"/>
        <v>0.14549161073825498</v>
      </c>
      <c r="L114" s="12" t="str">
        <f t="shared" si="11"/>
        <v/>
      </c>
      <c r="M114" s="12" t="str">
        <f t="shared" si="12"/>
        <v/>
      </c>
    </row>
    <row r="115" spans="1:13" ht="31.5">
      <c r="A115" s="3">
        <v>106</v>
      </c>
      <c r="B115" s="11" t="s">
        <v>71</v>
      </c>
      <c r="C115" s="3">
        <v>3</v>
      </c>
      <c r="D115" s="3">
        <v>20</v>
      </c>
      <c r="E115" s="11" t="s">
        <v>177</v>
      </c>
      <c r="F115" s="14">
        <v>0.20499999999999999</v>
      </c>
      <c r="G115" s="14">
        <f t="shared" si="13"/>
        <v>0.29700000000000004</v>
      </c>
      <c r="H115" s="14">
        <f t="shared" si="7"/>
        <v>0.32666164154103872</v>
      </c>
      <c r="I115" s="14">
        <f t="shared" si="8"/>
        <v>0.71360741478107859</v>
      </c>
      <c r="J115" s="14">
        <f t="shared" si="9"/>
        <v>0.47532109228187902</v>
      </c>
      <c r="K115" s="14">
        <f t="shared" si="10"/>
        <v>0.14549161073825498</v>
      </c>
      <c r="L115" s="12" t="str">
        <f t="shared" si="11"/>
        <v/>
      </c>
      <c r="M115" s="12" t="str">
        <f t="shared" si="12"/>
        <v/>
      </c>
    </row>
    <row r="116" spans="1:13" ht="31.5">
      <c r="A116" s="3">
        <v>107</v>
      </c>
      <c r="B116" s="11" t="s">
        <v>71</v>
      </c>
      <c r="C116" s="3">
        <v>3</v>
      </c>
      <c r="D116" s="3">
        <v>19</v>
      </c>
      <c r="E116" s="11" t="s">
        <v>178</v>
      </c>
      <c r="F116" s="14">
        <v>8.1000000000000003E-2</v>
      </c>
      <c r="G116" s="14">
        <f t="shared" si="13"/>
        <v>0.12399999999999999</v>
      </c>
      <c r="H116" s="14">
        <f t="shared" si="7"/>
        <v>0.32666164154103872</v>
      </c>
      <c r="I116" s="14">
        <f t="shared" si="8"/>
        <v>0.71360741478107859</v>
      </c>
      <c r="J116" s="14">
        <f t="shared" si="9"/>
        <v>0.47532109228187902</v>
      </c>
      <c r="K116" s="14">
        <f t="shared" si="10"/>
        <v>0.14549161073825498</v>
      </c>
      <c r="L116" s="12" t="str">
        <f t="shared" si="11"/>
        <v/>
      </c>
      <c r="M116" s="12" t="str">
        <f t="shared" si="12"/>
        <v/>
      </c>
    </row>
    <row r="117" spans="1:13" ht="31.5">
      <c r="A117" s="3">
        <v>108</v>
      </c>
      <c r="B117" s="11" t="s">
        <v>71</v>
      </c>
      <c r="C117" s="3">
        <v>3</v>
      </c>
      <c r="D117" s="3">
        <v>18</v>
      </c>
      <c r="E117" s="11" t="s">
        <v>179</v>
      </c>
      <c r="F117" s="14">
        <v>0.308</v>
      </c>
      <c r="G117" s="14">
        <f t="shared" si="13"/>
        <v>0.22699999999999998</v>
      </c>
      <c r="H117" s="14">
        <f t="shared" si="7"/>
        <v>0.32666164154103872</v>
      </c>
      <c r="I117" s="14">
        <f t="shared" si="8"/>
        <v>0.71360741478107859</v>
      </c>
      <c r="J117" s="14">
        <f t="shared" si="9"/>
        <v>0.47532109228187902</v>
      </c>
      <c r="K117" s="14">
        <f t="shared" si="10"/>
        <v>0.14549161073825498</v>
      </c>
      <c r="L117" s="12" t="str">
        <f t="shared" si="11"/>
        <v/>
      </c>
      <c r="M117" s="12" t="str">
        <f t="shared" si="12"/>
        <v/>
      </c>
    </row>
    <row r="118" spans="1:13" ht="31.5">
      <c r="A118" s="3">
        <v>109</v>
      </c>
      <c r="B118" s="11" t="s">
        <v>71</v>
      </c>
      <c r="C118" s="3">
        <v>3</v>
      </c>
      <c r="D118" s="3">
        <v>17</v>
      </c>
      <c r="E118" s="11" t="s">
        <v>180</v>
      </c>
      <c r="F118" s="14">
        <v>0.41199999999999998</v>
      </c>
      <c r="G118" s="14">
        <f t="shared" si="13"/>
        <v>0.10399999999999998</v>
      </c>
      <c r="H118" s="14">
        <f t="shared" si="7"/>
        <v>0.32666164154103872</v>
      </c>
      <c r="I118" s="14">
        <f t="shared" si="8"/>
        <v>0.71360741478107859</v>
      </c>
      <c r="J118" s="14">
        <f t="shared" si="9"/>
        <v>0.47532109228187902</v>
      </c>
      <c r="K118" s="14">
        <f t="shared" si="10"/>
        <v>0.14549161073825498</v>
      </c>
      <c r="L118" s="12" t="str">
        <f t="shared" si="11"/>
        <v/>
      </c>
      <c r="M118" s="12" t="str">
        <f t="shared" si="12"/>
        <v/>
      </c>
    </row>
    <row r="119" spans="1:13" ht="31.5">
      <c r="A119" s="3">
        <v>110</v>
      </c>
      <c r="B119" s="11" t="s">
        <v>71</v>
      </c>
      <c r="C119" s="3">
        <v>3</v>
      </c>
      <c r="D119" s="3">
        <v>16</v>
      </c>
      <c r="E119" s="11" t="s">
        <v>181</v>
      </c>
      <c r="F119" s="14">
        <v>0.57899999999999996</v>
      </c>
      <c r="G119" s="14">
        <f t="shared" si="13"/>
        <v>0.16699999999999998</v>
      </c>
      <c r="H119" s="14">
        <f t="shared" si="7"/>
        <v>0.32666164154103872</v>
      </c>
      <c r="I119" s="14">
        <f t="shared" si="8"/>
        <v>0.71360741478107859</v>
      </c>
      <c r="J119" s="14">
        <f t="shared" si="9"/>
        <v>0.47532109228187902</v>
      </c>
      <c r="K119" s="14">
        <f t="shared" si="10"/>
        <v>0.14549161073825498</v>
      </c>
      <c r="L119" s="12" t="str">
        <f t="shared" si="11"/>
        <v/>
      </c>
      <c r="M119" s="12" t="str">
        <f t="shared" si="12"/>
        <v/>
      </c>
    </row>
    <row r="120" spans="1:13" ht="31.5">
      <c r="A120" s="3">
        <v>111</v>
      </c>
      <c r="B120" s="11" t="s">
        <v>71</v>
      </c>
      <c r="C120" s="3">
        <v>3</v>
      </c>
      <c r="D120" s="3">
        <v>15</v>
      </c>
      <c r="E120" s="11" t="s">
        <v>182</v>
      </c>
      <c r="F120" s="14">
        <v>0.497</v>
      </c>
      <c r="G120" s="14">
        <f t="shared" si="13"/>
        <v>8.1999999999999962E-2</v>
      </c>
      <c r="H120" s="14">
        <f t="shared" si="7"/>
        <v>0.32666164154103872</v>
      </c>
      <c r="I120" s="14">
        <f t="shared" si="8"/>
        <v>0.71360741478107859</v>
      </c>
      <c r="J120" s="14">
        <f t="shared" si="9"/>
        <v>0.47532109228187902</v>
      </c>
      <c r="K120" s="14">
        <f t="shared" si="10"/>
        <v>0.14549161073825498</v>
      </c>
      <c r="L120" s="12" t="str">
        <f t="shared" si="11"/>
        <v/>
      </c>
      <c r="M120" s="12" t="str">
        <f t="shared" si="12"/>
        <v/>
      </c>
    </row>
    <row r="121" spans="1:13" ht="31.5">
      <c r="A121" s="3">
        <v>112</v>
      </c>
      <c r="B121" s="11" t="s">
        <v>71</v>
      </c>
      <c r="C121" s="3">
        <v>3</v>
      </c>
      <c r="D121" s="3">
        <v>14</v>
      </c>
      <c r="E121" s="11" t="s">
        <v>183</v>
      </c>
      <c r="F121" s="14">
        <v>0.373</v>
      </c>
      <c r="G121" s="14">
        <f t="shared" si="13"/>
        <v>0.124</v>
      </c>
      <c r="H121" s="14">
        <f t="shared" si="7"/>
        <v>0.32666164154103872</v>
      </c>
      <c r="I121" s="14">
        <f t="shared" si="8"/>
        <v>0.71360741478107859</v>
      </c>
      <c r="J121" s="14">
        <f t="shared" si="9"/>
        <v>0.47532109228187902</v>
      </c>
      <c r="K121" s="14">
        <f t="shared" si="10"/>
        <v>0.14549161073825498</v>
      </c>
      <c r="L121" s="12" t="str">
        <f t="shared" si="11"/>
        <v/>
      </c>
      <c r="M121" s="12" t="str">
        <f t="shared" si="12"/>
        <v/>
      </c>
    </row>
    <row r="122" spans="1:13" ht="31.5">
      <c r="A122" s="3">
        <v>113</v>
      </c>
      <c r="B122" s="11" t="s">
        <v>71</v>
      </c>
      <c r="C122" s="3">
        <v>3</v>
      </c>
      <c r="D122" s="3">
        <v>13</v>
      </c>
      <c r="E122" s="11" t="s">
        <v>184</v>
      </c>
      <c r="F122" s="14">
        <v>0.20699999999999999</v>
      </c>
      <c r="G122" s="14">
        <f t="shared" si="13"/>
        <v>0.16600000000000001</v>
      </c>
      <c r="H122" s="14">
        <f t="shared" si="7"/>
        <v>0.32666164154103872</v>
      </c>
      <c r="I122" s="14">
        <f t="shared" si="8"/>
        <v>0.71360741478107859</v>
      </c>
      <c r="J122" s="14">
        <f t="shared" si="9"/>
        <v>0.47532109228187902</v>
      </c>
      <c r="K122" s="14">
        <f t="shared" si="10"/>
        <v>0.14549161073825498</v>
      </c>
      <c r="L122" s="12" t="str">
        <f t="shared" si="11"/>
        <v/>
      </c>
      <c r="M122" s="12" t="str">
        <f t="shared" si="12"/>
        <v/>
      </c>
    </row>
    <row r="123" spans="1:13" ht="31.5">
      <c r="A123" s="3">
        <v>114</v>
      </c>
      <c r="B123" s="11" t="s">
        <v>71</v>
      </c>
      <c r="C123" s="3">
        <v>3</v>
      </c>
      <c r="D123" s="3">
        <v>12</v>
      </c>
      <c r="E123" s="11" t="s">
        <v>185</v>
      </c>
      <c r="F123" s="14">
        <v>0.46500000000000002</v>
      </c>
      <c r="G123" s="14">
        <f t="shared" si="13"/>
        <v>0.25800000000000001</v>
      </c>
      <c r="H123" s="14">
        <f t="shared" si="7"/>
        <v>0.32666164154103872</v>
      </c>
      <c r="I123" s="14">
        <f t="shared" si="8"/>
        <v>0.71360741478107859</v>
      </c>
      <c r="J123" s="14">
        <f t="shared" si="9"/>
        <v>0.47532109228187902</v>
      </c>
      <c r="K123" s="14">
        <f t="shared" si="10"/>
        <v>0.14549161073825498</v>
      </c>
      <c r="L123" s="12" t="str">
        <f t="shared" si="11"/>
        <v/>
      </c>
      <c r="M123" s="12" t="str">
        <f t="shared" si="12"/>
        <v/>
      </c>
    </row>
    <row r="124" spans="1:13" ht="31.5">
      <c r="A124" s="3">
        <v>115</v>
      </c>
      <c r="B124" s="11" t="s">
        <v>71</v>
      </c>
      <c r="C124" s="3">
        <v>3</v>
      </c>
      <c r="D124" s="3">
        <v>11</v>
      </c>
      <c r="E124" s="11" t="s">
        <v>186</v>
      </c>
      <c r="F124" s="14">
        <v>0.379</v>
      </c>
      <c r="G124" s="14">
        <f t="shared" si="13"/>
        <v>8.6000000000000021E-2</v>
      </c>
      <c r="H124" s="14">
        <f t="shared" si="7"/>
        <v>0.32666164154103872</v>
      </c>
      <c r="I124" s="14">
        <f t="shared" si="8"/>
        <v>0.71360741478107859</v>
      </c>
      <c r="J124" s="14">
        <f t="shared" si="9"/>
        <v>0.47532109228187902</v>
      </c>
      <c r="K124" s="14">
        <f t="shared" si="10"/>
        <v>0.14549161073825498</v>
      </c>
      <c r="L124" s="12" t="str">
        <f t="shared" si="11"/>
        <v/>
      </c>
      <c r="M124" s="12" t="str">
        <f t="shared" si="12"/>
        <v/>
      </c>
    </row>
    <row r="125" spans="1:13" ht="31.5">
      <c r="A125" s="3">
        <v>116</v>
      </c>
      <c r="B125" s="11" t="s">
        <v>71</v>
      </c>
      <c r="C125" s="3">
        <v>3</v>
      </c>
      <c r="D125" s="3">
        <v>10</v>
      </c>
      <c r="E125" s="11" t="s">
        <v>187</v>
      </c>
      <c r="F125" s="14">
        <v>0.317</v>
      </c>
      <c r="G125" s="14">
        <f t="shared" si="13"/>
        <v>6.2E-2</v>
      </c>
      <c r="H125" s="14">
        <f t="shared" si="7"/>
        <v>0.32666164154103872</v>
      </c>
      <c r="I125" s="14">
        <f t="shared" si="8"/>
        <v>0.71360741478107859</v>
      </c>
      <c r="J125" s="14">
        <f t="shared" si="9"/>
        <v>0.47532109228187902</v>
      </c>
      <c r="K125" s="14">
        <f t="shared" si="10"/>
        <v>0.14549161073825498</v>
      </c>
      <c r="L125" s="12" t="str">
        <f t="shared" si="11"/>
        <v/>
      </c>
      <c r="M125" s="12" t="str">
        <f t="shared" si="12"/>
        <v/>
      </c>
    </row>
    <row r="126" spans="1:13" ht="31.5">
      <c r="A126" s="3">
        <v>117</v>
      </c>
      <c r="B126" s="11" t="s">
        <v>71</v>
      </c>
      <c r="C126" s="3">
        <v>3</v>
      </c>
      <c r="D126" s="3">
        <v>9</v>
      </c>
      <c r="E126" s="11" t="s">
        <v>188</v>
      </c>
      <c r="F126" s="14">
        <v>0.57399999999999995</v>
      </c>
      <c r="G126" s="14">
        <f t="shared" si="13"/>
        <v>0.25699999999999995</v>
      </c>
      <c r="H126" s="14">
        <f t="shared" si="7"/>
        <v>0.32666164154103872</v>
      </c>
      <c r="I126" s="14">
        <f t="shared" si="8"/>
        <v>0.71360741478107859</v>
      </c>
      <c r="J126" s="14">
        <f t="shared" si="9"/>
        <v>0.47532109228187902</v>
      </c>
      <c r="K126" s="14">
        <f t="shared" si="10"/>
        <v>0.14549161073825498</v>
      </c>
      <c r="L126" s="12" t="str">
        <f t="shared" si="11"/>
        <v/>
      </c>
      <c r="M126" s="12" t="str">
        <f t="shared" si="12"/>
        <v/>
      </c>
    </row>
    <row r="127" spans="1:13" ht="31.5">
      <c r="A127" s="3">
        <v>118</v>
      </c>
      <c r="B127" s="11" t="s">
        <v>71</v>
      </c>
      <c r="C127" s="3">
        <v>3</v>
      </c>
      <c r="D127" s="3">
        <v>8</v>
      </c>
      <c r="E127" s="11" t="s">
        <v>189</v>
      </c>
      <c r="F127" s="14">
        <v>0.51100000000000001</v>
      </c>
      <c r="G127" s="14">
        <f t="shared" si="13"/>
        <v>6.2999999999999945E-2</v>
      </c>
      <c r="H127" s="14">
        <f t="shared" si="7"/>
        <v>0.32666164154103872</v>
      </c>
      <c r="I127" s="14">
        <f t="shared" si="8"/>
        <v>0.71360741478107859</v>
      </c>
      <c r="J127" s="14">
        <f t="shared" si="9"/>
        <v>0.47532109228187902</v>
      </c>
      <c r="K127" s="14">
        <f t="shared" si="10"/>
        <v>0.14549161073825498</v>
      </c>
      <c r="L127" s="12" t="str">
        <f t="shared" si="11"/>
        <v/>
      </c>
      <c r="M127" s="12" t="str">
        <f t="shared" si="12"/>
        <v/>
      </c>
    </row>
    <row r="128" spans="1:13" ht="31.5">
      <c r="A128" s="3">
        <v>119</v>
      </c>
      <c r="B128" s="11" t="s">
        <v>71</v>
      </c>
      <c r="C128" s="3">
        <v>3</v>
      </c>
      <c r="D128" s="3">
        <v>7</v>
      </c>
      <c r="E128" s="11" t="s">
        <v>190</v>
      </c>
      <c r="F128" s="14">
        <v>0.25800000000000001</v>
      </c>
      <c r="G128" s="14">
        <f t="shared" si="13"/>
        <v>0.253</v>
      </c>
      <c r="H128" s="14">
        <f t="shared" si="7"/>
        <v>0.32666164154103872</v>
      </c>
      <c r="I128" s="14">
        <f t="shared" si="8"/>
        <v>0.71360741478107859</v>
      </c>
      <c r="J128" s="14">
        <f t="shared" si="9"/>
        <v>0.47532109228187902</v>
      </c>
      <c r="K128" s="14">
        <f t="shared" si="10"/>
        <v>0.14549161073825498</v>
      </c>
      <c r="L128" s="12" t="str">
        <f t="shared" si="11"/>
        <v/>
      </c>
      <c r="M128" s="12" t="str">
        <f t="shared" si="12"/>
        <v/>
      </c>
    </row>
    <row r="129" spans="1:13" ht="31.5">
      <c r="A129" s="3">
        <v>120</v>
      </c>
      <c r="B129" s="11" t="s">
        <v>71</v>
      </c>
      <c r="C129" s="3">
        <v>3</v>
      </c>
      <c r="D129" s="3">
        <v>6</v>
      </c>
      <c r="E129" s="11" t="s">
        <v>191</v>
      </c>
      <c r="F129" s="14">
        <v>0.49299999999999999</v>
      </c>
      <c r="G129" s="14">
        <f t="shared" si="13"/>
        <v>0.23499999999999999</v>
      </c>
      <c r="H129" s="14">
        <f t="shared" si="7"/>
        <v>0.32666164154103872</v>
      </c>
      <c r="I129" s="14">
        <f t="shared" si="8"/>
        <v>0.71360741478107859</v>
      </c>
      <c r="J129" s="14">
        <f t="shared" si="9"/>
        <v>0.47532109228187902</v>
      </c>
      <c r="K129" s="14">
        <f t="shared" si="10"/>
        <v>0.14549161073825498</v>
      </c>
      <c r="L129" s="12" t="str">
        <f t="shared" si="11"/>
        <v/>
      </c>
      <c r="M129" s="12" t="str">
        <f t="shared" si="12"/>
        <v/>
      </c>
    </row>
    <row r="130" spans="1:13" ht="31.5">
      <c r="A130" s="3">
        <v>121</v>
      </c>
      <c r="B130" s="11" t="s">
        <v>71</v>
      </c>
      <c r="C130" s="3">
        <v>3</v>
      </c>
      <c r="D130" s="3">
        <v>5</v>
      </c>
      <c r="E130" s="11" t="s">
        <v>192</v>
      </c>
      <c r="F130" s="14">
        <v>0.61599999999999999</v>
      </c>
      <c r="G130" s="14">
        <f t="shared" si="13"/>
        <v>0.123</v>
      </c>
      <c r="H130" s="14">
        <f t="shared" si="7"/>
        <v>0.32666164154103872</v>
      </c>
      <c r="I130" s="14">
        <f t="shared" si="8"/>
        <v>0.71360741478107859</v>
      </c>
      <c r="J130" s="14">
        <f t="shared" si="9"/>
        <v>0.47532109228187902</v>
      </c>
      <c r="K130" s="14">
        <f t="shared" si="10"/>
        <v>0.14549161073825498</v>
      </c>
      <c r="L130" s="12" t="str">
        <f t="shared" si="11"/>
        <v/>
      </c>
      <c r="M130" s="12" t="str">
        <f t="shared" si="12"/>
        <v/>
      </c>
    </row>
    <row r="131" spans="1:13" ht="31.5">
      <c r="A131" s="3">
        <v>122</v>
      </c>
      <c r="B131" s="11" t="s">
        <v>71</v>
      </c>
      <c r="C131" s="3">
        <v>3</v>
      </c>
      <c r="D131" s="3">
        <v>4</v>
      </c>
      <c r="E131" s="11" t="s">
        <v>193</v>
      </c>
      <c r="F131" s="14">
        <v>0.23100000000000001</v>
      </c>
      <c r="G131" s="14">
        <f t="shared" si="13"/>
        <v>0.38500000000000001</v>
      </c>
      <c r="H131" s="14">
        <f t="shared" si="7"/>
        <v>0.32666164154103872</v>
      </c>
      <c r="I131" s="14">
        <f t="shared" si="8"/>
        <v>0.71360741478107859</v>
      </c>
      <c r="J131" s="14">
        <f t="shared" si="9"/>
        <v>0.47532109228187902</v>
      </c>
      <c r="K131" s="14">
        <f t="shared" si="10"/>
        <v>0.14549161073825498</v>
      </c>
      <c r="L131" s="12" t="str">
        <f t="shared" si="11"/>
        <v/>
      </c>
      <c r="M131" s="12" t="str">
        <f t="shared" si="12"/>
        <v/>
      </c>
    </row>
    <row r="132" spans="1:13" ht="31.5">
      <c r="A132" s="3">
        <v>123</v>
      </c>
      <c r="B132" s="11" t="s">
        <v>71</v>
      </c>
      <c r="C132" s="3">
        <v>3</v>
      </c>
      <c r="D132" s="3">
        <v>3</v>
      </c>
      <c r="E132" s="11" t="s">
        <v>194</v>
      </c>
      <c r="F132" s="14">
        <v>0.216</v>
      </c>
      <c r="G132" s="14">
        <f t="shared" si="13"/>
        <v>1.5000000000000013E-2</v>
      </c>
      <c r="H132" s="14">
        <f t="shared" si="7"/>
        <v>0.32666164154103872</v>
      </c>
      <c r="I132" s="14">
        <f t="shared" si="8"/>
        <v>0.71360741478107859</v>
      </c>
      <c r="J132" s="14">
        <f t="shared" si="9"/>
        <v>0.47532109228187902</v>
      </c>
      <c r="K132" s="14">
        <f t="shared" si="10"/>
        <v>0.14549161073825498</v>
      </c>
      <c r="L132" s="12" t="str">
        <f t="shared" si="11"/>
        <v/>
      </c>
      <c r="M132" s="12" t="str">
        <f t="shared" si="12"/>
        <v/>
      </c>
    </row>
    <row r="133" spans="1:13" ht="31.5">
      <c r="A133" s="3">
        <v>124</v>
      </c>
      <c r="B133" s="11" t="s">
        <v>71</v>
      </c>
      <c r="C133" s="3">
        <v>3</v>
      </c>
      <c r="D133" s="3">
        <v>2</v>
      </c>
      <c r="E133" s="11" t="s">
        <v>195</v>
      </c>
      <c r="F133" s="14">
        <v>0.34</v>
      </c>
      <c r="G133" s="14">
        <f t="shared" si="13"/>
        <v>0.12400000000000003</v>
      </c>
      <c r="H133" s="14">
        <f t="shared" si="7"/>
        <v>0.32666164154103872</v>
      </c>
      <c r="I133" s="14">
        <f t="shared" si="8"/>
        <v>0.71360741478107859</v>
      </c>
      <c r="J133" s="14">
        <f t="shared" si="9"/>
        <v>0.47532109228187902</v>
      </c>
      <c r="K133" s="14">
        <f t="shared" si="10"/>
        <v>0.14549161073825498</v>
      </c>
      <c r="L133" s="12" t="str">
        <f t="shared" si="11"/>
        <v/>
      </c>
      <c r="M133" s="12" t="str">
        <f t="shared" si="12"/>
        <v/>
      </c>
    </row>
    <row r="134" spans="1:13" ht="31.5">
      <c r="A134" s="3">
        <v>125</v>
      </c>
      <c r="B134" s="11" t="s">
        <v>71</v>
      </c>
      <c r="C134" s="3">
        <v>3</v>
      </c>
      <c r="D134" s="3">
        <v>1</v>
      </c>
      <c r="E134" s="11" t="s">
        <v>196</v>
      </c>
      <c r="F134" s="14">
        <v>0.25600000000000001</v>
      </c>
      <c r="G134" s="14">
        <f t="shared" si="13"/>
        <v>8.4000000000000019E-2</v>
      </c>
      <c r="H134" s="14">
        <f t="shared" si="7"/>
        <v>0.32666164154103872</v>
      </c>
      <c r="I134" s="14">
        <f t="shared" si="8"/>
        <v>0.71360741478107859</v>
      </c>
      <c r="J134" s="14">
        <f t="shared" si="9"/>
        <v>0.47532109228187902</v>
      </c>
      <c r="K134" s="14">
        <f t="shared" si="10"/>
        <v>0.14549161073825498</v>
      </c>
      <c r="L134" s="12" t="str">
        <f t="shared" si="11"/>
        <v/>
      </c>
      <c r="M134" s="12" t="str">
        <f t="shared" si="12"/>
        <v/>
      </c>
    </row>
    <row r="135" spans="1:13" ht="31.5">
      <c r="A135" s="3">
        <v>126</v>
      </c>
      <c r="B135" s="11" t="s">
        <v>71</v>
      </c>
      <c r="C135" s="3">
        <v>3</v>
      </c>
      <c r="D135" s="3">
        <v>25</v>
      </c>
      <c r="E135" s="11" t="s">
        <v>197</v>
      </c>
      <c r="F135" s="14">
        <v>0.48</v>
      </c>
      <c r="G135" s="14">
        <f t="shared" si="13"/>
        <v>0.22399999999999998</v>
      </c>
      <c r="H135" s="14">
        <f t="shared" si="7"/>
        <v>0.32666164154103872</v>
      </c>
      <c r="I135" s="14">
        <f t="shared" si="8"/>
        <v>0.71360741478107859</v>
      </c>
      <c r="J135" s="14">
        <f t="shared" si="9"/>
        <v>0.47532109228187902</v>
      </c>
      <c r="K135" s="14">
        <f t="shared" si="10"/>
        <v>0.14549161073825498</v>
      </c>
      <c r="L135" s="12" t="str">
        <f t="shared" si="11"/>
        <v/>
      </c>
      <c r="M135" s="12" t="str">
        <f t="shared" si="12"/>
        <v/>
      </c>
    </row>
    <row r="136" spans="1:13" ht="31.5">
      <c r="A136" s="3">
        <v>127</v>
      </c>
      <c r="B136" s="11" t="s">
        <v>71</v>
      </c>
      <c r="C136" s="3">
        <v>3</v>
      </c>
      <c r="D136" s="3">
        <v>24</v>
      </c>
      <c r="E136" s="11" t="s">
        <v>198</v>
      </c>
      <c r="F136" s="14">
        <v>0.56699999999999995</v>
      </c>
      <c r="G136" s="14">
        <f t="shared" si="13"/>
        <v>8.6999999999999966E-2</v>
      </c>
      <c r="H136" s="14">
        <f t="shared" si="7"/>
        <v>0.32666164154103872</v>
      </c>
      <c r="I136" s="14">
        <f t="shared" si="8"/>
        <v>0.71360741478107859</v>
      </c>
      <c r="J136" s="14">
        <f t="shared" si="9"/>
        <v>0.47532109228187902</v>
      </c>
      <c r="K136" s="14">
        <f t="shared" si="10"/>
        <v>0.14549161073825498</v>
      </c>
      <c r="L136" s="12" t="str">
        <f t="shared" si="11"/>
        <v/>
      </c>
      <c r="M136" s="12" t="str">
        <f t="shared" si="12"/>
        <v/>
      </c>
    </row>
    <row r="137" spans="1:13" ht="31.5">
      <c r="A137" s="3">
        <v>128</v>
      </c>
      <c r="B137" s="11" t="s">
        <v>71</v>
      </c>
      <c r="C137" s="3">
        <v>3</v>
      </c>
      <c r="D137" s="3">
        <v>23</v>
      </c>
      <c r="E137" s="11" t="s">
        <v>199</v>
      </c>
      <c r="F137" s="14">
        <v>0.21299999999999999</v>
      </c>
      <c r="G137" s="14">
        <f t="shared" si="13"/>
        <v>0.35399999999999998</v>
      </c>
      <c r="H137" s="14">
        <f t="shared" si="7"/>
        <v>0.32666164154103872</v>
      </c>
      <c r="I137" s="14">
        <f t="shared" si="8"/>
        <v>0.71360741478107859</v>
      </c>
      <c r="J137" s="14">
        <f t="shared" si="9"/>
        <v>0.47532109228187902</v>
      </c>
      <c r="K137" s="14">
        <f t="shared" si="10"/>
        <v>0.14549161073825498</v>
      </c>
      <c r="L137" s="12" t="str">
        <f t="shared" si="11"/>
        <v/>
      </c>
      <c r="M137" s="12" t="str">
        <f t="shared" si="12"/>
        <v/>
      </c>
    </row>
    <row r="138" spans="1:13" ht="31.5">
      <c r="A138" s="3">
        <v>129</v>
      </c>
      <c r="B138" s="11" t="s">
        <v>71</v>
      </c>
      <c r="C138" s="3">
        <v>3</v>
      </c>
      <c r="D138" s="3">
        <v>22</v>
      </c>
      <c r="E138" s="11" t="s">
        <v>200</v>
      </c>
      <c r="F138" s="14">
        <v>0.14199999999999999</v>
      </c>
      <c r="G138" s="14">
        <f t="shared" si="13"/>
        <v>7.1000000000000008E-2</v>
      </c>
      <c r="H138" s="14">
        <f t="shared" si="7"/>
        <v>0.32666164154103872</v>
      </c>
      <c r="I138" s="14">
        <f t="shared" si="8"/>
        <v>0.71360741478107859</v>
      </c>
      <c r="J138" s="14">
        <f t="shared" si="9"/>
        <v>0.47532109228187902</v>
      </c>
      <c r="K138" s="14">
        <f t="shared" si="10"/>
        <v>0.14549161073825498</v>
      </c>
      <c r="L138" s="12" t="str">
        <f t="shared" si="11"/>
        <v/>
      </c>
      <c r="M138" s="12" t="str">
        <f t="shared" si="12"/>
        <v/>
      </c>
    </row>
    <row r="139" spans="1:13" ht="31.5">
      <c r="A139" s="3">
        <v>130</v>
      </c>
      <c r="B139" s="11" t="s">
        <v>71</v>
      </c>
      <c r="C139" s="3">
        <v>3</v>
      </c>
      <c r="D139" s="3">
        <v>21</v>
      </c>
      <c r="E139" s="11" t="s">
        <v>201</v>
      </c>
      <c r="F139" s="14">
        <v>0.17899999999999999</v>
      </c>
      <c r="G139" s="14">
        <f t="shared" si="13"/>
        <v>3.7000000000000005E-2</v>
      </c>
      <c r="H139" s="14">
        <f t="shared" ref="H139:H202" si="14">$F$4</f>
        <v>0.32666164154103872</v>
      </c>
      <c r="I139" s="14">
        <f t="shared" ref="I139:I202" si="15">$F$7</f>
        <v>0.71360741478107859</v>
      </c>
      <c r="J139" s="14">
        <f t="shared" ref="J139:J202" si="16">$F$8</f>
        <v>0.47532109228187902</v>
      </c>
      <c r="K139" s="14">
        <f t="shared" ref="K139:K202" si="17">$F$5</f>
        <v>0.14549161073825498</v>
      </c>
      <c r="L139" s="12" t="str">
        <f t="shared" ref="L139:L202" si="18">IF(F139&gt;$F$7,"OOC","" )</f>
        <v/>
      </c>
      <c r="M139" s="12" t="str">
        <f t="shared" ref="M139:M202" si="19">IF(F139&gt;$B$4,"OOS","" )</f>
        <v/>
      </c>
    </row>
    <row r="140" spans="1:13" ht="31.5">
      <c r="A140" s="3">
        <v>131</v>
      </c>
      <c r="B140" s="11" t="s">
        <v>71</v>
      </c>
      <c r="C140" s="3">
        <v>3</v>
      </c>
      <c r="D140" s="3">
        <v>20</v>
      </c>
      <c r="E140" s="11" t="s">
        <v>202</v>
      </c>
      <c r="F140" s="14">
        <v>0.41799999999999998</v>
      </c>
      <c r="G140" s="14">
        <f t="shared" ref="G140:G203" si="20">ABS(F140-F139)</f>
        <v>0.23899999999999999</v>
      </c>
      <c r="H140" s="14">
        <f t="shared" si="14"/>
        <v>0.32666164154103872</v>
      </c>
      <c r="I140" s="14">
        <f t="shared" si="15"/>
        <v>0.71360741478107859</v>
      </c>
      <c r="J140" s="14">
        <f t="shared" si="16"/>
        <v>0.47532109228187902</v>
      </c>
      <c r="K140" s="14">
        <f t="shared" si="17"/>
        <v>0.14549161073825498</v>
      </c>
      <c r="L140" s="12" t="str">
        <f t="shared" si="18"/>
        <v/>
      </c>
      <c r="M140" s="12" t="str">
        <f t="shared" si="19"/>
        <v/>
      </c>
    </row>
    <row r="141" spans="1:13" ht="31.5">
      <c r="A141" s="3">
        <v>132</v>
      </c>
      <c r="B141" s="11" t="s">
        <v>71</v>
      </c>
      <c r="C141" s="3">
        <v>3</v>
      </c>
      <c r="D141" s="3">
        <v>19</v>
      </c>
      <c r="E141" s="11" t="s">
        <v>203</v>
      </c>
      <c r="F141" s="14">
        <v>0.26</v>
      </c>
      <c r="G141" s="14">
        <f t="shared" si="20"/>
        <v>0.15799999999999997</v>
      </c>
      <c r="H141" s="14">
        <f t="shared" si="14"/>
        <v>0.32666164154103872</v>
      </c>
      <c r="I141" s="14">
        <f t="shared" si="15"/>
        <v>0.71360741478107859</v>
      </c>
      <c r="J141" s="14">
        <f t="shared" si="16"/>
        <v>0.47532109228187902</v>
      </c>
      <c r="K141" s="14">
        <f t="shared" si="17"/>
        <v>0.14549161073825498</v>
      </c>
      <c r="L141" s="12" t="str">
        <f t="shared" si="18"/>
        <v/>
      </c>
      <c r="M141" s="12" t="str">
        <f t="shared" si="19"/>
        <v/>
      </c>
    </row>
    <row r="142" spans="1:13" ht="31.5">
      <c r="A142" s="3">
        <v>133</v>
      </c>
      <c r="B142" s="11" t="s">
        <v>71</v>
      </c>
      <c r="C142" s="3">
        <v>3</v>
      </c>
      <c r="D142" s="3">
        <v>18</v>
      </c>
      <c r="E142" s="11" t="s">
        <v>204</v>
      </c>
      <c r="F142" s="14">
        <v>0.17299999999999999</v>
      </c>
      <c r="G142" s="14">
        <f t="shared" si="20"/>
        <v>8.7000000000000022E-2</v>
      </c>
      <c r="H142" s="14">
        <f t="shared" si="14"/>
        <v>0.32666164154103872</v>
      </c>
      <c r="I142" s="14">
        <f t="shared" si="15"/>
        <v>0.71360741478107859</v>
      </c>
      <c r="J142" s="14">
        <f t="shared" si="16"/>
        <v>0.47532109228187902</v>
      </c>
      <c r="K142" s="14">
        <f t="shared" si="17"/>
        <v>0.14549161073825498</v>
      </c>
      <c r="L142" s="12" t="str">
        <f t="shared" si="18"/>
        <v/>
      </c>
      <c r="M142" s="12" t="str">
        <f t="shared" si="19"/>
        <v/>
      </c>
    </row>
    <row r="143" spans="1:13" ht="31.5">
      <c r="A143" s="3">
        <v>134</v>
      </c>
      <c r="B143" s="11" t="s">
        <v>71</v>
      </c>
      <c r="C143" s="3">
        <v>3</v>
      </c>
      <c r="D143" s="3">
        <v>17</v>
      </c>
      <c r="E143" s="11" t="s">
        <v>205</v>
      </c>
      <c r="F143" s="14">
        <v>0.221</v>
      </c>
      <c r="G143" s="14">
        <f t="shared" si="20"/>
        <v>4.8000000000000015E-2</v>
      </c>
      <c r="H143" s="14">
        <f t="shared" si="14"/>
        <v>0.32666164154103872</v>
      </c>
      <c r="I143" s="14">
        <f t="shared" si="15"/>
        <v>0.71360741478107859</v>
      </c>
      <c r="J143" s="14">
        <f t="shared" si="16"/>
        <v>0.47532109228187902</v>
      </c>
      <c r="K143" s="14">
        <f t="shared" si="17"/>
        <v>0.14549161073825498</v>
      </c>
      <c r="L143" s="12" t="str">
        <f t="shared" si="18"/>
        <v/>
      </c>
      <c r="M143" s="12" t="str">
        <f t="shared" si="19"/>
        <v/>
      </c>
    </row>
    <row r="144" spans="1:13" ht="31.5">
      <c r="A144" s="3">
        <v>135</v>
      </c>
      <c r="B144" s="11" t="s">
        <v>71</v>
      </c>
      <c r="C144" s="3">
        <v>3</v>
      </c>
      <c r="D144" s="3">
        <v>16</v>
      </c>
      <c r="E144" s="11" t="s">
        <v>206</v>
      </c>
      <c r="F144" s="14">
        <v>0.35699999999999998</v>
      </c>
      <c r="G144" s="14">
        <f t="shared" si="20"/>
        <v>0.13599999999999998</v>
      </c>
      <c r="H144" s="14">
        <f t="shared" si="14"/>
        <v>0.32666164154103872</v>
      </c>
      <c r="I144" s="14">
        <f t="shared" si="15"/>
        <v>0.71360741478107859</v>
      </c>
      <c r="J144" s="14">
        <f t="shared" si="16"/>
        <v>0.47532109228187902</v>
      </c>
      <c r="K144" s="14">
        <f t="shared" si="17"/>
        <v>0.14549161073825498</v>
      </c>
      <c r="L144" s="12" t="str">
        <f t="shared" si="18"/>
        <v/>
      </c>
      <c r="M144" s="12" t="str">
        <f t="shared" si="19"/>
        <v/>
      </c>
    </row>
    <row r="145" spans="1:13" ht="31.5">
      <c r="A145" s="3">
        <v>136</v>
      </c>
      <c r="B145" s="11" t="s">
        <v>71</v>
      </c>
      <c r="C145" s="3">
        <v>3</v>
      </c>
      <c r="D145" s="3">
        <v>15</v>
      </c>
      <c r="E145" s="11" t="s">
        <v>207</v>
      </c>
      <c r="F145" s="14">
        <v>0.38</v>
      </c>
      <c r="G145" s="14">
        <f t="shared" si="20"/>
        <v>2.300000000000002E-2</v>
      </c>
      <c r="H145" s="14">
        <f t="shared" si="14"/>
        <v>0.32666164154103872</v>
      </c>
      <c r="I145" s="14">
        <f t="shared" si="15"/>
        <v>0.71360741478107859</v>
      </c>
      <c r="J145" s="14">
        <f t="shared" si="16"/>
        <v>0.47532109228187902</v>
      </c>
      <c r="K145" s="14">
        <f t="shared" si="17"/>
        <v>0.14549161073825498</v>
      </c>
      <c r="L145" s="12" t="str">
        <f t="shared" si="18"/>
        <v/>
      </c>
      <c r="M145" s="12" t="str">
        <f t="shared" si="19"/>
        <v/>
      </c>
    </row>
    <row r="146" spans="1:13" ht="31.5">
      <c r="A146" s="3">
        <v>137</v>
      </c>
      <c r="B146" s="11" t="s">
        <v>71</v>
      </c>
      <c r="C146" s="3">
        <v>3</v>
      </c>
      <c r="D146" s="3">
        <v>14</v>
      </c>
      <c r="E146" s="11" t="s">
        <v>208</v>
      </c>
      <c r="F146" s="14">
        <v>0.33400000000000002</v>
      </c>
      <c r="G146" s="14">
        <f t="shared" si="20"/>
        <v>4.5999999999999985E-2</v>
      </c>
      <c r="H146" s="14">
        <f t="shared" si="14"/>
        <v>0.32666164154103872</v>
      </c>
      <c r="I146" s="14">
        <f t="shared" si="15"/>
        <v>0.71360741478107859</v>
      </c>
      <c r="J146" s="14">
        <f t="shared" si="16"/>
        <v>0.47532109228187902</v>
      </c>
      <c r="K146" s="14">
        <f t="shared" si="17"/>
        <v>0.14549161073825498</v>
      </c>
      <c r="L146" s="12" t="str">
        <f t="shared" si="18"/>
        <v/>
      </c>
      <c r="M146" s="12" t="str">
        <f t="shared" si="19"/>
        <v/>
      </c>
    </row>
    <row r="147" spans="1:13" ht="31.5">
      <c r="A147" s="3">
        <v>138</v>
      </c>
      <c r="B147" s="11" t="s">
        <v>71</v>
      </c>
      <c r="C147" s="3">
        <v>3</v>
      </c>
      <c r="D147" s="3">
        <v>13</v>
      </c>
      <c r="E147" s="11" t="s">
        <v>209</v>
      </c>
      <c r="F147" s="14">
        <v>0.27</v>
      </c>
      <c r="G147" s="14">
        <f t="shared" si="20"/>
        <v>6.4000000000000001E-2</v>
      </c>
      <c r="H147" s="14">
        <f t="shared" si="14"/>
        <v>0.32666164154103872</v>
      </c>
      <c r="I147" s="14">
        <f t="shared" si="15"/>
        <v>0.71360741478107859</v>
      </c>
      <c r="J147" s="14">
        <f t="shared" si="16"/>
        <v>0.47532109228187902</v>
      </c>
      <c r="K147" s="14">
        <f t="shared" si="17"/>
        <v>0.14549161073825498</v>
      </c>
      <c r="L147" s="12" t="str">
        <f t="shared" si="18"/>
        <v/>
      </c>
      <c r="M147" s="12" t="str">
        <f t="shared" si="19"/>
        <v/>
      </c>
    </row>
    <row r="148" spans="1:13" ht="31.5">
      <c r="A148" s="3">
        <v>139</v>
      </c>
      <c r="B148" s="11" t="s">
        <v>71</v>
      </c>
      <c r="C148" s="3">
        <v>3</v>
      </c>
      <c r="D148" s="3">
        <v>12</v>
      </c>
      <c r="E148" s="11" t="s">
        <v>210</v>
      </c>
      <c r="F148" s="14">
        <v>0.378</v>
      </c>
      <c r="G148" s="14">
        <f t="shared" si="20"/>
        <v>0.10799999999999998</v>
      </c>
      <c r="H148" s="14">
        <f t="shared" si="14"/>
        <v>0.32666164154103872</v>
      </c>
      <c r="I148" s="14">
        <f t="shared" si="15"/>
        <v>0.71360741478107859</v>
      </c>
      <c r="J148" s="14">
        <f t="shared" si="16"/>
        <v>0.47532109228187902</v>
      </c>
      <c r="K148" s="14">
        <f t="shared" si="17"/>
        <v>0.14549161073825498</v>
      </c>
      <c r="L148" s="12" t="str">
        <f t="shared" si="18"/>
        <v/>
      </c>
      <c r="M148" s="12" t="str">
        <f t="shared" si="19"/>
        <v/>
      </c>
    </row>
    <row r="149" spans="1:13" ht="31.5">
      <c r="A149" s="3">
        <v>140</v>
      </c>
      <c r="B149" s="11" t="s">
        <v>71</v>
      </c>
      <c r="C149" s="3">
        <v>3</v>
      </c>
      <c r="D149" s="3">
        <v>11</v>
      </c>
      <c r="E149" s="11" t="s">
        <v>211</v>
      </c>
      <c r="F149" s="14">
        <v>0.39600000000000002</v>
      </c>
      <c r="G149" s="14">
        <f t="shared" si="20"/>
        <v>1.8000000000000016E-2</v>
      </c>
      <c r="H149" s="14">
        <f t="shared" si="14"/>
        <v>0.32666164154103872</v>
      </c>
      <c r="I149" s="14">
        <f t="shared" si="15"/>
        <v>0.71360741478107859</v>
      </c>
      <c r="J149" s="14">
        <f t="shared" si="16"/>
        <v>0.47532109228187902</v>
      </c>
      <c r="K149" s="14">
        <f t="shared" si="17"/>
        <v>0.14549161073825498</v>
      </c>
      <c r="L149" s="12" t="str">
        <f t="shared" si="18"/>
        <v/>
      </c>
      <c r="M149" s="12" t="str">
        <f t="shared" si="19"/>
        <v/>
      </c>
    </row>
    <row r="150" spans="1:13" ht="31.5">
      <c r="A150" s="3">
        <v>141</v>
      </c>
      <c r="B150" s="11" t="s">
        <v>71</v>
      </c>
      <c r="C150" s="3">
        <v>3</v>
      </c>
      <c r="D150" s="3">
        <v>10</v>
      </c>
      <c r="E150" s="11" t="s">
        <v>212</v>
      </c>
      <c r="F150" s="14">
        <v>8.7999999999999995E-2</v>
      </c>
      <c r="G150" s="14">
        <f t="shared" si="20"/>
        <v>0.30800000000000005</v>
      </c>
      <c r="H150" s="14">
        <f t="shared" si="14"/>
        <v>0.32666164154103872</v>
      </c>
      <c r="I150" s="14">
        <f t="shared" si="15"/>
        <v>0.71360741478107859</v>
      </c>
      <c r="J150" s="14">
        <f t="shared" si="16"/>
        <v>0.47532109228187902</v>
      </c>
      <c r="K150" s="14">
        <f t="shared" si="17"/>
        <v>0.14549161073825498</v>
      </c>
      <c r="L150" s="12" t="str">
        <f t="shared" si="18"/>
        <v/>
      </c>
      <c r="M150" s="12" t="str">
        <f t="shared" si="19"/>
        <v/>
      </c>
    </row>
    <row r="151" spans="1:13" ht="31.5">
      <c r="A151" s="3">
        <v>142</v>
      </c>
      <c r="B151" s="11" t="s">
        <v>71</v>
      </c>
      <c r="C151" s="3">
        <v>3</v>
      </c>
      <c r="D151" s="3">
        <v>9</v>
      </c>
      <c r="E151" s="11" t="s">
        <v>213</v>
      </c>
      <c r="F151" s="14">
        <v>0.435</v>
      </c>
      <c r="G151" s="14">
        <f t="shared" si="20"/>
        <v>0.34699999999999998</v>
      </c>
      <c r="H151" s="14">
        <f t="shared" si="14"/>
        <v>0.32666164154103872</v>
      </c>
      <c r="I151" s="14">
        <f t="shared" si="15"/>
        <v>0.71360741478107859</v>
      </c>
      <c r="J151" s="14">
        <f t="shared" si="16"/>
        <v>0.47532109228187902</v>
      </c>
      <c r="K151" s="14">
        <f t="shared" si="17"/>
        <v>0.14549161073825498</v>
      </c>
      <c r="L151" s="12" t="str">
        <f t="shared" si="18"/>
        <v/>
      </c>
      <c r="M151" s="12" t="str">
        <f t="shared" si="19"/>
        <v/>
      </c>
    </row>
    <row r="152" spans="1:13" ht="31.5">
      <c r="A152" s="3">
        <v>143</v>
      </c>
      <c r="B152" s="11" t="s">
        <v>71</v>
      </c>
      <c r="C152" s="3">
        <v>3</v>
      </c>
      <c r="D152" s="3">
        <v>8</v>
      </c>
      <c r="E152" s="11" t="s">
        <v>214</v>
      </c>
      <c r="F152" s="14">
        <v>0.39500000000000002</v>
      </c>
      <c r="G152" s="14">
        <f t="shared" si="20"/>
        <v>3.999999999999998E-2</v>
      </c>
      <c r="H152" s="14">
        <f t="shared" si="14"/>
        <v>0.32666164154103872</v>
      </c>
      <c r="I152" s="14">
        <f t="shared" si="15"/>
        <v>0.71360741478107859</v>
      </c>
      <c r="J152" s="14">
        <f t="shared" si="16"/>
        <v>0.47532109228187902</v>
      </c>
      <c r="K152" s="14">
        <f t="shared" si="17"/>
        <v>0.14549161073825498</v>
      </c>
      <c r="L152" s="12" t="str">
        <f t="shared" si="18"/>
        <v/>
      </c>
      <c r="M152" s="12" t="str">
        <f t="shared" si="19"/>
        <v/>
      </c>
    </row>
    <row r="153" spans="1:13" ht="31.5">
      <c r="A153" s="3">
        <v>144</v>
      </c>
      <c r="B153" s="11" t="s">
        <v>71</v>
      </c>
      <c r="C153" s="3">
        <v>3</v>
      </c>
      <c r="D153" s="3">
        <v>7</v>
      </c>
      <c r="E153" s="11" t="s">
        <v>215</v>
      </c>
      <c r="F153" s="14">
        <v>0.23400000000000001</v>
      </c>
      <c r="G153" s="14">
        <f t="shared" si="20"/>
        <v>0.161</v>
      </c>
      <c r="H153" s="14">
        <f t="shared" si="14"/>
        <v>0.32666164154103872</v>
      </c>
      <c r="I153" s="14">
        <f t="shared" si="15"/>
        <v>0.71360741478107859</v>
      </c>
      <c r="J153" s="14">
        <f t="shared" si="16"/>
        <v>0.47532109228187902</v>
      </c>
      <c r="K153" s="14">
        <f t="shared" si="17"/>
        <v>0.14549161073825498</v>
      </c>
      <c r="L153" s="12" t="str">
        <f t="shared" si="18"/>
        <v/>
      </c>
      <c r="M153" s="12" t="str">
        <f t="shared" si="19"/>
        <v/>
      </c>
    </row>
    <row r="154" spans="1:13" ht="31.5">
      <c r="A154" s="3">
        <v>145</v>
      </c>
      <c r="B154" s="11" t="s">
        <v>71</v>
      </c>
      <c r="C154" s="3">
        <v>3</v>
      </c>
      <c r="D154" s="3">
        <v>6</v>
      </c>
      <c r="E154" s="11" t="s">
        <v>216</v>
      </c>
      <c r="F154" s="14">
        <v>0.311</v>
      </c>
      <c r="G154" s="14">
        <f t="shared" si="20"/>
        <v>7.6999999999999985E-2</v>
      </c>
      <c r="H154" s="14">
        <f t="shared" si="14"/>
        <v>0.32666164154103872</v>
      </c>
      <c r="I154" s="14">
        <f t="shared" si="15"/>
        <v>0.71360741478107859</v>
      </c>
      <c r="J154" s="14">
        <f t="shared" si="16"/>
        <v>0.47532109228187902</v>
      </c>
      <c r="K154" s="14">
        <f t="shared" si="17"/>
        <v>0.14549161073825498</v>
      </c>
      <c r="L154" s="12" t="str">
        <f t="shared" si="18"/>
        <v/>
      </c>
      <c r="M154" s="12" t="str">
        <f t="shared" si="19"/>
        <v/>
      </c>
    </row>
    <row r="155" spans="1:13" ht="31.5">
      <c r="A155" s="3">
        <v>146</v>
      </c>
      <c r="B155" s="11" t="s">
        <v>71</v>
      </c>
      <c r="C155" s="3">
        <v>3</v>
      </c>
      <c r="D155" s="3">
        <v>5</v>
      </c>
      <c r="E155" s="11" t="s">
        <v>217</v>
      </c>
      <c r="F155" s="14">
        <v>0.123</v>
      </c>
      <c r="G155" s="14">
        <f t="shared" si="20"/>
        <v>0.188</v>
      </c>
      <c r="H155" s="14">
        <f t="shared" si="14"/>
        <v>0.32666164154103872</v>
      </c>
      <c r="I155" s="14">
        <f t="shared" si="15"/>
        <v>0.71360741478107859</v>
      </c>
      <c r="J155" s="14">
        <f t="shared" si="16"/>
        <v>0.47532109228187902</v>
      </c>
      <c r="K155" s="14">
        <f t="shared" si="17"/>
        <v>0.14549161073825498</v>
      </c>
      <c r="L155" s="12" t="str">
        <f t="shared" si="18"/>
        <v/>
      </c>
      <c r="M155" s="12" t="str">
        <f t="shared" si="19"/>
        <v/>
      </c>
    </row>
    <row r="156" spans="1:13" ht="31.5">
      <c r="A156" s="3">
        <v>147</v>
      </c>
      <c r="B156" s="11" t="s">
        <v>71</v>
      </c>
      <c r="C156" s="3">
        <v>3</v>
      </c>
      <c r="D156" s="3">
        <v>4</v>
      </c>
      <c r="E156" s="11" t="s">
        <v>218</v>
      </c>
      <c r="F156" s="14">
        <v>0.222</v>
      </c>
      <c r="G156" s="14">
        <f t="shared" si="20"/>
        <v>9.9000000000000005E-2</v>
      </c>
      <c r="H156" s="14">
        <f t="shared" si="14"/>
        <v>0.32666164154103872</v>
      </c>
      <c r="I156" s="14">
        <f t="shared" si="15"/>
        <v>0.71360741478107859</v>
      </c>
      <c r="J156" s="14">
        <f t="shared" si="16"/>
        <v>0.47532109228187902</v>
      </c>
      <c r="K156" s="14">
        <f t="shared" si="17"/>
        <v>0.14549161073825498</v>
      </c>
      <c r="L156" s="12" t="str">
        <f t="shared" si="18"/>
        <v/>
      </c>
      <c r="M156" s="12" t="str">
        <f t="shared" si="19"/>
        <v/>
      </c>
    </row>
    <row r="157" spans="1:13" ht="31.5">
      <c r="A157" s="3">
        <v>148</v>
      </c>
      <c r="B157" s="11" t="s">
        <v>71</v>
      </c>
      <c r="C157" s="3">
        <v>3</v>
      </c>
      <c r="D157" s="3">
        <v>3</v>
      </c>
      <c r="E157" s="11" t="s">
        <v>219</v>
      </c>
      <c r="F157" s="14">
        <v>0.51200000000000001</v>
      </c>
      <c r="G157" s="14">
        <f t="shared" si="20"/>
        <v>0.29000000000000004</v>
      </c>
      <c r="H157" s="14">
        <f t="shared" si="14"/>
        <v>0.32666164154103872</v>
      </c>
      <c r="I157" s="14">
        <f t="shared" si="15"/>
        <v>0.71360741478107859</v>
      </c>
      <c r="J157" s="14">
        <f t="shared" si="16"/>
        <v>0.47532109228187902</v>
      </c>
      <c r="K157" s="14">
        <f t="shared" si="17"/>
        <v>0.14549161073825498</v>
      </c>
      <c r="L157" s="12" t="str">
        <f t="shared" si="18"/>
        <v/>
      </c>
      <c r="M157" s="12" t="str">
        <f t="shared" si="19"/>
        <v/>
      </c>
    </row>
    <row r="158" spans="1:13" ht="31.5">
      <c r="A158" s="3">
        <v>149</v>
      </c>
      <c r="B158" s="11" t="s">
        <v>71</v>
      </c>
      <c r="C158" s="3">
        <v>3</v>
      </c>
      <c r="D158" s="3">
        <v>2</v>
      </c>
      <c r="E158" s="11" t="s">
        <v>220</v>
      </c>
      <c r="F158" s="14">
        <v>0.34</v>
      </c>
      <c r="G158" s="14">
        <f t="shared" si="20"/>
        <v>0.17199999999999999</v>
      </c>
      <c r="H158" s="14">
        <f t="shared" si="14"/>
        <v>0.32666164154103872</v>
      </c>
      <c r="I158" s="14">
        <f t="shared" si="15"/>
        <v>0.71360741478107859</v>
      </c>
      <c r="J158" s="14">
        <f t="shared" si="16"/>
        <v>0.47532109228187902</v>
      </c>
      <c r="K158" s="14">
        <f t="shared" si="17"/>
        <v>0.14549161073825498</v>
      </c>
      <c r="L158" s="12" t="str">
        <f t="shared" si="18"/>
        <v/>
      </c>
      <c r="M158" s="12" t="str">
        <f t="shared" si="19"/>
        <v/>
      </c>
    </row>
    <row r="159" spans="1:13" ht="31.5">
      <c r="A159" s="3">
        <v>150</v>
      </c>
      <c r="B159" s="11" t="s">
        <v>71</v>
      </c>
      <c r="C159" s="3">
        <v>3</v>
      </c>
      <c r="D159" s="3">
        <v>1</v>
      </c>
      <c r="E159" s="11" t="s">
        <v>221</v>
      </c>
      <c r="F159" s="14">
        <v>0.219</v>
      </c>
      <c r="G159" s="14">
        <f t="shared" si="20"/>
        <v>0.12100000000000002</v>
      </c>
      <c r="H159" s="14">
        <f t="shared" si="14"/>
        <v>0.32666164154103872</v>
      </c>
      <c r="I159" s="14">
        <f t="shared" si="15"/>
        <v>0.71360741478107859</v>
      </c>
      <c r="J159" s="14">
        <f t="shared" si="16"/>
        <v>0.47532109228187902</v>
      </c>
      <c r="K159" s="14">
        <f t="shared" si="17"/>
        <v>0.14549161073825498</v>
      </c>
      <c r="L159" s="12" t="str">
        <f t="shared" si="18"/>
        <v/>
      </c>
      <c r="M159" s="12" t="str">
        <f t="shared" si="19"/>
        <v/>
      </c>
    </row>
    <row r="160" spans="1:13" ht="31.5">
      <c r="A160" s="3">
        <v>151</v>
      </c>
      <c r="B160" s="11" t="s">
        <v>71</v>
      </c>
      <c r="C160" s="3">
        <v>4</v>
      </c>
      <c r="D160" s="3">
        <v>25</v>
      </c>
      <c r="E160" s="11" t="s">
        <v>222</v>
      </c>
      <c r="F160" s="14">
        <v>0.318</v>
      </c>
      <c r="G160" s="14">
        <f t="shared" si="20"/>
        <v>9.9000000000000005E-2</v>
      </c>
      <c r="H160" s="14">
        <f t="shared" si="14"/>
        <v>0.32666164154103872</v>
      </c>
      <c r="I160" s="14">
        <f t="shared" si="15"/>
        <v>0.71360741478107859</v>
      </c>
      <c r="J160" s="14">
        <f t="shared" si="16"/>
        <v>0.47532109228187902</v>
      </c>
      <c r="K160" s="14">
        <f t="shared" si="17"/>
        <v>0.14549161073825498</v>
      </c>
      <c r="L160" s="12" t="str">
        <f t="shared" si="18"/>
        <v/>
      </c>
      <c r="M160" s="12" t="str">
        <f t="shared" si="19"/>
        <v/>
      </c>
    </row>
    <row r="161" spans="1:13" ht="31.5">
      <c r="A161" s="3">
        <v>152</v>
      </c>
      <c r="B161" s="11" t="s">
        <v>71</v>
      </c>
      <c r="C161" s="3">
        <v>4</v>
      </c>
      <c r="D161" s="3">
        <v>24</v>
      </c>
      <c r="E161" s="11" t="s">
        <v>223</v>
      </c>
      <c r="F161" s="14">
        <v>0.25900000000000001</v>
      </c>
      <c r="G161" s="14">
        <f t="shared" si="20"/>
        <v>5.8999999999999997E-2</v>
      </c>
      <c r="H161" s="14">
        <f t="shared" si="14"/>
        <v>0.32666164154103872</v>
      </c>
      <c r="I161" s="14">
        <f t="shared" si="15"/>
        <v>0.71360741478107859</v>
      </c>
      <c r="J161" s="14">
        <f t="shared" si="16"/>
        <v>0.47532109228187902</v>
      </c>
      <c r="K161" s="14">
        <f t="shared" si="17"/>
        <v>0.14549161073825498</v>
      </c>
      <c r="L161" s="12" t="str">
        <f t="shared" si="18"/>
        <v/>
      </c>
      <c r="M161" s="12" t="str">
        <f t="shared" si="19"/>
        <v/>
      </c>
    </row>
    <row r="162" spans="1:13" ht="31.5">
      <c r="A162" s="3">
        <v>153</v>
      </c>
      <c r="B162" s="11" t="s">
        <v>71</v>
      </c>
      <c r="C162" s="3">
        <v>4</v>
      </c>
      <c r="D162" s="3">
        <v>23</v>
      </c>
      <c r="E162" s="11" t="s">
        <v>224</v>
      </c>
      <c r="F162" s="14">
        <v>0.254</v>
      </c>
      <c r="G162" s="14">
        <f t="shared" si="20"/>
        <v>5.0000000000000044E-3</v>
      </c>
      <c r="H162" s="14">
        <f t="shared" si="14"/>
        <v>0.32666164154103872</v>
      </c>
      <c r="I162" s="14">
        <f t="shared" si="15"/>
        <v>0.71360741478107859</v>
      </c>
      <c r="J162" s="14">
        <f t="shared" si="16"/>
        <v>0.47532109228187902</v>
      </c>
      <c r="K162" s="14">
        <f t="shared" si="17"/>
        <v>0.14549161073825498</v>
      </c>
      <c r="L162" s="12" t="str">
        <f t="shared" si="18"/>
        <v/>
      </c>
      <c r="M162" s="12" t="str">
        <f t="shared" si="19"/>
        <v/>
      </c>
    </row>
    <row r="163" spans="1:13" ht="31.5">
      <c r="A163" s="3">
        <v>154</v>
      </c>
      <c r="B163" s="11" t="s">
        <v>71</v>
      </c>
      <c r="C163" s="3">
        <v>4</v>
      </c>
      <c r="D163" s="3">
        <v>22</v>
      </c>
      <c r="E163" s="11" t="s">
        <v>225</v>
      </c>
      <c r="F163" s="14">
        <v>0.49199999999999999</v>
      </c>
      <c r="G163" s="14">
        <f t="shared" si="20"/>
        <v>0.23799999999999999</v>
      </c>
      <c r="H163" s="14">
        <f t="shared" si="14"/>
        <v>0.32666164154103872</v>
      </c>
      <c r="I163" s="14">
        <f t="shared" si="15"/>
        <v>0.71360741478107859</v>
      </c>
      <c r="J163" s="14">
        <f t="shared" si="16"/>
        <v>0.47532109228187902</v>
      </c>
      <c r="K163" s="14">
        <f t="shared" si="17"/>
        <v>0.14549161073825498</v>
      </c>
      <c r="L163" s="12" t="str">
        <f t="shared" si="18"/>
        <v/>
      </c>
      <c r="M163" s="12" t="str">
        <f t="shared" si="19"/>
        <v/>
      </c>
    </row>
    <row r="164" spans="1:13" ht="31.5">
      <c r="A164" s="3">
        <v>155</v>
      </c>
      <c r="B164" s="11" t="s">
        <v>71</v>
      </c>
      <c r="C164" s="3">
        <v>4</v>
      </c>
      <c r="D164" s="3">
        <v>21</v>
      </c>
      <c r="E164" s="11" t="s">
        <v>226</v>
      </c>
      <c r="F164" s="14">
        <v>0.13700000000000001</v>
      </c>
      <c r="G164" s="14">
        <f t="shared" si="20"/>
        <v>0.35499999999999998</v>
      </c>
      <c r="H164" s="14">
        <f t="shared" si="14"/>
        <v>0.32666164154103872</v>
      </c>
      <c r="I164" s="14">
        <f t="shared" si="15"/>
        <v>0.71360741478107859</v>
      </c>
      <c r="J164" s="14">
        <f t="shared" si="16"/>
        <v>0.47532109228187902</v>
      </c>
      <c r="K164" s="14">
        <f t="shared" si="17"/>
        <v>0.14549161073825498</v>
      </c>
      <c r="L164" s="12" t="str">
        <f t="shared" si="18"/>
        <v/>
      </c>
      <c r="M164" s="12" t="str">
        <f t="shared" si="19"/>
        <v/>
      </c>
    </row>
    <row r="165" spans="1:13" ht="31.5">
      <c r="A165" s="3">
        <v>156</v>
      </c>
      <c r="B165" s="11" t="s">
        <v>71</v>
      </c>
      <c r="C165" s="3">
        <v>4</v>
      </c>
      <c r="D165" s="3">
        <v>20</v>
      </c>
      <c r="E165" s="11" t="s">
        <v>227</v>
      </c>
      <c r="F165" s="14">
        <v>0.23300000000000001</v>
      </c>
      <c r="G165" s="14">
        <f t="shared" si="20"/>
        <v>9.6000000000000002E-2</v>
      </c>
      <c r="H165" s="14">
        <f t="shared" si="14"/>
        <v>0.32666164154103872</v>
      </c>
      <c r="I165" s="14">
        <f t="shared" si="15"/>
        <v>0.71360741478107859</v>
      </c>
      <c r="J165" s="14">
        <f t="shared" si="16"/>
        <v>0.47532109228187902</v>
      </c>
      <c r="K165" s="14">
        <f t="shared" si="17"/>
        <v>0.14549161073825498</v>
      </c>
      <c r="L165" s="12" t="str">
        <f t="shared" si="18"/>
        <v/>
      </c>
      <c r="M165" s="12" t="str">
        <f t="shared" si="19"/>
        <v/>
      </c>
    </row>
    <row r="166" spans="1:13" ht="31.5">
      <c r="A166" s="3">
        <v>157</v>
      </c>
      <c r="B166" s="11" t="s">
        <v>71</v>
      </c>
      <c r="C166" s="3">
        <v>4</v>
      </c>
      <c r="D166" s="3">
        <v>19</v>
      </c>
      <c r="E166" s="11" t="s">
        <v>228</v>
      </c>
      <c r="F166" s="14">
        <v>0.29899999999999999</v>
      </c>
      <c r="G166" s="14">
        <f t="shared" si="20"/>
        <v>6.5999999999999975E-2</v>
      </c>
      <c r="H166" s="14">
        <f t="shared" si="14"/>
        <v>0.32666164154103872</v>
      </c>
      <c r="I166" s="14">
        <f t="shared" si="15"/>
        <v>0.71360741478107859</v>
      </c>
      <c r="J166" s="14">
        <f t="shared" si="16"/>
        <v>0.47532109228187902</v>
      </c>
      <c r="K166" s="14">
        <f t="shared" si="17"/>
        <v>0.14549161073825498</v>
      </c>
      <c r="L166" s="12" t="str">
        <f t="shared" si="18"/>
        <v/>
      </c>
      <c r="M166" s="12" t="str">
        <f t="shared" si="19"/>
        <v/>
      </c>
    </row>
    <row r="167" spans="1:13" ht="31.5">
      <c r="A167" s="3">
        <v>158</v>
      </c>
      <c r="B167" s="11" t="s">
        <v>71</v>
      </c>
      <c r="C167" s="3">
        <v>4</v>
      </c>
      <c r="D167" s="3">
        <v>18</v>
      </c>
      <c r="E167" s="11" t="s">
        <v>229</v>
      </c>
      <c r="F167" s="14">
        <v>0.10299999999999999</v>
      </c>
      <c r="G167" s="14">
        <f t="shared" si="20"/>
        <v>0.19600000000000001</v>
      </c>
      <c r="H167" s="14">
        <f t="shared" si="14"/>
        <v>0.32666164154103872</v>
      </c>
      <c r="I167" s="14">
        <f t="shared" si="15"/>
        <v>0.71360741478107859</v>
      </c>
      <c r="J167" s="14">
        <f t="shared" si="16"/>
        <v>0.47532109228187902</v>
      </c>
      <c r="K167" s="14">
        <f t="shared" si="17"/>
        <v>0.14549161073825498</v>
      </c>
      <c r="L167" s="12" t="str">
        <f t="shared" si="18"/>
        <v/>
      </c>
      <c r="M167" s="12" t="str">
        <f t="shared" si="19"/>
        <v/>
      </c>
    </row>
    <row r="168" spans="1:13" ht="31.5">
      <c r="A168" s="3">
        <v>159</v>
      </c>
      <c r="B168" s="11" t="s">
        <v>71</v>
      </c>
      <c r="C168" s="3">
        <v>4</v>
      </c>
      <c r="D168" s="3">
        <v>17</v>
      </c>
      <c r="E168" s="11" t="s">
        <v>230</v>
      </c>
      <c r="F168" s="14">
        <v>0.14499999999999999</v>
      </c>
      <c r="G168" s="14">
        <f t="shared" si="20"/>
        <v>4.1999999999999996E-2</v>
      </c>
      <c r="H168" s="14">
        <f t="shared" si="14"/>
        <v>0.32666164154103872</v>
      </c>
      <c r="I168" s="14">
        <f t="shared" si="15"/>
        <v>0.71360741478107859</v>
      </c>
      <c r="J168" s="14">
        <f t="shared" si="16"/>
        <v>0.47532109228187902</v>
      </c>
      <c r="K168" s="14">
        <f t="shared" si="17"/>
        <v>0.14549161073825498</v>
      </c>
      <c r="L168" s="12" t="str">
        <f t="shared" si="18"/>
        <v/>
      </c>
      <c r="M168" s="12" t="str">
        <f t="shared" si="19"/>
        <v/>
      </c>
    </row>
    <row r="169" spans="1:13" ht="31.5">
      <c r="A169" s="3">
        <v>160</v>
      </c>
      <c r="B169" s="11" t="s">
        <v>71</v>
      </c>
      <c r="C169" s="3">
        <v>4</v>
      </c>
      <c r="D169" s="3">
        <v>16</v>
      </c>
      <c r="E169" s="11" t="s">
        <v>231</v>
      </c>
      <c r="F169" s="14">
        <v>0.40500000000000003</v>
      </c>
      <c r="G169" s="14">
        <f t="shared" si="20"/>
        <v>0.26</v>
      </c>
      <c r="H169" s="14">
        <f t="shared" si="14"/>
        <v>0.32666164154103872</v>
      </c>
      <c r="I169" s="14">
        <f t="shared" si="15"/>
        <v>0.71360741478107859</v>
      </c>
      <c r="J169" s="14">
        <f t="shared" si="16"/>
        <v>0.47532109228187902</v>
      </c>
      <c r="K169" s="14">
        <f t="shared" si="17"/>
        <v>0.14549161073825498</v>
      </c>
      <c r="L169" s="12" t="str">
        <f t="shared" si="18"/>
        <v/>
      </c>
      <c r="M169" s="12" t="str">
        <f t="shared" si="19"/>
        <v/>
      </c>
    </row>
    <row r="170" spans="1:13" ht="31.5">
      <c r="A170" s="3">
        <v>161</v>
      </c>
      <c r="B170" s="11" t="s">
        <v>71</v>
      </c>
      <c r="C170" s="3">
        <v>4</v>
      </c>
      <c r="D170" s="3">
        <v>15</v>
      </c>
      <c r="E170" s="11" t="s">
        <v>232</v>
      </c>
      <c r="F170" s="14">
        <v>0.40799999999999997</v>
      </c>
      <c r="G170" s="14">
        <f t="shared" si="20"/>
        <v>2.9999999999999472E-3</v>
      </c>
      <c r="H170" s="14">
        <f t="shared" si="14"/>
        <v>0.32666164154103872</v>
      </c>
      <c r="I170" s="14">
        <f t="shared" si="15"/>
        <v>0.71360741478107859</v>
      </c>
      <c r="J170" s="14">
        <f t="shared" si="16"/>
        <v>0.47532109228187902</v>
      </c>
      <c r="K170" s="14">
        <f t="shared" si="17"/>
        <v>0.14549161073825498</v>
      </c>
      <c r="L170" s="12" t="str">
        <f t="shared" si="18"/>
        <v/>
      </c>
      <c r="M170" s="12" t="str">
        <f t="shared" si="19"/>
        <v/>
      </c>
    </row>
    <row r="171" spans="1:13" ht="31.5">
      <c r="A171" s="3">
        <v>162</v>
      </c>
      <c r="B171" s="11" t="s">
        <v>71</v>
      </c>
      <c r="C171" s="3">
        <v>4</v>
      </c>
      <c r="D171" s="3">
        <v>14</v>
      </c>
      <c r="E171" s="11" t="s">
        <v>233</v>
      </c>
      <c r="F171" s="14">
        <v>0.16200000000000001</v>
      </c>
      <c r="G171" s="14">
        <f t="shared" si="20"/>
        <v>0.24599999999999997</v>
      </c>
      <c r="H171" s="14">
        <f t="shared" si="14"/>
        <v>0.32666164154103872</v>
      </c>
      <c r="I171" s="14">
        <f t="shared" si="15"/>
        <v>0.71360741478107859</v>
      </c>
      <c r="J171" s="14">
        <f t="shared" si="16"/>
        <v>0.47532109228187902</v>
      </c>
      <c r="K171" s="14">
        <f t="shared" si="17"/>
        <v>0.14549161073825498</v>
      </c>
      <c r="L171" s="12" t="str">
        <f t="shared" si="18"/>
        <v/>
      </c>
      <c r="M171" s="12" t="str">
        <f t="shared" si="19"/>
        <v/>
      </c>
    </row>
    <row r="172" spans="1:13" ht="31.5">
      <c r="A172" s="3">
        <v>163</v>
      </c>
      <c r="B172" s="11" t="s">
        <v>71</v>
      </c>
      <c r="C172" s="3">
        <v>4</v>
      </c>
      <c r="D172" s="3">
        <v>13</v>
      </c>
      <c r="E172" s="11" t="s">
        <v>234</v>
      </c>
      <c r="F172" s="14">
        <v>0.15</v>
      </c>
      <c r="G172" s="14">
        <f t="shared" si="20"/>
        <v>1.2000000000000011E-2</v>
      </c>
      <c r="H172" s="14">
        <f t="shared" si="14"/>
        <v>0.32666164154103872</v>
      </c>
      <c r="I172" s="14">
        <f t="shared" si="15"/>
        <v>0.71360741478107859</v>
      </c>
      <c r="J172" s="14">
        <f t="shared" si="16"/>
        <v>0.47532109228187902</v>
      </c>
      <c r="K172" s="14">
        <f t="shared" si="17"/>
        <v>0.14549161073825498</v>
      </c>
      <c r="L172" s="12" t="str">
        <f t="shared" si="18"/>
        <v/>
      </c>
      <c r="M172" s="12" t="str">
        <f t="shared" si="19"/>
        <v/>
      </c>
    </row>
    <row r="173" spans="1:13" ht="31.5">
      <c r="A173" s="3">
        <v>164</v>
      </c>
      <c r="B173" s="11" t="s">
        <v>71</v>
      </c>
      <c r="C173" s="3">
        <v>4</v>
      </c>
      <c r="D173" s="3">
        <v>12</v>
      </c>
      <c r="E173" s="11" t="s">
        <v>235</v>
      </c>
      <c r="F173" s="14">
        <v>0.55100000000000005</v>
      </c>
      <c r="G173" s="14">
        <f t="shared" si="20"/>
        <v>0.40100000000000002</v>
      </c>
      <c r="H173" s="14">
        <f t="shared" si="14"/>
        <v>0.32666164154103872</v>
      </c>
      <c r="I173" s="14">
        <f t="shared" si="15"/>
        <v>0.71360741478107859</v>
      </c>
      <c r="J173" s="14">
        <f t="shared" si="16"/>
        <v>0.47532109228187902</v>
      </c>
      <c r="K173" s="14">
        <f t="shared" si="17"/>
        <v>0.14549161073825498</v>
      </c>
      <c r="L173" s="12" t="str">
        <f t="shared" si="18"/>
        <v/>
      </c>
      <c r="M173" s="12" t="str">
        <f t="shared" si="19"/>
        <v/>
      </c>
    </row>
    <row r="174" spans="1:13" ht="31.5">
      <c r="A174" s="3">
        <v>165</v>
      </c>
      <c r="B174" s="11" t="s">
        <v>71</v>
      </c>
      <c r="C174" s="3">
        <v>4</v>
      </c>
      <c r="D174" s="3">
        <v>11</v>
      </c>
      <c r="E174" s="11" t="s">
        <v>236</v>
      </c>
      <c r="F174" s="14">
        <v>0.246</v>
      </c>
      <c r="G174" s="14">
        <f t="shared" si="20"/>
        <v>0.30500000000000005</v>
      </c>
      <c r="H174" s="14">
        <f t="shared" si="14"/>
        <v>0.32666164154103872</v>
      </c>
      <c r="I174" s="14">
        <f t="shared" si="15"/>
        <v>0.71360741478107859</v>
      </c>
      <c r="J174" s="14">
        <f t="shared" si="16"/>
        <v>0.47532109228187902</v>
      </c>
      <c r="K174" s="14">
        <f t="shared" si="17"/>
        <v>0.14549161073825498</v>
      </c>
      <c r="L174" s="12" t="str">
        <f t="shared" si="18"/>
        <v/>
      </c>
      <c r="M174" s="12" t="str">
        <f t="shared" si="19"/>
        <v/>
      </c>
    </row>
    <row r="175" spans="1:13" ht="31.5">
      <c r="A175" s="3">
        <v>166</v>
      </c>
      <c r="B175" s="11" t="s">
        <v>71</v>
      </c>
      <c r="C175" s="3">
        <v>4</v>
      </c>
      <c r="D175" s="3">
        <v>10</v>
      </c>
      <c r="E175" s="11" t="s">
        <v>237</v>
      </c>
      <c r="F175" s="14">
        <v>0.46600000000000003</v>
      </c>
      <c r="G175" s="14">
        <f t="shared" si="20"/>
        <v>0.22000000000000003</v>
      </c>
      <c r="H175" s="14">
        <f t="shared" si="14"/>
        <v>0.32666164154103872</v>
      </c>
      <c r="I175" s="14">
        <f t="shared" si="15"/>
        <v>0.71360741478107859</v>
      </c>
      <c r="J175" s="14">
        <f t="shared" si="16"/>
        <v>0.47532109228187902</v>
      </c>
      <c r="K175" s="14">
        <f t="shared" si="17"/>
        <v>0.14549161073825498</v>
      </c>
      <c r="L175" s="12" t="str">
        <f t="shared" si="18"/>
        <v/>
      </c>
      <c r="M175" s="12" t="str">
        <f t="shared" si="19"/>
        <v/>
      </c>
    </row>
    <row r="176" spans="1:13" ht="31.5">
      <c r="A176" s="3">
        <v>167</v>
      </c>
      <c r="B176" s="11" t="s">
        <v>71</v>
      </c>
      <c r="C176" s="3">
        <v>4</v>
      </c>
      <c r="D176" s="3">
        <v>9</v>
      </c>
      <c r="E176" s="11" t="s">
        <v>238</v>
      </c>
      <c r="F176" s="14">
        <v>0.42299999999999999</v>
      </c>
      <c r="G176" s="14">
        <f t="shared" si="20"/>
        <v>4.3000000000000038E-2</v>
      </c>
      <c r="H176" s="14">
        <f t="shared" si="14"/>
        <v>0.32666164154103872</v>
      </c>
      <c r="I176" s="14">
        <f t="shared" si="15"/>
        <v>0.71360741478107859</v>
      </c>
      <c r="J176" s="14">
        <f t="shared" si="16"/>
        <v>0.47532109228187902</v>
      </c>
      <c r="K176" s="14">
        <f t="shared" si="17"/>
        <v>0.14549161073825498</v>
      </c>
      <c r="L176" s="12" t="str">
        <f t="shared" si="18"/>
        <v/>
      </c>
      <c r="M176" s="12" t="str">
        <f t="shared" si="19"/>
        <v/>
      </c>
    </row>
    <row r="177" spans="1:13" ht="31.5">
      <c r="A177" s="3">
        <v>168</v>
      </c>
      <c r="B177" s="11" t="s">
        <v>71</v>
      </c>
      <c r="C177" s="3">
        <v>4</v>
      </c>
      <c r="D177" s="3">
        <v>8</v>
      </c>
      <c r="E177" s="11" t="s">
        <v>239</v>
      </c>
      <c r="F177" s="14">
        <v>0.33500000000000002</v>
      </c>
      <c r="G177" s="14">
        <f t="shared" si="20"/>
        <v>8.7999999999999967E-2</v>
      </c>
      <c r="H177" s="14">
        <f t="shared" si="14"/>
        <v>0.32666164154103872</v>
      </c>
      <c r="I177" s="14">
        <f t="shared" si="15"/>
        <v>0.71360741478107859</v>
      </c>
      <c r="J177" s="14">
        <f t="shared" si="16"/>
        <v>0.47532109228187902</v>
      </c>
      <c r="K177" s="14">
        <f t="shared" si="17"/>
        <v>0.14549161073825498</v>
      </c>
      <c r="L177" s="12" t="str">
        <f t="shared" si="18"/>
        <v/>
      </c>
      <c r="M177" s="12" t="str">
        <f t="shared" si="19"/>
        <v/>
      </c>
    </row>
    <row r="178" spans="1:13" ht="31.5">
      <c r="A178" s="3">
        <v>169</v>
      </c>
      <c r="B178" s="11" t="s">
        <v>71</v>
      </c>
      <c r="C178" s="3">
        <v>4</v>
      </c>
      <c r="D178" s="3">
        <v>7</v>
      </c>
      <c r="E178" s="11" t="s">
        <v>240</v>
      </c>
      <c r="F178" s="14">
        <v>1.1080000000000001</v>
      </c>
      <c r="G178" s="14">
        <f t="shared" si="20"/>
        <v>0.77300000000000013</v>
      </c>
      <c r="H178" s="14">
        <f t="shared" si="14"/>
        <v>0.32666164154103872</v>
      </c>
      <c r="I178" s="14">
        <f t="shared" si="15"/>
        <v>0.71360741478107859</v>
      </c>
      <c r="J178" s="14">
        <f t="shared" si="16"/>
        <v>0.47532109228187902</v>
      </c>
      <c r="K178" s="14">
        <f t="shared" si="17"/>
        <v>0.14549161073825498</v>
      </c>
      <c r="L178" s="12" t="str">
        <f t="shared" si="18"/>
        <v>OOC</v>
      </c>
      <c r="M178" s="12" t="str">
        <f t="shared" si="19"/>
        <v>OOS</v>
      </c>
    </row>
    <row r="179" spans="1:13" ht="31.5">
      <c r="A179" s="3">
        <v>170</v>
      </c>
      <c r="B179" s="11" t="s">
        <v>71</v>
      </c>
      <c r="C179" s="3">
        <v>4</v>
      </c>
      <c r="D179" s="3">
        <v>6</v>
      </c>
      <c r="E179" s="11" t="s">
        <v>241</v>
      </c>
      <c r="F179" s="14">
        <v>0.36099999999999999</v>
      </c>
      <c r="G179" s="14">
        <f t="shared" si="20"/>
        <v>0.74700000000000011</v>
      </c>
      <c r="H179" s="14">
        <f t="shared" si="14"/>
        <v>0.32666164154103872</v>
      </c>
      <c r="I179" s="14">
        <f t="shared" si="15"/>
        <v>0.71360741478107859</v>
      </c>
      <c r="J179" s="14">
        <f t="shared" si="16"/>
        <v>0.47532109228187902</v>
      </c>
      <c r="K179" s="14">
        <f t="shared" si="17"/>
        <v>0.14549161073825498</v>
      </c>
      <c r="L179" s="12" t="str">
        <f t="shared" si="18"/>
        <v/>
      </c>
      <c r="M179" s="12" t="str">
        <f t="shared" si="19"/>
        <v/>
      </c>
    </row>
    <row r="180" spans="1:13" ht="31.5">
      <c r="A180" s="3">
        <v>171</v>
      </c>
      <c r="B180" s="11" t="s">
        <v>71</v>
      </c>
      <c r="C180" s="3">
        <v>4</v>
      </c>
      <c r="D180" s="3">
        <v>5</v>
      </c>
      <c r="E180" s="11" t="s">
        <v>242</v>
      </c>
      <c r="F180" s="14">
        <v>0.13700000000000001</v>
      </c>
      <c r="G180" s="14">
        <f t="shared" si="20"/>
        <v>0.22399999999999998</v>
      </c>
      <c r="H180" s="14">
        <f t="shared" si="14"/>
        <v>0.32666164154103872</v>
      </c>
      <c r="I180" s="14">
        <f t="shared" si="15"/>
        <v>0.71360741478107859</v>
      </c>
      <c r="J180" s="14">
        <f t="shared" si="16"/>
        <v>0.47532109228187902</v>
      </c>
      <c r="K180" s="14">
        <f t="shared" si="17"/>
        <v>0.14549161073825498</v>
      </c>
      <c r="L180" s="12" t="str">
        <f t="shared" si="18"/>
        <v/>
      </c>
      <c r="M180" s="12" t="str">
        <f t="shared" si="19"/>
        <v/>
      </c>
    </row>
    <row r="181" spans="1:13" ht="31.5">
      <c r="A181" s="3">
        <v>172</v>
      </c>
      <c r="B181" s="11" t="s">
        <v>71</v>
      </c>
      <c r="C181" s="3">
        <v>4</v>
      </c>
      <c r="D181" s="3">
        <v>4</v>
      </c>
      <c r="E181" s="11" t="s">
        <v>243</v>
      </c>
      <c r="F181" s="14">
        <v>0.47499999999999998</v>
      </c>
      <c r="G181" s="14">
        <f t="shared" si="20"/>
        <v>0.33799999999999997</v>
      </c>
      <c r="H181" s="14">
        <f t="shared" si="14"/>
        <v>0.32666164154103872</v>
      </c>
      <c r="I181" s="14">
        <f t="shared" si="15"/>
        <v>0.71360741478107859</v>
      </c>
      <c r="J181" s="14">
        <f t="shared" si="16"/>
        <v>0.47532109228187902</v>
      </c>
      <c r="K181" s="14">
        <f t="shared" si="17"/>
        <v>0.14549161073825498</v>
      </c>
      <c r="L181" s="12" t="str">
        <f t="shared" si="18"/>
        <v/>
      </c>
      <c r="M181" s="12" t="str">
        <f t="shared" si="19"/>
        <v/>
      </c>
    </row>
    <row r="182" spans="1:13" ht="31.5">
      <c r="A182" s="3">
        <v>173</v>
      </c>
      <c r="B182" s="11" t="s">
        <v>71</v>
      </c>
      <c r="C182" s="3">
        <v>4</v>
      </c>
      <c r="D182" s="3">
        <v>3</v>
      </c>
      <c r="E182" s="11" t="s">
        <v>244</v>
      </c>
      <c r="F182" s="14">
        <v>0.41799999999999998</v>
      </c>
      <c r="G182" s="14">
        <f t="shared" si="20"/>
        <v>5.6999999999999995E-2</v>
      </c>
      <c r="H182" s="14">
        <f t="shared" si="14"/>
        <v>0.32666164154103872</v>
      </c>
      <c r="I182" s="14">
        <f t="shared" si="15"/>
        <v>0.71360741478107859</v>
      </c>
      <c r="J182" s="14">
        <f t="shared" si="16"/>
        <v>0.47532109228187902</v>
      </c>
      <c r="K182" s="14">
        <f t="shared" si="17"/>
        <v>0.14549161073825498</v>
      </c>
      <c r="L182" s="12" t="str">
        <f t="shared" si="18"/>
        <v/>
      </c>
      <c r="M182" s="12" t="str">
        <f t="shared" si="19"/>
        <v/>
      </c>
    </row>
    <row r="183" spans="1:13" ht="31.5">
      <c r="A183" s="3">
        <v>174</v>
      </c>
      <c r="B183" s="11" t="s">
        <v>71</v>
      </c>
      <c r="C183" s="3">
        <v>4</v>
      </c>
      <c r="D183" s="3">
        <v>2</v>
      </c>
      <c r="E183" s="11" t="s">
        <v>245</v>
      </c>
      <c r="F183" s="14">
        <v>0.114</v>
      </c>
      <c r="G183" s="14">
        <f t="shared" si="20"/>
        <v>0.30399999999999999</v>
      </c>
      <c r="H183" s="14">
        <f t="shared" si="14"/>
        <v>0.32666164154103872</v>
      </c>
      <c r="I183" s="14">
        <f t="shared" si="15"/>
        <v>0.71360741478107859</v>
      </c>
      <c r="J183" s="14">
        <f t="shared" si="16"/>
        <v>0.47532109228187902</v>
      </c>
      <c r="K183" s="14">
        <f t="shared" si="17"/>
        <v>0.14549161073825498</v>
      </c>
      <c r="L183" s="12" t="str">
        <f t="shared" si="18"/>
        <v/>
      </c>
      <c r="M183" s="12" t="str">
        <f t="shared" si="19"/>
        <v/>
      </c>
    </row>
    <row r="184" spans="1:13" ht="31.5">
      <c r="A184" s="3">
        <v>175</v>
      </c>
      <c r="B184" s="11" t="s">
        <v>71</v>
      </c>
      <c r="C184" s="3">
        <v>4</v>
      </c>
      <c r="D184" s="3">
        <v>1</v>
      </c>
      <c r="E184" s="11" t="s">
        <v>246</v>
      </c>
      <c r="F184" s="14">
        <v>0.23499999999999999</v>
      </c>
      <c r="G184" s="14">
        <f t="shared" si="20"/>
        <v>0.12099999999999998</v>
      </c>
      <c r="H184" s="14">
        <f t="shared" si="14"/>
        <v>0.32666164154103872</v>
      </c>
      <c r="I184" s="14">
        <f t="shared" si="15"/>
        <v>0.71360741478107859</v>
      </c>
      <c r="J184" s="14">
        <f t="shared" si="16"/>
        <v>0.47532109228187902</v>
      </c>
      <c r="K184" s="14">
        <f t="shared" si="17"/>
        <v>0.14549161073825498</v>
      </c>
      <c r="L184" s="12" t="str">
        <f t="shared" si="18"/>
        <v/>
      </c>
      <c r="M184" s="12" t="str">
        <f t="shared" si="19"/>
        <v/>
      </c>
    </row>
    <row r="185" spans="1:13" ht="31.5">
      <c r="A185" s="3">
        <v>176</v>
      </c>
      <c r="B185" s="11" t="s">
        <v>71</v>
      </c>
      <c r="C185" s="3">
        <v>4</v>
      </c>
      <c r="D185" s="3">
        <v>25</v>
      </c>
      <c r="E185" s="11" t="s">
        <v>247</v>
      </c>
      <c r="F185" s="14">
        <v>0.497</v>
      </c>
      <c r="G185" s="14">
        <f t="shared" si="20"/>
        <v>0.26200000000000001</v>
      </c>
      <c r="H185" s="14">
        <f t="shared" si="14"/>
        <v>0.32666164154103872</v>
      </c>
      <c r="I185" s="14">
        <f t="shared" si="15"/>
        <v>0.71360741478107859</v>
      </c>
      <c r="J185" s="14">
        <f t="shared" si="16"/>
        <v>0.47532109228187902</v>
      </c>
      <c r="K185" s="14">
        <f t="shared" si="17"/>
        <v>0.14549161073825498</v>
      </c>
      <c r="L185" s="12" t="str">
        <f t="shared" si="18"/>
        <v/>
      </c>
      <c r="M185" s="12" t="str">
        <f t="shared" si="19"/>
        <v/>
      </c>
    </row>
    <row r="186" spans="1:13" ht="31.5">
      <c r="A186" s="3">
        <v>177</v>
      </c>
      <c r="B186" s="11" t="s">
        <v>71</v>
      </c>
      <c r="C186" s="3">
        <v>4</v>
      </c>
      <c r="D186" s="3">
        <v>24</v>
      </c>
      <c r="E186" s="11" t="s">
        <v>248</v>
      </c>
      <c r="F186" s="14">
        <v>0.27200000000000002</v>
      </c>
      <c r="G186" s="14">
        <f t="shared" si="20"/>
        <v>0.22499999999999998</v>
      </c>
      <c r="H186" s="14">
        <f t="shared" si="14"/>
        <v>0.32666164154103872</v>
      </c>
      <c r="I186" s="14">
        <f t="shared" si="15"/>
        <v>0.71360741478107859</v>
      </c>
      <c r="J186" s="14">
        <f t="shared" si="16"/>
        <v>0.47532109228187902</v>
      </c>
      <c r="K186" s="14">
        <f t="shared" si="17"/>
        <v>0.14549161073825498</v>
      </c>
      <c r="L186" s="12" t="str">
        <f t="shared" si="18"/>
        <v/>
      </c>
      <c r="M186" s="12" t="str">
        <f t="shared" si="19"/>
        <v/>
      </c>
    </row>
    <row r="187" spans="1:13" ht="31.5">
      <c r="A187" s="3">
        <v>178</v>
      </c>
      <c r="B187" s="11" t="s">
        <v>71</v>
      </c>
      <c r="C187" s="3">
        <v>4</v>
      </c>
      <c r="D187" s="3">
        <v>23</v>
      </c>
      <c r="E187" s="11" t="s">
        <v>249</v>
      </c>
      <c r="F187" s="14">
        <v>0.19800000000000001</v>
      </c>
      <c r="G187" s="14">
        <f t="shared" si="20"/>
        <v>7.400000000000001E-2</v>
      </c>
      <c r="H187" s="14">
        <f t="shared" si="14"/>
        <v>0.32666164154103872</v>
      </c>
      <c r="I187" s="14">
        <f t="shared" si="15"/>
        <v>0.71360741478107859</v>
      </c>
      <c r="J187" s="14">
        <f t="shared" si="16"/>
        <v>0.47532109228187902</v>
      </c>
      <c r="K187" s="14">
        <f t="shared" si="17"/>
        <v>0.14549161073825498</v>
      </c>
      <c r="L187" s="12" t="str">
        <f t="shared" si="18"/>
        <v/>
      </c>
      <c r="M187" s="12" t="str">
        <f t="shared" si="19"/>
        <v/>
      </c>
    </row>
    <row r="188" spans="1:13" ht="31.5">
      <c r="A188" s="3">
        <v>179</v>
      </c>
      <c r="B188" s="11" t="s">
        <v>71</v>
      </c>
      <c r="C188" s="3">
        <v>4</v>
      </c>
      <c r="D188" s="3">
        <v>22</v>
      </c>
      <c r="E188" s="11" t="s">
        <v>250</v>
      </c>
      <c r="F188" s="14">
        <v>0.20899999999999999</v>
      </c>
      <c r="G188" s="14">
        <f t="shared" si="20"/>
        <v>1.0999999999999982E-2</v>
      </c>
      <c r="H188" s="14">
        <f t="shared" si="14"/>
        <v>0.32666164154103872</v>
      </c>
      <c r="I188" s="14">
        <f t="shared" si="15"/>
        <v>0.71360741478107859</v>
      </c>
      <c r="J188" s="14">
        <f t="shared" si="16"/>
        <v>0.47532109228187902</v>
      </c>
      <c r="K188" s="14">
        <f t="shared" si="17"/>
        <v>0.14549161073825498</v>
      </c>
      <c r="L188" s="12" t="str">
        <f t="shared" si="18"/>
        <v/>
      </c>
      <c r="M188" s="12" t="str">
        <f t="shared" si="19"/>
        <v/>
      </c>
    </row>
    <row r="189" spans="1:13" ht="31.5">
      <c r="A189" s="3">
        <v>180</v>
      </c>
      <c r="B189" s="11" t="s">
        <v>71</v>
      </c>
      <c r="C189" s="3">
        <v>4</v>
      </c>
      <c r="D189" s="3">
        <v>21</v>
      </c>
      <c r="E189" s="11" t="s">
        <v>251</v>
      </c>
      <c r="F189" s="14">
        <v>0.44</v>
      </c>
      <c r="G189" s="14">
        <f t="shared" si="20"/>
        <v>0.23100000000000001</v>
      </c>
      <c r="H189" s="14">
        <f t="shared" si="14"/>
        <v>0.32666164154103872</v>
      </c>
      <c r="I189" s="14">
        <f t="shared" si="15"/>
        <v>0.71360741478107859</v>
      </c>
      <c r="J189" s="14">
        <f t="shared" si="16"/>
        <v>0.47532109228187902</v>
      </c>
      <c r="K189" s="14">
        <f t="shared" si="17"/>
        <v>0.14549161073825498</v>
      </c>
      <c r="L189" s="12" t="str">
        <f t="shared" si="18"/>
        <v/>
      </c>
      <c r="M189" s="12" t="str">
        <f t="shared" si="19"/>
        <v/>
      </c>
    </row>
    <row r="190" spans="1:13" ht="31.5">
      <c r="A190" s="3">
        <v>181</v>
      </c>
      <c r="B190" s="11" t="s">
        <v>71</v>
      </c>
      <c r="C190" s="3">
        <v>4</v>
      </c>
      <c r="D190" s="3">
        <v>20</v>
      </c>
      <c r="E190" s="11" t="s">
        <v>252</v>
      </c>
      <c r="F190" s="14">
        <v>0.35199999999999998</v>
      </c>
      <c r="G190" s="14">
        <f t="shared" si="20"/>
        <v>8.8000000000000023E-2</v>
      </c>
      <c r="H190" s="14">
        <f t="shared" si="14"/>
        <v>0.32666164154103872</v>
      </c>
      <c r="I190" s="14">
        <f t="shared" si="15"/>
        <v>0.71360741478107859</v>
      </c>
      <c r="J190" s="14">
        <f t="shared" si="16"/>
        <v>0.47532109228187902</v>
      </c>
      <c r="K190" s="14">
        <f t="shared" si="17"/>
        <v>0.14549161073825498</v>
      </c>
      <c r="L190" s="12" t="str">
        <f t="shared" si="18"/>
        <v/>
      </c>
      <c r="M190" s="12" t="str">
        <f t="shared" si="19"/>
        <v/>
      </c>
    </row>
    <row r="191" spans="1:13" ht="31.5">
      <c r="A191" s="3">
        <v>182</v>
      </c>
      <c r="B191" s="11" t="s">
        <v>71</v>
      </c>
      <c r="C191" s="3">
        <v>4</v>
      </c>
      <c r="D191" s="3">
        <v>19</v>
      </c>
      <c r="E191" s="11" t="s">
        <v>253</v>
      </c>
      <c r="F191" s="14">
        <v>0.35099999999999998</v>
      </c>
      <c r="G191" s="14">
        <f t="shared" si="20"/>
        <v>1.0000000000000009E-3</v>
      </c>
      <c r="H191" s="14">
        <f t="shared" si="14"/>
        <v>0.32666164154103872</v>
      </c>
      <c r="I191" s="14">
        <f t="shared" si="15"/>
        <v>0.71360741478107859</v>
      </c>
      <c r="J191" s="14">
        <f t="shared" si="16"/>
        <v>0.47532109228187902</v>
      </c>
      <c r="K191" s="14">
        <f t="shared" si="17"/>
        <v>0.14549161073825498</v>
      </c>
      <c r="L191" s="12" t="str">
        <f t="shared" si="18"/>
        <v/>
      </c>
      <c r="M191" s="12" t="str">
        <f t="shared" si="19"/>
        <v/>
      </c>
    </row>
    <row r="192" spans="1:13" ht="31.5">
      <c r="A192" s="3">
        <v>183</v>
      </c>
      <c r="B192" s="11" t="s">
        <v>71</v>
      </c>
      <c r="C192" s="3">
        <v>4</v>
      </c>
      <c r="D192" s="3">
        <v>18</v>
      </c>
      <c r="E192" s="11" t="s">
        <v>254</v>
      </c>
      <c r="F192" s="14">
        <v>0.50600000000000001</v>
      </c>
      <c r="G192" s="14">
        <f t="shared" si="20"/>
        <v>0.15500000000000003</v>
      </c>
      <c r="H192" s="14">
        <f t="shared" si="14"/>
        <v>0.32666164154103872</v>
      </c>
      <c r="I192" s="14">
        <f t="shared" si="15"/>
        <v>0.71360741478107859</v>
      </c>
      <c r="J192" s="14">
        <f t="shared" si="16"/>
        <v>0.47532109228187902</v>
      </c>
      <c r="K192" s="14">
        <f t="shared" si="17"/>
        <v>0.14549161073825498</v>
      </c>
      <c r="L192" s="12" t="str">
        <f t="shared" si="18"/>
        <v/>
      </c>
      <c r="M192" s="12" t="str">
        <f t="shared" si="19"/>
        <v/>
      </c>
    </row>
    <row r="193" spans="1:13" ht="31.5">
      <c r="A193" s="3">
        <v>184</v>
      </c>
      <c r="B193" s="11" t="s">
        <v>71</v>
      </c>
      <c r="C193" s="3">
        <v>4</v>
      </c>
      <c r="D193" s="3">
        <v>17</v>
      </c>
      <c r="E193" s="11" t="s">
        <v>255</v>
      </c>
      <c r="F193" s="14">
        <v>0.27600000000000002</v>
      </c>
      <c r="G193" s="14">
        <f t="shared" si="20"/>
        <v>0.22999999999999998</v>
      </c>
      <c r="H193" s="14">
        <f t="shared" si="14"/>
        <v>0.32666164154103872</v>
      </c>
      <c r="I193" s="14">
        <f t="shared" si="15"/>
        <v>0.71360741478107859</v>
      </c>
      <c r="J193" s="14">
        <f t="shared" si="16"/>
        <v>0.47532109228187902</v>
      </c>
      <c r="K193" s="14">
        <f t="shared" si="17"/>
        <v>0.14549161073825498</v>
      </c>
      <c r="L193" s="12" t="str">
        <f t="shared" si="18"/>
        <v/>
      </c>
      <c r="M193" s="12" t="str">
        <f t="shared" si="19"/>
        <v/>
      </c>
    </row>
    <row r="194" spans="1:13" ht="31.5">
      <c r="A194" s="3">
        <v>185</v>
      </c>
      <c r="B194" s="11" t="s">
        <v>71</v>
      </c>
      <c r="C194" s="3">
        <v>4</v>
      </c>
      <c r="D194" s="3">
        <v>16</v>
      </c>
      <c r="E194" s="11" t="s">
        <v>256</v>
      </c>
      <c r="F194" s="14">
        <v>0.26500000000000001</v>
      </c>
      <c r="G194" s="14">
        <f t="shared" si="20"/>
        <v>1.100000000000001E-2</v>
      </c>
      <c r="H194" s="14">
        <f t="shared" si="14"/>
        <v>0.32666164154103872</v>
      </c>
      <c r="I194" s="14">
        <f t="shared" si="15"/>
        <v>0.71360741478107859</v>
      </c>
      <c r="J194" s="14">
        <f t="shared" si="16"/>
        <v>0.47532109228187902</v>
      </c>
      <c r="K194" s="14">
        <f t="shared" si="17"/>
        <v>0.14549161073825498</v>
      </c>
      <c r="L194" s="12" t="str">
        <f t="shared" si="18"/>
        <v/>
      </c>
      <c r="M194" s="12" t="str">
        <f t="shared" si="19"/>
        <v/>
      </c>
    </row>
    <row r="195" spans="1:13" ht="31.5">
      <c r="A195" s="3">
        <v>186</v>
      </c>
      <c r="B195" s="11" t="s">
        <v>71</v>
      </c>
      <c r="C195" s="3">
        <v>4</v>
      </c>
      <c r="D195" s="3">
        <v>15</v>
      </c>
      <c r="E195" s="11" t="s">
        <v>257</v>
      </c>
      <c r="F195" s="14">
        <v>8.8999999999999996E-2</v>
      </c>
      <c r="G195" s="14">
        <f t="shared" si="20"/>
        <v>0.17600000000000002</v>
      </c>
      <c r="H195" s="14">
        <f t="shared" si="14"/>
        <v>0.32666164154103872</v>
      </c>
      <c r="I195" s="14">
        <f t="shared" si="15"/>
        <v>0.71360741478107859</v>
      </c>
      <c r="J195" s="14">
        <f t="shared" si="16"/>
        <v>0.47532109228187902</v>
      </c>
      <c r="K195" s="14">
        <f t="shared" si="17"/>
        <v>0.14549161073825498</v>
      </c>
      <c r="L195" s="12" t="str">
        <f t="shared" si="18"/>
        <v/>
      </c>
      <c r="M195" s="12" t="str">
        <f t="shared" si="19"/>
        <v/>
      </c>
    </row>
    <row r="196" spans="1:13" ht="31.5">
      <c r="A196" s="3">
        <v>187</v>
      </c>
      <c r="B196" s="11" t="s">
        <v>71</v>
      </c>
      <c r="C196" s="3">
        <v>4</v>
      </c>
      <c r="D196" s="3">
        <v>14</v>
      </c>
      <c r="E196" s="11" t="s">
        <v>258</v>
      </c>
      <c r="F196" s="14">
        <v>0.307</v>
      </c>
      <c r="G196" s="14">
        <f t="shared" si="20"/>
        <v>0.218</v>
      </c>
      <c r="H196" s="14">
        <f t="shared" si="14"/>
        <v>0.32666164154103872</v>
      </c>
      <c r="I196" s="14">
        <f t="shared" si="15"/>
        <v>0.71360741478107859</v>
      </c>
      <c r="J196" s="14">
        <f t="shared" si="16"/>
        <v>0.47532109228187902</v>
      </c>
      <c r="K196" s="14">
        <f t="shared" si="17"/>
        <v>0.14549161073825498</v>
      </c>
      <c r="L196" s="12" t="str">
        <f t="shared" si="18"/>
        <v/>
      </c>
      <c r="M196" s="12" t="str">
        <f t="shared" si="19"/>
        <v/>
      </c>
    </row>
    <row r="197" spans="1:13" ht="31.5">
      <c r="A197" s="3">
        <v>188</v>
      </c>
      <c r="B197" s="11" t="s">
        <v>71</v>
      </c>
      <c r="C197" s="3">
        <v>4</v>
      </c>
      <c r="D197" s="3">
        <v>13</v>
      </c>
      <c r="E197" s="11" t="s">
        <v>259</v>
      </c>
      <c r="F197" s="14">
        <v>0.34300000000000003</v>
      </c>
      <c r="G197" s="14">
        <f t="shared" si="20"/>
        <v>3.6000000000000032E-2</v>
      </c>
      <c r="H197" s="14">
        <f t="shared" si="14"/>
        <v>0.32666164154103872</v>
      </c>
      <c r="I197" s="14">
        <f t="shared" si="15"/>
        <v>0.71360741478107859</v>
      </c>
      <c r="J197" s="14">
        <f t="shared" si="16"/>
        <v>0.47532109228187902</v>
      </c>
      <c r="K197" s="14">
        <f t="shared" si="17"/>
        <v>0.14549161073825498</v>
      </c>
      <c r="L197" s="12" t="str">
        <f t="shared" si="18"/>
        <v/>
      </c>
      <c r="M197" s="12" t="str">
        <f t="shared" si="19"/>
        <v/>
      </c>
    </row>
    <row r="198" spans="1:13" ht="31.5">
      <c r="A198" s="3">
        <v>189</v>
      </c>
      <c r="B198" s="11" t="s">
        <v>71</v>
      </c>
      <c r="C198" s="3">
        <v>4</v>
      </c>
      <c r="D198" s="3">
        <v>12</v>
      </c>
      <c r="E198" s="11" t="s">
        <v>260</v>
      </c>
      <c r="F198" s="14">
        <v>0.184</v>
      </c>
      <c r="G198" s="14">
        <f t="shared" si="20"/>
        <v>0.15900000000000003</v>
      </c>
      <c r="H198" s="14">
        <f t="shared" si="14"/>
        <v>0.32666164154103872</v>
      </c>
      <c r="I198" s="14">
        <f t="shared" si="15"/>
        <v>0.71360741478107859</v>
      </c>
      <c r="J198" s="14">
        <f t="shared" si="16"/>
        <v>0.47532109228187902</v>
      </c>
      <c r="K198" s="14">
        <f t="shared" si="17"/>
        <v>0.14549161073825498</v>
      </c>
      <c r="L198" s="12" t="str">
        <f t="shared" si="18"/>
        <v/>
      </c>
      <c r="M198" s="12" t="str">
        <f t="shared" si="19"/>
        <v/>
      </c>
    </row>
    <row r="199" spans="1:13" ht="31.5">
      <c r="A199" s="3">
        <v>190</v>
      </c>
      <c r="B199" s="11" t="s">
        <v>71</v>
      </c>
      <c r="C199" s="3">
        <v>4</v>
      </c>
      <c r="D199" s="3">
        <v>11</v>
      </c>
      <c r="E199" s="11" t="s">
        <v>261</v>
      </c>
      <c r="F199" s="14">
        <v>0.36699999999999999</v>
      </c>
      <c r="G199" s="14">
        <f t="shared" si="20"/>
        <v>0.183</v>
      </c>
      <c r="H199" s="14">
        <f t="shared" si="14"/>
        <v>0.32666164154103872</v>
      </c>
      <c r="I199" s="14">
        <f t="shared" si="15"/>
        <v>0.71360741478107859</v>
      </c>
      <c r="J199" s="14">
        <f t="shared" si="16"/>
        <v>0.47532109228187902</v>
      </c>
      <c r="K199" s="14">
        <f t="shared" si="17"/>
        <v>0.14549161073825498</v>
      </c>
      <c r="L199" s="12" t="str">
        <f t="shared" si="18"/>
        <v/>
      </c>
      <c r="M199" s="12" t="str">
        <f t="shared" si="19"/>
        <v/>
      </c>
    </row>
    <row r="200" spans="1:13" ht="31.5">
      <c r="A200" s="3">
        <v>191</v>
      </c>
      <c r="B200" s="11" t="s">
        <v>71</v>
      </c>
      <c r="C200" s="3">
        <v>4</v>
      </c>
      <c r="D200" s="3">
        <v>10</v>
      </c>
      <c r="E200" s="11" t="s">
        <v>262</v>
      </c>
      <c r="F200" s="14">
        <v>0.35099999999999998</v>
      </c>
      <c r="G200" s="14">
        <f t="shared" si="20"/>
        <v>1.6000000000000014E-2</v>
      </c>
      <c r="H200" s="14">
        <f t="shared" si="14"/>
        <v>0.32666164154103872</v>
      </c>
      <c r="I200" s="14">
        <f t="shared" si="15"/>
        <v>0.71360741478107859</v>
      </c>
      <c r="J200" s="14">
        <f t="shared" si="16"/>
        <v>0.47532109228187902</v>
      </c>
      <c r="K200" s="14">
        <f t="shared" si="17"/>
        <v>0.14549161073825498</v>
      </c>
      <c r="L200" s="12" t="str">
        <f t="shared" si="18"/>
        <v/>
      </c>
      <c r="M200" s="12" t="str">
        <f t="shared" si="19"/>
        <v/>
      </c>
    </row>
    <row r="201" spans="1:13" ht="31.5">
      <c r="A201" s="3">
        <v>192</v>
      </c>
      <c r="B201" s="11" t="s">
        <v>71</v>
      </c>
      <c r="C201" s="3">
        <v>4</v>
      </c>
      <c r="D201" s="3">
        <v>9</v>
      </c>
      <c r="E201" s="11" t="s">
        <v>263</v>
      </c>
      <c r="F201" s="14">
        <v>0.34699999999999998</v>
      </c>
      <c r="G201" s="14">
        <f t="shared" si="20"/>
        <v>4.0000000000000036E-3</v>
      </c>
      <c r="H201" s="14">
        <f t="shared" si="14"/>
        <v>0.32666164154103872</v>
      </c>
      <c r="I201" s="14">
        <f t="shared" si="15"/>
        <v>0.71360741478107859</v>
      </c>
      <c r="J201" s="14">
        <f t="shared" si="16"/>
        <v>0.47532109228187902</v>
      </c>
      <c r="K201" s="14">
        <f t="shared" si="17"/>
        <v>0.14549161073825498</v>
      </c>
      <c r="L201" s="12" t="str">
        <f t="shared" si="18"/>
        <v/>
      </c>
      <c r="M201" s="12" t="str">
        <f t="shared" si="19"/>
        <v/>
      </c>
    </row>
    <row r="202" spans="1:13" ht="31.5">
      <c r="A202" s="3">
        <v>193</v>
      </c>
      <c r="B202" s="11" t="s">
        <v>71</v>
      </c>
      <c r="C202" s="3">
        <v>4</v>
      </c>
      <c r="D202" s="3">
        <v>8</v>
      </c>
      <c r="E202" s="11" t="s">
        <v>264</v>
      </c>
      <c r="F202" s="14">
        <v>0.28799999999999998</v>
      </c>
      <c r="G202" s="14">
        <f t="shared" si="20"/>
        <v>5.8999999999999997E-2</v>
      </c>
      <c r="H202" s="14">
        <f t="shared" si="14"/>
        <v>0.32666164154103872</v>
      </c>
      <c r="I202" s="14">
        <f t="shared" si="15"/>
        <v>0.71360741478107859</v>
      </c>
      <c r="J202" s="14">
        <f t="shared" si="16"/>
        <v>0.47532109228187902</v>
      </c>
      <c r="K202" s="14">
        <f t="shared" si="17"/>
        <v>0.14549161073825498</v>
      </c>
      <c r="L202" s="12" t="str">
        <f t="shared" si="18"/>
        <v/>
      </c>
      <c r="M202" s="12" t="str">
        <f t="shared" si="19"/>
        <v/>
      </c>
    </row>
    <row r="203" spans="1:13" ht="31.5">
      <c r="A203" s="3">
        <v>194</v>
      </c>
      <c r="B203" s="11" t="s">
        <v>71</v>
      </c>
      <c r="C203" s="3">
        <v>4</v>
      </c>
      <c r="D203" s="3">
        <v>7</v>
      </c>
      <c r="E203" s="11" t="s">
        <v>265</v>
      </c>
      <c r="F203" s="14">
        <v>0.502</v>
      </c>
      <c r="G203" s="14">
        <f t="shared" si="20"/>
        <v>0.21400000000000002</v>
      </c>
      <c r="H203" s="14">
        <f t="shared" ref="H203:H266" si="21">$F$4</f>
        <v>0.32666164154103872</v>
      </c>
      <c r="I203" s="14">
        <f t="shared" ref="I203:I266" si="22">$F$7</f>
        <v>0.71360741478107859</v>
      </c>
      <c r="J203" s="14">
        <f t="shared" ref="J203:J266" si="23">$F$8</f>
        <v>0.47532109228187902</v>
      </c>
      <c r="K203" s="14">
        <f t="shared" ref="K203:K266" si="24">$F$5</f>
        <v>0.14549161073825498</v>
      </c>
      <c r="L203" s="12" t="str">
        <f t="shared" ref="L203:L266" si="25">IF(F203&gt;$F$7,"OOC","" )</f>
        <v/>
      </c>
      <c r="M203" s="12" t="str">
        <f t="shared" ref="M203:M266" si="26">IF(F203&gt;$B$4,"OOS","" )</f>
        <v/>
      </c>
    </row>
    <row r="204" spans="1:13" ht="31.5">
      <c r="A204" s="3">
        <v>195</v>
      </c>
      <c r="B204" s="11" t="s">
        <v>71</v>
      </c>
      <c r="C204" s="3">
        <v>4</v>
      </c>
      <c r="D204" s="3">
        <v>6</v>
      </c>
      <c r="E204" s="11" t="s">
        <v>266</v>
      </c>
      <c r="F204" s="14">
        <v>0.219</v>
      </c>
      <c r="G204" s="14">
        <f t="shared" ref="G204:G267" si="27">ABS(F204-F203)</f>
        <v>0.28300000000000003</v>
      </c>
      <c r="H204" s="14">
        <f t="shared" si="21"/>
        <v>0.32666164154103872</v>
      </c>
      <c r="I204" s="14">
        <f t="shared" si="22"/>
        <v>0.71360741478107859</v>
      </c>
      <c r="J204" s="14">
        <f t="shared" si="23"/>
        <v>0.47532109228187902</v>
      </c>
      <c r="K204" s="14">
        <f t="shared" si="24"/>
        <v>0.14549161073825498</v>
      </c>
      <c r="L204" s="12" t="str">
        <f t="shared" si="25"/>
        <v/>
      </c>
      <c r="M204" s="12" t="str">
        <f t="shared" si="26"/>
        <v/>
      </c>
    </row>
    <row r="205" spans="1:13" ht="31.5">
      <c r="A205" s="3">
        <v>196</v>
      </c>
      <c r="B205" s="11" t="s">
        <v>71</v>
      </c>
      <c r="C205" s="3">
        <v>4</v>
      </c>
      <c r="D205" s="3">
        <v>5</v>
      </c>
      <c r="E205" s="11" t="s">
        <v>267</v>
      </c>
      <c r="F205" s="14">
        <v>0.35599999999999998</v>
      </c>
      <c r="G205" s="14">
        <f t="shared" si="27"/>
        <v>0.13699999999999998</v>
      </c>
      <c r="H205" s="14">
        <f t="shared" si="21"/>
        <v>0.32666164154103872</v>
      </c>
      <c r="I205" s="14">
        <f t="shared" si="22"/>
        <v>0.71360741478107859</v>
      </c>
      <c r="J205" s="14">
        <f t="shared" si="23"/>
        <v>0.47532109228187902</v>
      </c>
      <c r="K205" s="14">
        <f t="shared" si="24"/>
        <v>0.14549161073825498</v>
      </c>
      <c r="L205" s="12" t="str">
        <f t="shared" si="25"/>
        <v/>
      </c>
      <c r="M205" s="12" t="str">
        <f t="shared" si="26"/>
        <v/>
      </c>
    </row>
    <row r="206" spans="1:13" ht="31.5">
      <c r="A206" s="3">
        <v>197</v>
      </c>
      <c r="B206" s="11" t="s">
        <v>71</v>
      </c>
      <c r="C206" s="3">
        <v>4</v>
      </c>
      <c r="D206" s="3">
        <v>4</v>
      </c>
      <c r="E206" s="11" t="s">
        <v>268</v>
      </c>
      <c r="F206" s="14">
        <v>0.16800000000000001</v>
      </c>
      <c r="G206" s="14">
        <f t="shared" si="27"/>
        <v>0.18799999999999997</v>
      </c>
      <c r="H206" s="14">
        <f t="shared" si="21"/>
        <v>0.32666164154103872</v>
      </c>
      <c r="I206" s="14">
        <f t="shared" si="22"/>
        <v>0.71360741478107859</v>
      </c>
      <c r="J206" s="14">
        <f t="shared" si="23"/>
        <v>0.47532109228187902</v>
      </c>
      <c r="K206" s="14">
        <f t="shared" si="24"/>
        <v>0.14549161073825498</v>
      </c>
      <c r="L206" s="12" t="str">
        <f t="shared" si="25"/>
        <v/>
      </c>
      <c r="M206" s="12" t="str">
        <f t="shared" si="26"/>
        <v/>
      </c>
    </row>
    <row r="207" spans="1:13" ht="31.5">
      <c r="A207" s="3">
        <v>198</v>
      </c>
      <c r="B207" s="11" t="s">
        <v>71</v>
      </c>
      <c r="C207" s="3">
        <v>4</v>
      </c>
      <c r="D207" s="3">
        <v>3</v>
      </c>
      <c r="E207" s="11" t="s">
        <v>269</v>
      </c>
      <c r="F207" s="14">
        <v>0.61699999999999999</v>
      </c>
      <c r="G207" s="14">
        <f t="shared" si="27"/>
        <v>0.44899999999999995</v>
      </c>
      <c r="H207" s="14">
        <f t="shared" si="21"/>
        <v>0.32666164154103872</v>
      </c>
      <c r="I207" s="14">
        <f t="shared" si="22"/>
        <v>0.71360741478107859</v>
      </c>
      <c r="J207" s="14">
        <f t="shared" si="23"/>
        <v>0.47532109228187902</v>
      </c>
      <c r="K207" s="14">
        <f t="shared" si="24"/>
        <v>0.14549161073825498</v>
      </c>
      <c r="L207" s="12" t="str">
        <f t="shared" si="25"/>
        <v/>
      </c>
      <c r="M207" s="12" t="str">
        <f t="shared" si="26"/>
        <v/>
      </c>
    </row>
    <row r="208" spans="1:13" ht="31.5">
      <c r="A208" s="3">
        <v>199</v>
      </c>
      <c r="B208" s="11" t="s">
        <v>71</v>
      </c>
      <c r="C208" s="3">
        <v>4</v>
      </c>
      <c r="D208" s="3">
        <v>2</v>
      </c>
      <c r="E208" s="11" t="s">
        <v>270</v>
      </c>
      <c r="F208" s="14">
        <v>0.65200000000000002</v>
      </c>
      <c r="G208" s="14">
        <f t="shared" si="27"/>
        <v>3.5000000000000031E-2</v>
      </c>
      <c r="H208" s="14">
        <f t="shared" si="21"/>
        <v>0.32666164154103872</v>
      </c>
      <c r="I208" s="14">
        <f t="shared" si="22"/>
        <v>0.71360741478107859</v>
      </c>
      <c r="J208" s="14">
        <f t="shared" si="23"/>
        <v>0.47532109228187902</v>
      </c>
      <c r="K208" s="14">
        <f t="shared" si="24"/>
        <v>0.14549161073825498</v>
      </c>
      <c r="L208" s="12" t="str">
        <f t="shared" si="25"/>
        <v/>
      </c>
      <c r="M208" s="12" t="str">
        <f t="shared" si="26"/>
        <v/>
      </c>
    </row>
    <row r="209" spans="1:13" ht="31.5">
      <c r="A209" s="3">
        <v>200</v>
      </c>
      <c r="B209" s="11" t="s">
        <v>71</v>
      </c>
      <c r="C209" s="3">
        <v>4</v>
      </c>
      <c r="D209" s="3">
        <v>1</v>
      </c>
      <c r="E209" s="11" t="s">
        <v>271</v>
      </c>
      <c r="F209" s="14">
        <v>0.60499999999999998</v>
      </c>
      <c r="G209" s="14">
        <f t="shared" si="27"/>
        <v>4.7000000000000042E-2</v>
      </c>
      <c r="H209" s="14">
        <f t="shared" si="21"/>
        <v>0.32666164154103872</v>
      </c>
      <c r="I209" s="14">
        <f t="shared" si="22"/>
        <v>0.71360741478107859</v>
      </c>
      <c r="J209" s="14">
        <f t="shared" si="23"/>
        <v>0.47532109228187902</v>
      </c>
      <c r="K209" s="14">
        <f t="shared" si="24"/>
        <v>0.14549161073825498</v>
      </c>
      <c r="L209" s="12" t="str">
        <f t="shared" si="25"/>
        <v/>
      </c>
      <c r="M209" s="12" t="str">
        <f t="shared" si="26"/>
        <v/>
      </c>
    </row>
    <row r="210" spans="1:13" ht="31.5">
      <c r="A210" s="3">
        <v>201</v>
      </c>
      <c r="B210" s="11" t="s">
        <v>71</v>
      </c>
      <c r="C210" s="3">
        <v>5</v>
      </c>
      <c r="D210" s="3">
        <v>25</v>
      </c>
      <c r="E210" s="11" t="s">
        <v>272</v>
      </c>
      <c r="F210" s="14">
        <v>0.16700000000000001</v>
      </c>
      <c r="G210" s="14">
        <f t="shared" si="27"/>
        <v>0.43799999999999994</v>
      </c>
      <c r="H210" s="14">
        <f t="shared" si="21"/>
        <v>0.32666164154103872</v>
      </c>
      <c r="I210" s="14">
        <f t="shared" si="22"/>
        <v>0.71360741478107859</v>
      </c>
      <c r="J210" s="14">
        <f t="shared" si="23"/>
        <v>0.47532109228187902</v>
      </c>
      <c r="K210" s="14">
        <f t="shared" si="24"/>
        <v>0.14549161073825498</v>
      </c>
      <c r="L210" s="12" t="str">
        <f t="shared" si="25"/>
        <v/>
      </c>
      <c r="M210" s="12" t="str">
        <f t="shared" si="26"/>
        <v/>
      </c>
    </row>
    <row r="211" spans="1:13" ht="31.5">
      <c r="A211" s="3">
        <v>202</v>
      </c>
      <c r="B211" s="11" t="s">
        <v>71</v>
      </c>
      <c r="C211" s="3">
        <v>5</v>
      </c>
      <c r="D211" s="3">
        <v>24</v>
      </c>
      <c r="E211" s="11" t="s">
        <v>273</v>
      </c>
      <c r="F211" s="14">
        <v>0.317</v>
      </c>
      <c r="G211" s="14">
        <f t="shared" si="27"/>
        <v>0.15</v>
      </c>
      <c r="H211" s="14">
        <f t="shared" si="21"/>
        <v>0.32666164154103872</v>
      </c>
      <c r="I211" s="14">
        <f t="shared" si="22"/>
        <v>0.71360741478107859</v>
      </c>
      <c r="J211" s="14">
        <f t="shared" si="23"/>
        <v>0.47532109228187902</v>
      </c>
      <c r="K211" s="14">
        <f t="shared" si="24"/>
        <v>0.14549161073825498</v>
      </c>
      <c r="L211" s="12" t="str">
        <f t="shared" si="25"/>
        <v/>
      </c>
      <c r="M211" s="12" t="str">
        <f t="shared" si="26"/>
        <v/>
      </c>
    </row>
    <row r="212" spans="1:13" ht="31.5">
      <c r="A212" s="3">
        <v>203</v>
      </c>
      <c r="B212" s="11" t="s">
        <v>71</v>
      </c>
      <c r="C212" s="3">
        <v>5</v>
      </c>
      <c r="D212" s="3">
        <v>23</v>
      </c>
      <c r="E212" s="11" t="s">
        <v>274</v>
      </c>
      <c r="F212" s="14">
        <v>0.27400000000000002</v>
      </c>
      <c r="G212" s="14">
        <f t="shared" si="27"/>
        <v>4.2999999999999983E-2</v>
      </c>
      <c r="H212" s="14">
        <f t="shared" si="21"/>
        <v>0.32666164154103872</v>
      </c>
      <c r="I212" s="14">
        <f t="shared" si="22"/>
        <v>0.71360741478107859</v>
      </c>
      <c r="J212" s="14">
        <f t="shared" si="23"/>
        <v>0.47532109228187902</v>
      </c>
      <c r="K212" s="14">
        <f t="shared" si="24"/>
        <v>0.14549161073825498</v>
      </c>
      <c r="L212" s="12" t="str">
        <f t="shared" si="25"/>
        <v/>
      </c>
      <c r="M212" s="12" t="str">
        <f t="shared" si="26"/>
        <v/>
      </c>
    </row>
    <row r="213" spans="1:13" ht="31.5">
      <c r="A213" s="3">
        <v>204</v>
      </c>
      <c r="B213" s="11" t="s">
        <v>71</v>
      </c>
      <c r="C213" s="3">
        <v>5</v>
      </c>
      <c r="D213" s="3">
        <v>22</v>
      </c>
      <c r="E213" s="11" t="s">
        <v>275</v>
      </c>
      <c r="F213" s="14">
        <v>0.442</v>
      </c>
      <c r="G213" s="14">
        <f t="shared" si="27"/>
        <v>0.16799999999999998</v>
      </c>
      <c r="H213" s="14">
        <f t="shared" si="21"/>
        <v>0.32666164154103872</v>
      </c>
      <c r="I213" s="14">
        <f t="shared" si="22"/>
        <v>0.71360741478107859</v>
      </c>
      <c r="J213" s="14">
        <f t="shared" si="23"/>
        <v>0.47532109228187902</v>
      </c>
      <c r="K213" s="14">
        <f t="shared" si="24"/>
        <v>0.14549161073825498</v>
      </c>
      <c r="L213" s="12" t="str">
        <f t="shared" si="25"/>
        <v/>
      </c>
      <c r="M213" s="12" t="str">
        <f t="shared" si="26"/>
        <v/>
      </c>
    </row>
    <row r="214" spans="1:13" ht="31.5">
      <c r="A214" s="3">
        <v>205</v>
      </c>
      <c r="B214" s="11" t="s">
        <v>71</v>
      </c>
      <c r="C214" s="3">
        <v>5</v>
      </c>
      <c r="D214" s="3">
        <v>21</v>
      </c>
      <c r="E214" s="11" t="s">
        <v>276</v>
      </c>
      <c r="F214" s="14">
        <v>0.34300000000000003</v>
      </c>
      <c r="G214" s="14">
        <f t="shared" si="27"/>
        <v>9.8999999999999977E-2</v>
      </c>
      <c r="H214" s="14">
        <f t="shared" si="21"/>
        <v>0.32666164154103872</v>
      </c>
      <c r="I214" s="14">
        <f t="shared" si="22"/>
        <v>0.71360741478107859</v>
      </c>
      <c r="J214" s="14">
        <f t="shared" si="23"/>
        <v>0.47532109228187902</v>
      </c>
      <c r="K214" s="14">
        <f t="shared" si="24"/>
        <v>0.14549161073825498</v>
      </c>
      <c r="L214" s="12" t="str">
        <f t="shared" si="25"/>
        <v/>
      </c>
      <c r="M214" s="12" t="str">
        <f t="shared" si="26"/>
        <v/>
      </c>
    </row>
    <row r="215" spans="1:13" ht="31.5">
      <c r="A215" s="3">
        <v>206</v>
      </c>
      <c r="B215" s="11" t="s">
        <v>71</v>
      </c>
      <c r="C215" s="3">
        <v>5</v>
      </c>
      <c r="D215" s="3">
        <v>20</v>
      </c>
      <c r="E215" s="11" t="s">
        <v>277</v>
      </c>
      <c r="F215" s="14">
        <v>0.33400000000000002</v>
      </c>
      <c r="G215" s="14">
        <f t="shared" si="27"/>
        <v>9.000000000000008E-3</v>
      </c>
      <c r="H215" s="14">
        <f t="shared" si="21"/>
        <v>0.32666164154103872</v>
      </c>
      <c r="I215" s="14">
        <f t="shared" si="22"/>
        <v>0.71360741478107859</v>
      </c>
      <c r="J215" s="14">
        <f t="shared" si="23"/>
        <v>0.47532109228187902</v>
      </c>
      <c r="K215" s="14">
        <f t="shared" si="24"/>
        <v>0.14549161073825498</v>
      </c>
      <c r="L215" s="12" t="str">
        <f t="shared" si="25"/>
        <v/>
      </c>
      <c r="M215" s="12" t="str">
        <f t="shared" si="26"/>
        <v/>
      </c>
    </row>
    <row r="216" spans="1:13" ht="31.5">
      <c r="A216" s="3">
        <v>207</v>
      </c>
      <c r="B216" s="11" t="s">
        <v>71</v>
      </c>
      <c r="C216" s="3">
        <v>5</v>
      </c>
      <c r="D216" s="3">
        <v>19</v>
      </c>
      <c r="E216" s="11" t="s">
        <v>278</v>
      </c>
      <c r="F216" s="14">
        <v>0.44400000000000001</v>
      </c>
      <c r="G216" s="14">
        <f t="shared" si="27"/>
        <v>0.10999999999999999</v>
      </c>
      <c r="H216" s="14">
        <f t="shared" si="21"/>
        <v>0.32666164154103872</v>
      </c>
      <c r="I216" s="14">
        <f t="shared" si="22"/>
        <v>0.71360741478107859</v>
      </c>
      <c r="J216" s="14">
        <f t="shared" si="23"/>
        <v>0.47532109228187902</v>
      </c>
      <c r="K216" s="14">
        <f t="shared" si="24"/>
        <v>0.14549161073825498</v>
      </c>
      <c r="L216" s="12" t="str">
        <f t="shared" si="25"/>
        <v/>
      </c>
      <c r="M216" s="12" t="str">
        <f t="shared" si="26"/>
        <v/>
      </c>
    </row>
    <row r="217" spans="1:13" ht="31.5">
      <c r="A217" s="3">
        <v>208</v>
      </c>
      <c r="B217" s="11" t="s">
        <v>71</v>
      </c>
      <c r="C217" s="3">
        <v>5</v>
      </c>
      <c r="D217" s="3">
        <v>18</v>
      </c>
      <c r="E217" s="11" t="s">
        <v>279</v>
      </c>
      <c r="F217" s="14">
        <v>0.30299999999999999</v>
      </c>
      <c r="G217" s="14">
        <f t="shared" si="27"/>
        <v>0.14100000000000001</v>
      </c>
      <c r="H217" s="14">
        <f t="shared" si="21"/>
        <v>0.32666164154103872</v>
      </c>
      <c r="I217" s="14">
        <f t="shared" si="22"/>
        <v>0.71360741478107859</v>
      </c>
      <c r="J217" s="14">
        <f t="shared" si="23"/>
        <v>0.47532109228187902</v>
      </c>
      <c r="K217" s="14">
        <f t="shared" si="24"/>
        <v>0.14549161073825498</v>
      </c>
      <c r="L217" s="12" t="str">
        <f t="shared" si="25"/>
        <v/>
      </c>
      <c r="M217" s="12" t="str">
        <f t="shared" si="26"/>
        <v/>
      </c>
    </row>
    <row r="218" spans="1:13" ht="31.5">
      <c r="A218" s="3">
        <v>209</v>
      </c>
      <c r="B218" s="11" t="s">
        <v>71</v>
      </c>
      <c r="C218" s="3">
        <v>5</v>
      </c>
      <c r="D218" s="3">
        <v>17</v>
      </c>
      <c r="E218" s="11" t="s">
        <v>280</v>
      </c>
      <c r="F218" s="14">
        <v>0.34200000000000003</v>
      </c>
      <c r="G218" s="14">
        <f t="shared" si="27"/>
        <v>3.9000000000000035E-2</v>
      </c>
      <c r="H218" s="14">
        <f t="shared" si="21"/>
        <v>0.32666164154103872</v>
      </c>
      <c r="I218" s="14">
        <f t="shared" si="22"/>
        <v>0.71360741478107859</v>
      </c>
      <c r="J218" s="14">
        <f t="shared" si="23"/>
        <v>0.47532109228187902</v>
      </c>
      <c r="K218" s="14">
        <f t="shared" si="24"/>
        <v>0.14549161073825498</v>
      </c>
      <c r="L218" s="12" t="str">
        <f t="shared" si="25"/>
        <v/>
      </c>
      <c r="M218" s="12" t="str">
        <f t="shared" si="26"/>
        <v/>
      </c>
    </row>
    <row r="219" spans="1:13" ht="31.5">
      <c r="A219" s="3">
        <v>210</v>
      </c>
      <c r="B219" s="11" t="s">
        <v>71</v>
      </c>
      <c r="C219" s="3">
        <v>5</v>
      </c>
      <c r="D219" s="3">
        <v>16</v>
      </c>
      <c r="E219" s="11" t="s">
        <v>281</v>
      </c>
      <c r="F219" s="14">
        <v>0.29499999999999998</v>
      </c>
      <c r="G219" s="14">
        <f t="shared" si="27"/>
        <v>4.7000000000000042E-2</v>
      </c>
      <c r="H219" s="14">
        <f t="shared" si="21"/>
        <v>0.32666164154103872</v>
      </c>
      <c r="I219" s="14">
        <f t="shared" si="22"/>
        <v>0.71360741478107859</v>
      </c>
      <c r="J219" s="14">
        <f t="shared" si="23"/>
        <v>0.47532109228187902</v>
      </c>
      <c r="K219" s="14">
        <f t="shared" si="24"/>
        <v>0.14549161073825498</v>
      </c>
      <c r="L219" s="12" t="str">
        <f t="shared" si="25"/>
        <v/>
      </c>
      <c r="M219" s="12" t="str">
        <f t="shared" si="26"/>
        <v/>
      </c>
    </row>
    <row r="220" spans="1:13" ht="31.5">
      <c r="A220" s="3">
        <v>211</v>
      </c>
      <c r="B220" s="11" t="s">
        <v>71</v>
      </c>
      <c r="C220" s="3">
        <v>5</v>
      </c>
      <c r="D220" s="3">
        <v>15</v>
      </c>
      <c r="E220" s="11" t="s">
        <v>282</v>
      </c>
      <c r="F220" s="14">
        <v>0.29099999999999998</v>
      </c>
      <c r="G220" s="14">
        <f t="shared" si="27"/>
        <v>4.0000000000000036E-3</v>
      </c>
      <c r="H220" s="14">
        <f t="shared" si="21"/>
        <v>0.32666164154103872</v>
      </c>
      <c r="I220" s="14">
        <f t="shared" si="22"/>
        <v>0.71360741478107859</v>
      </c>
      <c r="J220" s="14">
        <f t="shared" si="23"/>
        <v>0.47532109228187902</v>
      </c>
      <c r="K220" s="14">
        <f t="shared" si="24"/>
        <v>0.14549161073825498</v>
      </c>
      <c r="L220" s="12" t="str">
        <f t="shared" si="25"/>
        <v/>
      </c>
      <c r="M220" s="12" t="str">
        <f t="shared" si="26"/>
        <v/>
      </c>
    </row>
    <row r="221" spans="1:13" ht="31.5">
      <c r="A221" s="3">
        <v>212</v>
      </c>
      <c r="B221" s="11" t="s">
        <v>71</v>
      </c>
      <c r="C221" s="3">
        <v>5</v>
      </c>
      <c r="D221" s="3">
        <v>14</v>
      </c>
      <c r="E221" s="11" t="s">
        <v>283</v>
      </c>
      <c r="F221" s="14">
        <v>0.43</v>
      </c>
      <c r="G221" s="14">
        <f t="shared" si="27"/>
        <v>0.13900000000000001</v>
      </c>
      <c r="H221" s="14">
        <f t="shared" si="21"/>
        <v>0.32666164154103872</v>
      </c>
      <c r="I221" s="14">
        <f t="shared" si="22"/>
        <v>0.71360741478107859</v>
      </c>
      <c r="J221" s="14">
        <f t="shared" si="23"/>
        <v>0.47532109228187902</v>
      </c>
      <c r="K221" s="14">
        <f t="shared" si="24"/>
        <v>0.14549161073825498</v>
      </c>
      <c r="L221" s="12" t="str">
        <f t="shared" si="25"/>
        <v/>
      </c>
      <c r="M221" s="12" t="str">
        <f t="shared" si="26"/>
        <v/>
      </c>
    </row>
    <row r="222" spans="1:13" ht="31.5">
      <c r="A222" s="3">
        <v>213</v>
      </c>
      <c r="B222" s="11" t="s">
        <v>71</v>
      </c>
      <c r="C222" s="3">
        <v>5</v>
      </c>
      <c r="D222" s="3">
        <v>13</v>
      </c>
      <c r="E222" s="11" t="s">
        <v>284</v>
      </c>
      <c r="F222" s="14">
        <v>0.33200000000000002</v>
      </c>
      <c r="G222" s="14">
        <f t="shared" si="27"/>
        <v>9.7999999999999976E-2</v>
      </c>
      <c r="H222" s="14">
        <f t="shared" si="21"/>
        <v>0.32666164154103872</v>
      </c>
      <c r="I222" s="14">
        <f t="shared" si="22"/>
        <v>0.71360741478107859</v>
      </c>
      <c r="J222" s="14">
        <f t="shared" si="23"/>
        <v>0.47532109228187902</v>
      </c>
      <c r="K222" s="14">
        <f t="shared" si="24"/>
        <v>0.14549161073825498</v>
      </c>
      <c r="L222" s="12" t="str">
        <f t="shared" si="25"/>
        <v/>
      </c>
      <c r="M222" s="12" t="str">
        <f t="shared" si="26"/>
        <v/>
      </c>
    </row>
    <row r="223" spans="1:13" ht="31.5">
      <c r="A223" s="3">
        <v>214</v>
      </c>
      <c r="B223" s="11" t="s">
        <v>71</v>
      </c>
      <c r="C223" s="3">
        <v>5</v>
      </c>
      <c r="D223" s="3">
        <v>12</v>
      </c>
      <c r="E223" s="11" t="s">
        <v>285</v>
      </c>
      <c r="F223" s="14">
        <v>0.26</v>
      </c>
      <c r="G223" s="14">
        <f t="shared" si="27"/>
        <v>7.2000000000000008E-2</v>
      </c>
      <c r="H223" s="14">
        <f t="shared" si="21"/>
        <v>0.32666164154103872</v>
      </c>
      <c r="I223" s="14">
        <f t="shared" si="22"/>
        <v>0.71360741478107859</v>
      </c>
      <c r="J223" s="14">
        <f t="shared" si="23"/>
        <v>0.47532109228187902</v>
      </c>
      <c r="K223" s="14">
        <f t="shared" si="24"/>
        <v>0.14549161073825498</v>
      </c>
      <c r="L223" s="12" t="str">
        <f t="shared" si="25"/>
        <v/>
      </c>
      <c r="M223" s="12" t="str">
        <f t="shared" si="26"/>
        <v/>
      </c>
    </row>
    <row r="224" spans="1:13" ht="31.5">
      <c r="A224" s="3">
        <v>215</v>
      </c>
      <c r="B224" s="11" t="s">
        <v>71</v>
      </c>
      <c r="C224" s="3">
        <v>5</v>
      </c>
      <c r="D224" s="3">
        <v>11</v>
      </c>
      <c r="E224" s="11" t="s">
        <v>286</v>
      </c>
      <c r="F224" s="14">
        <v>0.371</v>
      </c>
      <c r="G224" s="14">
        <f t="shared" si="27"/>
        <v>0.11099999999999999</v>
      </c>
      <c r="H224" s="14">
        <f t="shared" si="21"/>
        <v>0.32666164154103872</v>
      </c>
      <c r="I224" s="14">
        <f t="shared" si="22"/>
        <v>0.71360741478107859</v>
      </c>
      <c r="J224" s="14">
        <f t="shared" si="23"/>
        <v>0.47532109228187902</v>
      </c>
      <c r="K224" s="14">
        <f t="shared" si="24"/>
        <v>0.14549161073825498</v>
      </c>
      <c r="L224" s="12" t="str">
        <f t="shared" si="25"/>
        <v/>
      </c>
      <c r="M224" s="12" t="str">
        <f t="shared" si="26"/>
        <v/>
      </c>
    </row>
    <row r="225" spans="1:13" ht="31.5">
      <c r="A225" s="3">
        <v>216</v>
      </c>
      <c r="B225" s="11" t="s">
        <v>71</v>
      </c>
      <c r="C225" s="3">
        <v>5</v>
      </c>
      <c r="D225" s="3">
        <v>10</v>
      </c>
      <c r="E225" s="11" t="s">
        <v>287</v>
      </c>
      <c r="F225" s="14">
        <v>0.154</v>
      </c>
      <c r="G225" s="14">
        <f t="shared" si="27"/>
        <v>0.217</v>
      </c>
      <c r="H225" s="14">
        <f t="shared" si="21"/>
        <v>0.32666164154103872</v>
      </c>
      <c r="I225" s="14">
        <f t="shared" si="22"/>
        <v>0.71360741478107859</v>
      </c>
      <c r="J225" s="14">
        <f t="shared" si="23"/>
        <v>0.47532109228187902</v>
      </c>
      <c r="K225" s="14">
        <f t="shared" si="24"/>
        <v>0.14549161073825498</v>
      </c>
      <c r="L225" s="12" t="str">
        <f t="shared" si="25"/>
        <v/>
      </c>
      <c r="M225" s="12" t="str">
        <f t="shared" si="26"/>
        <v/>
      </c>
    </row>
    <row r="226" spans="1:13" ht="31.5">
      <c r="A226" s="3">
        <v>217</v>
      </c>
      <c r="B226" s="11" t="s">
        <v>71</v>
      </c>
      <c r="C226" s="3">
        <v>5</v>
      </c>
      <c r="D226" s="3">
        <v>9</v>
      </c>
      <c r="E226" s="11" t="s">
        <v>288</v>
      </c>
      <c r="F226" s="14">
        <v>0.11799999999999999</v>
      </c>
      <c r="G226" s="14">
        <f t="shared" si="27"/>
        <v>3.6000000000000004E-2</v>
      </c>
      <c r="H226" s="14">
        <f t="shared" si="21"/>
        <v>0.32666164154103872</v>
      </c>
      <c r="I226" s="14">
        <f t="shared" si="22"/>
        <v>0.71360741478107859</v>
      </c>
      <c r="J226" s="14">
        <f t="shared" si="23"/>
        <v>0.47532109228187902</v>
      </c>
      <c r="K226" s="14">
        <f t="shared" si="24"/>
        <v>0.14549161073825498</v>
      </c>
      <c r="L226" s="12" t="str">
        <f t="shared" si="25"/>
        <v/>
      </c>
      <c r="M226" s="12" t="str">
        <f t="shared" si="26"/>
        <v/>
      </c>
    </row>
    <row r="227" spans="1:13" ht="31.5">
      <c r="A227" s="3">
        <v>218</v>
      </c>
      <c r="B227" s="11" t="s">
        <v>71</v>
      </c>
      <c r="C227" s="3">
        <v>5</v>
      </c>
      <c r="D227" s="3">
        <v>8</v>
      </c>
      <c r="E227" s="11" t="s">
        <v>289</v>
      </c>
      <c r="F227" s="14">
        <v>0.25600000000000001</v>
      </c>
      <c r="G227" s="14">
        <f t="shared" si="27"/>
        <v>0.13800000000000001</v>
      </c>
      <c r="H227" s="14">
        <f t="shared" si="21"/>
        <v>0.32666164154103872</v>
      </c>
      <c r="I227" s="14">
        <f t="shared" si="22"/>
        <v>0.71360741478107859</v>
      </c>
      <c r="J227" s="14">
        <f t="shared" si="23"/>
        <v>0.47532109228187902</v>
      </c>
      <c r="K227" s="14">
        <f t="shared" si="24"/>
        <v>0.14549161073825498</v>
      </c>
      <c r="L227" s="12" t="str">
        <f t="shared" si="25"/>
        <v/>
      </c>
      <c r="M227" s="12" t="str">
        <f t="shared" si="26"/>
        <v/>
      </c>
    </row>
    <row r="228" spans="1:13" ht="31.5">
      <c r="A228" s="3">
        <v>219</v>
      </c>
      <c r="B228" s="11" t="s">
        <v>71</v>
      </c>
      <c r="C228" s="3">
        <v>5</v>
      </c>
      <c r="D228" s="3">
        <v>7</v>
      </c>
      <c r="E228" s="11" t="s">
        <v>290</v>
      </c>
      <c r="F228" s="14">
        <v>0.23699999999999999</v>
      </c>
      <c r="G228" s="14">
        <f t="shared" si="27"/>
        <v>1.9000000000000017E-2</v>
      </c>
      <c r="H228" s="14">
        <f t="shared" si="21"/>
        <v>0.32666164154103872</v>
      </c>
      <c r="I228" s="14">
        <f t="shared" si="22"/>
        <v>0.71360741478107859</v>
      </c>
      <c r="J228" s="14">
        <f t="shared" si="23"/>
        <v>0.47532109228187902</v>
      </c>
      <c r="K228" s="14">
        <f t="shared" si="24"/>
        <v>0.14549161073825498</v>
      </c>
      <c r="L228" s="12" t="str">
        <f t="shared" si="25"/>
        <v/>
      </c>
      <c r="M228" s="12" t="str">
        <f t="shared" si="26"/>
        <v/>
      </c>
    </row>
    <row r="229" spans="1:13" ht="31.5">
      <c r="A229" s="3">
        <v>220</v>
      </c>
      <c r="B229" s="11" t="s">
        <v>71</v>
      </c>
      <c r="C229" s="3">
        <v>5</v>
      </c>
      <c r="D229" s="3">
        <v>6</v>
      </c>
      <c r="E229" s="11" t="s">
        <v>291</v>
      </c>
      <c r="F229" s="14">
        <v>0.17899999999999999</v>
      </c>
      <c r="G229" s="14">
        <f t="shared" si="27"/>
        <v>5.7999999999999996E-2</v>
      </c>
      <c r="H229" s="14">
        <f t="shared" si="21"/>
        <v>0.32666164154103872</v>
      </c>
      <c r="I229" s="14">
        <f t="shared" si="22"/>
        <v>0.71360741478107859</v>
      </c>
      <c r="J229" s="14">
        <f t="shared" si="23"/>
        <v>0.47532109228187902</v>
      </c>
      <c r="K229" s="14">
        <f t="shared" si="24"/>
        <v>0.14549161073825498</v>
      </c>
      <c r="L229" s="12" t="str">
        <f t="shared" si="25"/>
        <v/>
      </c>
      <c r="M229" s="12" t="str">
        <f t="shared" si="26"/>
        <v/>
      </c>
    </row>
    <row r="230" spans="1:13" ht="31.5">
      <c r="A230" s="3">
        <v>221</v>
      </c>
      <c r="B230" s="11" t="s">
        <v>71</v>
      </c>
      <c r="C230" s="3">
        <v>5</v>
      </c>
      <c r="D230" s="3">
        <v>5</v>
      </c>
      <c r="E230" s="11" t="s">
        <v>292</v>
      </c>
      <c r="F230" s="14">
        <v>0.19500000000000001</v>
      </c>
      <c r="G230" s="14">
        <f t="shared" si="27"/>
        <v>1.6000000000000014E-2</v>
      </c>
      <c r="H230" s="14">
        <f t="shared" si="21"/>
        <v>0.32666164154103872</v>
      </c>
      <c r="I230" s="14">
        <f t="shared" si="22"/>
        <v>0.71360741478107859</v>
      </c>
      <c r="J230" s="14">
        <f t="shared" si="23"/>
        <v>0.47532109228187902</v>
      </c>
      <c r="K230" s="14">
        <f t="shared" si="24"/>
        <v>0.14549161073825498</v>
      </c>
      <c r="L230" s="12" t="str">
        <f t="shared" si="25"/>
        <v/>
      </c>
      <c r="M230" s="12" t="str">
        <f t="shared" si="26"/>
        <v/>
      </c>
    </row>
    <row r="231" spans="1:13" ht="31.5">
      <c r="A231" s="3">
        <v>222</v>
      </c>
      <c r="B231" s="11" t="s">
        <v>71</v>
      </c>
      <c r="C231" s="3">
        <v>5</v>
      </c>
      <c r="D231" s="3">
        <v>4</v>
      </c>
      <c r="E231" s="11" t="s">
        <v>293</v>
      </c>
      <c r="F231" s="14">
        <v>0.24399999999999999</v>
      </c>
      <c r="G231" s="14">
        <f t="shared" si="27"/>
        <v>4.8999999999999988E-2</v>
      </c>
      <c r="H231" s="14">
        <f t="shared" si="21"/>
        <v>0.32666164154103872</v>
      </c>
      <c r="I231" s="14">
        <f t="shared" si="22"/>
        <v>0.71360741478107859</v>
      </c>
      <c r="J231" s="14">
        <f t="shared" si="23"/>
        <v>0.47532109228187902</v>
      </c>
      <c r="K231" s="14">
        <f t="shared" si="24"/>
        <v>0.14549161073825498</v>
      </c>
      <c r="L231" s="12" t="str">
        <f t="shared" si="25"/>
        <v/>
      </c>
      <c r="M231" s="12" t="str">
        <f t="shared" si="26"/>
        <v/>
      </c>
    </row>
    <row r="232" spans="1:13" ht="31.5">
      <c r="A232" s="3">
        <v>223</v>
      </c>
      <c r="B232" s="11" t="s">
        <v>71</v>
      </c>
      <c r="C232" s="3">
        <v>5</v>
      </c>
      <c r="D232" s="3">
        <v>3</v>
      </c>
      <c r="E232" s="11" t="s">
        <v>294</v>
      </c>
      <c r="F232" s="14">
        <v>0.246</v>
      </c>
      <c r="G232" s="14">
        <f t="shared" si="27"/>
        <v>2.0000000000000018E-3</v>
      </c>
      <c r="H232" s="14">
        <f t="shared" si="21"/>
        <v>0.32666164154103872</v>
      </c>
      <c r="I232" s="14">
        <f t="shared" si="22"/>
        <v>0.71360741478107859</v>
      </c>
      <c r="J232" s="14">
        <f t="shared" si="23"/>
        <v>0.47532109228187902</v>
      </c>
      <c r="K232" s="14">
        <f t="shared" si="24"/>
        <v>0.14549161073825498</v>
      </c>
      <c r="L232" s="12" t="str">
        <f t="shared" si="25"/>
        <v/>
      </c>
      <c r="M232" s="12" t="str">
        <f t="shared" si="26"/>
        <v/>
      </c>
    </row>
    <row r="233" spans="1:13" ht="31.5">
      <c r="A233" s="3">
        <v>224</v>
      </c>
      <c r="B233" s="11" t="s">
        <v>71</v>
      </c>
      <c r="C233" s="3">
        <v>5</v>
      </c>
      <c r="D233" s="3">
        <v>2</v>
      </c>
      <c r="E233" s="11" t="s">
        <v>295</v>
      </c>
      <c r="F233" s="14">
        <v>0.218</v>
      </c>
      <c r="G233" s="14">
        <f t="shared" si="27"/>
        <v>2.7999999999999997E-2</v>
      </c>
      <c r="H233" s="14">
        <f t="shared" si="21"/>
        <v>0.32666164154103872</v>
      </c>
      <c r="I233" s="14">
        <f t="shared" si="22"/>
        <v>0.71360741478107859</v>
      </c>
      <c r="J233" s="14">
        <f t="shared" si="23"/>
        <v>0.47532109228187902</v>
      </c>
      <c r="K233" s="14">
        <f t="shared" si="24"/>
        <v>0.14549161073825498</v>
      </c>
      <c r="L233" s="12" t="str">
        <f t="shared" si="25"/>
        <v/>
      </c>
      <c r="M233" s="12" t="str">
        <f t="shared" si="26"/>
        <v/>
      </c>
    </row>
    <row r="234" spans="1:13" ht="31.5">
      <c r="A234" s="3">
        <v>225</v>
      </c>
      <c r="B234" s="11" t="s">
        <v>71</v>
      </c>
      <c r="C234" s="3">
        <v>5</v>
      </c>
      <c r="D234" s="3">
        <v>1</v>
      </c>
      <c r="E234" s="11" t="s">
        <v>296</v>
      </c>
      <c r="F234" s="14">
        <v>0.19</v>
      </c>
      <c r="G234" s="14">
        <f t="shared" si="27"/>
        <v>2.7999999999999997E-2</v>
      </c>
      <c r="H234" s="14">
        <f t="shared" si="21"/>
        <v>0.32666164154103872</v>
      </c>
      <c r="I234" s="14">
        <f t="shared" si="22"/>
        <v>0.71360741478107859</v>
      </c>
      <c r="J234" s="14">
        <f t="shared" si="23"/>
        <v>0.47532109228187902</v>
      </c>
      <c r="K234" s="14">
        <f t="shared" si="24"/>
        <v>0.14549161073825498</v>
      </c>
      <c r="L234" s="12" t="str">
        <f t="shared" si="25"/>
        <v/>
      </c>
      <c r="M234" s="12" t="str">
        <f t="shared" si="26"/>
        <v/>
      </c>
    </row>
    <row r="235" spans="1:13" ht="31.5">
      <c r="A235" s="3">
        <v>226</v>
      </c>
      <c r="B235" s="11" t="s">
        <v>71</v>
      </c>
      <c r="C235" s="3">
        <v>5</v>
      </c>
      <c r="D235" s="3">
        <v>25</v>
      </c>
      <c r="E235" s="11" t="s">
        <v>297</v>
      </c>
      <c r="F235" s="14">
        <v>0.29899999999999999</v>
      </c>
      <c r="G235" s="14">
        <f t="shared" si="27"/>
        <v>0.10899999999999999</v>
      </c>
      <c r="H235" s="14">
        <f t="shared" si="21"/>
        <v>0.32666164154103872</v>
      </c>
      <c r="I235" s="14">
        <f t="shared" si="22"/>
        <v>0.71360741478107859</v>
      </c>
      <c r="J235" s="14">
        <f t="shared" si="23"/>
        <v>0.47532109228187902</v>
      </c>
      <c r="K235" s="14">
        <f t="shared" si="24"/>
        <v>0.14549161073825498</v>
      </c>
      <c r="L235" s="12" t="str">
        <f t="shared" si="25"/>
        <v/>
      </c>
      <c r="M235" s="12" t="str">
        <f t="shared" si="26"/>
        <v/>
      </c>
    </row>
    <row r="236" spans="1:13" ht="31.5">
      <c r="A236" s="3">
        <v>227</v>
      </c>
      <c r="B236" s="11" t="s">
        <v>71</v>
      </c>
      <c r="C236" s="3">
        <v>5</v>
      </c>
      <c r="D236" s="3">
        <v>24</v>
      </c>
      <c r="E236" s="11" t="s">
        <v>298</v>
      </c>
      <c r="F236" s="14">
        <v>0.44400000000000001</v>
      </c>
      <c r="G236" s="14">
        <f t="shared" si="27"/>
        <v>0.14500000000000002</v>
      </c>
      <c r="H236" s="14">
        <f t="shared" si="21"/>
        <v>0.32666164154103872</v>
      </c>
      <c r="I236" s="14">
        <f t="shared" si="22"/>
        <v>0.71360741478107859</v>
      </c>
      <c r="J236" s="14">
        <f t="shared" si="23"/>
        <v>0.47532109228187902</v>
      </c>
      <c r="K236" s="14">
        <f t="shared" si="24"/>
        <v>0.14549161073825498</v>
      </c>
      <c r="L236" s="12" t="str">
        <f t="shared" si="25"/>
        <v/>
      </c>
      <c r="M236" s="12" t="str">
        <f t="shared" si="26"/>
        <v/>
      </c>
    </row>
    <row r="237" spans="1:13" ht="31.5">
      <c r="A237" s="3">
        <v>228</v>
      </c>
      <c r="B237" s="11" t="s">
        <v>71</v>
      </c>
      <c r="C237" s="3">
        <v>5</v>
      </c>
      <c r="D237" s="3">
        <v>23</v>
      </c>
      <c r="E237" s="11" t="s">
        <v>299</v>
      </c>
      <c r="F237" s="14">
        <v>0.252</v>
      </c>
      <c r="G237" s="14">
        <f t="shared" si="27"/>
        <v>0.192</v>
      </c>
      <c r="H237" s="14">
        <f t="shared" si="21"/>
        <v>0.32666164154103872</v>
      </c>
      <c r="I237" s="14">
        <f t="shared" si="22"/>
        <v>0.71360741478107859</v>
      </c>
      <c r="J237" s="14">
        <f t="shared" si="23"/>
        <v>0.47532109228187902</v>
      </c>
      <c r="K237" s="14">
        <f t="shared" si="24"/>
        <v>0.14549161073825498</v>
      </c>
      <c r="L237" s="12" t="str">
        <f t="shared" si="25"/>
        <v/>
      </c>
      <c r="M237" s="12" t="str">
        <f t="shared" si="26"/>
        <v/>
      </c>
    </row>
    <row r="238" spans="1:13" ht="31.5">
      <c r="A238" s="3">
        <v>229</v>
      </c>
      <c r="B238" s="11" t="s">
        <v>71</v>
      </c>
      <c r="C238" s="3">
        <v>5</v>
      </c>
      <c r="D238" s="3">
        <v>22</v>
      </c>
      <c r="E238" s="11" t="s">
        <v>300</v>
      </c>
      <c r="F238" s="14">
        <v>0.48699999999999999</v>
      </c>
      <c r="G238" s="14">
        <f t="shared" si="27"/>
        <v>0.23499999999999999</v>
      </c>
      <c r="H238" s="14">
        <f t="shared" si="21"/>
        <v>0.32666164154103872</v>
      </c>
      <c r="I238" s="14">
        <f t="shared" si="22"/>
        <v>0.71360741478107859</v>
      </c>
      <c r="J238" s="14">
        <f t="shared" si="23"/>
        <v>0.47532109228187902</v>
      </c>
      <c r="K238" s="14">
        <f t="shared" si="24"/>
        <v>0.14549161073825498</v>
      </c>
      <c r="L238" s="12" t="str">
        <f t="shared" si="25"/>
        <v/>
      </c>
      <c r="M238" s="12" t="str">
        <f t="shared" si="26"/>
        <v/>
      </c>
    </row>
    <row r="239" spans="1:13" ht="31.5">
      <c r="A239" s="3">
        <v>230</v>
      </c>
      <c r="B239" s="11" t="s">
        <v>71</v>
      </c>
      <c r="C239" s="3">
        <v>5</v>
      </c>
      <c r="D239" s="3">
        <v>21</v>
      </c>
      <c r="E239" s="11" t="s">
        <v>301</v>
      </c>
      <c r="F239" s="14">
        <v>0.28899999999999998</v>
      </c>
      <c r="G239" s="14">
        <f t="shared" si="27"/>
        <v>0.19800000000000001</v>
      </c>
      <c r="H239" s="14">
        <f t="shared" si="21"/>
        <v>0.32666164154103872</v>
      </c>
      <c r="I239" s="14">
        <f t="shared" si="22"/>
        <v>0.71360741478107859</v>
      </c>
      <c r="J239" s="14">
        <f t="shared" si="23"/>
        <v>0.47532109228187902</v>
      </c>
      <c r="K239" s="14">
        <f t="shared" si="24"/>
        <v>0.14549161073825498</v>
      </c>
      <c r="L239" s="12" t="str">
        <f t="shared" si="25"/>
        <v/>
      </c>
      <c r="M239" s="12" t="str">
        <f t="shared" si="26"/>
        <v/>
      </c>
    </row>
    <row r="240" spans="1:13" ht="31.5">
      <c r="A240" s="3">
        <v>231</v>
      </c>
      <c r="B240" s="11" t="s">
        <v>71</v>
      </c>
      <c r="C240" s="3">
        <v>5</v>
      </c>
      <c r="D240" s="3">
        <v>20</v>
      </c>
      <c r="E240" s="11" t="s">
        <v>302</v>
      </c>
      <c r="F240" s="14">
        <v>0.34300000000000003</v>
      </c>
      <c r="G240" s="14">
        <f t="shared" si="27"/>
        <v>5.4000000000000048E-2</v>
      </c>
      <c r="H240" s="14">
        <f t="shared" si="21"/>
        <v>0.32666164154103872</v>
      </c>
      <c r="I240" s="14">
        <f t="shared" si="22"/>
        <v>0.71360741478107859</v>
      </c>
      <c r="J240" s="14">
        <f t="shared" si="23"/>
        <v>0.47532109228187902</v>
      </c>
      <c r="K240" s="14">
        <f t="shared" si="24"/>
        <v>0.14549161073825498</v>
      </c>
      <c r="L240" s="12" t="str">
        <f t="shared" si="25"/>
        <v/>
      </c>
      <c r="M240" s="12" t="str">
        <f t="shared" si="26"/>
        <v/>
      </c>
    </row>
    <row r="241" spans="1:13" ht="31.5">
      <c r="A241" s="3">
        <v>232</v>
      </c>
      <c r="B241" s="11" t="s">
        <v>71</v>
      </c>
      <c r="C241" s="3">
        <v>5</v>
      </c>
      <c r="D241" s="3">
        <v>19</v>
      </c>
      <c r="E241" s="11" t="s">
        <v>303</v>
      </c>
      <c r="F241" s="14">
        <v>0.19700000000000001</v>
      </c>
      <c r="G241" s="14">
        <f t="shared" si="27"/>
        <v>0.14600000000000002</v>
      </c>
      <c r="H241" s="14">
        <f t="shared" si="21"/>
        <v>0.32666164154103872</v>
      </c>
      <c r="I241" s="14">
        <f t="shared" si="22"/>
        <v>0.71360741478107859</v>
      </c>
      <c r="J241" s="14">
        <f t="shared" si="23"/>
        <v>0.47532109228187902</v>
      </c>
      <c r="K241" s="14">
        <f t="shared" si="24"/>
        <v>0.14549161073825498</v>
      </c>
      <c r="L241" s="12" t="str">
        <f t="shared" si="25"/>
        <v/>
      </c>
      <c r="M241" s="12" t="str">
        <f t="shared" si="26"/>
        <v/>
      </c>
    </row>
    <row r="242" spans="1:13" ht="31.5">
      <c r="A242" s="3">
        <v>233</v>
      </c>
      <c r="B242" s="11" t="s">
        <v>71</v>
      </c>
      <c r="C242" s="3">
        <v>5</v>
      </c>
      <c r="D242" s="3">
        <v>18</v>
      </c>
      <c r="E242" s="11" t="s">
        <v>304</v>
      </c>
      <c r="F242" s="14">
        <v>0.47499999999999998</v>
      </c>
      <c r="G242" s="14">
        <f t="shared" si="27"/>
        <v>0.27799999999999997</v>
      </c>
      <c r="H242" s="14">
        <f t="shared" si="21"/>
        <v>0.32666164154103872</v>
      </c>
      <c r="I242" s="14">
        <f t="shared" si="22"/>
        <v>0.71360741478107859</v>
      </c>
      <c r="J242" s="14">
        <f t="shared" si="23"/>
        <v>0.47532109228187902</v>
      </c>
      <c r="K242" s="14">
        <f t="shared" si="24"/>
        <v>0.14549161073825498</v>
      </c>
      <c r="L242" s="12" t="str">
        <f t="shared" si="25"/>
        <v/>
      </c>
      <c r="M242" s="12" t="str">
        <f t="shared" si="26"/>
        <v/>
      </c>
    </row>
    <row r="243" spans="1:13" ht="31.5">
      <c r="A243" s="3">
        <v>234</v>
      </c>
      <c r="B243" s="11" t="s">
        <v>71</v>
      </c>
      <c r="C243" s="3">
        <v>5</v>
      </c>
      <c r="D243" s="3">
        <v>17</v>
      </c>
      <c r="E243" s="11" t="s">
        <v>305</v>
      </c>
      <c r="F243" s="14">
        <v>0.48699999999999999</v>
      </c>
      <c r="G243" s="14">
        <f t="shared" si="27"/>
        <v>1.2000000000000011E-2</v>
      </c>
      <c r="H243" s="14">
        <f t="shared" si="21"/>
        <v>0.32666164154103872</v>
      </c>
      <c r="I243" s="14">
        <f t="shared" si="22"/>
        <v>0.71360741478107859</v>
      </c>
      <c r="J243" s="14">
        <f t="shared" si="23"/>
        <v>0.47532109228187902</v>
      </c>
      <c r="K243" s="14">
        <f t="shared" si="24"/>
        <v>0.14549161073825498</v>
      </c>
      <c r="L243" s="12" t="str">
        <f t="shared" si="25"/>
        <v/>
      </c>
      <c r="M243" s="12" t="str">
        <f t="shared" si="26"/>
        <v/>
      </c>
    </row>
    <row r="244" spans="1:13" ht="31.5">
      <c r="A244" s="3">
        <v>235</v>
      </c>
      <c r="B244" s="11" t="s">
        <v>71</v>
      </c>
      <c r="C244" s="3">
        <v>5</v>
      </c>
      <c r="D244" s="3">
        <v>16</v>
      </c>
      <c r="E244" s="11" t="s">
        <v>306</v>
      </c>
      <c r="F244" s="14">
        <v>0.39500000000000002</v>
      </c>
      <c r="G244" s="14">
        <f t="shared" si="27"/>
        <v>9.1999999999999971E-2</v>
      </c>
      <c r="H244" s="14">
        <f t="shared" si="21"/>
        <v>0.32666164154103872</v>
      </c>
      <c r="I244" s="14">
        <f t="shared" si="22"/>
        <v>0.71360741478107859</v>
      </c>
      <c r="J244" s="14">
        <f t="shared" si="23"/>
        <v>0.47532109228187902</v>
      </c>
      <c r="K244" s="14">
        <f t="shared" si="24"/>
        <v>0.14549161073825498</v>
      </c>
      <c r="L244" s="12" t="str">
        <f t="shared" si="25"/>
        <v/>
      </c>
      <c r="M244" s="12" t="str">
        <f t="shared" si="26"/>
        <v/>
      </c>
    </row>
    <row r="245" spans="1:13" ht="31.5">
      <c r="A245" s="3">
        <v>236</v>
      </c>
      <c r="B245" s="11" t="s">
        <v>71</v>
      </c>
      <c r="C245" s="3">
        <v>5</v>
      </c>
      <c r="D245" s="3">
        <v>15</v>
      </c>
      <c r="E245" s="11" t="s">
        <v>307</v>
      </c>
      <c r="F245" s="14">
        <v>0.56499999999999995</v>
      </c>
      <c r="G245" s="14">
        <f t="shared" si="27"/>
        <v>0.16999999999999993</v>
      </c>
      <c r="H245" s="14">
        <f t="shared" si="21"/>
        <v>0.32666164154103872</v>
      </c>
      <c r="I245" s="14">
        <f t="shared" si="22"/>
        <v>0.71360741478107859</v>
      </c>
      <c r="J245" s="14">
        <f t="shared" si="23"/>
        <v>0.47532109228187902</v>
      </c>
      <c r="K245" s="14">
        <f t="shared" si="24"/>
        <v>0.14549161073825498</v>
      </c>
      <c r="L245" s="12" t="str">
        <f t="shared" si="25"/>
        <v/>
      </c>
      <c r="M245" s="12" t="str">
        <f t="shared" si="26"/>
        <v/>
      </c>
    </row>
    <row r="246" spans="1:13" ht="31.5">
      <c r="A246" s="3">
        <v>237</v>
      </c>
      <c r="B246" s="11" t="s">
        <v>71</v>
      </c>
      <c r="C246" s="3">
        <v>5</v>
      </c>
      <c r="D246" s="3">
        <v>14</v>
      </c>
      <c r="E246" s="11" t="s">
        <v>308</v>
      </c>
      <c r="F246" s="14">
        <v>0.182</v>
      </c>
      <c r="G246" s="14">
        <f t="shared" si="27"/>
        <v>0.38299999999999995</v>
      </c>
      <c r="H246" s="14">
        <f t="shared" si="21"/>
        <v>0.32666164154103872</v>
      </c>
      <c r="I246" s="14">
        <f t="shared" si="22"/>
        <v>0.71360741478107859</v>
      </c>
      <c r="J246" s="14">
        <f t="shared" si="23"/>
        <v>0.47532109228187902</v>
      </c>
      <c r="K246" s="14">
        <f t="shared" si="24"/>
        <v>0.14549161073825498</v>
      </c>
      <c r="L246" s="12" t="str">
        <f t="shared" si="25"/>
        <v/>
      </c>
      <c r="M246" s="12" t="str">
        <f t="shared" si="26"/>
        <v/>
      </c>
    </row>
    <row r="247" spans="1:13" ht="31.5">
      <c r="A247" s="3">
        <v>238</v>
      </c>
      <c r="B247" s="11" t="s">
        <v>71</v>
      </c>
      <c r="C247" s="3">
        <v>5</v>
      </c>
      <c r="D247" s="3">
        <v>13</v>
      </c>
      <c r="E247" s="11" t="s">
        <v>309</v>
      </c>
      <c r="F247" s="14">
        <v>0.44</v>
      </c>
      <c r="G247" s="14">
        <f t="shared" si="27"/>
        <v>0.25800000000000001</v>
      </c>
      <c r="H247" s="14">
        <f t="shared" si="21"/>
        <v>0.32666164154103872</v>
      </c>
      <c r="I247" s="14">
        <f t="shared" si="22"/>
        <v>0.71360741478107859</v>
      </c>
      <c r="J247" s="14">
        <f t="shared" si="23"/>
        <v>0.47532109228187902</v>
      </c>
      <c r="K247" s="14">
        <f t="shared" si="24"/>
        <v>0.14549161073825498</v>
      </c>
      <c r="L247" s="12" t="str">
        <f t="shared" si="25"/>
        <v/>
      </c>
      <c r="M247" s="12" t="str">
        <f t="shared" si="26"/>
        <v/>
      </c>
    </row>
    <row r="248" spans="1:13" ht="31.5">
      <c r="A248" s="3">
        <v>239</v>
      </c>
      <c r="B248" s="11" t="s">
        <v>71</v>
      </c>
      <c r="C248" s="3">
        <v>5</v>
      </c>
      <c r="D248" s="3">
        <v>12</v>
      </c>
      <c r="E248" s="11" t="s">
        <v>310</v>
      </c>
      <c r="F248" s="14">
        <v>0.309</v>
      </c>
      <c r="G248" s="14">
        <f t="shared" si="27"/>
        <v>0.13100000000000001</v>
      </c>
      <c r="H248" s="14">
        <f t="shared" si="21"/>
        <v>0.32666164154103872</v>
      </c>
      <c r="I248" s="14">
        <f t="shared" si="22"/>
        <v>0.71360741478107859</v>
      </c>
      <c r="J248" s="14">
        <f t="shared" si="23"/>
        <v>0.47532109228187902</v>
      </c>
      <c r="K248" s="14">
        <f t="shared" si="24"/>
        <v>0.14549161073825498</v>
      </c>
      <c r="L248" s="12" t="str">
        <f t="shared" si="25"/>
        <v/>
      </c>
      <c r="M248" s="12" t="str">
        <f t="shared" si="26"/>
        <v/>
      </c>
    </row>
    <row r="249" spans="1:13" ht="31.5">
      <c r="A249" s="3">
        <v>240</v>
      </c>
      <c r="B249" s="11" t="s">
        <v>71</v>
      </c>
      <c r="C249" s="3">
        <v>5</v>
      </c>
      <c r="D249" s="3">
        <v>11</v>
      </c>
      <c r="E249" s="11" t="s">
        <v>311</v>
      </c>
      <c r="F249" s="14">
        <v>0.29199999999999998</v>
      </c>
      <c r="G249" s="14">
        <f t="shared" si="27"/>
        <v>1.7000000000000015E-2</v>
      </c>
      <c r="H249" s="14">
        <f t="shared" si="21"/>
        <v>0.32666164154103872</v>
      </c>
      <c r="I249" s="14">
        <f t="shared" si="22"/>
        <v>0.71360741478107859</v>
      </c>
      <c r="J249" s="14">
        <f t="shared" si="23"/>
        <v>0.47532109228187902</v>
      </c>
      <c r="K249" s="14">
        <f t="shared" si="24"/>
        <v>0.14549161073825498</v>
      </c>
      <c r="L249" s="12" t="str">
        <f t="shared" si="25"/>
        <v/>
      </c>
      <c r="M249" s="12" t="str">
        <f t="shared" si="26"/>
        <v/>
      </c>
    </row>
    <row r="250" spans="1:13" ht="31.5">
      <c r="A250" s="3">
        <v>241</v>
      </c>
      <c r="B250" s="11" t="s">
        <v>71</v>
      </c>
      <c r="C250" s="3">
        <v>5</v>
      </c>
      <c r="D250" s="3">
        <v>10</v>
      </c>
      <c r="E250" s="11" t="s">
        <v>312</v>
      </c>
      <c r="F250" s="14">
        <v>0.14399999999999999</v>
      </c>
      <c r="G250" s="14">
        <f t="shared" si="27"/>
        <v>0.14799999999999999</v>
      </c>
      <c r="H250" s="14">
        <f t="shared" si="21"/>
        <v>0.32666164154103872</v>
      </c>
      <c r="I250" s="14">
        <f t="shared" si="22"/>
        <v>0.71360741478107859</v>
      </c>
      <c r="J250" s="14">
        <f t="shared" si="23"/>
        <v>0.47532109228187902</v>
      </c>
      <c r="K250" s="14">
        <f t="shared" si="24"/>
        <v>0.14549161073825498</v>
      </c>
      <c r="L250" s="12" t="str">
        <f t="shared" si="25"/>
        <v/>
      </c>
      <c r="M250" s="12" t="str">
        <f t="shared" si="26"/>
        <v/>
      </c>
    </row>
    <row r="251" spans="1:13" ht="31.5">
      <c r="A251" s="3">
        <v>242</v>
      </c>
      <c r="B251" s="11" t="s">
        <v>71</v>
      </c>
      <c r="C251" s="3">
        <v>5</v>
      </c>
      <c r="D251" s="3">
        <v>9</v>
      </c>
      <c r="E251" s="11" t="s">
        <v>313</v>
      </c>
      <c r="F251" s="14">
        <v>0.32900000000000001</v>
      </c>
      <c r="G251" s="14">
        <f t="shared" si="27"/>
        <v>0.18500000000000003</v>
      </c>
      <c r="H251" s="14">
        <f t="shared" si="21"/>
        <v>0.32666164154103872</v>
      </c>
      <c r="I251" s="14">
        <f t="shared" si="22"/>
        <v>0.71360741478107859</v>
      </c>
      <c r="J251" s="14">
        <f t="shared" si="23"/>
        <v>0.47532109228187902</v>
      </c>
      <c r="K251" s="14">
        <f t="shared" si="24"/>
        <v>0.14549161073825498</v>
      </c>
      <c r="L251" s="12" t="str">
        <f t="shared" si="25"/>
        <v/>
      </c>
      <c r="M251" s="12" t="str">
        <f t="shared" si="26"/>
        <v/>
      </c>
    </row>
    <row r="252" spans="1:13" ht="31.5">
      <c r="A252" s="3">
        <v>243</v>
      </c>
      <c r="B252" s="11" t="s">
        <v>71</v>
      </c>
      <c r="C252" s="3">
        <v>5</v>
      </c>
      <c r="D252" s="3">
        <v>8</v>
      </c>
      <c r="E252" s="11" t="s">
        <v>314</v>
      </c>
      <c r="F252" s="14">
        <v>0.22600000000000001</v>
      </c>
      <c r="G252" s="14">
        <f t="shared" si="27"/>
        <v>0.10300000000000001</v>
      </c>
      <c r="H252" s="14">
        <f t="shared" si="21"/>
        <v>0.32666164154103872</v>
      </c>
      <c r="I252" s="14">
        <f t="shared" si="22"/>
        <v>0.71360741478107859</v>
      </c>
      <c r="J252" s="14">
        <f t="shared" si="23"/>
        <v>0.47532109228187902</v>
      </c>
      <c r="K252" s="14">
        <f t="shared" si="24"/>
        <v>0.14549161073825498</v>
      </c>
      <c r="L252" s="12" t="str">
        <f t="shared" si="25"/>
        <v/>
      </c>
      <c r="M252" s="12" t="str">
        <f t="shared" si="26"/>
        <v/>
      </c>
    </row>
    <row r="253" spans="1:13" ht="31.5">
      <c r="A253" s="3">
        <v>244</v>
      </c>
      <c r="B253" s="11" t="s">
        <v>71</v>
      </c>
      <c r="C253" s="3">
        <v>5</v>
      </c>
      <c r="D253" s="3">
        <v>7</v>
      </c>
      <c r="E253" s="11" t="s">
        <v>315</v>
      </c>
      <c r="F253" s="14">
        <v>0.30099999999999999</v>
      </c>
      <c r="G253" s="14">
        <f t="shared" si="27"/>
        <v>7.4999999999999983E-2</v>
      </c>
      <c r="H253" s="14">
        <f t="shared" si="21"/>
        <v>0.32666164154103872</v>
      </c>
      <c r="I253" s="14">
        <f t="shared" si="22"/>
        <v>0.71360741478107859</v>
      </c>
      <c r="J253" s="14">
        <f t="shared" si="23"/>
        <v>0.47532109228187902</v>
      </c>
      <c r="K253" s="14">
        <f t="shared" si="24"/>
        <v>0.14549161073825498</v>
      </c>
      <c r="L253" s="12" t="str">
        <f t="shared" si="25"/>
        <v/>
      </c>
      <c r="M253" s="12" t="str">
        <f t="shared" si="26"/>
        <v/>
      </c>
    </row>
    <row r="254" spans="1:13" ht="31.5">
      <c r="A254" s="3">
        <v>245</v>
      </c>
      <c r="B254" s="11" t="s">
        <v>71</v>
      </c>
      <c r="C254" s="3">
        <v>5</v>
      </c>
      <c r="D254" s="3">
        <v>6</v>
      </c>
      <c r="E254" s="11" t="s">
        <v>316</v>
      </c>
      <c r="F254" s="14">
        <v>0.245</v>
      </c>
      <c r="G254" s="14">
        <f t="shared" si="27"/>
        <v>5.5999999999999994E-2</v>
      </c>
      <c r="H254" s="14">
        <f t="shared" si="21"/>
        <v>0.32666164154103872</v>
      </c>
      <c r="I254" s="14">
        <f t="shared" si="22"/>
        <v>0.71360741478107859</v>
      </c>
      <c r="J254" s="14">
        <f t="shared" si="23"/>
        <v>0.47532109228187902</v>
      </c>
      <c r="K254" s="14">
        <f t="shared" si="24"/>
        <v>0.14549161073825498</v>
      </c>
      <c r="L254" s="12" t="str">
        <f t="shared" si="25"/>
        <v/>
      </c>
      <c r="M254" s="12" t="str">
        <f t="shared" si="26"/>
        <v/>
      </c>
    </row>
    <row r="255" spans="1:13" ht="31.5">
      <c r="A255" s="3">
        <v>246</v>
      </c>
      <c r="B255" s="11" t="s">
        <v>71</v>
      </c>
      <c r="C255" s="3">
        <v>5</v>
      </c>
      <c r="D255" s="3">
        <v>5</v>
      </c>
      <c r="E255" s="11" t="s">
        <v>317</v>
      </c>
      <c r="F255" s="14">
        <v>0.17499999999999999</v>
      </c>
      <c r="G255" s="14">
        <f t="shared" si="27"/>
        <v>7.0000000000000007E-2</v>
      </c>
      <c r="H255" s="14">
        <f t="shared" si="21"/>
        <v>0.32666164154103872</v>
      </c>
      <c r="I255" s="14">
        <f t="shared" si="22"/>
        <v>0.71360741478107859</v>
      </c>
      <c r="J255" s="14">
        <f t="shared" si="23"/>
        <v>0.47532109228187902</v>
      </c>
      <c r="K255" s="14">
        <f t="shared" si="24"/>
        <v>0.14549161073825498</v>
      </c>
      <c r="L255" s="12" t="str">
        <f t="shared" si="25"/>
        <v/>
      </c>
      <c r="M255" s="12" t="str">
        <f t="shared" si="26"/>
        <v/>
      </c>
    </row>
    <row r="256" spans="1:13" ht="31.5">
      <c r="A256" s="3">
        <v>247</v>
      </c>
      <c r="B256" s="11" t="s">
        <v>71</v>
      </c>
      <c r="C256" s="3">
        <v>5</v>
      </c>
      <c r="D256" s="3">
        <v>4</v>
      </c>
      <c r="E256" s="11" t="s">
        <v>318</v>
      </c>
      <c r="F256" s="14">
        <v>0.16500000000000001</v>
      </c>
      <c r="G256" s="14">
        <f t="shared" si="27"/>
        <v>9.9999999999999811E-3</v>
      </c>
      <c r="H256" s="14">
        <f t="shared" si="21"/>
        <v>0.32666164154103872</v>
      </c>
      <c r="I256" s="14">
        <f t="shared" si="22"/>
        <v>0.71360741478107859</v>
      </c>
      <c r="J256" s="14">
        <f t="shared" si="23"/>
        <v>0.47532109228187902</v>
      </c>
      <c r="K256" s="14">
        <f t="shared" si="24"/>
        <v>0.14549161073825498</v>
      </c>
      <c r="L256" s="12" t="str">
        <f t="shared" si="25"/>
        <v/>
      </c>
      <c r="M256" s="12" t="str">
        <f t="shared" si="26"/>
        <v/>
      </c>
    </row>
    <row r="257" spans="1:13" ht="31.5">
      <c r="A257" s="3">
        <v>248</v>
      </c>
      <c r="B257" s="11" t="s">
        <v>71</v>
      </c>
      <c r="C257" s="3">
        <v>5</v>
      </c>
      <c r="D257" s="3">
        <v>3</v>
      </c>
      <c r="E257" s="11" t="s">
        <v>319</v>
      </c>
      <c r="F257" s="14">
        <v>0.14899999999999999</v>
      </c>
      <c r="G257" s="14">
        <f t="shared" si="27"/>
        <v>1.6000000000000014E-2</v>
      </c>
      <c r="H257" s="14">
        <f t="shared" si="21"/>
        <v>0.32666164154103872</v>
      </c>
      <c r="I257" s="14">
        <f t="shared" si="22"/>
        <v>0.71360741478107859</v>
      </c>
      <c r="J257" s="14">
        <f t="shared" si="23"/>
        <v>0.47532109228187902</v>
      </c>
      <c r="K257" s="14">
        <f t="shared" si="24"/>
        <v>0.14549161073825498</v>
      </c>
      <c r="L257" s="12" t="str">
        <f t="shared" si="25"/>
        <v/>
      </c>
      <c r="M257" s="12" t="str">
        <f t="shared" si="26"/>
        <v/>
      </c>
    </row>
    <row r="258" spans="1:13" ht="31.5">
      <c r="A258" s="3">
        <v>249</v>
      </c>
      <c r="B258" s="11" t="s">
        <v>71</v>
      </c>
      <c r="C258" s="3">
        <v>5</v>
      </c>
      <c r="D258" s="3">
        <v>2</v>
      </c>
      <c r="E258" s="11" t="s">
        <v>320</v>
      </c>
      <c r="F258" s="14">
        <v>0.33500000000000002</v>
      </c>
      <c r="G258" s="14">
        <f t="shared" si="27"/>
        <v>0.18600000000000003</v>
      </c>
      <c r="H258" s="14">
        <f t="shared" si="21"/>
        <v>0.32666164154103872</v>
      </c>
      <c r="I258" s="14">
        <f t="shared" si="22"/>
        <v>0.71360741478107859</v>
      </c>
      <c r="J258" s="14">
        <f t="shared" si="23"/>
        <v>0.47532109228187902</v>
      </c>
      <c r="K258" s="14">
        <f t="shared" si="24"/>
        <v>0.14549161073825498</v>
      </c>
      <c r="L258" s="12" t="str">
        <f t="shared" si="25"/>
        <v/>
      </c>
      <c r="M258" s="12" t="str">
        <f t="shared" si="26"/>
        <v/>
      </c>
    </row>
    <row r="259" spans="1:13" ht="31.5">
      <c r="A259" s="3">
        <v>250</v>
      </c>
      <c r="B259" s="11" t="s">
        <v>71</v>
      </c>
      <c r="C259" s="3">
        <v>5</v>
      </c>
      <c r="D259" s="3">
        <v>1</v>
      </c>
      <c r="E259" s="11" t="s">
        <v>321</v>
      </c>
      <c r="F259" s="14">
        <v>0.27400000000000002</v>
      </c>
      <c r="G259" s="14">
        <f t="shared" si="27"/>
        <v>6.0999999999999999E-2</v>
      </c>
      <c r="H259" s="14">
        <f t="shared" si="21"/>
        <v>0.32666164154103872</v>
      </c>
      <c r="I259" s="14">
        <f t="shared" si="22"/>
        <v>0.71360741478107859</v>
      </c>
      <c r="J259" s="14">
        <f t="shared" si="23"/>
        <v>0.47532109228187902</v>
      </c>
      <c r="K259" s="14">
        <f t="shared" si="24"/>
        <v>0.14549161073825498</v>
      </c>
      <c r="L259" s="12" t="str">
        <f t="shared" si="25"/>
        <v/>
      </c>
      <c r="M259" s="12" t="str">
        <f t="shared" si="26"/>
        <v/>
      </c>
    </row>
    <row r="260" spans="1:13" ht="31.5">
      <c r="A260" s="3">
        <v>251</v>
      </c>
      <c r="B260" s="11" t="s">
        <v>71</v>
      </c>
      <c r="C260" s="3">
        <v>6</v>
      </c>
      <c r="D260" s="3">
        <v>25</v>
      </c>
      <c r="E260" s="11" t="s">
        <v>322</v>
      </c>
      <c r="F260" s="14">
        <v>0.188</v>
      </c>
      <c r="G260" s="14">
        <f t="shared" si="27"/>
        <v>8.6000000000000021E-2</v>
      </c>
      <c r="H260" s="14">
        <f t="shared" si="21"/>
        <v>0.32666164154103872</v>
      </c>
      <c r="I260" s="14">
        <f t="shared" si="22"/>
        <v>0.71360741478107859</v>
      </c>
      <c r="J260" s="14">
        <f t="shared" si="23"/>
        <v>0.47532109228187902</v>
      </c>
      <c r="K260" s="14">
        <f t="shared" si="24"/>
        <v>0.14549161073825498</v>
      </c>
      <c r="L260" s="12" t="str">
        <f t="shared" si="25"/>
        <v/>
      </c>
      <c r="M260" s="12" t="str">
        <f t="shared" si="26"/>
        <v/>
      </c>
    </row>
    <row r="261" spans="1:13" ht="31.5">
      <c r="A261" s="3">
        <v>252</v>
      </c>
      <c r="B261" s="11" t="s">
        <v>71</v>
      </c>
      <c r="C261" s="3">
        <v>6</v>
      </c>
      <c r="D261" s="3">
        <v>24</v>
      </c>
      <c r="E261" s="11" t="s">
        <v>323</v>
      </c>
      <c r="F261" s="14">
        <v>0.19600000000000001</v>
      </c>
      <c r="G261" s="14">
        <f t="shared" si="27"/>
        <v>8.0000000000000071E-3</v>
      </c>
      <c r="H261" s="14">
        <f t="shared" si="21"/>
        <v>0.32666164154103872</v>
      </c>
      <c r="I261" s="14">
        <f t="shared" si="22"/>
        <v>0.71360741478107859</v>
      </c>
      <c r="J261" s="14">
        <f t="shared" si="23"/>
        <v>0.47532109228187902</v>
      </c>
      <c r="K261" s="14">
        <f t="shared" si="24"/>
        <v>0.14549161073825498</v>
      </c>
      <c r="L261" s="12" t="str">
        <f t="shared" si="25"/>
        <v/>
      </c>
      <c r="M261" s="12" t="str">
        <f t="shared" si="26"/>
        <v/>
      </c>
    </row>
    <row r="262" spans="1:13" ht="31.5">
      <c r="A262" s="3">
        <v>253</v>
      </c>
      <c r="B262" s="11" t="s">
        <v>71</v>
      </c>
      <c r="C262" s="3">
        <v>6</v>
      </c>
      <c r="D262" s="3">
        <v>23</v>
      </c>
      <c r="E262" s="11" t="s">
        <v>324</v>
      </c>
      <c r="F262" s="14">
        <v>0.312</v>
      </c>
      <c r="G262" s="14">
        <f t="shared" si="27"/>
        <v>0.11599999999999999</v>
      </c>
      <c r="H262" s="14">
        <f t="shared" si="21"/>
        <v>0.32666164154103872</v>
      </c>
      <c r="I262" s="14">
        <f t="shared" si="22"/>
        <v>0.71360741478107859</v>
      </c>
      <c r="J262" s="14">
        <f t="shared" si="23"/>
        <v>0.47532109228187902</v>
      </c>
      <c r="K262" s="14">
        <f t="shared" si="24"/>
        <v>0.14549161073825498</v>
      </c>
      <c r="L262" s="12" t="str">
        <f t="shared" si="25"/>
        <v/>
      </c>
      <c r="M262" s="12" t="str">
        <f t="shared" si="26"/>
        <v/>
      </c>
    </row>
    <row r="263" spans="1:13" ht="31.5">
      <c r="A263" s="3">
        <v>254</v>
      </c>
      <c r="B263" s="11" t="s">
        <v>71</v>
      </c>
      <c r="C263" s="3">
        <v>6</v>
      </c>
      <c r="D263" s="3">
        <v>22</v>
      </c>
      <c r="E263" s="11" t="s">
        <v>325</v>
      </c>
      <c r="F263" s="14">
        <v>0.45800000000000002</v>
      </c>
      <c r="G263" s="14">
        <f t="shared" si="27"/>
        <v>0.14600000000000002</v>
      </c>
      <c r="H263" s="14">
        <f t="shared" si="21"/>
        <v>0.32666164154103872</v>
      </c>
      <c r="I263" s="14">
        <f t="shared" si="22"/>
        <v>0.71360741478107859</v>
      </c>
      <c r="J263" s="14">
        <f t="shared" si="23"/>
        <v>0.47532109228187902</v>
      </c>
      <c r="K263" s="14">
        <f t="shared" si="24"/>
        <v>0.14549161073825498</v>
      </c>
      <c r="L263" s="12" t="str">
        <f t="shared" si="25"/>
        <v/>
      </c>
      <c r="M263" s="12" t="str">
        <f t="shared" si="26"/>
        <v/>
      </c>
    </row>
    <row r="264" spans="1:13" ht="31.5">
      <c r="A264" s="3">
        <v>255</v>
      </c>
      <c r="B264" s="11" t="s">
        <v>71</v>
      </c>
      <c r="C264" s="3">
        <v>6</v>
      </c>
      <c r="D264" s="3">
        <v>21</v>
      </c>
      <c r="E264" s="11" t="s">
        <v>326</v>
      </c>
      <c r="F264" s="14">
        <v>0.27400000000000002</v>
      </c>
      <c r="G264" s="14">
        <f t="shared" si="27"/>
        <v>0.184</v>
      </c>
      <c r="H264" s="14">
        <f t="shared" si="21"/>
        <v>0.32666164154103872</v>
      </c>
      <c r="I264" s="14">
        <f t="shared" si="22"/>
        <v>0.71360741478107859</v>
      </c>
      <c r="J264" s="14">
        <f t="shared" si="23"/>
        <v>0.47532109228187902</v>
      </c>
      <c r="K264" s="14">
        <f t="shared" si="24"/>
        <v>0.14549161073825498</v>
      </c>
      <c r="L264" s="12" t="str">
        <f t="shared" si="25"/>
        <v/>
      </c>
      <c r="M264" s="12" t="str">
        <f t="shared" si="26"/>
        <v/>
      </c>
    </row>
    <row r="265" spans="1:13" ht="31.5">
      <c r="A265" s="3">
        <v>256</v>
      </c>
      <c r="B265" s="11" t="s">
        <v>71</v>
      </c>
      <c r="C265" s="3">
        <v>6</v>
      </c>
      <c r="D265" s="3">
        <v>20</v>
      </c>
      <c r="E265" s="11" t="s">
        <v>327</v>
      </c>
      <c r="F265" s="14">
        <v>0.89200000000000002</v>
      </c>
      <c r="G265" s="14">
        <f t="shared" si="27"/>
        <v>0.61799999999999999</v>
      </c>
      <c r="H265" s="14">
        <f t="shared" si="21"/>
        <v>0.32666164154103872</v>
      </c>
      <c r="I265" s="14">
        <f t="shared" si="22"/>
        <v>0.71360741478107859</v>
      </c>
      <c r="J265" s="14">
        <f t="shared" si="23"/>
        <v>0.47532109228187902</v>
      </c>
      <c r="K265" s="14">
        <f t="shared" si="24"/>
        <v>0.14549161073825498</v>
      </c>
      <c r="L265" s="12" t="str">
        <f t="shared" si="25"/>
        <v>OOC</v>
      </c>
      <c r="M265" s="12" t="str">
        <f t="shared" si="26"/>
        <v/>
      </c>
    </row>
    <row r="266" spans="1:13" ht="31.5">
      <c r="A266" s="3">
        <v>257</v>
      </c>
      <c r="B266" s="11" t="s">
        <v>71</v>
      </c>
      <c r="C266" s="3">
        <v>6</v>
      </c>
      <c r="D266" s="3">
        <v>19</v>
      </c>
      <c r="E266" s="11" t="s">
        <v>328</v>
      </c>
      <c r="F266" s="14">
        <v>0.495</v>
      </c>
      <c r="G266" s="14">
        <f t="shared" si="27"/>
        <v>0.39700000000000002</v>
      </c>
      <c r="H266" s="14">
        <f t="shared" si="21"/>
        <v>0.32666164154103872</v>
      </c>
      <c r="I266" s="14">
        <f t="shared" si="22"/>
        <v>0.71360741478107859</v>
      </c>
      <c r="J266" s="14">
        <f t="shared" si="23"/>
        <v>0.47532109228187902</v>
      </c>
      <c r="K266" s="14">
        <f t="shared" si="24"/>
        <v>0.14549161073825498</v>
      </c>
      <c r="L266" s="12" t="str">
        <f t="shared" si="25"/>
        <v/>
      </c>
      <c r="M266" s="12" t="str">
        <f t="shared" si="26"/>
        <v/>
      </c>
    </row>
    <row r="267" spans="1:13" ht="31.5">
      <c r="A267" s="3">
        <v>258</v>
      </c>
      <c r="B267" s="11" t="s">
        <v>71</v>
      </c>
      <c r="C267" s="3">
        <v>6</v>
      </c>
      <c r="D267" s="3">
        <v>18</v>
      </c>
      <c r="E267" s="11" t="s">
        <v>329</v>
      </c>
      <c r="F267" s="14">
        <v>0.17699999999999999</v>
      </c>
      <c r="G267" s="14">
        <f t="shared" si="27"/>
        <v>0.318</v>
      </c>
      <c r="H267" s="14">
        <f t="shared" ref="H267:H330" si="28">$F$4</f>
        <v>0.32666164154103872</v>
      </c>
      <c r="I267" s="14">
        <f t="shared" ref="I267:I330" si="29">$F$7</f>
        <v>0.71360741478107859</v>
      </c>
      <c r="J267" s="14">
        <f t="shared" ref="J267:J330" si="30">$F$8</f>
        <v>0.47532109228187902</v>
      </c>
      <c r="K267" s="14">
        <f t="shared" ref="K267:K330" si="31">$F$5</f>
        <v>0.14549161073825498</v>
      </c>
      <c r="L267" s="12" t="str">
        <f t="shared" ref="L267:L330" si="32">IF(F267&gt;$F$7,"OOC","" )</f>
        <v/>
      </c>
      <c r="M267" s="12" t="str">
        <f t="shared" ref="M267:M330" si="33">IF(F267&gt;$B$4,"OOS","" )</f>
        <v/>
      </c>
    </row>
    <row r="268" spans="1:13" ht="31.5">
      <c r="A268" s="3">
        <v>259</v>
      </c>
      <c r="B268" s="11" t="s">
        <v>71</v>
      </c>
      <c r="C268" s="3">
        <v>6</v>
      </c>
      <c r="D268" s="3">
        <v>17</v>
      </c>
      <c r="E268" s="11" t="s">
        <v>330</v>
      </c>
      <c r="F268" s="14">
        <v>0.35599999999999998</v>
      </c>
      <c r="G268" s="14">
        <f t="shared" ref="G268:G331" si="34">ABS(F268-F267)</f>
        <v>0.17899999999999999</v>
      </c>
      <c r="H268" s="14">
        <f t="shared" si="28"/>
        <v>0.32666164154103872</v>
      </c>
      <c r="I268" s="14">
        <f t="shared" si="29"/>
        <v>0.71360741478107859</v>
      </c>
      <c r="J268" s="14">
        <f t="shared" si="30"/>
        <v>0.47532109228187902</v>
      </c>
      <c r="K268" s="14">
        <f t="shared" si="31"/>
        <v>0.14549161073825498</v>
      </c>
      <c r="L268" s="12" t="str">
        <f t="shared" si="32"/>
        <v/>
      </c>
      <c r="M268" s="12" t="str">
        <f t="shared" si="33"/>
        <v/>
      </c>
    </row>
    <row r="269" spans="1:13" ht="31.5">
      <c r="A269" s="3">
        <v>260</v>
      </c>
      <c r="B269" s="11" t="s">
        <v>71</v>
      </c>
      <c r="C269" s="3">
        <v>6</v>
      </c>
      <c r="D269" s="3">
        <v>16</v>
      </c>
      <c r="E269" s="11" t="s">
        <v>331</v>
      </c>
      <c r="F269" s="14">
        <v>0.19600000000000001</v>
      </c>
      <c r="G269" s="14">
        <f t="shared" si="34"/>
        <v>0.15999999999999998</v>
      </c>
      <c r="H269" s="14">
        <f t="shared" si="28"/>
        <v>0.32666164154103872</v>
      </c>
      <c r="I269" s="14">
        <f t="shared" si="29"/>
        <v>0.71360741478107859</v>
      </c>
      <c r="J269" s="14">
        <f t="shared" si="30"/>
        <v>0.47532109228187902</v>
      </c>
      <c r="K269" s="14">
        <f t="shared" si="31"/>
        <v>0.14549161073825498</v>
      </c>
      <c r="L269" s="12" t="str">
        <f t="shared" si="32"/>
        <v/>
      </c>
      <c r="M269" s="12" t="str">
        <f t="shared" si="33"/>
        <v/>
      </c>
    </row>
    <row r="270" spans="1:13" ht="31.5">
      <c r="A270" s="3">
        <v>261</v>
      </c>
      <c r="B270" s="11" t="s">
        <v>71</v>
      </c>
      <c r="C270" s="3">
        <v>6</v>
      </c>
      <c r="D270" s="3">
        <v>15</v>
      </c>
      <c r="E270" s="11" t="s">
        <v>332</v>
      </c>
      <c r="F270" s="14">
        <v>0.47499999999999998</v>
      </c>
      <c r="G270" s="14">
        <f t="shared" si="34"/>
        <v>0.27899999999999997</v>
      </c>
      <c r="H270" s="14">
        <f t="shared" si="28"/>
        <v>0.32666164154103872</v>
      </c>
      <c r="I270" s="14">
        <f t="shared" si="29"/>
        <v>0.71360741478107859</v>
      </c>
      <c r="J270" s="14">
        <f t="shared" si="30"/>
        <v>0.47532109228187902</v>
      </c>
      <c r="K270" s="14">
        <f t="shared" si="31"/>
        <v>0.14549161073825498</v>
      </c>
      <c r="L270" s="12" t="str">
        <f t="shared" si="32"/>
        <v/>
      </c>
      <c r="M270" s="12" t="str">
        <f t="shared" si="33"/>
        <v/>
      </c>
    </row>
    <row r="271" spans="1:13" ht="31.5">
      <c r="A271" s="3">
        <v>262</v>
      </c>
      <c r="B271" s="11" t="s">
        <v>71</v>
      </c>
      <c r="C271" s="3">
        <v>6</v>
      </c>
      <c r="D271" s="3">
        <v>14</v>
      </c>
      <c r="E271" s="11" t="s">
        <v>333</v>
      </c>
      <c r="F271" s="14">
        <v>0.188</v>
      </c>
      <c r="G271" s="14">
        <f t="shared" si="34"/>
        <v>0.28699999999999998</v>
      </c>
      <c r="H271" s="14">
        <f t="shared" si="28"/>
        <v>0.32666164154103872</v>
      </c>
      <c r="I271" s="14">
        <f t="shared" si="29"/>
        <v>0.71360741478107859</v>
      </c>
      <c r="J271" s="14">
        <f t="shared" si="30"/>
        <v>0.47532109228187902</v>
      </c>
      <c r="K271" s="14">
        <f t="shared" si="31"/>
        <v>0.14549161073825498</v>
      </c>
      <c r="L271" s="12" t="str">
        <f t="shared" si="32"/>
        <v/>
      </c>
      <c r="M271" s="12" t="str">
        <f t="shared" si="33"/>
        <v/>
      </c>
    </row>
    <row r="272" spans="1:13" ht="31.5">
      <c r="A272" s="3">
        <v>263</v>
      </c>
      <c r="B272" s="11" t="s">
        <v>71</v>
      </c>
      <c r="C272" s="3">
        <v>6</v>
      </c>
      <c r="D272" s="3">
        <v>13</v>
      </c>
      <c r="E272" s="11" t="s">
        <v>334</v>
      </c>
      <c r="F272" s="14">
        <v>0.124</v>
      </c>
      <c r="G272" s="14">
        <f t="shared" si="34"/>
        <v>6.4000000000000001E-2</v>
      </c>
      <c r="H272" s="14">
        <f t="shared" si="28"/>
        <v>0.32666164154103872</v>
      </c>
      <c r="I272" s="14">
        <f t="shared" si="29"/>
        <v>0.71360741478107859</v>
      </c>
      <c r="J272" s="14">
        <f t="shared" si="30"/>
        <v>0.47532109228187902</v>
      </c>
      <c r="K272" s="14">
        <f t="shared" si="31"/>
        <v>0.14549161073825498</v>
      </c>
      <c r="L272" s="12" t="str">
        <f t="shared" si="32"/>
        <v/>
      </c>
      <c r="M272" s="12" t="str">
        <f t="shared" si="33"/>
        <v/>
      </c>
    </row>
    <row r="273" spans="1:13" ht="31.5">
      <c r="A273" s="3">
        <v>264</v>
      </c>
      <c r="B273" s="11" t="s">
        <v>71</v>
      </c>
      <c r="C273" s="3">
        <v>6</v>
      </c>
      <c r="D273" s="3">
        <v>12</v>
      </c>
      <c r="E273" s="11" t="s">
        <v>335</v>
      </c>
      <c r="F273" s="14">
        <v>0.40300000000000002</v>
      </c>
      <c r="G273" s="14">
        <f t="shared" si="34"/>
        <v>0.27900000000000003</v>
      </c>
      <c r="H273" s="14">
        <f t="shared" si="28"/>
        <v>0.32666164154103872</v>
      </c>
      <c r="I273" s="14">
        <f t="shared" si="29"/>
        <v>0.71360741478107859</v>
      </c>
      <c r="J273" s="14">
        <f t="shared" si="30"/>
        <v>0.47532109228187902</v>
      </c>
      <c r="K273" s="14">
        <f t="shared" si="31"/>
        <v>0.14549161073825498</v>
      </c>
      <c r="L273" s="12" t="str">
        <f t="shared" si="32"/>
        <v/>
      </c>
      <c r="M273" s="12" t="str">
        <f t="shared" si="33"/>
        <v/>
      </c>
    </row>
    <row r="274" spans="1:13" ht="31.5">
      <c r="A274" s="3">
        <v>265</v>
      </c>
      <c r="B274" s="11" t="s">
        <v>71</v>
      </c>
      <c r="C274" s="3">
        <v>6</v>
      </c>
      <c r="D274" s="3">
        <v>11</v>
      </c>
      <c r="E274" s="11" t="s">
        <v>336</v>
      </c>
      <c r="F274" s="14">
        <v>0.34799999999999998</v>
      </c>
      <c r="G274" s="14">
        <f t="shared" si="34"/>
        <v>5.5000000000000049E-2</v>
      </c>
      <c r="H274" s="14">
        <f t="shared" si="28"/>
        <v>0.32666164154103872</v>
      </c>
      <c r="I274" s="14">
        <f t="shared" si="29"/>
        <v>0.71360741478107859</v>
      </c>
      <c r="J274" s="14">
        <f t="shared" si="30"/>
        <v>0.47532109228187902</v>
      </c>
      <c r="K274" s="14">
        <f t="shared" si="31"/>
        <v>0.14549161073825498</v>
      </c>
      <c r="L274" s="12" t="str">
        <f t="shared" si="32"/>
        <v/>
      </c>
      <c r="M274" s="12" t="str">
        <f t="shared" si="33"/>
        <v/>
      </c>
    </row>
    <row r="275" spans="1:13" ht="31.5">
      <c r="A275" s="3">
        <v>266</v>
      </c>
      <c r="B275" s="11" t="s">
        <v>71</v>
      </c>
      <c r="C275" s="3">
        <v>6</v>
      </c>
      <c r="D275" s="3">
        <v>10</v>
      </c>
      <c r="E275" s="11" t="s">
        <v>337</v>
      </c>
      <c r="F275" s="14">
        <v>0.26200000000000001</v>
      </c>
      <c r="G275" s="14">
        <f t="shared" si="34"/>
        <v>8.5999999999999965E-2</v>
      </c>
      <c r="H275" s="14">
        <f t="shared" si="28"/>
        <v>0.32666164154103872</v>
      </c>
      <c r="I275" s="14">
        <f t="shared" si="29"/>
        <v>0.71360741478107859</v>
      </c>
      <c r="J275" s="14">
        <f t="shared" si="30"/>
        <v>0.47532109228187902</v>
      </c>
      <c r="K275" s="14">
        <f t="shared" si="31"/>
        <v>0.14549161073825498</v>
      </c>
      <c r="L275" s="12" t="str">
        <f t="shared" si="32"/>
        <v/>
      </c>
      <c r="M275" s="12" t="str">
        <f t="shared" si="33"/>
        <v/>
      </c>
    </row>
    <row r="276" spans="1:13" ht="31.5">
      <c r="A276" s="3">
        <v>267</v>
      </c>
      <c r="B276" s="11" t="s">
        <v>71</v>
      </c>
      <c r="C276" s="3">
        <v>6</v>
      </c>
      <c r="D276" s="3">
        <v>9</v>
      </c>
      <c r="E276" s="11" t="s">
        <v>338</v>
      </c>
      <c r="F276" s="14">
        <v>0.24</v>
      </c>
      <c r="G276" s="14">
        <f t="shared" si="34"/>
        <v>2.200000000000002E-2</v>
      </c>
      <c r="H276" s="14">
        <f t="shared" si="28"/>
        <v>0.32666164154103872</v>
      </c>
      <c r="I276" s="14">
        <f t="shared" si="29"/>
        <v>0.71360741478107859</v>
      </c>
      <c r="J276" s="14">
        <f t="shared" si="30"/>
        <v>0.47532109228187902</v>
      </c>
      <c r="K276" s="14">
        <f t="shared" si="31"/>
        <v>0.14549161073825498</v>
      </c>
      <c r="L276" s="12" t="str">
        <f t="shared" si="32"/>
        <v/>
      </c>
      <c r="M276" s="12" t="str">
        <f t="shared" si="33"/>
        <v/>
      </c>
    </row>
    <row r="277" spans="1:13" ht="31.5">
      <c r="A277" s="3">
        <v>268</v>
      </c>
      <c r="B277" s="11" t="s">
        <v>71</v>
      </c>
      <c r="C277" s="3">
        <v>6</v>
      </c>
      <c r="D277" s="3">
        <v>8</v>
      </c>
      <c r="E277" s="11" t="s">
        <v>339</v>
      </c>
      <c r="F277" s="14">
        <v>3.5999999999999997E-2</v>
      </c>
      <c r="G277" s="14">
        <f t="shared" si="34"/>
        <v>0.20399999999999999</v>
      </c>
      <c r="H277" s="14">
        <f t="shared" si="28"/>
        <v>0.32666164154103872</v>
      </c>
      <c r="I277" s="14">
        <f t="shared" si="29"/>
        <v>0.71360741478107859</v>
      </c>
      <c r="J277" s="14">
        <f t="shared" si="30"/>
        <v>0.47532109228187902</v>
      </c>
      <c r="K277" s="14">
        <f t="shared" si="31"/>
        <v>0.14549161073825498</v>
      </c>
      <c r="L277" s="12" t="str">
        <f t="shared" si="32"/>
        <v/>
      </c>
      <c r="M277" s="12" t="str">
        <f t="shared" si="33"/>
        <v/>
      </c>
    </row>
    <row r="278" spans="1:13" ht="31.5">
      <c r="A278" s="3">
        <v>269</v>
      </c>
      <c r="B278" s="11" t="s">
        <v>71</v>
      </c>
      <c r="C278" s="3">
        <v>6</v>
      </c>
      <c r="D278" s="3">
        <v>7</v>
      </c>
      <c r="E278" s="11" t="s">
        <v>340</v>
      </c>
      <c r="F278" s="14">
        <v>0.65500000000000003</v>
      </c>
      <c r="G278" s="14">
        <f t="shared" si="34"/>
        <v>0.61899999999999999</v>
      </c>
      <c r="H278" s="14">
        <f t="shared" si="28"/>
        <v>0.32666164154103872</v>
      </c>
      <c r="I278" s="14">
        <f t="shared" si="29"/>
        <v>0.71360741478107859</v>
      </c>
      <c r="J278" s="14">
        <f t="shared" si="30"/>
        <v>0.47532109228187902</v>
      </c>
      <c r="K278" s="14">
        <f t="shared" si="31"/>
        <v>0.14549161073825498</v>
      </c>
      <c r="L278" s="12" t="str">
        <f t="shared" si="32"/>
        <v/>
      </c>
      <c r="M278" s="12" t="str">
        <f t="shared" si="33"/>
        <v/>
      </c>
    </row>
    <row r="279" spans="1:13" ht="31.5">
      <c r="A279" s="3">
        <v>270</v>
      </c>
      <c r="B279" s="11" t="s">
        <v>71</v>
      </c>
      <c r="C279" s="3">
        <v>6</v>
      </c>
      <c r="D279" s="3">
        <v>6</v>
      </c>
      <c r="E279" s="11" t="s">
        <v>341</v>
      </c>
      <c r="F279" s="14">
        <v>0.193</v>
      </c>
      <c r="G279" s="14">
        <f t="shared" si="34"/>
        <v>0.46200000000000002</v>
      </c>
      <c r="H279" s="14">
        <f t="shared" si="28"/>
        <v>0.32666164154103872</v>
      </c>
      <c r="I279" s="14">
        <f t="shared" si="29"/>
        <v>0.71360741478107859</v>
      </c>
      <c r="J279" s="14">
        <f t="shared" si="30"/>
        <v>0.47532109228187902</v>
      </c>
      <c r="K279" s="14">
        <f t="shared" si="31"/>
        <v>0.14549161073825498</v>
      </c>
      <c r="L279" s="12" t="str">
        <f t="shared" si="32"/>
        <v/>
      </c>
      <c r="M279" s="12" t="str">
        <f t="shared" si="33"/>
        <v/>
      </c>
    </row>
    <row r="280" spans="1:13" ht="31.5">
      <c r="A280" s="3">
        <v>271</v>
      </c>
      <c r="B280" s="11" t="s">
        <v>71</v>
      </c>
      <c r="C280" s="3">
        <v>6</v>
      </c>
      <c r="D280" s="3">
        <v>5</v>
      </c>
      <c r="E280" s="11" t="s">
        <v>342</v>
      </c>
      <c r="F280" s="14">
        <v>0.376</v>
      </c>
      <c r="G280" s="14">
        <f t="shared" si="34"/>
        <v>0.183</v>
      </c>
      <c r="H280" s="14">
        <f t="shared" si="28"/>
        <v>0.32666164154103872</v>
      </c>
      <c r="I280" s="14">
        <f t="shared" si="29"/>
        <v>0.71360741478107859</v>
      </c>
      <c r="J280" s="14">
        <f t="shared" si="30"/>
        <v>0.47532109228187902</v>
      </c>
      <c r="K280" s="14">
        <f t="shared" si="31"/>
        <v>0.14549161073825498</v>
      </c>
      <c r="L280" s="12" t="str">
        <f t="shared" si="32"/>
        <v/>
      </c>
      <c r="M280" s="12" t="str">
        <f t="shared" si="33"/>
        <v/>
      </c>
    </row>
    <row r="281" spans="1:13" ht="31.5">
      <c r="A281" s="3">
        <v>272</v>
      </c>
      <c r="B281" s="11" t="s">
        <v>71</v>
      </c>
      <c r="C281" s="3">
        <v>6</v>
      </c>
      <c r="D281" s="3">
        <v>4</v>
      </c>
      <c r="E281" s="11" t="s">
        <v>343</v>
      </c>
      <c r="F281" s="14">
        <v>0.438</v>
      </c>
      <c r="G281" s="14">
        <f t="shared" si="34"/>
        <v>6.2E-2</v>
      </c>
      <c r="H281" s="14">
        <f t="shared" si="28"/>
        <v>0.32666164154103872</v>
      </c>
      <c r="I281" s="14">
        <f t="shared" si="29"/>
        <v>0.71360741478107859</v>
      </c>
      <c r="J281" s="14">
        <f t="shared" si="30"/>
        <v>0.47532109228187902</v>
      </c>
      <c r="K281" s="14">
        <f t="shared" si="31"/>
        <v>0.14549161073825498</v>
      </c>
      <c r="L281" s="12" t="str">
        <f t="shared" si="32"/>
        <v/>
      </c>
      <c r="M281" s="12" t="str">
        <f t="shared" si="33"/>
        <v/>
      </c>
    </row>
    <row r="282" spans="1:13" ht="31.5">
      <c r="A282" s="3">
        <v>273</v>
      </c>
      <c r="B282" s="11" t="s">
        <v>71</v>
      </c>
      <c r="C282" s="3">
        <v>6</v>
      </c>
      <c r="D282" s="3">
        <v>3</v>
      </c>
      <c r="E282" s="11" t="s">
        <v>344</v>
      </c>
      <c r="F282" s="14">
        <v>0.32300000000000001</v>
      </c>
      <c r="G282" s="14">
        <f t="shared" si="34"/>
        <v>0.11499999999999999</v>
      </c>
      <c r="H282" s="14">
        <f t="shared" si="28"/>
        <v>0.32666164154103872</v>
      </c>
      <c r="I282" s="14">
        <f t="shared" si="29"/>
        <v>0.71360741478107859</v>
      </c>
      <c r="J282" s="14">
        <f t="shared" si="30"/>
        <v>0.47532109228187902</v>
      </c>
      <c r="K282" s="14">
        <f t="shared" si="31"/>
        <v>0.14549161073825498</v>
      </c>
      <c r="L282" s="12" t="str">
        <f t="shared" si="32"/>
        <v/>
      </c>
      <c r="M282" s="12" t="str">
        <f t="shared" si="33"/>
        <v/>
      </c>
    </row>
    <row r="283" spans="1:13" ht="31.5">
      <c r="A283" s="3">
        <v>274</v>
      </c>
      <c r="B283" s="11" t="s">
        <v>71</v>
      </c>
      <c r="C283" s="3">
        <v>6</v>
      </c>
      <c r="D283" s="3">
        <v>2</v>
      </c>
      <c r="E283" s="11" t="s">
        <v>345</v>
      </c>
      <c r="F283" s="14">
        <v>0.24099999999999999</v>
      </c>
      <c r="G283" s="14">
        <f t="shared" si="34"/>
        <v>8.2000000000000017E-2</v>
      </c>
      <c r="H283" s="14">
        <f t="shared" si="28"/>
        <v>0.32666164154103872</v>
      </c>
      <c r="I283" s="14">
        <f t="shared" si="29"/>
        <v>0.71360741478107859</v>
      </c>
      <c r="J283" s="14">
        <f t="shared" si="30"/>
        <v>0.47532109228187902</v>
      </c>
      <c r="K283" s="14">
        <f t="shared" si="31"/>
        <v>0.14549161073825498</v>
      </c>
      <c r="L283" s="12" t="str">
        <f t="shared" si="32"/>
        <v/>
      </c>
      <c r="M283" s="12" t="str">
        <f t="shared" si="33"/>
        <v/>
      </c>
    </row>
    <row r="284" spans="1:13" ht="31.5">
      <c r="A284" s="3">
        <v>275</v>
      </c>
      <c r="B284" s="11" t="s">
        <v>71</v>
      </c>
      <c r="C284" s="3">
        <v>6</v>
      </c>
      <c r="D284" s="3">
        <v>1</v>
      </c>
      <c r="E284" s="11" t="s">
        <v>346</v>
      </c>
      <c r="F284" s="14">
        <v>0.33100000000000002</v>
      </c>
      <c r="G284" s="14">
        <f t="shared" si="34"/>
        <v>9.0000000000000024E-2</v>
      </c>
      <c r="H284" s="14">
        <f t="shared" si="28"/>
        <v>0.32666164154103872</v>
      </c>
      <c r="I284" s="14">
        <f t="shared" si="29"/>
        <v>0.71360741478107859</v>
      </c>
      <c r="J284" s="14">
        <f t="shared" si="30"/>
        <v>0.47532109228187902</v>
      </c>
      <c r="K284" s="14">
        <f t="shared" si="31"/>
        <v>0.14549161073825498</v>
      </c>
      <c r="L284" s="12" t="str">
        <f t="shared" si="32"/>
        <v/>
      </c>
      <c r="M284" s="12" t="str">
        <f t="shared" si="33"/>
        <v/>
      </c>
    </row>
    <row r="285" spans="1:13" ht="31.5">
      <c r="A285" s="3">
        <v>276</v>
      </c>
      <c r="B285" s="11" t="s">
        <v>71</v>
      </c>
      <c r="C285" s="3">
        <v>6</v>
      </c>
      <c r="D285" s="3">
        <v>25</v>
      </c>
      <c r="E285" s="11" t="s">
        <v>347</v>
      </c>
      <c r="F285" s="14">
        <v>0.43</v>
      </c>
      <c r="G285" s="14">
        <f t="shared" si="34"/>
        <v>9.8999999999999977E-2</v>
      </c>
      <c r="H285" s="14">
        <f t="shared" si="28"/>
        <v>0.32666164154103872</v>
      </c>
      <c r="I285" s="14">
        <f t="shared" si="29"/>
        <v>0.71360741478107859</v>
      </c>
      <c r="J285" s="14">
        <f t="shared" si="30"/>
        <v>0.47532109228187902</v>
      </c>
      <c r="K285" s="14">
        <f t="shared" si="31"/>
        <v>0.14549161073825498</v>
      </c>
      <c r="L285" s="12" t="str">
        <f t="shared" si="32"/>
        <v/>
      </c>
      <c r="M285" s="12" t="str">
        <f t="shared" si="33"/>
        <v/>
      </c>
    </row>
    <row r="286" spans="1:13" ht="31.5">
      <c r="A286" s="3">
        <v>277</v>
      </c>
      <c r="B286" s="11" t="s">
        <v>71</v>
      </c>
      <c r="C286" s="3">
        <v>6</v>
      </c>
      <c r="D286" s="3">
        <v>24</v>
      </c>
      <c r="E286" s="11" t="s">
        <v>348</v>
      </c>
      <c r="F286" s="14">
        <v>0.23899999999999999</v>
      </c>
      <c r="G286" s="14">
        <f t="shared" si="34"/>
        <v>0.191</v>
      </c>
      <c r="H286" s="14">
        <f t="shared" si="28"/>
        <v>0.32666164154103872</v>
      </c>
      <c r="I286" s="14">
        <f t="shared" si="29"/>
        <v>0.71360741478107859</v>
      </c>
      <c r="J286" s="14">
        <f t="shared" si="30"/>
        <v>0.47532109228187902</v>
      </c>
      <c r="K286" s="14">
        <f t="shared" si="31"/>
        <v>0.14549161073825498</v>
      </c>
      <c r="L286" s="12" t="str">
        <f t="shared" si="32"/>
        <v/>
      </c>
      <c r="M286" s="12" t="str">
        <f t="shared" si="33"/>
        <v/>
      </c>
    </row>
    <row r="287" spans="1:13" ht="31.5">
      <c r="A287" s="3">
        <v>278</v>
      </c>
      <c r="B287" s="11" t="s">
        <v>71</v>
      </c>
      <c r="C287" s="3">
        <v>6</v>
      </c>
      <c r="D287" s="3">
        <v>23</v>
      </c>
      <c r="E287" s="11" t="s">
        <v>349</v>
      </c>
      <c r="F287" s="14">
        <v>0.21299999999999999</v>
      </c>
      <c r="G287" s="14">
        <f t="shared" si="34"/>
        <v>2.5999999999999995E-2</v>
      </c>
      <c r="H287" s="14">
        <f t="shared" si="28"/>
        <v>0.32666164154103872</v>
      </c>
      <c r="I287" s="14">
        <f t="shared" si="29"/>
        <v>0.71360741478107859</v>
      </c>
      <c r="J287" s="14">
        <f t="shared" si="30"/>
        <v>0.47532109228187902</v>
      </c>
      <c r="K287" s="14">
        <f t="shared" si="31"/>
        <v>0.14549161073825498</v>
      </c>
      <c r="L287" s="12" t="str">
        <f t="shared" si="32"/>
        <v/>
      </c>
      <c r="M287" s="12" t="str">
        <f t="shared" si="33"/>
        <v/>
      </c>
    </row>
    <row r="288" spans="1:13" ht="31.5">
      <c r="A288" s="3">
        <v>279</v>
      </c>
      <c r="B288" s="11" t="s">
        <v>71</v>
      </c>
      <c r="C288" s="3">
        <v>6</v>
      </c>
      <c r="D288" s="3">
        <v>22</v>
      </c>
      <c r="E288" s="11" t="s">
        <v>350</v>
      </c>
      <c r="F288" s="14">
        <v>0.15</v>
      </c>
      <c r="G288" s="14">
        <f t="shared" si="34"/>
        <v>6.3E-2</v>
      </c>
      <c r="H288" s="14">
        <f t="shared" si="28"/>
        <v>0.32666164154103872</v>
      </c>
      <c r="I288" s="14">
        <f t="shared" si="29"/>
        <v>0.71360741478107859</v>
      </c>
      <c r="J288" s="14">
        <f t="shared" si="30"/>
        <v>0.47532109228187902</v>
      </c>
      <c r="K288" s="14">
        <f t="shared" si="31"/>
        <v>0.14549161073825498</v>
      </c>
      <c r="L288" s="12" t="str">
        <f t="shared" si="32"/>
        <v/>
      </c>
      <c r="M288" s="12" t="str">
        <f t="shared" si="33"/>
        <v/>
      </c>
    </row>
    <row r="289" spans="1:13" ht="31.5">
      <c r="A289" s="3">
        <v>280</v>
      </c>
      <c r="B289" s="11" t="s">
        <v>71</v>
      </c>
      <c r="C289" s="3">
        <v>6</v>
      </c>
      <c r="D289" s="3">
        <v>21</v>
      </c>
      <c r="E289" s="11" t="s">
        <v>351</v>
      </c>
      <c r="F289" s="14">
        <v>0.154</v>
      </c>
      <c r="G289" s="14">
        <f t="shared" si="34"/>
        <v>4.0000000000000036E-3</v>
      </c>
      <c r="H289" s="14">
        <f t="shared" si="28"/>
        <v>0.32666164154103872</v>
      </c>
      <c r="I289" s="14">
        <f t="shared" si="29"/>
        <v>0.71360741478107859</v>
      </c>
      <c r="J289" s="14">
        <f t="shared" si="30"/>
        <v>0.47532109228187902</v>
      </c>
      <c r="K289" s="14">
        <f t="shared" si="31"/>
        <v>0.14549161073825498</v>
      </c>
      <c r="L289" s="12" t="str">
        <f t="shared" si="32"/>
        <v/>
      </c>
      <c r="M289" s="12" t="str">
        <f t="shared" si="33"/>
        <v/>
      </c>
    </row>
    <row r="290" spans="1:13" ht="31.5">
      <c r="A290" s="3">
        <v>281</v>
      </c>
      <c r="B290" s="11" t="s">
        <v>71</v>
      </c>
      <c r="C290" s="3">
        <v>6</v>
      </c>
      <c r="D290" s="3">
        <v>20</v>
      </c>
      <c r="E290" s="11" t="s">
        <v>352</v>
      </c>
      <c r="F290" s="14">
        <v>0.17599999999999999</v>
      </c>
      <c r="G290" s="14">
        <f t="shared" si="34"/>
        <v>2.1999999999999992E-2</v>
      </c>
      <c r="H290" s="14">
        <f t="shared" si="28"/>
        <v>0.32666164154103872</v>
      </c>
      <c r="I290" s="14">
        <f t="shared" si="29"/>
        <v>0.71360741478107859</v>
      </c>
      <c r="J290" s="14">
        <f t="shared" si="30"/>
        <v>0.47532109228187902</v>
      </c>
      <c r="K290" s="14">
        <f t="shared" si="31"/>
        <v>0.14549161073825498</v>
      </c>
      <c r="L290" s="12" t="str">
        <f t="shared" si="32"/>
        <v/>
      </c>
      <c r="M290" s="12" t="str">
        <f t="shared" si="33"/>
        <v/>
      </c>
    </row>
    <row r="291" spans="1:13" ht="31.5">
      <c r="A291" s="3">
        <v>282</v>
      </c>
      <c r="B291" s="11" t="s">
        <v>71</v>
      </c>
      <c r="C291" s="3">
        <v>6</v>
      </c>
      <c r="D291" s="3">
        <v>19</v>
      </c>
      <c r="E291" s="11" t="s">
        <v>353</v>
      </c>
      <c r="F291" s="14">
        <v>0.2</v>
      </c>
      <c r="G291" s="14">
        <f t="shared" si="34"/>
        <v>2.4000000000000021E-2</v>
      </c>
      <c r="H291" s="14">
        <f t="shared" si="28"/>
        <v>0.32666164154103872</v>
      </c>
      <c r="I291" s="14">
        <f t="shared" si="29"/>
        <v>0.71360741478107859</v>
      </c>
      <c r="J291" s="14">
        <f t="shared" si="30"/>
        <v>0.47532109228187902</v>
      </c>
      <c r="K291" s="14">
        <f t="shared" si="31"/>
        <v>0.14549161073825498</v>
      </c>
      <c r="L291" s="12" t="str">
        <f t="shared" si="32"/>
        <v/>
      </c>
      <c r="M291" s="12" t="str">
        <f t="shared" si="33"/>
        <v/>
      </c>
    </row>
    <row r="292" spans="1:13" ht="31.5">
      <c r="A292" s="3">
        <v>283</v>
      </c>
      <c r="B292" s="11" t="s">
        <v>71</v>
      </c>
      <c r="C292" s="3">
        <v>6</v>
      </c>
      <c r="D292" s="3">
        <v>18</v>
      </c>
      <c r="E292" s="11" t="s">
        <v>354</v>
      </c>
      <c r="F292" s="14">
        <v>0.33600000000000002</v>
      </c>
      <c r="G292" s="14">
        <f t="shared" si="34"/>
        <v>0.13600000000000001</v>
      </c>
      <c r="H292" s="14">
        <f t="shared" si="28"/>
        <v>0.32666164154103872</v>
      </c>
      <c r="I292" s="14">
        <f t="shared" si="29"/>
        <v>0.71360741478107859</v>
      </c>
      <c r="J292" s="14">
        <f t="shared" si="30"/>
        <v>0.47532109228187902</v>
      </c>
      <c r="K292" s="14">
        <f t="shared" si="31"/>
        <v>0.14549161073825498</v>
      </c>
      <c r="L292" s="12" t="str">
        <f t="shared" si="32"/>
        <v/>
      </c>
      <c r="M292" s="12" t="str">
        <f t="shared" si="33"/>
        <v/>
      </c>
    </row>
    <row r="293" spans="1:13" ht="31.5">
      <c r="A293" s="3">
        <v>284</v>
      </c>
      <c r="B293" s="11" t="s">
        <v>71</v>
      </c>
      <c r="C293" s="3">
        <v>6</v>
      </c>
      <c r="D293" s="3">
        <v>17</v>
      </c>
      <c r="E293" s="11" t="s">
        <v>355</v>
      </c>
      <c r="F293" s="14">
        <v>0.28699999999999998</v>
      </c>
      <c r="G293" s="14">
        <f t="shared" si="34"/>
        <v>4.9000000000000044E-2</v>
      </c>
      <c r="H293" s="14">
        <f t="shared" si="28"/>
        <v>0.32666164154103872</v>
      </c>
      <c r="I293" s="14">
        <f t="shared" si="29"/>
        <v>0.71360741478107859</v>
      </c>
      <c r="J293" s="14">
        <f t="shared" si="30"/>
        <v>0.47532109228187902</v>
      </c>
      <c r="K293" s="14">
        <f t="shared" si="31"/>
        <v>0.14549161073825498</v>
      </c>
      <c r="L293" s="12" t="str">
        <f t="shared" si="32"/>
        <v/>
      </c>
      <c r="M293" s="12" t="str">
        <f t="shared" si="33"/>
        <v/>
      </c>
    </row>
    <row r="294" spans="1:13" ht="31.5">
      <c r="A294" s="3">
        <v>285</v>
      </c>
      <c r="B294" s="11" t="s">
        <v>71</v>
      </c>
      <c r="C294" s="3">
        <v>6</v>
      </c>
      <c r="D294" s="3">
        <v>16</v>
      </c>
      <c r="E294" s="11" t="s">
        <v>356</v>
      </c>
      <c r="F294" s="14">
        <v>0.38600000000000001</v>
      </c>
      <c r="G294" s="14">
        <f t="shared" si="34"/>
        <v>9.9000000000000032E-2</v>
      </c>
      <c r="H294" s="14">
        <f t="shared" si="28"/>
        <v>0.32666164154103872</v>
      </c>
      <c r="I294" s="14">
        <f t="shared" si="29"/>
        <v>0.71360741478107859</v>
      </c>
      <c r="J294" s="14">
        <f t="shared" si="30"/>
        <v>0.47532109228187902</v>
      </c>
      <c r="K294" s="14">
        <f t="shared" si="31"/>
        <v>0.14549161073825498</v>
      </c>
      <c r="L294" s="12" t="str">
        <f t="shared" si="32"/>
        <v/>
      </c>
      <c r="M294" s="12" t="str">
        <f t="shared" si="33"/>
        <v/>
      </c>
    </row>
    <row r="295" spans="1:13" ht="31.5">
      <c r="A295" s="3">
        <v>286</v>
      </c>
      <c r="B295" s="11" t="s">
        <v>71</v>
      </c>
      <c r="C295" s="3">
        <v>6</v>
      </c>
      <c r="D295" s="3">
        <v>15</v>
      </c>
      <c r="E295" s="11" t="s">
        <v>357</v>
      </c>
      <c r="F295" s="14">
        <v>0.27700000000000002</v>
      </c>
      <c r="G295" s="14">
        <f t="shared" si="34"/>
        <v>0.10899999999999999</v>
      </c>
      <c r="H295" s="14">
        <f t="shared" si="28"/>
        <v>0.32666164154103872</v>
      </c>
      <c r="I295" s="14">
        <f t="shared" si="29"/>
        <v>0.71360741478107859</v>
      </c>
      <c r="J295" s="14">
        <f t="shared" si="30"/>
        <v>0.47532109228187902</v>
      </c>
      <c r="K295" s="14">
        <f t="shared" si="31"/>
        <v>0.14549161073825498</v>
      </c>
      <c r="L295" s="12" t="str">
        <f t="shared" si="32"/>
        <v/>
      </c>
      <c r="M295" s="12" t="str">
        <f t="shared" si="33"/>
        <v/>
      </c>
    </row>
    <row r="296" spans="1:13" ht="31.5">
      <c r="A296" s="3">
        <v>287</v>
      </c>
      <c r="B296" s="11" t="s">
        <v>71</v>
      </c>
      <c r="C296" s="3">
        <v>6</v>
      </c>
      <c r="D296" s="3">
        <v>14</v>
      </c>
      <c r="E296" s="11" t="s">
        <v>358</v>
      </c>
      <c r="F296" s="14">
        <v>0.36899999999999999</v>
      </c>
      <c r="G296" s="14">
        <f t="shared" si="34"/>
        <v>9.1999999999999971E-2</v>
      </c>
      <c r="H296" s="14">
        <f t="shared" si="28"/>
        <v>0.32666164154103872</v>
      </c>
      <c r="I296" s="14">
        <f t="shared" si="29"/>
        <v>0.71360741478107859</v>
      </c>
      <c r="J296" s="14">
        <f t="shared" si="30"/>
        <v>0.47532109228187902</v>
      </c>
      <c r="K296" s="14">
        <f t="shared" si="31"/>
        <v>0.14549161073825498</v>
      </c>
      <c r="L296" s="12" t="str">
        <f t="shared" si="32"/>
        <v/>
      </c>
      <c r="M296" s="12" t="str">
        <f t="shared" si="33"/>
        <v/>
      </c>
    </row>
    <row r="297" spans="1:13" ht="31.5">
      <c r="A297" s="3">
        <v>288</v>
      </c>
      <c r="B297" s="11" t="s">
        <v>71</v>
      </c>
      <c r="C297" s="3">
        <v>6</v>
      </c>
      <c r="D297" s="3">
        <v>13</v>
      </c>
      <c r="E297" s="11" t="s">
        <v>359</v>
      </c>
      <c r="F297" s="14">
        <v>0.33500000000000002</v>
      </c>
      <c r="G297" s="14">
        <f t="shared" si="34"/>
        <v>3.3999999999999975E-2</v>
      </c>
      <c r="H297" s="14">
        <f t="shared" si="28"/>
        <v>0.32666164154103872</v>
      </c>
      <c r="I297" s="14">
        <f t="shared" si="29"/>
        <v>0.71360741478107859</v>
      </c>
      <c r="J297" s="14">
        <f t="shared" si="30"/>
        <v>0.47532109228187902</v>
      </c>
      <c r="K297" s="14">
        <f t="shared" si="31"/>
        <v>0.14549161073825498</v>
      </c>
      <c r="L297" s="12" t="str">
        <f t="shared" si="32"/>
        <v/>
      </c>
      <c r="M297" s="12" t="str">
        <f t="shared" si="33"/>
        <v/>
      </c>
    </row>
    <row r="298" spans="1:13" ht="31.5">
      <c r="A298" s="3">
        <v>289</v>
      </c>
      <c r="B298" s="11" t="s">
        <v>71</v>
      </c>
      <c r="C298" s="3">
        <v>6</v>
      </c>
      <c r="D298" s="3">
        <v>12</v>
      </c>
      <c r="E298" s="11" t="s">
        <v>360</v>
      </c>
      <c r="F298" s="14">
        <v>0.248</v>
      </c>
      <c r="G298" s="14">
        <f t="shared" si="34"/>
        <v>8.7000000000000022E-2</v>
      </c>
      <c r="H298" s="14">
        <f t="shared" si="28"/>
        <v>0.32666164154103872</v>
      </c>
      <c r="I298" s="14">
        <f t="shared" si="29"/>
        <v>0.71360741478107859</v>
      </c>
      <c r="J298" s="14">
        <f t="shared" si="30"/>
        <v>0.47532109228187902</v>
      </c>
      <c r="K298" s="14">
        <f t="shared" si="31"/>
        <v>0.14549161073825498</v>
      </c>
      <c r="L298" s="12" t="str">
        <f t="shared" si="32"/>
        <v/>
      </c>
      <c r="M298" s="12" t="str">
        <f t="shared" si="33"/>
        <v/>
      </c>
    </row>
    <row r="299" spans="1:13" ht="31.5">
      <c r="A299" s="3">
        <v>290</v>
      </c>
      <c r="B299" s="11" t="s">
        <v>71</v>
      </c>
      <c r="C299" s="3">
        <v>6</v>
      </c>
      <c r="D299" s="3">
        <v>11</v>
      </c>
      <c r="E299" s="11" t="s">
        <v>361</v>
      </c>
      <c r="F299" s="14">
        <v>0.24</v>
      </c>
      <c r="G299" s="14">
        <f t="shared" si="34"/>
        <v>8.0000000000000071E-3</v>
      </c>
      <c r="H299" s="14">
        <f t="shared" si="28"/>
        <v>0.32666164154103872</v>
      </c>
      <c r="I299" s="14">
        <f t="shared" si="29"/>
        <v>0.71360741478107859</v>
      </c>
      <c r="J299" s="14">
        <f t="shared" si="30"/>
        <v>0.47532109228187902</v>
      </c>
      <c r="K299" s="14">
        <f t="shared" si="31"/>
        <v>0.14549161073825498</v>
      </c>
      <c r="L299" s="12" t="str">
        <f t="shared" si="32"/>
        <v/>
      </c>
      <c r="M299" s="12" t="str">
        <f t="shared" si="33"/>
        <v/>
      </c>
    </row>
    <row r="300" spans="1:13" ht="31.5">
      <c r="A300" s="3">
        <v>291</v>
      </c>
      <c r="B300" s="11" t="s">
        <v>71</v>
      </c>
      <c r="C300" s="3">
        <v>6</v>
      </c>
      <c r="D300" s="3">
        <v>10</v>
      </c>
      <c r="E300" s="11" t="s">
        <v>362</v>
      </c>
      <c r="F300" s="14">
        <v>0.249</v>
      </c>
      <c r="G300" s="14">
        <f t="shared" si="34"/>
        <v>9.000000000000008E-3</v>
      </c>
      <c r="H300" s="14">
        <f t="shared" si="28"/>
        <v>0.32666164154103872</v>
      </c>
      <c r="I300" s="14">
        <f t="shared" si="29"/>
        <v>0.71360741478107859</v>
      </c>
      <c r="J300" s="14">
        <f t="shared" si="30"/>
        <v>0.47532109228187902</v>
      </c>
      <c r="K300" s="14">
        <f t="shared" si="31"/>
        <v>0.14549161073825498</v>
      </c>
      <c r="L300" s="12" t="str">
        <f t="shared" si="32"/>
        <v/>
      </c>
      <c r="M300" s="12" t="str">
        <f t="shared" si="33"/>
        <v/>
      </c>
    </row>
    <row r="301" spans="1:13" ht="31.5">
      <c r="A301" s="3">
        <v>292</v>
      </c>
      <c r="B301" s="11" t="s">
        <v>71</v>
      </c>
      <c r="C301" s="3">
        <v>6</v>
      </c>
      <c r="D301" s="3">
        <v>9</v>
      </c>
      <c r="E301" s="11" t="s">
        <v>363</v>
      </c>
      <c r="F301" s="14">
        <v>0.17899999999999999</v>
      </c>
      <c r="G301" s="14">
        <f t="shared" si="34"/>
        <v>7.0000000000000007E-2</v>
      </c>
      <c r="H301" s="14">
        <f t="shared" si="28"/>
        <v>0.32666164154103872</v>
      </c>
      <c r="I301" s="14">
        <f t="shared" si="29"/>
        <v>0.71360741478107859</v>
      </c>
      <c r="J301" s="14">
        <f t="shared" si="30"/>
        <v>0.47532109228187902</v>
      </c>
      <c r="K301" s="14">
        <f t="shared" si="31"/>
        <v>0.14549161073825498</v>
      </c>
      <c r="L301" s="12" t="str">
        <f t="shared" si="32"/>
        <v/>
      </c>
      <c r="M301" s="12" t="str">
        <f t="shared" si="33"/>
        <v/>
      </c>
    </row>
    <row r="302" spans="1:13" ht="31.5">
      <c r="A302" s="3">
        <v>293</v>
      </c>
      <c r="B302" s="11" t="s">
        <v>71</v>
      </c>
      <c r="C302" s="3">
        <v>6</v>
      </c>
      <c r="D302" s="3">
        <v>8</v>
      </c>
      <c r="E302" s="11" t="s">
        <v>364</v>
      </c>
      <c r="F302" s="14">
        <v>0.17299999999999999</v>
      </c>
      <c r="G302" s="14">
        <f t="shared" si="34"/>
        <v>6.0000000000000053E-3</v>
      </c>
      <c r="H302" s="14">
        <f t="shared" si="28"/>
        <v>0.32666164154103872</v>
      </c>
      <c r="I302" s="14">
        <f t="shared" si="29"/>
        <v>0.71360741478107859</v>
      </c>
      <c r="J302" s="14">
        <f t="shared" si="30"/>
        <v>0.47532109228187902</v>
      </c>
      <c r="K302" s="14">
        <f t="shared" si="31"/>
        <v>0.14549161073825498</v>
      </c>
      <c r="L302" s="12" t="str">
        <f t="shared" si="32"/>
        <v/>
      </c>
      <c r="M302" s="12" t="str">
        <f t="shared" si="33"/>
        <v/>
      </c>
    </row>
    <row r="303" spans="1:13" ht="31.5">
      <c r="A303" s="3">
        <v>294</v>
      </c>
      <c r="B303" s="11" t="s">
        <v>71</v>
      </c>
      <c r="C303" s="3">
        <v>6</v>
      </c>
      <c r="D303" s="3">
        <v>7</v>
      </c>
      <c r="E303" s="11" t="s">
        <v>365</v>
      </c>
      <c r="F303" s="14">
        <v>0.66700000000000004</v>
      </c>
      <c r="G303" s="14">
        <f t="shared" si="34"/>
        <v>0.49400000000000005</v>
      </c>
      <c r="H303" s="14">
        <f t="shared" si="28"/>
        <v>0.32666164154103872</v>
      </c>
      <c r="I303" s="14">
        <f t="shared" si="29"/>
        <v>0.71360741478107859</v>
      </c>
      <c r="J303" s="14">
        <f t="shared" si="30"/>
        <v>0.47532109228187902</v>
      </c>
      <c r="K303" s="14">
        <f t="shared" si="31"/>
        <v>0.14549161073825498</v>
      </c>
      <c r="L303" s="12" t="str">
        <f t="shared" si="32"/>
        <v/>
      </c>
      <c r="M303" s="12" t="str">
        <f t="shared" si="33"/>
        <v/>
      </c>
    </row>
    <row r="304" spans="1:13" ht="31.5">
      <c r="A304" s="3">
        <v>295</v>
      </c>
      <c r="B304" s="11" t="s">
        <v>71</v>
      </c>
      <c r="C304" s="3">
        <v>6</v>
      </c>
      <c r="D304" s="3">
        <v>6</v>
      </c>
      <c r="E304" s="11" t="s">
        <v>366</v>
      </c>
      <c r="F304" s="14">
        <v>0.35099999999999998</v>
      </c>
      <c r="G304" s="14">
        <f t="shared" si="34"/>
        <v>0.31600000000000006</v>
      </c>
      <c r="H304" s="14">
        <f t="shared" si="28"/>
        <v>0.32666164154103872</v>
      </c>
      <c r="I304" s="14">
        <f t="shared" si="29"/>
        <v>0.71360741478107859</v>
      </c>
      <c r="J304" s="14">
        <f t="shared" si="30"/>
        <v>0.47532109228187902</v>
      </c>
      <c r="K304" s="14">
        <f t="shared" si="31"/>
        <v>0.14549161073825498</v>
      </c>
      <c r="L304" s="12" t="str">
        <f t="shared" si="32"/>
        <v/>
      </c>
      <c r="M304" s="12" t="str">
        <f t="shared" si="33"/>
        <v/>
      </c>
    </row>
    <row r="305" spans="1:13" ht="31.5">
      <c r="A305" s="3">
        <v>296</v>
      </c>
      <c r="B305" s="11" t="s">
        <v>71</v>
      </c>
      <c r="C305" s="3">
        <v>6</v>
      </c>
      <c r="D305" s="3">
        <v>5</v>
      </c>
      <c r="E305" s="11" t="s">
        <v>367</v>
      </c>
      <c r="F305" s="14">
        <v>0.501</v>
      </c>
      <c r="G305" s="14">
        <f t="shared" si="34"/>
        <v>0.15000000000000002</v>
      </c>
      <c r="H305" s="14">
        <f t="shared" si="28"/>
        <v>0.32666164154103872</v>
      </c>
      <c r="I305" s="14">
        <f t="shared" si="29"/>
        <v>0.71360741478107859</v>
      </c>
      <c r="J305" s="14">
        <f t="shared" si="30"/>
        <v>0.47532109228187902</v>
      </c>
      <c r="K305" s="14">
        <f t="shared" si="31"/>
        <v>0.14549161073825498</v>
      </c>
      <c r="L305" s="12" t="str">
        <f t="shared" si="32"/>
        <v/>
      </c>
      <c r="M305" s="12" t="str">
        <f t="shared" si="33"/>
        <v/>
      </c>
    </row>
    <row r="306" spans="1:13" ht="31.5">
      <c r="A306" s="3">
        <v>297</v>
      </c>
      <c r="B306" s="11" t="s">
        <v>71</v>
      </c>
      <c r="C306" s="3">
        <v>6</v>
      </c>
      <c r="D306" s="3">
        <v>4</v>
      </c>
      <c r="E306" s="11" t="s">
        <v>368</v>
      </c>
      <c r="F306" s="14">
        <v>0.48699999999999999</v>
      </c>
      <c r="G306" s="14">
        <f t="shared" si="34"/>
        <v>1.4000000000000012E-2</v>
      </c>
      <c r="H306" s="14">
        <f t="shared" si="28"/>
        <v>0.32666164154103872</v>
      </c>
      <c r="I306" s="14">
        <f t="shared" si="29"/>
        <v>0.71360741478107859</v>
      </c>
      <c r="J306" s="14">
        <f t="shared" si="30"/>
        <v>0.47532109228187902</v>
      </c>
      <c r="K306" s="14">
        <f t="shared" si="31"/>
        <v>0.14549161073825498</v>
      </c>
      <c r="L306" s="12" t="str">
        <f t="shared" si="32"/>
        <v/>
      </c>
      <c r="M306" s="12" t="str">
        <f t="shared" si="33"/>
        <v/>
      </c>
    </row>
    <row r="307" spans="1:13" ht="31.5">
      <c r="A307" s="3">
        <v>298</v>
      </c>
      <c r="B307" s="11" t="s">
        <v>71</v>
      </c>
      <c r="C307" s="3">
        <v>6</v>
      </c>
      <c r="D307" s="3">
        <v>3</v>
      </c>
      <c r="E307" s="11" t="s">
        <v>369</v>
      </c>
      <c r="F307" s="14">
        <v>0.372</v>
      </c>
      <c r="G307" s="14">
        <f t="shared" si="34"/>
        <v>0.11499999999999999</v>
      </c>
      <c r="H307" s="14">
        <f t="shared" si="28"/>
        <v>0.32666164154103872</v>
      </c>
      <c r="I307" s="14">
        <f t="shared" si="29"/>
        <v>0.71360741478107859</v>
      </c>
      <c r="J307" s="14">
        <f t="shared" si="30"/>
        <v>0.47532109228187902</v>
      </c>
      <c r="K307" s="14">
        <f t="shared" si="31"/>
        <v>0.14549161073825498</v>
      </c>
      <c r="L307" s="12" t="str">
        <f t="shared" si="32"/>
        <v/>
      </c>
      <c r="M307" s="12" t="str">
        <f t="shared" si="33"/>
        <v/>
      </c>
    </row>
    <row r="308" spans="1:13" ht="31.5">
      <c r="A308" s="3">
        <v>299</v>
      </c>
      <c r="B308" s="11" t="s">
        <v>71</v>
      </c>
      <c r="C308" s="3">
        <v>6</v>
      </c>
      <c r="D308" s="3">
        <v>2</v>
      </c>
      <c r="E308" s="11" t="s">
        <v>370</v>
      </c>
      <c r="F308" s="14">
        <v>0.52900000000000003</v>
      </c>
      <c r="G308" s="14">
        <f t="shared" si="34"/>
        <v>0.15700000000000003</v>
      </c>
      <c r="H308" s="14">
        <f t="shared" si="28"/>
        <v>0.32666164154103872</v>
      </c>
      <c r="I308" s="14">
        <f t="shared" si="29"/>
        <v>0.71360741478107859</v>
      </c>
      <c r="J308" s="14">
        <f t="shared" si="30"/>
        <v>0.47532109228187902</v>
      </c>
      <c r="K308" s="14">
        <f t="shared" si="31"/>
        <v>0.14549161073825498</v>
      </c>
      <c r="L308" s="12" t="str">
        <f t="shared" si="32"/>
        <v/>
      </c>
      <c r="M308" s="12" t="str">
        <f t="shared" si="33"/>
        <v/>
      </c>
    </row>
    <row r="309" spans="1:13" ht="31.5">
      <c r="A309" s="3">
        <v>300</v>
      </c>
      <c r="B309" s="11" t="s">
        <v>71</v>
      </c>
      <c r="C309" s="3">
        <v>6</v>
      </c>
      <c r="D309" s="3">
        <v>1</v>
      </c>
      <c r="E309" s="11" t="s">
        <v>371</v>
      </c>
      <c r="F309" s="14">
        <v>0.46899999999999997</v>
      </c>
      <c r="G309" s="14">
        <f t="shared" si="34"/>
        <v>6.0000000000000053E-2</v>
      </c>
      <c r="H309" s="14">
        <f t="shared" si="28"/>
        <v>0.32666164154103872</v>
      </c>
      <c r="I309" s="14">
        <f t="shared" si="29"/>
        <v>0.71360741478107859</v>
      </c>
      <c r="J309" s="14">
        <f t="shared" si="30"/>
        <v>0.47532109228187902</v>
      </c>
      <c r="K309" s="14">
        <f t="shared" si="31"/>
        <v>0.14549161073825498</v>
      </c>
      <c r="L309" s="12" t="str">
        <f t="shared" si="32"/>
        <v/>
      </c>
      <c r="M309" s="12" t="str">
        <f t="shared" si="33"/>
        <v/>
      </c>
    </row>
    <row r="310" spans="1:13" ht="31.5">
      <c r="A310" s="3">
        <v>301</v>
      </c>
      <c r="B310" s="11" t="s">
        <v>372</v>
      </c>
      <c r="C310" s="3">
        <v>1</v>
      </c>
      <c r="D310" s="3">
        <v>25</v>
      </c>
      <c r="E310" s="11" t="s">
        <v>373</v>
      </c>
      <c r="F310" s="14">
        <v>0.499</v>
      </c>
      <c r="G310" s="14">
        <f t="shared" si="34"/>
        <v>3.0000000000000027E-2</v>
      </c>
      <c r="H310" s="14">
        <f t="shared" si="28"/>
        <v>0.32666164154103872</v>
      </c>
      <c r="I310" s="14">
        <f t="shared" si="29"/>
        <v>0.71360741478107859</v>
      </c>
      <c r="J310" s="14">
        <f t="shared" si="30"/>
        <v>0.47532109228187902</v>
      </c>
      <c r="K310" s="14">
        <f t="shared" si="31"/>
        <v>0.14549161073825498</v>
      </c>
      <c r="L310" s="12" t="str">
        <f t="shared" si="32"/>
        <v/>
      </c>
      <c r="M310" s="12" t="str">
        <f t="shared" si="33"/>
        <v/>
      </c>
    </row>
    <row r="311" spans="1:13" ht="31.5">
      <c r="A311" s="3">
        <v>302</v>
      </c>
      <c r="B311" s="11" t="s">
        <v>372</v>
      </c>
      <c r="C311" s="3">
        <v>1</v>
      </c>
      <c r="D311" s="3">
        <v>24</v>
      </c>
      <c r="E311" s="11" t="s">
        <v>374</v>
      </c>
      <c r="F311" s="14">
        <v>0.53400000000000003</v>
      </c>
      <c r="G311" s="14">
        <f t="shared" si="34"/>
        <v>3.5000000000000031E-2</v>
      </c>
      <c r="H311" s="14">
        <f t="shared" si="28"/>
        <v>0.32666164154103872</v>
      </c>
      <c r="I311" s="14">
        <f t="shared" si="29"/>
        <v>0.71360741478107859</v>
      </c>
      <c r="J311" s="14">
        <f t="shared" si="30"/>
        <v>0.47532109228187902</v>
      </c>
      <c r="K311" s="14">
        <f t="shared" si="31"/>
        <v>0.14549161073825498</v>
      </c>
      <c r="L311" s="12" t="str">
        <f t="shared" si="32"/>
        <v/>
      </c>
      <c r="M311" s="12" t="str">
        <f t="shared" si="33"/>
        <v/>
      </c>
    </row>
    <row r="312" spans="1:13" ht="31.5">
      <c r="A312" s="3">
        <v>304</v>
      </c>
      <c r="B312" s="11" t="s">
        <v>372</v>
      </c>
      <c r="C312" s="3">
        <v>1</v>
      </c>
      <c r="D312" s="3">
        <v>22</v>
      </c>
      <c r="E312" s="11" t="s">
        <v>376</v>
      </c>
      <c r="F312" s="14">
        <v>0.51900000000000002</v>
      </c>
      <c r="G312" s="14">
        <f t="shared" si="34"/>
        <v>1.5000000000000013E-2</v>
      </c>
      <c r="H312" s="14">
        <f t="shared" si="28"/>
        <v>0.32666164154103872</v>
      </c>
      <c r="I312" s="14">
        <f t="shared" si="29"/>
        <v>0.71360741478107859</v>
      </c>
      <c r="J312" s="14">
        <f t="shared" si="30"/>
        <v>0.47532109228187902</v>
      </c>
      <c r="K312" s="14">
        <f t="shared" si="31"/>
        <v>0.14549161073825498</v>
      </c>
      <c r="L312" s="12" t="str">
        <f t="shared" si="32"/>
        <v/>
      </c>
      <c r="M312" s="12" t="str">
        <f t="shared" si="33"/>
        <v/>
      </c>
    </row>
    <row r="313" spans="1:13" ht="31.5">
      <c r="A313" s="3">
        <v>305</v>
      </c>
      <c r="B313" s="11" t="s">
        <v>372</v>
      </c>
      <c r="C313" s="3">
        <v>1</v>
      </c>
      <c r="D313" s="3">
        <v>21</v>
      </c>
      <c r="E313" s="11" t="s">
        <v>377</v>
      </c>
      <c r="F313" s="14">
        <v>0.51600000000000001</v>
      </c>
      <c r="G313" s="14">
        <f t="shared" si="34"/>
        <v>3.0000000000000027E-3</v>
      </c>
      <c r="H313" s="14">
        <f t="shared" si="28"/>
        <v>0.32666164154103872</v>
      </c>
      <c r="I313" s="14">
        <f t="shared" si="29"/>
        <v>0.71360741478107859</v>
      </c>
      <c r="J313" s="14">
        <f t="shared" si="30"/>
        <v>0.47532109228187902</v>
      </c>
      <c r="K313" s="14">
        <f t="shared" si="31"/>
        <v>0.14549161073825498</v>
      </c>
      <c r="L313" s="12" t="str">
        <f t="shared" si="32"/>
        <v/>
      </c>
      <c r="M313" s="12" t="str">
        <f t="shared" si="33"/>
        <v/>
      </c>
    </row>
    <row r="314" spans="1:13" ht="31.5">
      <c r="A314" s="3">
        <v>306</v>
      </c>
      <c r="B314" s="11" t="s">
        <v>372</v>
      </c>
      <c r="C314" s="3">
        <v>1</v>
      </c>
      <c r="D314" s="3">
        <v>20</v>
      </c>
      <c r="E314" s="11" t="s">
        <v>378</v>
      </c>
      <c r="F314" s="14">
        <v>0.245</v>
      </c>
      <c r="G314" s="14">
        <f t="shared" si="34"/>
        <v>0.27100000000000002</v>
      </c>
      <c r="H314" s="14">
        <f t="shared" si="28"/>
        <v>0.32666164154103872</v>
      </c>
      <c r="I314" s="14">
        <f t="shared" si="29"/>
        <v>0.71360741478107859</v>
      </c>
      <c r="J314" s="14">
        <f t="shared" si="30"/>
        <v>0.47532109228187902</v>
      </c>
      <c r="K314" s="14">
        <f t="shared" si="31"/>
        <v>0.14549161073825498</v>
      </c>
      <c r="L314" s="12" t="str">
        <f t="shared" si="32"/>
        <v/>
      </c>
      <c r="M314" s="12" t="str">
        <f t="shared" si="33"/>
        <v/>
      </c>
    </row>
    <row r="315" spans="1:13" ht="31.5">
      <c r="A315" s="3">
        <v>307</v>
      </c>
      <c r="B315" s="11" t="s">
        <v>372</v>
      </c>
      <c r="C315" s="3">
        <v>1</v>
      </c>
      <c r="D315" s="3">
        <v>19</v>
      </c>
      <c r="E315" s="11" t="s">
        <v>379</v>
      </c>
      <c r="F315" s="14">
        <v>0.44900000000000001</v>
      </c>
      <c r="G315" s="14">
        <f t="shared" si="34"/>
        <v>0.20400000000000001</v>
      </c>
      <c r="H315" s="14">
        <f t="shared" si="28"/>
        <v>0.32666164154103872</v>
      </c>
      <c r="I315" s="14">
        <f t="shared" si="29"/>
        <v>0.71360741478107859</v>
      </c>
      <c r="J315" s="14">
        <f t="shared" si="30"/>
        <v>0.47532109228187902</v>
      </c>
      <c r="K315" s="14">
        <f t="shared" si="31"/>
        <v>0.14549161073825498</v>
      </c>
      <c r="L315" s="12" t="str">
        <f t="shared" si="32"/>
        <v/>
      </c>
      <c r="M315" s="12" t="str">
        <f t="shared" si="33"/>
        <v/>
      </c>
    </row>
    <row r="316" spans="1:13" ht="31.5">
      <c r="A316" s="3">
        <v>308</v>
      </c>
      <c r="B316" s="11" t="s">
        <v>372</v>
      </c>
      <c r="C316" s="3">
        <v>1</v>
      </c>
      <c r="D316" s="3">
        <v>18</v>
      </c>
      <c r="E316" s="11" t="s">
        <v>380</v>
      </c>
      <c r="F316" s="14">
        <v>0.19900000000000001</v>
      </c>
      <c r="G316" s="14">
        <f t="shared" si="34"/>
        <v>0.25</v>
      </c>
      <c r="H316" s="14">
        <f t="shared" si="28"/>
        <v>0.32666164154103872</v>
      </c>
      <c r="I316" s="14">
        <f t="shared" si="29"/>
        <v>0.71360741478107859</v>
      </c>
      <c r="J316" s="14">
        <f t="shared" si="30"/>
        <v>0.47532109228187902</v>
      </c>
      <c r="K316" s="14">
        <f t="shared" si="31"/>
        <v>0.14549161073825498</v>
      </c>
      <c r="L316" s="12" t="str">
        <f t="shared" si="32"/>
        <v/>
      </c>
      <c r="M316" s="12" t="str">
        <f t="shared" si="33"/>
        <v/>
      </c>
    </row>
    <row r="317" spans="1:13" ht="31.5">
      <c r="A317" s="3">
        <v>309</v>
      </c>
      <c r="B317" s="11" t="s">
        <v>372</v>
      </c>
      <c r="C317" s="3">
        <v>1</v>
      </c>
      <c r="D317" s="3">
        <v>17</v>
      </c>
      <c r="E317" s="11" t="s">
        <v>381</v>
      </c>
      <c r="F317" s="14">
        <v>0.249</v>
      </c>
      <c r="G317" s="14">
        <f t="shared" si="34"/>
        <v>4.9999999999999989E-2</v>
      </c>
      <c r="H317" s="14">
        <f t="shared" si="28"/>
        <v>0.32666164154103872</v>
      </c>
      <c r="I317" s="14">
        <f t="shared" si="29"/>
        <v>0.71360741478107859</v>
      </c>
      <c r="J317" s="14">
        <f t="shared" si="30"/>
        <v>0.47532109228187902</v>
      </c>
      <c r="K317" s="14">
        <f t="shared" si="31"/>
        <v>0.14549161073825498</v>
      </c>
      <c r="L317" s="12" t="str">
        <f t="shared" si="32"/>
        <v/>
      </c>
      <c r="M317" s="12" t="str">
        <f t="shared" si="33"/>
        <v/>
      </c>
    </row>
    <row r="318" spans="1:13" ht="31.5">
      <c r="A318" s="3">
        <v>310</v>
      </c>
      <c r="B318" s="11" t="s">
        <v>372</v>
      </c>
      <c r="C318" s="3">
        <v>1</v>
      </c>
      <c r="D318" s="3">
        <v>16</v>
      </c>
      <c r="E318" s="11" t="s">
        <v>382</v>
      </c>
      <c r="F318" s="14">
        <v>0.36499999999999999</v>
      </c>
      <c r="G318" s="14">
        <f t="shared" si="34"/>
        <v>0.11599999999999999</v>
      </c>
      <c r="H318" s="14">
        <f t="shared" si="28"/>
        <v>0.32666164154103872</v>
      </c>
      <c r="I318" s="14">
        <f t="shared" si="29"/>
        <v>0.71360741478107859</v>
      </c>
      <c r="J318" s="14">
        <f t="shared" si="30"/>
        <v>0.47532109228187902</v>
      </c>
      <c r="K318" s="14">
        <f t="shared" si="31"/>
        <v>0.14549161073825498</v>
      </c>
      <c r="L318" s="12" t="str">
        <f t="shared" si="32"/>
        <v/>
      </c>
      <c r="M318" s="12" t="str">
        <f t="shared" si="33"/>
        <v/>
      </c>
    </row>
    <row r="319" spans="1:13" ht="31.5">
      <c r="A319" s="3">
        <v>311</v>
      </c>
      <c r="B319" s="11" t="s">
        <v>372</v>
      </c>
      <c r="C319" s="3">
        <v>1</v>
      </c>
      <c r="D319" s="3">
        <v>15</v>
      </c>
      <c r="E319" s="11" t="s">
        <v>383</v>
      </c>
      <c r="F319" s="14">
        <v>0.38400000000000001</v>
      </c>
      <c r="G319" s="14">
        <f t="shared" si="34"/>
        <v>1.9000000000000017E-2</v>
      </c>
      <c r="H319" s="14">
        <f t="shared" si="28"/>
        <v>0.32666164154103872</v>
      </c>
      <c r="I319" s="14">
        <f t="shared" si="29"/>
        <v>0.71360741478107859</v>
      </c>
      <c r="J319" s="14">
        <f t="shared" si="30"/>
        <v>0.47532109228187902</v>
      </c>
      <c r="K319" s="14">
        <f t="shared" si="31"/>
        <v>0.14549161073825498</v>
      </c>
      <c r="L319" s="12" t="str">
        <f t="shared" si="32"/>
        <v/>
      </c>
      <c r="M319" s="12" t="str">
        <f t="shared" si="33"/>
        <v/>
      </c>
    </row>
    <row r="320" spans="1:13" ht="31.5">
      <c r="A320" s="3">
        <v>312</v>
      </c>
      <c r="B320" s="11" t="s">
        <v>372</v>
      </c>
      <c r="C320" s="3">
        <v>1</v>
      </c>
      <c r="D320" s="3">
        <v>14</v>
      </c>
      <c r="E320" s="11" t="s">
        <v>384</v>
      </c>
      <c r="F320" s="14">
        <v>0.155</v>
      </c>
      <c r="G320" s="14">
        <f t="shared" si="34"/>
        <v>0.22900000000000001</v>
      </c>
      <c r="H320" s="14">
        <f t="shared" si="28"/>
        <v>0.32666164154103872</v>
      </c>
      <c r="I320" s="14">
        <f t="shared" si="29"/>
        <v>0.71360741478107859</v>
      </c>
      <c r="J320" s="14">
        <f t="shared" si="30"/>
        <v>0.47532109228187902</v>
      </c>
      <c r="K320" s="14">
        <f t="shared" si="31"/>
        <v>0.14549161073825498</v>
      </c>
      <c r="L320" s="12" t="str">
        <f t="shared" si="32"/>
        <v/>
      </c>
      <c r="M320" s="12" t="str">
        <f t="shared" si="33"/>
        <v/>
      </c>
    </row>
    <row r="321" spans="1:13" ht="31.5">
      <c r="A321" s="3">
        <v>313</v>
      </c>
      <c r="B321" s="11" t="s">
        <v>372</v>
      </c>
      <c r="C321" s="3">
        <v>1</v>
      </c>
      <c r="D321" s="3">
        <v>13</v>
      </c>
      <c r="E321" s="11" t="s">
        <v>385</v>
      </c>
      <c r="F321" s="14">
        <v>0.59799999999999998</v>
      </c>
      <c r="G321" s="14">
        <f t="shared" si="34"/>
        <v>0.44299999999999995</v>
      </c>
      <c r="H321" s="14">
        <f t="shared" si="28"/>
        <v>0.32666164154103872</v>
      </c>
      <c r="I321" s="14">
        <f t="shared" si="29"/>
        <v>0.71360741478107859</v>
      </c>
      <c r="J321" s="14">
        <f t="shared" si="30"/>
        <v>0.47532109228187902</v>
      </c>
      <c r="K321" s="14">
        <f t="shared" si="31"/>
        <v>0.14549161073825498</v>
      </c>
      <c r="L321" s="12" t="str">
        <f t="shared" si="32"/>
        <v/>
      </c>
      <c r="M321" s="12" t="str">
        <f t="shared" si="33"/>
        <v/>
      </c>
    </row>
    <row r="322" spans="1:13" ht="31.5">
      <c r="A322" s="3">
        <v>314</v>
      </c>
      <c r="B322" s="11" t="s">
        <v>372</v>
      </c>
      <c r="C322" s="3">
        <v>1</v>
      </c>
      <c r="D322" s="3">
        <v>12</v>
      </c>
      <c r="E322" s="11" t="s">
        <v>386</v>
      </c>
      <c r="F322" s="14">
        <v>0.16300000000000001</v>
      </c>
      <c r="G322" s="14">
        <f t="shared" si="34"/>
        <v>0.43499999999999994</v>
      </c>
      <c r="H322" s="14">
        <f t="shared" si="28"/>
        <v>0.32666164154103872</v>
      </c>
      <c r="I322" s="14">
        <f t="shared" si="29"/>
        <v>0.71360741478107859</v>
      </c>
      <c r="J322" s="14">
        <f t="shared" si="30"/>
        <v>0.47532109228187902</v>
      </c>
      <c r="K322" s="14">
        <f t="shared" si="31"/>
        <v>0.14549161073825498</v>
      </c>
      <c r="L322" s="12" t="str">
        <f t="shared" si="32"/>
        <v/>
      </c>
      <c r="M322" s="12" t="str">
        <f t="shared" si="33"/>
        <v/>
      </c>
    </row>
    <row r="323" spans="1:13" ht="31.5">
      <c r="A323" s="3">
        <v>315</v>
      </c>
      <c r="B323" s="11" t="s">
        <v>372</v>
      </c>
      <c r="C323" s="3">
        <v>1</v>
      </c>
      <c r="D323" s="3">
        <v>11</v>
      </c>
      <c r="E323" s="11" t="s">
        <v>387</v>
      </c>
      <c r="F323" s="14">
        <v>0.35799999999999998</v>
      </c>
      <c r="G323" s="14">
        <f t="shared" si="34"/>
        <v>0.19499999999999998</v>
      </c>
      <c r="H323" s="14">
        <f t="shared" si="28"/>
        <v>0.32666164154103872</v>
      </c>
      <c r="I323" s="14">
        <f t="shared" si="29"/>
        <v>0.71360741478107859</v>
      </c>
      <c r="J323" s="14">
        <f t="shared" si="30"/>
        <v>0.47532109228187902</v>
      </c>
      <c r="K323" s="14">
        <f t="shared" si="31"/>
        <v>0.14549161073825498</v>
      </c>
      <c r="L323" s="12" t="str">
        <f t="shared" si="32"/>
        <v/>
      </c>
      <c r="M323" s="12" t="str">
        <f t="shared" si="33"/>
        <v/>
      </c>
    </row>
    <row r="324" spans="1:13" ht="31.5">
      <c r="A324" s="3">
        <v>316</v>
      </c>
      <c r="B324" s="11" t="s">
        <v>372</v>
      </c>
      <c r="C324" s="3">
        <v>1</v>
      </c>
      <c r="D324" s="3">
        <v>10</v>
      </c>
      <c r="E324" s="11" t="s">
        <v>388</v>
      </c>
      <c r="F324" s="14">
        <v>0.433</v>
      </c>
      <c r="G324" s="14">
        <f t="shared" si="34"/>
        <v>7.5000000000000011E-2</v>
      </c>
      <c r="H324" s="14">
        <f t="shared" si="28"/>
        <v>0.32666164154103872</v>
      </c>
      <c r="I324" s="14">
        <f t="shared" si="29"/>
        <v>0.71360741478107859</v>
      </c>
      <c r="J324" s="14">
        <f t="shared" si="30"/>
        <v>0.47532109228187902</v>
      </c>
      <c r="K324" s="14">
        <f t="shared" si="31"/>
        <v>0.14549161073825498</v>
      </c>
      <c r="L324" s="12" t="str">
        <f t="shared" si="32"/>
        <v/>
      </c>
      <c r="M324" s="12" t="str">
        <f t="shared" si="33"/>
        <v/>
      </c>
    </row>
    <row r="325" spans="1:13" ht="31.5">
      <c r="A325" s="3">
        <v>317</v>
      </c>
      <c r="B325" s="11" t="s">
        <v>372</v>
      </c>
      <c r="C325" s="3">
        <v>1</v>
      </c>
      <c r="D325" s="3">
        <v>9</v>
      </c>
      <c r="E325" s="11" t="s">
        <v>389</v>
      </c>
      <c r="F325" s="14">
        <v>0.68300000000000005</v>
      </c>
      <c r="G325" s="14">
        <f t="shared" si="34"/>
        <v>0.25000000000000006</v>
      </c>
      <c r="H325" s="14">
        <f t="shared" si="28"/>
        <v>0.32666164154103872</v>
      </c>
      <c r="I325" s="14">
        <f t="shared" si="29"/>
        <v>0.71360741478107859</v>
      </c>
      <c r="J325" s="14">
        <f t="shared" si="30"/>
        <v>0.47532109228187902</v>
      </c>
      <c r="K325" s="14">
        <f t="shared" si="31"/>
        <v>0.14549161073825498</v>
      </c>
      <c r="L325" s="12" t="str">
        <f t="shared" si="32"/>
        <v/>
      </c>
      <c r="M325" s="12" t="str">
        <f t="shared" si="33"/>
        <v/>
      </c>
    </row>
    <row r="326" spans="1:13" ht="31.5">
      <c r="A326" s="3">
        <v>318</v>
      </c>
      <c r="B326" s="11" t="s">
        <v>372</v>
      </c>
      <c r="C326" s="3">
        <v>1</v>
      </c>
      <c r="D326" s="3">
        <v>8</v>
      </c>
      <c r="E326" s="11" t="s">
        <v>390</v>
      </c>
      <c r="F326" s="14">
        <v>0.28599999999999998</v>
      </c>
      <c r="G326" s="14">
        <f t="shared" si="34"/>
        <v>0.39700000000000008</v>
      </c>
      <c r="H326" s="14">
        <f t="shared" si="28"/>
        <v>0.32666164154103872</v>
      </c>
      <c r="I326" s="14">
        <f t="shared" si="29"/>
        <v>0.71360741478107859</v>
      </c>
      <c r="J326" s="14">
        <f t="shared" si="30"/>
        <v>0.47532109228187902</v>
      </c>
      <c r="K326" s="14">
        <f t="shared" si="31"/>
        <v>0.14549161073825498</v>
      </c>
      <c r="L326" s="12" t="str">
        <f t="shared" si="32"/>
        <v/>
      </c>
      <c r="M326" s="12" t="str">
        <f t="shared" si="33"/>
        <v/>
      </c>
    </row>
    <row r="327" spans="1:13" ht="31.5">
      <c r="A327" s="3">
        <v>319</v>
      </c>
      <c r="B327" s="11" t="s">
        <v>372</v>
      </c>
      <c r="C327" s="3">
        <v>1</v>
      </c>
      <c r="D327" s="3">
        <v>7</v>
      </c>
      <c r="E327" s="11" t="s">
        <v>391</v>
      </c>
      <c r="F327" s="14">
        <v>0.83399999999999996</v>
      </c>
      <c r="G327" s="14">
        <f t="shared" si="34"/>
        <v>0.54800000000000004</v>
      </c>
      <c r="H327" s="14">
        <f t="shared" si="28"/>
        <v>0.32666164154103872</v>
      </c>
      <c r="I327" s="14">
        <f t="shared" si="29"/>
        <v>0.71360741478107859</v>
      </c>
      <c r="J327" s="14">
        <f t="shared" si="30"/>
        <v>0.47532109228187902</v>
      </c>
      <c r="K327" s="14">
        <f t="shared" si="31"/>
        <v>0.14549161073825498</v>
      </c>
      <c r="L327" s="12" t="str">
        <f t="shared" si="32"/>
        <v>OOC</v>
      </c>
      <c r="M327" s="12" t="str">
        <f t="shared" si="33"/>
        <v/>
      </c>
    </row>
    <row r="328" spans="1:13" ht="31.5">
      <c r="A328" s="3">
        <v>320</v>
      </c>
      <c r="B328" s="11" t="s">
        <v>372</v>
      </c>
      <c r="C328" s="3">
        <v>1</v>
      </c>
      <c r="D328" s="3">
        <v>6</v>
      </c>
      <c r="E328" s="11" t="s">
        <v>392</v>
      </c>
      <c r="F328" s="14">
        <v>0.28499999999999998</v>
      </c>
      <c r="G328" s="14">
        <f t="shared" si="34"/>
        <v>0.54899999999999993</v>
      </c>
      <c r="H328" s="14">
        <f t="shared" si="28"/>
        <v>0.32666164154103872</v>
      </c>
      <c r="I328" s="14">
        <f t="shared" si="29"/>
        <v>0.71360741478107859</v>
      </c>
      <c r="J328" s="14">
        <f t="shared" si="30"/>
        <v>0.47532109228187902</v>
      </c>
      <c r="K328" s="14">
        <f t="shared" si="31"/>
        <v>0.14549161073825498</v>
      </c>
      <c r="L328" s="12" t="str">
        <f t="shared" si="32"/>
        <v/>
      </c>
      <c r="M328" s="12" t="str">
        <f t="shared" si="33"/>
        <v/>
      </c>
    </row>
    <row r="329" spans="1:13" ht="31.5">
      <c r="A329" s="3">
        <v>321</v>
      </c>
      <c r="B329" s="11" t="s">
        <v>372</v>
      </c>
      <c r="C329" s="3">
        <v>1</v>
      </c>
      <c r="D329" s="3">
        <v>5</v>
      </c>
      <c r="E329" s="11" t="s">
        <v>393</v>
      </c>
      <c r="F329" s="14">
        <v>0.82799999999999996</v>
      </c>
      <c r="G329" s="14">
        <f t="shared" si="34"/>
        <v>0.54299999999999993</v>
      </c>
      <c r="H329" s="14">
        <f t="shared" si="28"/>
        <v>0.32666164154103872</v>
      </c>
      <c r="I329" s="14">
        <f t="shared" si="29"/>
        <v>0.71360741478107859</v>
      </c>
      <c r="J329" s="14">
        <f t="shared" si="30"/>
        <v>0.47532109228187902</v>
      </c>
      <c r="K329" s="14">
        <f t="shared" si="31"/>
        <v>0.14549161073825498</v>
      </c>
      <c r="L329" s="12" t="str">
        <f t="shared" si="32"/>
        <v>OOC</v>
      </c>
      <c r="M329" s="12" t="str">
        <f t="shared" si="33"/>
        <v/>
      </c>
    </row>
    <row r="330" spans="1:13" ht="31.5">
      <c r="A330" s="3">
        <v>322</v>
      </c>
      <c r="B330" s="11" t="s">
        <v>372</v>
      </c>
      <c r="C330" s="3">
        <v>1</v>
      </c>
      <c r="D330" s="3">
        <v>4</v>
      </c>
      <c r="E330" s="11" t="s">
        <v>394</v>
      </c>
      <c r="F330" s="14">
        <v>0.19</v>
      </c>
      <c r="G330" s="14">
        <f t="shared" si="34"/>
        <v>0.6379999999999999</v>
      </c>
      <c r="H330" s="14">
        <f t="shared" si="28"/>
        <v>0.32666164154103872</v>
      </c>
      <c r="I330" s="14">
        <f t="shared" si="29"/>
        <v>0.71360741478107859</v>
      </c>
      <c r="J330" s="14">
        <f t="shared" si="30"/>
        <v>0.47532109228187902</v>
      </c>
      <c r="K330" s="14">
        <f t="shared" si="31"/>
        <v>0.14549161073825498</v>
      </c>
      <c r="L330" s="12" t="str">
        <f t="shared" si="32"/>
        <v/>
      </c>
      <c r="M330" s="12" t="str">
        <f t="shared" si="33"/>
        <v/>
      </c>
    </row>
    <row r="331" spans="1:13" ht="31.5">
      <c r="A331" s="3">
        <v>323</v>
      </c>
      <c r="B331" s="11" t="s">
        <v>372</v>
      </c>
      <c r="C331" s="3">
        <v>1</v>
      </c>
      <c r="D331" s="3">
        <v>3</v>
      </c>
      <c r="E331" s="11" t="s">
        <v>395</v>
      </c>
      <c r="F331" s="14">
        <v>0.308</v>
      </c>
      <c r="G331" s="14">
        <f t="shared" si="34"/>
        <v>0.11799999999999999</v>
      </c>
      <c r="H331" s="14">
        <f t="shared" ref="H331:H394" si="35">$F$4</f>
        <v>0.32666164154103872</v>
      </c>
      <c r="I331" s="14">
        <f t="shared" ref="I331:I394" si="36">$F$7</f>
        <v>0.71360741478107859</v>
      </c>
      <c r="J331" s="14">
        <f t="shared" ref="J331:J394" si="37">$F$8</f>
        <v>0.47532109228187902</v>
      </c>
      <c r="K331" s="14">
        <f t="shared" ref="K331:K394" si="38">$F$5</f>
        <v>0.14549161073825498</v>
      </c>
      <c r="L331" s="12" t="str">
        <f t="shared" ref="L331:L394" si="39">IF(F331&gt;$F$7,"OOC","" )</f>
        <v/>
      </c>
      <c r="M331" s="12" t="str">
        <f t="shared" ref="M331:M394" si="40">IF(F331&gt;$B$4,"OOS","" )</f>
        <v/>
      </c>
    </row>
    <row r="332" spans="1:13" ht="31.5">
      <c r="A332" s="3">
        <v>324</v>
      </c>
      <c r="B332" s="11" t="s">
        <v>372</v>
      </c>
      <c r="C332" s="3">
        <v>1</v>
      </c>
      <c r="D332" s="3">
        <v>2</v>
      </c>
      <c r="E332" s="11" t="s">
        <v>396</v>
      </c>
      <c r="F332" s="14">
        <v>0.20799999999999999</v>
      </c>
      <c r="G332" s="14">
        <f t="shared" ref="G332:G395" si="41">ABS(F332-F331)</f>
        <v>0.1</v>
      </c>
      <c r="H332" s="14">
        <f t="shared" si="35"/>
        <v>0.32666164154103872</v>
      </c>
      <c r="I332" s="14">
        <f t="shared" si="36"/>
        <v>0.71360741478107859</v>
      </c>
      <c r="J332" s="14">
        <f t="shared" si="37"/>
        <v>0.47532109228187902</v>
      </c>
      <c r="K332" s="14">
        <f t="shared" si="38"/>
        <v>0.14549161073825498</v>
      </c>
      <c r="L332" s="12" t="str">
        <f t="shared" si="39"/>
        <v/>
      </c>
      <c r="M332" s="12" t="str">
        <f t="shared" si="40"/>
        <v/>
      </c>
    </row>
    <row r="333" spans="1:13" ht="31.5">
      <c r="A333" s="3">
        <v>325</v>
      </c>
      <c r="B333" s="11" t="s">
        <v>372</v>
      </c>
      <c r="C333" s="3">
        <v>1</v>
      </c>
      <c r="D333" s="3">
        <v>1</v>
      </c>
      <c r="E333" s="11" t="s">
        <v>397</v>
      </c>
      <c r="F333" s="14">
        <v>0.55400000000000005</v>
      </c>
      <c r="G333" s="14">
        <f t="shared" si="41"/>
        <v>0.34600000000000009</v>
      </c>
      <c r="H333" s="14">
        <f t="shared" si="35"/>
        <v>0.32666164154103872</v>
      </c>
      <c r="I333" s="14">
        <f t="shared" si="36"/>
        <v>0.71360741478107859</v>
      </c>
      <c r="J333" s="14">
        <f t="shared" si="37"/>
        <v>0.47532109228187902</v>
      </c>
      <c r="K333" s="14">
        <f t="shared" si="38"/>
        <v>0.14549161073825498</v>
      </c>
      <c r="L333" s="12" t="str">
        <f t="shared" si="39"/>
        <v/>
      </c>
      <c r="M333" s="12" t="str">
        <f t="shared" si="40"/>
        <v/>
      </c>
    </row>
    <row r="334" spans="1:13" ht="31.5">
      <c r="A334" s="3">
        <v>326</v>
      </c>
      <c r="B334" s="11" t="s">
        <v>372</v>
      </c>
      <c r="C334" s="3">
        <v>1</v>
      </c>
      <c r="D334" s="3">
        <v>25</v>
      </c>
      <c r="E334" s="11" t="s">
        <v>398</v>
      </c>
      <c r="F334" s="14">
        <v>0.34899999999999998</v>
      </c>
      <c r="G334" s="14">
        <f t="shared" si="41"/>
        <v>0.20500000000000007</v>
      </c>
      <c r="H334" s="14">
        <f t="shared" si="35"/>
        <v>0.32666164154103872</v>
      </c>
      <c r="I334" s="14">
        <f t="shared" si="36"/>
        <v>0.71360741478107859</v>
      </c>
      <c r="J334" s="14">
        <f t="shared" si="37"/>
        <v>0.47532109228187902</v>
      </c>
      <c r="K334" s="14">
        <f t="shared" si="38"/>
        <v>0.14549161073825498</v>
      </c>
      <c r="L334" s="12" t="str">
        <f t="shared" si="39"/>
        <v/>
      </c>
      <c r="M334" s="12" t="str">
        <f t="shared" si="40"/>
        <v/>
      </c>
    </row>
    <row r="335" spans="1:13" ht="31.5">
      <c r="A335" s="3">
        <v>327</v>
      </c>
      <c r="B335" s="11" t="s">
        <v>372</v>
      </c>
      <c r="C335" s="3">
        <v>1</v>
      </c>
      <c r="D335" s="3">
        <v>24</v>
      </c>
      <c r="E335" s="11" t="s">
        <v>399</v>
      </c>
      <c r="F335" s="14">
        <v>0.17199999999999999</v>
      </c>
      <c r="G335" s="14">
        <f t="shared" si="41"/>
        <v>0.17699999999999999</v>
      </c>
      <c r="H335" s="14">
        <f t="shared" si="35"/>
        <v>0.32666164154103872</v>
      </c>
      <c r="I335" s="14">
        <f t="shared" si="36"/>
        <v>0.71360741478107859</v>
      </c>
      <c r="J335" s="14">
        <f t="shared" si="37"/>
        <v>0.47532109228187902</v>
      </c>
      <c r="K335" s="14">
        <f t="shared" si="38"/>
        <v>0.14549161073825498</v>
      </c>
      <c r="L335" s="12" t="str">
        <f t="shared" si="39"/>
        <v/>
      </c>
      <c r="M335" s="12" t="str">
        <f t="shared" si="40"/>
        <v/>
      </c>
    </row>
    <row r="336" spans="1:13" ht="31.5">
      <c r="A336" s="3">
        <v>328</v>
      </c>
      <c r="B336" s="11" t="s">
        <v>372</v>
      </c>
      <c r="C336" s="3">
        <v>1</v>
      </c>
      <c r="D336" s="3">
        <v>23</v>
      </c>
      <c r="E336" s="11" t="s">
        <v>400</v>
      </c>
      <c r="F336" s="14">
        <v>0.4</v>
      </c>
      <c r="G336" s="14">
        <f t="shared" si="41"/>
        <v>0.22800000000000004</v>
      </c>
      <c r="H336" s="14">
        <f t="shared" si="35"/>
        <v>0.32666164154103872</v>
      </c>
      <c r="I336" s="14">
        <f t="shared" si="36"/>
        <v>0.71360741478107859</v>
      </c>
      <c r="J336" s="14">
        <f t="shared" si="37"/>
        <v>0.47532109228187902</v>
      </c>
      <c r="K336" s="14">
        <f t="shared" si="38"/>
        <v>0.14549161073825498</v>
      </c>
      <c r="L336" s="12" t="str">
        <f t="shared" si="39"/>
        <v/>
      </c>
      <c r="M336" s="12" t="str">
        <f t="shared" si="40"/>
        <v/>
      </c>
    </row>
    <row r="337" spans="1:13" ht="31.5">
      <c r="A337" s="3">
        <v>329</v>
      </c>
      <c r="B337" s="11" t="s">
        <v>372</v>
      </c>
      <c r="C337" s="3">
        <v>1</v>
      </c>
      <c r="D337" s="3">
        <v>22</v>
      </c>
      <c r="E337" s="11" t="s">
        <v>401</v>
      </c>
      <c r="F337" s="14">
        <v>0.42599999999999999</v>
      </c>
      <c r="G337" s="14">
        <f t="shared" si="41"/>
        <v>2.5999999999999968E-2</v>
      </c>
      <c r="H337" s="14">
        <f t="shared" si="35"/>
        <v>0.32666164154103872</v>
      </c>
      <c r="I337" s="14">
        <f t="shared" si="36"/>
        <v>0.71360741478107859</v>
      </c>
      <c r="J337" s="14">
        <f t="shared" si="37"/>
        <v>0.47532109228187902</v>
      </c>
      <c r="K337" s="14">
        <f t="shared" si="38"/>
        <v>0.14549161073825498</v>
      </c>
      <c r="L337" s="12" t="str">
        <f t="shared" si="39"/>
        <v/>
      </c>
      <c r="M337" s="12" t="str">
        <f t="shared" si="40"/>
        <v/>
      </c>
    </row>
    <row r="338" spans="1:13" ht="31.5">
      <c r="A338" s="3">
        <v>330</v>
      </c>
      <c r="B338" s="11" t="s">
        <v>372</v>
      </c>
      <c r="C338" s="3">
        <v>1</v>
      </c>
      <c r="D338" s="3">
        <v>21</v>
      </c>
      <c r="E338" s="11" t="s">
        <v>402</v>
      </c>
      <c r="F338" s="14">
        <v>0.22700000000000001</v>
      </c>
      <c r="G338" s="14">
        <f t="shared" si="41"/>
        <v>0.19899999999999998</v>
      </c>
      <c r="H338" s="14">
        <f t="shared" si="35"/>
        <v>0.32666164154103872</v>
      </c>
      <c r="I338" s="14">
        <f t="shared" si="36"/>
        <v>0.71360741478107859</v>
      </c>
      <c r="J338" s="14">
        <f t="shared" si="37"/>
        <v>0.47532109228187902</v>
      </c>
      <c r="K338" s="14">
        <f t="shared" si="38"/>
        <v>0.14549161073825498</v>
      </c>
      <c r="L338" s="12" t="str">
        <f t="shared" si="39"/>
        <v/>
      </c>
      <c r="M338" s="12" t="str">
        <f t="shared" si="40"/>
        <v/>
      </c>
    </row>
    <row r="339" spans="1:13" ht="31.5">
      <c r="A339" s="3">
        <v>331</v>
      </c>
      <c r="B339" s="11" t="s">
        <v>372</v>
      </c>
      <c r="C339" s="3">
        <v>1</v>
      </c>
      <c r="D339" s="3">
        <v>20</v>
      </c>
      <c r="E339" s="11" t="s">
        <v>403</v>
      </c>
      <c r="F339" s="14">
        <v>0.30099999999999999</v>
      </c>
      <c r="G339" s="14">
        <f t="shared" si="41"/>
        <v>7.3999999999999982E-2</v>
      </c>
      <c r="H339" s="14">
        <f t="shared" si="35"/>
        <v>0.32666164154103872</v>
      </c>
      <c r="I339" s="14">
        <f t="shared" si="36"/>
        <v>0.71360741478107859</v>
      </c>
      <c r="J339" s="14">
        <f t="shared" si="37"/>
        <v>0.47532109228187902</v>
      </c>
      <c r="K339" s="14">
        <f t="shared" si="38"/>
        <v>0.14549161073825498</v>
      </c>
      <c r="L339" s="12" t="str">
        <f t="shared" si="39"/>
        <v/>
      </c>
      <c r="M339" s="12" t="str">
        <f t="shared" si="40"/>
        <v/>
      </c>
    </row>
    <row r="340" spans="1:13" ht="31.5">
      <c r="A340" s="3">
        <v>332</v>
      </c>
      <c r="B340" s="11" t="s">
        <v>372</v>
      </c>
      <c r="C340" s="3">
        <v>1</v>
      </c>
      <c r="D340" s="3">
        <v>19</v>
      </c>
      <c r="E340" s="11" t="s">
        <v>404</v>
      </c>
      <c r="F340" s="14">
        <v>0.376</v>
      </c>
      <c r="G340" s="14">
        <f t="shared" si="41"/>
        <v>7.5000000000000011E-2</v>
      </c>
      <c r="H340" s="14">
        <f t="shared" si="35"/>
        <v>0.32666164154103872</v>
      </c>
      <c r="I340" s="14">
        <f t="shared" si="36"/>
        <v>0.71360741478107859</v>
      </c>
      <c r="J340" s="14">
        <f t="shared" si="37"/>
        <v>0.47532109228187902</v>
      </c>
      <c r="K340" s="14">
        <f t="shared" si="38"/>
        <v>0.14549161073825498</v>
      </c>
      <c r="L340" s="12" t="str">
        <f t="shared" si="39"/>
        <v/>
      </c>
      <c r="M340" s="12" t="str">
        <f t="shared" si="40"/>
        <v/>
      </c>
    </row>
    <row r="341" spans="1:13" ht="31.5">
      <c r="A341" s="3">
        <v>333</v>
      </c>
      <c r="B341" s="11" t="s">
        <v>372</v>
      </c>
      <c r="C341" s="3">
        <v>1</v>
      </c>
      <c r="D341" s="3">
        <v>18</v>
      </c>
      <c r="E341" s="11" t="s">
        <v>405</v>
      </c>
      <c r="F341" s="14">
        <v>0.28999999999999998</v>
      </c>
      <c r="G341" s="14">
        <f t="shared" si="41"/>
        <v>8.6000000000000021E-2</v>
      </c>
      <c r="H341" s="14">
        <f t="shared" si="35"/>
        <v>0.32666164154103872</v>
      </c>
      <c r="I341" s="14">
        <f t="shared" si="36"/>
        <v>0.71360741478107859</v>
      </c>
      <c r="J341" s="14">
        <f t="shared" si="37"/>
        <v>0.47532109228187902</v>
      </c>
      <c r="K341" s="14">
        <f t="shared" si="38"/>
        <v>0.14549161073825498</v>
      </c>
      <c r="L341" s="12" t="str">
        <f t="shared" si="39"/>
        <v/>
      </c>
      <c r="M341" s="12" t="str">
        <f t="shared" si="40"/>
        <v/>
      </c>
    </row>
    <row r="342" spans="1:13" ht="31.5">
      <c r="A342" s="3">
        <v>334</v>
      </c>
      <c r="B342" s="11" t="s">
        <v>372</v>
      </c>
      <c r="C342" s="3">
        <v>1</v>
      </c>
      <c r="D342" s="3">
        <v>17</v>
      </c>
      <c r="E342" s="11" t="s">
        <v>406</v>
      </c>
      <c r="F342" s="14">
        <v>0.29799999999999999</v>
      </c>
      <c r="G342" s="14">
        <f t="shared" si="41"/>
        <v>8.0000000000000071E-3</v>
      </c>
      <c r="H342" s="14">
        <f t="shared" si="35"/>
        <v>0.32666164154103872</v>
      </c>
      <c r="I342" s="14">
        <f t="shared" si="36"/>
        <v>0.71360741478107859</v>
      </c>
      <c r="J342" s="14">
        <f t="shared" si="37"/>
        <v>0.47532109228187902</v>
      </c>
      <c r="K342" s="14">
        <f t="shared" si="38"/>
        <v>0.14549161073825498</v>
      </c>
      <c r="L342" s="12" t="str">
        <f t="shared" si="39"/>
        <v/>
      </c>
      <c r="M342" s="12" t="str">
        <f t="shared" si="40"/>
        <v/>
      </c>
    </row>
    <row r="343" spans="1:13" ht="31.5">
      <c r="A343" s="3">
        <v>335</v>
      </c>
      <c r="B343" s="11" t="s">
        <v>372</v>
      </c>
      <c r="C343" s="3">
        <v>1</v>
      </c>
      <c r="D343" s="3">
        <v>16</v>
      </c>
      <c r="E343" s="11" t="s">
        <v>407</v>
      </c>
      <c r="F343" s="14">
        <v>0.27800000000000002</v>
      </c>
      <c r="G343" s="14">
        <f t="shared" si="41"/>
        <v>1.9999999999999962E-2</v>
      </c>
      <c r="H343" s="14">
        <f t="shared" si="35"/>
        <v>0.32666164154103872</v>
      </c>
      <c r="I343" s="14">
        <f t="shared" si="36"/>
        <v>0.71360741478107859</v>
      </c>
      <c r="J343" s="14">
        <f t="shared" si="37"/>
        <v>0.47532109228187902</v>
      </c>
      <c r="K343" s="14">
        <f t="shared" si="38"/>
        <v>0.14549161073825498</v>
      </c>
      <c r="L343" s="12" t="str">
        <f t="shared" si="39"/>
        <v/>
      </c>
      <c r="M343" s="12" t="str">
        <f t="shared" si="40"/>
        <v/>
      </c>
    </row>
    <row r="344" spans="1:13" ht="31.5">
      <c r="A344" s="3">
        <v>336</v>
      </c>
      <c r="B344" s="11" t="s">
        <v>372</v>
      </c>
      <c r="C344" s="3">
        <v>1</v>
      </c>
      <c r="D344" s="3">
        <v>15</v>
      </c>
      <c r="E344" s="11" t="s">
        <v>408</v>
      </c>
      <c r="F344" s="14">
        <v>0.432</v>
      </c>
      <c r="G344" s="14">
        <f t="shared" si="41"/>
        <v>0.15399999999999997</v>
      </c>
      <c r="H344" s="14">
        <f t="shared" si="35"/>
        <v>0.32666164154103872</v>
      </c>
      <c r="I344" s="14">
        <f t="shared" si="36"/>
        <v>0.71360741478107859</v>
      </c>
      <c r="J344" s="14">
        <f t="shared" si="37"/>
        <v>0.47532109228187902</v>
      </c>
      <c r="K344" s="14">
        <f t="shared" si="38"/>
        <v>0.14549161073825498</v>
      </c>
      <c r="L344" s="12" t="str">
        <f t="shared" si="39"/>
        <v/>
      </c>
      <c r="M344" s="12" t="str">
        <f t="shared" si="40"/>
        <v/>
      </c>
    </row>
    <row r="345" spans="1:13" ht="31.5">
      <c r="A345" s="3">
        <v>337</v>
      </c>
      <c r="B345" s="11" t="s">
        <v>372</v>
      </c>
      <c r="C345" s="3">
        <v>1</v>
      </c>
      <c r="D345" s="3">
        <v>14</v>
      </c>
      <c r="E345" s="11" t="s">
        <v>409</v>
      </c>
      <c r="F345" s="14">
        <v>0.46300000000000002</v>
      </c>
      <c r="G345" s="14">
        <f t="shared" si="41"/>
        <v>3.1000000000000028E-2</v>
      </c>
      <c r="H345" s="14">
        <f t="shared" si="35"/>
        <v>0.32666164154103872</v>
      </c>
      <c r="I345" s="14">
        <f t="shared" si="36"/>
        <v>0.71360741478107859</v>
      </c>
      <c r="J345" s="14">
        <f t="shared" si="37"/>
        <v>0.47532109228187902</v>
      </c>
      <c r="K345" s="14">
        <f t="shared" si="38"/>
        <v>0.14549161073825498</v>
      </c>
      <c r="L345" s="12" t="str">
        <f t="shared" si="39"/>
        <v/>
      </c>
      <c r="M345" s="12" t="str">
        <f t="shared" si="40"/>
        <v/>
      </c>
    </row>
    <row r="346" spans="1:13" ht="31.5">
      <c r="A346" s="3">
        <v>338</v>
      </c>
      <c r="B346" s="11" t="s">
        <v>372</v>
      </c>
      <c r="C346" s="3">
        <v>1</v>
      </c>
      <c r="D346" s="3">
        <v>13</v>
      </c>
      <c r="E346" s="11" t="s">
        <v>410</v>
      </c>
      <c r="F346" s="14">
        <v>0.90100000000000002</v>
      </c>
      <c r="G346" s="14">
        <f t="shared" si="41"/>
        <v>0.438</v>
      </c>
      <c r="H346" s="14">
        <f t="shared" si="35"/>
        <v>0.32666164154103872</v>
      </c>
      <c r="I346" s="14">
        <f t="shared" si="36"/>
        <v>0.71360741478107859</v>
      </c>
      <c r="J346" s="14">
        <f t="shared" si="37"/>
        <v>0.47532109228187902</v>
      </c>
      <c r="K346" s="14">
        <f t="shared" si="38"/>
        <v>0.14549161073825498</v>
      </c>
      <c r="L346" s="12" t="str">
        <f t="shared" si="39"/>
        <v>OOC</v>
      </c>
      <c r="M346" s="12" t="str">
        <f t="shared" si="40"/>
        <v/>
      </c>
    </row>
    <row r="347" spans="1:13" ht="31.5">
      <c r="A347" s="3">
        <v>339</v>
      </c>
      <c r="B347" s="11" t="s">
        <v>372</v>
      </c>
      <c r="C347" s="3">
        <v>1</v>
      </c>
      <c r="D347" s="3">
        <v>12</v>
      </c>
      <c r="E347" s="11" t="s">
        <v>411</v>
      </c>
      <c r="F347" s="14">
        <v>0.56200000000000006</v>
      </c>
      <c r="G347" s="14">
        <f t="shared" si="41"/>
        <v>0.33899999999999997</v>
      </c>
      <c r="H347" s="14">
        <f t="shared" si="35"/>
        <v>0.32666164154103872</v>
      </c>
      <c r="I347" s="14">
        <f t="shared" si="36"/>
        <v>0.71360741478107859</v>
      </c>
      <c r="J347" s="14">
        <f t="shared" si="37"/>
        <v>0.47532109228187902</v>
      </c>
      <c r="K347" s="14">
        <f t="shared" si="38"/>
        <v>0.14549161073825498</v>
      </c>
      <c r="L347" s="12" t="str">
        <f t="shared" si="39"/>
        <v/>
      </c>
      <c r="M347" s="12" t="str">
        <f t="shared" si="40"/>
        <v/>
      </c>
    </row>
    <row r="348" spans="1:13" ht="31.5">
      <c r="A348" s="3">
        <v>340</v>
      </c>
      <c r="B348" s="11" t="s">
        <v>372</v>
      </c>
      <c r="C348" s="3">
        <v>1</v>
      </c>
      <c r="D348" s="3">
        <v>11</v>
      </c>
      <c r="E348" s="11" t="s">
        <v>412</v>
      </c>
      <c r="F348" s="14">
        <v>0.375</v>
      </c>
      <c r="G348" s="14">
        <f t="shared" si="41"/>
        <v>0.18700000000000006</v>
      </c>
      <c r="H348" s="14">
        <f t="shared" si="35"/>
        <v>0.32666164154103872</v>
      </c>
      <c r="I348" s="14">
        <f t="shared" si="36"/>
        <v>0.71360741478107859</v>
      </c>
      <c r="J348" s="14">
        <f t="shared" si="37"/>
        <v>0.47532109228187902</v>
      </c>
      <c r="K348" s="14">
        <f t="shared" si="38"/>
        <v>0.14549161073825498</v>
      </c>
      <c r="L348" s="12" t="str">
        <f t="shared" si="39"/>
        <v/>
      </c>
      <c r="M348" s="12" t="str">
        <f t="shared" si="40"/>
        <v/>
      </c>
    </row>
    <row r="349" spans="1:13" ht="31.5">
      <c r="A349" s="3">
        <v>341</v>
      </c>
      <c r="B349" s="11" t="s">
        <v>372</v>
      </c>
      <c r="C349" s="3">
        <v>1</v>
      </c>
      <c r="D349" s="3">
        <v>10</v>
      </c>
      <c r="E349" s="11" t="s">
        <v>413</v>
      </c>
      <c r="F349" s="14">
        <v>0.26</v>
      </c>
      <c r="G349" s="14">
        <f t="shared" si="41"/>
        <v>0.11499999999999999</v>
      </c>
      <c r="H349" s="14">
        <f t="shared" si="35"/>
        <v>0.32666164154103872</v>
      </c>
      <c r="I349" s="14">
        <f t="shared" si="36"/>
        <v>0.71360741478107859</v>
      </c>
      <c r="J349" s="14">
        <f t="shared" si="37"/>
        <v>0.47532109228187902</v>
      </c>
      <c r="K349" s="14">
        <f t="shared" si="38"/>
        <v>0.14549161073825498</v>
      </c>
      <c r="L349" s="12" t="str">
        <f t="shared" si="39"/>
        <v/>
      </c>
      <c r="M349" s="12" t="str">
        <f t="shared" si="40"/>
        <v/>
      </c>
    </row>
    <row r="350" spans="1:13" ht="31.5">
      <c r="A350" s="3">
        <v>342</v>
      </c>
      <c r="B350" s="11" t="s">
        <v>372</v>
      </c>
      <c r="C350" s="3">
        <v>1</v>
      </c>
      <c r="D350" s="3">
        <v>9</v>
      </c>
      <c r="E350" s="11" t="s">
        <v>414</v>
      </c>
      <c r="F350" s="14">
        <v>0.373</v>
      </c>
      <c r="G350" s="14">
        <f t="shared" si="41"/>
        <v>0.11299999999999999</v>
      </c>
      <c r="H350" s="14">
        <f t="shared" si="35"/>
        <v>0.32666164154103872</v>
      </c>
      <c r="I350" s="14">
        <f t="shared" si="36"/>
        <v>0.71360741478107859</v>
      </c>
      <c r="J350" s="14">
        <f t="shared" si="37"/>
        <v>0.47532109228187902</v>
      </c>
      <c r="K350" s="14">
        <f t="shared" si="38"/>
        <v>0.14549161073825498</v>
      </c>
      <c r="L350" s="12" t="str">
        <f t="shared" si="39"/>
        <v/>
      </c>
      <c r="M350" s="12" t="str">
        <f t="shared" si="40"/>
        <v/>
      </c>
    </row>
    <row r="351" spans="1:13" ht="31.5">
      <c r="A351" s="3">
        <v>343</v>
      </c>
      <c r="B351" s="11" t="s">
        <v>372</v>
      </c>
      <c r="C351" s="3">
        <v>1</v>
      </c>
      <c r="D351" s="3">
        <v>8</v>
      </c>
      <c r="E351" s="11" t="s">
        <v>415</v>
      </c>
      <c r="F351" s="14">
        <v>0.373</v>
      </c>
      <c r="G351" s="14">
        <f t="shared" si="41"/>
        <v>0</v>
      </c>
      <c r="H351" s="14">
        <f t="shared" si="35"/>
        <v>0.32666164154103872</v>
      </c>
      <c r="I351" s="14">
        <f t="shared" si="36"/>
        <v>0.71360741478107859</v>
      </c>
      <c r="J351" s="14">
        <f t="shared" si="37"/>
        <v>0.47532109228187902</v>
      </c>
      <c r="K351" s="14">
        <f t="shared" si="38"/>
        <v>0.14549161073825498</v>
      </c>
      <c r="L351" s="12" t="str">
        <f t="shared" si="39"/>
        <v/>
      </c>
      <c r="M351" s="12" t="str">
        <f t="shared" si="40"/>
        <v/>
      </c>
    </row>
    <row r="352" spans="1:13" ht="31.5">
      <c r="A352" s="3">
        <v>344</v>
      </c>
      <c r="B352" s="11" t="s">
        <v>372</v>
      </c>
      <c r="C352" s="3">
        <v>1</v>
      </c>
      <c r="D352" s="3">
        <v>7</v>
      </c>
      <c r="E352" s="11" t="s">
        <v>416</v>
      </c>
      <c r="F352" s="14">
        <v>0.435</v>
      </c>
      <c r="G352" s="14">
        <f t="shared" si="41"/>
        <v>6.2E-2</v>
      </c>
      <c r="H352" s="14">
        <f t="shared" si="35"/>
        <v>0.32666164154103872</v>
      </c>
      <c r="I352" s="14">
        <f t="shared" si="36"/>
        <v>0.71360741478107859</v>
      </c>
      <c r="J352" s="14">
        <f t="shared" si="37"/>
        <v>0.47532109228187902</v>
      </c>
      <c r="K352" s="14">
        <f t="shared" si="38"/>
        <v>0.14549161073825498</v>
      </c>
      <c r="L352" s="12" t="str">
        <f t="shared" si="39"/>
        <v/>
      </c>
      <c r="M352" s="12" t="str">
        <f t="shared" si="40"/>
        <v/>
      </c>
    </row>
    <row r="353" spans="1:13" ht="31.5">
      <c r="A353" s="3">
        <v>345</v>
      </c>
      <c r="B353" s="11" t="s">
        <v>372</v>
      </c>
      <c r="C353" s="3">
        <v>1</v>
      </c>
      <c r="D353" s="3">
        <v>6</v>
      </c>
      <c r="E353" s="11" t="s">
        <v>417</v>
      </c>
      <c r="F353" s="14">
        <v>0.53300000000000003</v>
      </c>
      <c r="G353" s="14">
        <f t="shared" si="41"/>
        <v>9.8000000000000032E-2</v>
      </c>
      <c r="H353" s="14">
        <f t="shared" si="35"/>
        <v>0.32666164154103872</v>
      </c>
      <c r="I353" s="14">
        <f t="shared" si="36"/>
        <v>0.71360741478107859</v>
      </c>
      <c r="J353" s="14">
        <f t="shared" si="37"/>
        <v>0.47532109228187902</v>
      </c>
      <c r="K353" s="14">
        <f t="shared" si="38"/>
        <v>0.14549161073825498</v>
      </c>
      <c r="L353" s="12" t="str">
        <f t="shared" si="39"/>
        <v/>
      </c>
      <c r="M353" s="12" t="str">
        <f t="shared" si="40"/>
        <v/>
      </c>
    </row>
    <row r="354" spans="1:13" ht="31.5">
      <c r="A354" s="3">
        <v>346</v>
      </c>
      <c r="B354" s="11" t="s">
        <v>372</v>
      </c>
      <c r="C354" s="3">
        <v>1</v>
      </c>
      <c r="D354" s="3">
        <v>5</v>
      </c>
      <c r="E354" s="11" t="s">
        <v>418</v>
      </c>
      <c r="F354" s="14">
        <v>0.39600000000000002</v>
      </c>
      <c r="G354" s="14">
        <f t="shared" si="41"/>
        <v>0.13700000000000001</v>
      </c>
      <c r="H354" s="14">
        <f t="shared" si="35"/>
        <v>0.32666164154103872</v>
      </c>
      <c r="I354" s="14">
        <f t="shared" si="36"/>
        <v>0.71360741478107859</v>
      </c>
      <c r="J354" s="14">
        <f t="shared" si="37"/>
        <v>0.47532109228187902</v>
      </c>
      <c r="K354" s="14">
        <f t="shared" si="38"/>
        <v>0.14549161073825498</v>
      </c>
      <c r="L354" s="12" t="str">
        <f t="shared" si="39"/>
        <v/>
      </c>
      <c r="M354" s="12" t="str">
        <f t="shared" si="40"/>
        <v/>
      </c>
    </row>
    <row r="355" spans="1:13" ht="31.5">
      <c r="A355" s="3">
        <v>347</v>
      </c>
      <c r="B355" s="11" t="s">
        <v>372</v>
      </c>
      <c r="C355" s="3">
        <v>1</v>
      </c>
      <c r="D355" s="3">
        <v>4</v>
      </c>
      <c r="E355" s="11" t="s">
        <v>419</v>
      </c>
      <c r="F355" s="14">
        <v>0.40899999999999997</v>
      </c>
      <c r="G355" s="14">
        <f t="shared" si="41"/>
        <v>1.2999999999999956E-2</v>
      </c>
      <c r="H355" s="14">
        <f t="shared" si="35"/>
        <v>0.32666164154103872</v>
      </c>
      <c r="I355" s="14">
        <f t="shared" si="36"/>
        <v>0.71360741478107859</v>
      </c>
      <c r="J355" s="14">
        <f t="shared" si="37"/>
        <v>0.47532109228187902</v>
      </c>
      <c r="K355" s="14">
        <f t="shared" si="38"/>
        <v>0.14549161073825498</v>
      </c>
      <c r="L355" s="12" t="str">
        <f t="shared" si="39"/>
        <v/>
      </c>
      <c r="M355" s="12" t="str">
        <f t="shared" si="40"/>
        <v/>
      </c>
    </row>
    <row r="356" spans="1:13" ht="31.5">
      <c r="A356" s="3">
        <v>348</v>
      </c>
      <c r="B356" s="11" t="s">
        <v>372</v>
      </c>
      <c r="C356" s="3">
        <v>1</v>
      </c>
      <c r="D356" s="3">
        <v>3</v>
      </c>
      <c r="E356" s="11" t="s">
        <v>420</v>
      </c>
      <c r="F356" s="14">
        <v>0.33500000000000002</v>
      </c>
      <c r="G356" s="14">
        <f t="shared" si="41"/>
        <v>7.3999999999999955E-2</v>
      </c>
      <c r="H356" s="14">
        <f t="shared" si="35"/>
        <v>0.32666164154103872</v>
      </c>
      <c r="I356" s="14">
        <f t="shared" si="36"/>
        <v>0.71360741478107859</v>
      </c>
      <c r="J356" s="14">
        <f t="shared" si="37"/>
        <v>0.47532109228187902</v>
      </c>
      <c r="K356" s="14">
        <f t="shared" si="38"/>
        <v>0.14549161073825498</v>
      </c>
      <c r="L356" s="12" t="str">
        <f t="shared" si="39"/>
        <v/>
      </c>
      <c r="M356" s="12" t="str">
        <f t="shared" si="40"/>
        <v/>
      </c>
    </row>
    <row r="357" spans="1:13" ht="31.5">
      <c r="A357" s="3">
        <v>349</v>
      </c>
      <c r="B357" s="11" t="s">
        <v>372</v>
      </c>
      <c r="C357" s="3">
        <v>1</v>
      </c>
      <c r="D357" s="3">
        <v>2</v>
      </c>
      <c r="E357" s="11" t="s">
        <v>421</v>
      </c>
      <c r="F357" s="14">
        <v>0.374</v>
      </c>
      <c r="G357" s="14">
        <f t="shared" si="41"/>
        <v>3.8999999999999979E-2</v>
      </c>
      <c r="H357" s="14">
        <f t="shared" si="35"/>
        <v>0.32666164154103872</v>
      </c>
      <c r="I357" s="14">
        <f t="shared" si="36"/>
        <v>0.71360741478107859</v>
      </c>
      <c r="J357" s="14">
        <f t="shared" si="37"/>
        <v>0.47532109228187902</v>
      </c>
      <c r="K357" s="14">
        <f t="shared" si="38"/>
        <v>0.14549161073825498</v>
      </c>
      <c r="L357" s="12" t="str">
        <f t="shared" si="39"/>
        <v/>
      </c>
      <c r="M357" s="12" t="str">
        <f t="shared" si="40"/>
        <v/>
      </c>
    </row>
    <row r="358" spans="1:13" ht="31.5">
      <c r="A358" s="3">
        <v>350</v>
      </c>
      <c r="B358" s="11" t="s">
        <v>372</v>
      </c>
      <c r="C358" s="3">
        <v>1</v>
      </c>
      <c r="D358" s="3">
        <v>1</v>
      </c>
      <c r="E358" s="11" t="s">
        <v>422</v>
      </c>
      <c r="F358" s="14">
        <v>0.44900000000000001</v>
      </c>
      <c r="G358" s="14">
        <f t="shared" si="41"/>
        <v>7.5000000000000011E-2</v>
      </c>
      <c r="H358" s="14">
        <f t="shared" si="35"/>
        <v>0.32666164154103872</v>
      </c>
      <c r="I358" s="14">
        <f t="shared" si="36"/>
        <v>0.71360741478107859</v>
      </c>
      <c r="J358" s="14">
        <f t="shared" si="37"/>
        <v>0.47532109228187902</v>
      </c>
      <c r="K358" s="14">
        <f t="shared" si="38"/>
        <v>0.14549161073825498</v>
      </c>
      <c r="L358" s="12" t="str">
        <f t="shared" si="39"/>
        <v/>
      </c>
      <c r="M358" s="12" t="str">
        <f t="shared" si="40"/>
        <v/>
      </c>
    </row>
    <row r="359" spans="1:13" ht="31.5">
      <c r="A359" s="3">
        <v>351</v>
      </c>
      <c r="B359" s="11" t="s">
        <v>372</v>
      </c>
      <c r="C359" s="3">
        <v>2</v>
      </c>
      <c r="D359" s="3">
        <v>25</v>
      </c>
      <c r="E359" s="11" t="s">
        <v>423</v>
      </c>
      <c r="F359" s="14">
        <v>0.49199999999999999</v>
      </c>
      <c r="G359" s="14">
        <f t="shared" si="41"/>
        <v>4.2999999999999983E-2</v>
      </c>
      <c r="H359" s="14">
        <f t="shared" si="35"/>
        <v>0.32666164154103872</v>
      </c>
      <c r="I359" s="14">
        <f t="shared" si="36"/>
        <v>0.71360741478107859</v>
      </c>
      <c r="J359" s="14">
        <f t="shared" si="37"/>
        <v>0.47532109228187902</v>
      </c>
      <c r="K359" s="14">
        <f t="shared" si="38"/>
        <v>0.14549161073825498</v>
      </c>
      <c r="L359" s="12" t="str">
        <f t="shared" si="39"/>
        <v/>
      </c>
      <c r="M359" s="12" t="str">
        <f t="shared" si="40"/>
        <v/>
      </c>
    </row>
    <row r="360" spans="1:13" ht="31.5">
      <c r="A360" s="3">
        <v>352</v>
      </c>
      <c r="B360" s="11" t="s">
        <v>372</v>
      </c>
      <c r="C360" s="3">
        <v>2</v>
      </c>
      <c r="D360" s="3">
        <v>24</v>
      </c>
      <c r="E360" s="11" t="s">
        <v>424</v>
      </c>
      <c r="F360" s="14">
        <v>0.45500000000000002</v>
      </c>
      <c r="G360" s="14">
        <f t="shared" si="41"/>
        <v>3.6999999999999977E-2</v>
      </c>
      <c r="H360" s="14">
        <f t="shared" si="35"/>
        <v>0.32666164154103872</v>
      </c>
      <c r="I360" s="14">
        <f t="shared" si="36"/>
        <v>0.71360741478107859</v>
      </c>
      <c r="J360" s="14">
        <f t="shared" si="37"/>
        <v>0.47532109228187902</v>
      </c>
      <c r="K360" s="14">
        <f t="shared" si="38"/>
        <v>0.14549161073825498</v>
      </c>
      <c r="L360" s="12" t="str">
        <f t="shared" si="39"/>
        <v/>
      </c>
      <c r="M360" s="12" t="str">
        <f t="shared" si="40"/>
        <v/>
      </c>
    </row>
    <row r="361" spans="1:13" ht="31.5">
      <c r="A361" s="3">
        <v>353</v>
      </c>
      <c r="B361" s="11" t="s">
        <v>372</v>
      </c>
      <c r="C361" s="3">
        <v>2</v>
      </c>
      <c r="D361" s="3">
        <v>23</v>
      </c>
      <c r="E361" s="11" t="s">
        <v>425</v>
      </c>
      <c r="F361" s="14">
        <v>0.51</v>
      </c>
      <c r="G361" s="14">
        <f t="shared" si="41"/>
        <v>5.4999999999999993E-2</v>
      </c>
      <c r="H361" s="14">
        <f t="shared" si="35"/>
        <v>0.32666164154103872</v>
      </c>
      <c r="I361" s="14">
        <f t="shared" si="36"/>
        <v>0.71360741478107859</v>
      </c>
      <c r="J361" s="14">
        <f t="shared" si="37"/>
        <v>0.47532109228187902</v>
      </c>
      <c r="K361" s="14">
        <f t="shared" si="38"/>
        <v>0.14549161073825498</v>
      </c>
      <c r="L361" s="12" t="str">
        <f t="shared" si="39"/>
        <v/>
      </c>
      <c r="M361" s="12" t="str">
        <f t="shared" si="40"/>
        <v/>
      </c>
    </row>
    <row r="362" spans="1:13" ht="31.5">
      <c r="A362" s="3">
        <v>354</v>
      </c>
      <c r="B362" s="11" t="s">
        <v>372</v>
      </c>
      <c r="C362" s="3">
        <v>2</v>
      </c>
      <c r="D362" s="3">
        <v>22</v>
      </c>
      <c r="E362" s="11" t="s">
        <v>426</v>
      </c>
      <c r="F362" s="14">
        <v>0.47399999999999998</v>
      </c>
      <c r="G362" s="14">
        <f t="shared" si="41"/>
        <v>3.6000000000000032E-2</v>
      </c>
      <c r="H362" s="14">
        <f t="shared" si="35"/>
        <v>0.32666164154103872</v>
      </c>
      <c r="I362" s="14">
        <f t="shared" si="36"/>
        <v>0.71360741478107859</v>
      </c>
      <c r="J362" s="14">
        <f t="shared" si="37"/>
        <v>0.47532109228187902</v>
      </c>
      <c r="K362" s="14">
        <f t="shared" si="38"/>
        <v>0.14549161073825498</v>
      </c>
      <c r="L362" s="12" t="str">
        <f t="shared" si="39"/>
        <v/>
      </c>
      <c r="M362" s="12" t="str">
        <f t="shared" si="40"/>
        <v/>
      </c>
    </row>
    <row r="363" spans="1:13" ht="31.5">
      <c r="A363" s="3">
        <v>355</v>
      </c>
      <c r="B363" s="11" t="s">
        <v>372</v>
      </c>
      <c r="C363" s="3">
        <v>2</v>
      </c>
      <c r="D363" s="3">
        <v>21</v>
      </c>
      <c r="E363" s="11" t="s">
        <v>427</v>
      </c>
      <c r="F363" s="14">
        <v>0.18099999999999999</v>
      </c>
      <c r="G363" s="14">
        <f t="shared" si="41"/>
        <v>0.29299999999999998</v>
      </c>
      <c r="H363" s="14">
        <f t="shared" si="35"/>
        <v>0.32666164154103872</v>
      </c>
      <c r="I363" s="14">
        <f t="shared" si="36"/>
        <v>0.71360741478107859</v>
      </c>
      <c r="J363" s="14">
        <f t="shared" si="37"/>
        <v>0.47532109228187902</v>
      </c>
      <c r="K363" s="14">
        <f t="shared" si="38"/>
        <v>0.14549161073825498</v>
      </c>
      <c r="L363" s="12" t="str">
        <f t="shared" si="39"/>
        <v/>
      </c>
      <c r="M363" s="12" t="str">
        <f t="shared" si="40"/>
        <v/>
      </c>
    </row>
    <row r="364" spans="1:13" ht="31.5">
      <c r="A364" s="3">
        <v>356</v>
      </c>
      <c r="B364" s="11" t="s">
        <v>372</v>
      </c>
      <c r="C364" s="3">
        <v>2</v>
      </c>
      <c r="D364" s="3">
        <v>20</v>
      </c>
      <c r="E364" s="11" t="s">
        <v>428</v>
      </c>
      <c r="F364" s="14">
        <v>0.31900000000000001</v>
      </c>
      <c r="G364" s="14">
        <f t="shared" si="41"/>
        <v>0.13800000000000001</v>
      </c>
      <c r="H364" s="14">
        <f t="shared" si="35"/>
        <v>0.32666164154103872</v>
      </c>
      <c r="I364" s="14">
        <f t="shared" si="36"/>
        <v>0.71360741478107859</v>
      </c>
      <c r="J364" s="14">
        <f t="shared" si="37"/>
        <v>0.47532109228187902</v>
      </c>
      <c r="K364" s="14">
        <f t="shared" si="38"/>
        <v>0.14549161073825498</v>
      </c>
      <c r="L364" s="12" t="str">
        <f t="shared" si="39"/>
        <v/>
      </c>
      <c r="M364" s="12" t="str">
        <f t="shared" si="40"/>
        <v/>
      </c>
    </row>
    <row r="365" spans="1:13" ht="31.5">
      <c r="A365" s="3">
        <v>357</v>
      </c>
      <c r="B365" s="11" t="s">
        <v>372</v>
      </c>
      <c r="C365" s="3">
        <v>2</v>
      </c>
      <c r="D365" s="3">
        <v>19</v>
      </c>
      <c r="E365" s="11" t="s">
        <v>429</v>
      </c>
      <c r="F365" s="14">
        <v>0.314</v>
      </c>
      <c r="G365" s="14">
        <f t="shared" si="41"/>
        <v>5.0000000000000044E-3</v>
      </c>
      <c r="H365" s="14">
        <f t="shared" si="35"/>
        <v>0.32666164154103872</v>
      </c>
      <c r="I365" s="14">
        <f t="shared" si="36"/>
        <v>0.71360741478107859</v>
      </c>
      <c r="J365" s="14">
        <f t="shared" si="37"/>
        <v>0.47532109228187902</v>
      </c>
      <c r="K365" s="14">
        <f t="shared" si="38"/>
        <v>0.14549161073825498</v>
      </c>
      <c r="L365" s="12" t="str">
        <f t="shared" si="39"/>
        <v/>
      </c>
      <c r="M365" s="12" t="str">
        <f t="shared" si="40"/>
        <v/>
      </c>
    </row>
    <row r="366" spans="1:13" ht="31.5">
      <c r="A366" s="3">
        <v>358</v>
      </c>
      <c r="B366" s="11" t="s">
        <v>372</v>
      </c>
      <c r="C366" s="3">
        <v>2</v>
      </c>
      <c r="D366" s="3">
        <v>18</v>
      </c>
      <c r="E366" s="11" t="s">
        <v>430</v>
      </c>
      <c r="F366" s="14">
        <v>0.111</v>
      </c>
      <c r="G366" s="14">
        <f t="shared" si="41"/>
        <v>0.20300000000000001</v>
      </c>
      <c r="H366" s="14">
        <f t="shared" si="35"/>
        <v>0.32666164154103872</v>
      </c>
      <c r="I366" s="14">
        <f t="shared" si="36"/>
        <v>0.71360741478107859</v>
      </c>
      <c r="J366" s="14">
        <f t="shared" si="37"/>
        <v>0.47532109228187902</v>
      </c>
      <c r="K366" s="14">
        <f t="shared" si="38"/>
        <v>0.14549161073825498</v>
      </c>
      <c r="L366" s="12" t="str">
        <f t="shared" si="39"/>
        <v/>
      </c>
      <c r="M366" s="12" t="str">
        <f t="shared" si="40"/>
        <v/>
      </c>
    </row>
    <row r="367" spans="1:13" ht="31.5">
      <c r="A367" s="3">
        <v>359</v>
      </c>
      <c r="B367" s="11" t="s">
        <v>372</v>
      </c>
      <c r="C367" s="3">
        <v>2</v>
      </c>
      <c r="D367" s="3">
        <v>17</v>
      </c>
      <c r="E367" s="11" t="s">
        <v>431</v>
      </c>
      <c r="F367" s="14">
        <v>0.46300000000000002</v>
      </c>
      <c r="G367" s="14">
        <f t="shared" si="41"/>
        <v>0.35200000000000004</v>
      </c>
      <c r="H367" s="14">
        <f t="shared" si="35"/>
        <v>0.32666164154103872</v>
      </c>
      <c r="I367" s="14">
        <f t="shared" si="36"/>
        <v>0.71360741478107859</v>
      </c>
      <c r="J367" s="14">
        <f t="shared" si="37"/>
        <v>0.47532109228187902</v>
      </c>
      <c r="K367" s="14">
        <f t="shared" si="38"/>
        <v>0.14549161073825498</v>
      </c>
      <c r="L367" s="12" t="str">
        <f t="shared" si="39"/>
        <v/>
      </c>
      <c r="M367" s="12" t="str">
        <f t="shared" si="40"/>
        <v/>
      </c>
    </row>
    <row r="368" spans="1:13" ht="31.5">
      <c r="A368" s="3">
        <v>360</v>
      </c>
      <c r="B368" s="11" t="s">
        <v>372</v>
      </c>
      <c r="C368" s="3">
        <v>2</v>
      </c>
      <c r="D368" s="3">
        <v>16</v>
      </c>
      <c r="E368" s="11" t="s">
        <v>432</v>
      </c>
      <c r="F368" s="14">
        <v>0.245</v>
      </c>
      <c r="G368" s="14">
        <f t="shared" si="41"/>
        <v>0.21800000000000003</v>
      </c>
      <c r="H368" s="14">
        <f t="shared" si="35"/>
        <v>0.32666164154103872</v>
      </c>
      <c r="I368" s="14">
        <f t="shared" si="36"/>
        <v>0.71360741478107859</v>
      </c>
      <c r="J368" s="14">
        <f t="shared" si="37"/>
        <v>0.47532109228187902</v>
      </c>
      <c r="K368" s="14">
        <f t="shared" si="38"/>
        <v>0.14549161073825498</v>
      </c>
      <c r="L368" s="12" t="str">
        <f t="shared" si="39"/>
        <v/>
      </c>
      <c r="M368" s="12" t="str">
        <f t="shared" si="40"/>
        <v/>
      </c>
    </row>
    <row r="369" spans="1:13" ht="31.5">
      <c r="A369" s="3">
        <v>361</v>
      </c>
      <c r="B369" s="11" t="s">
        <v>372</v>
      </c>
      <c r="C369" s="3">
        <v>2</v>
      </c>
      <c r="D369" s="3">
        <v>15</v>
      </c>
      <c r="E369" s="11" t="s">
        <v>433</v>
      </c>
      <c r="F369" s="14">
        <v>0.19700000000000001</v>
      </c>
      <c r="G369" s="14">
        <f t="shared" si="41"/>
        <v>4.7999999999999987E-2</v>
      </c>
      <c r="H369" s="14">
        <f t="shared" si="35"/>
        <v>0.32666164154103872</v>
      </c>
      <c r="I369" s="14">
        <f t="shared" si="36"/>
        <v>0.71360741478107859</v>
      </c>
      <c r="J369" s="14">
        <f t="shared" si="37"/>
        <v>0.47532109228187902</v>
      </c>
      <c r="K369" s="14">
        <f t="shared" si="38"/>
        <v>0.14549161073825498</v>
      </c>
      <c r="L369" s="12" t="str">
        <f t="shared" si="39"/>
        <v/>
      </c>
      <c r="M369" s="12" t="str">
        <f t="shared" si="40"/>
        <v/>
      </c>
    </row>
    <row r="370" spans="1:13" ht="31.5">
      <c r="A370" s="3">
        <v>362</v>
      </c>
      <c r="B370" s="11" t="s">
        <v>372</v>
      </c>
      <c r="C370" s="3">
        <v>2</v>
      </c>
      <c r="D370" s="3">
        <v>14</v>
      </c>
      <c r="E370" s="11" t="s">
        <v>434</v>
      </c>
      <c r="F370" s="14">
        <v>0.36299999999999999</v>
      </c>
      <c r="G370" s="14">
        <f t="shared" si="41"/>
        <v>0.16599999999999998</v>
      </c>
      <c r="H370" s="14">
        <f t="shared" si="35"/>
        <v>0.32666164154103872</v>
      </c>
      <c r="I370" s="14">
        <f t="shared" si="36"/>
        <v>0.71360741478107859</v>
      </c>
      <c r="J370" s="14">
        <f t="shared" si="37"/>
        <v>0.47532109228187902</v>
      </c>
      <c r="K370" s="14">
        <f t="shared" si="38"/>
        <v>0.14549161073825498</v>
      </c>
      <c r="L370" s="12" t="str">
        <f t="shared" si="39"/>
        <v/>
      </c>
      <c r="M370" s="12" t="str">
        <f t="shared" si="40"/>
        <v/>
      </c>
    </row>
    <row r="371" spans="1:13" ht="31.5">
      <c r="A371" s="3">
        <v>363</v>
      </c>
      <c r="B371" s="11" t="s">
        <v>372</v>
      </c>
      <c r="C371" s="3">
        <v>2</v>
      </c>
      <c r="D371" s="3">
        <v>13</v>
      </c>
      <c r="E371" s="11" t="s">
        <v>435</v>
      </c>
      <c r="F371" s="14">
        <v>0.20599999999999999</v>
      </c>
      <c r="G371" s="14">
        <f t="shared" si="41"/>
        <v>0.157</v>
      </c>
      <c r="H371" s="14">
        <f t="shared" si="35"/>
        <v>0.32666164154103872</v>
      </c>
      <c r="I371" s="14">
        <f t="shared" si="36"/>
        <v>0.71360741478107859</v>
      </c>
      <c r="J371" s="14">
        <f t="shared" si="37"/>
        <v>0.47532109228187902</v>
      </c>
      <c r="K371" s="14">
        <f t="shared" si="38"/>
        <v>0.14549161073825498</v>
      </c>
      <c r="L371" s="12" t="str">
        <f t="shared" si="39"/>
        <v/>
      </c>
      <c r="M371" s="12" t="str">
        <f t="shared" si="40"/>
        <v/>
      </c>
    </row>
    <row r="372" spans="1:13" ht="31.5">
      <c r="A372" s="3">
        <v>364</v>
      </c>
      <c r="B372" s="11" t="s">
        <v>372</v>
      </c>
      <c r="C372" s="3">
        <v>2</v>
      </c>
      <c r="D372" s="3">
        <v>12</v>
      </c>
      <c r="E372" s="11" t="s">
        <v>436</v>
      </c>
      <c r="F372" s="14">
        <v>0.53300000000000003</v>
      </c>
      <c r="G372" s="14">
        <f t="shared" si="41"/>
        <v>0.32700000000000007</v>
      </c>
      <c r="H372" s="14">
        <f t="shared" si="35"/>
        <v>0.32666164154103872</v>
      </c>
      <c r="I372" s="14">
        <f t="shared" si="36"/>
        <v>0.71360741478107859</v>
      </c>
      <c r="J372" s="14">
        <f t="shared" si="37"/>
        <v>0.47532109228187902</v>
      </c>
      <c r="K372" s="14">
        <f t="shared" si="38"/>
        <v>0.14549161073825498</v>
      </c>
      <c r="L372" s="12" t="str">
        <f t="shared" si="39"/>
        <v/>
      </c>
      <c r="M372" s="12" t="str">
        <f t="shared" si="40"/>
        <v/>
      </c>
    </row>
    <row r="373" spans="1:13" ht="31.5">
      <c r="A373" s="3">
        <v>365</v>
      </c>
      <c r="B373" s="11" t="s">
        <v>372</v>
      </c>
      <c r="C373" s="3">
        <v>2</v>
      </c>
      <c r="D373" s="3">
        <v>11</v>
      </c>
      <c r="E373" s="11" t="s">
        <v>437</v>
      </c>
      <c r="F373" s="14">
        <v>0.27</v>
      </c>
      <c r="G373" s="14">
        <f t="shared" si="41"/>
        <v>0.26300000000000001</v>
      </c>
      <c r="H373" s="14">
        <f t="shared" si="35"/>
        <v>0.32666164154103872</v>
      </c>
      <c r="I373" s="14">
        <f t="shared" si="36"/>
        <v>0.71360741478107859</v>
      </c>
      <c r="J373" s="14">
        <f t="shared" si="37"/>
        <v>0.47532109228187902</v>
      </c>
      <c r="K373" s="14">
        <f t="shared" si="38"/>
        <v>0.14549161073825498</v>
      </c>
      <c r="L373" s="12" t="str">
        <f t="shared" si="39"/>
        <v/>
      </c>
      <c r="M373" s="12" t="str">
        <f t="shared" si="40"/>
        <v/>
      </c>
    </row>
    <row r="374" spans="1:13" ht="31.5">
      <c r="A374" s="3">
        <v>366</v>
      </c>
      <c r="B374" s="11" t="s">
        <v>372</v>
      </c>
      <c r="C374" s="3">
        <v>2</v>
      </c>
      <c r="D374" s="3">
        <v>10</v>
      </c>
      <c r="E374" s="11" t="s">
        <v>438</v>
      </c>
      <c r="F374" s="14">
        <v>0.52400000000000002</v>
      </c>
      <c r="G374" s="14">
        <f t="shared" si="41"/>
        <v>0.254</v>
      </c>
      <c r="H374" s="14">
        <f t="shared" si="35"/>
        <v>0.32666164154103872</v>
      </c>
      <c r="I374" s="14">
        <f t="shared" si="36"/>
        <v>0.71360741478107859</v>
      </c>
      <c r="J374" s="14">
        <f t="shared" si="37"/>
        <v>0.47532109228187902</v>
      </c>
      <c r="K374" s="14">
        <f t="shared" si="38"/>
        <v>0.14549161073825498</v>
      </c>
      <c r="L374" s="12" t="str">
        <f t="shared" si="39"/>
        <v/>
      </c>
      <c r="M374" s="12" t="str">
        <f t="shared" si="40"/>
        <v/>
      </c>
    </row>
    <row r="375" spans="1:13" ht="31.5">
      <c r="A375" s="3">
        <v>367</v>
      </c>
      <c r="B375" s="11" t="s">
        <v>372</v>
      </c>
      <c r="C375" s="3">
        <v>2</v>
      </c>
      <c r="D375" s="3">
        <v>9</v>
      </c>
      <c r="E375" s="11" t="s">
        <v>439</v>
      </c>
      <c r="F375" s="14">
        <v>0.625</v>
      </c>
      <c r="G375" s="14">
        <f t="shared" si="41"/>
        <v>0.10099999999999998</v>
      </c>
      <c r="H375" s="14">
        <f t="shared" si="35"/>
        <v>0.32666164154103872</v>
      </c>
      <c r="I375" s="14">
        <f t="shared" si="36"/>
        <v>0.71360741478107859</v>
      </c>
      <c r="J375" s="14">
        <f t="shared" si="37"/>
        <v>0.47532109228187902</v>
      </c>
      <c r="K375" s="14">
        <f t="shared" si="38"/>
        <v>0.14549161073825498</v>
      </c>
      <c r="L375" s="12" t="str">
        <f t="shared" si="39"/>
        <v/>
      </c>
      <c r="M375" s="12" t="str">
        <f t="shared" si="40"/>
        <v/>
      </c>
    </row>
    <row r="376" spans="1:13" ht="31.5">
      <c r="A376" s="3">
        <v>368</v>
      </c>
      <c r="B376" s="11" t="s">
        <v>372</v>
      </c>
      <c r="C376" s="3">
        <v>2</v>
      </c>
      <c r="D376" s="3">
        <v>8</v>
      </c>
      <c r="E376" s="11" t="s">
        <v>440</v>
      </c>
      <c r="F376" s="14">
        <v>0.41699999999999998</v>
      </c>
      <c r="G376" s="14">
        <f t="shared" si="41"/>
        <v>0.20800000000000002</v>
      </c>
      <c r="H376" s="14">
        <f t="shared" si="35"/>
        <v>0.32666164154103872</v>
      </c>
      <c r="I376" s="14">
        <f t="shared" si="36"/>
        <v>0.71360741478107859</v>
      </c>
      <c r="J376" s="14">
        <f t="shared" si="37"/>
        <v>0.47532109228187902</v>
      </c>
      <c r="K376" s="14">
        <f t="shared" si="38"/>
        <v>0.14549161073825498</v>
      </c>
      <c r="L376" s="12" t="str">
        <f t="shared" si="39"/>
        <v/>
      </c>
      <c r="M376" s="12" t="str">
        <f t="shared" si="40"/>
        <v/>
      </c>
    </row>
    <row r="377" spans="1:13" ht="31.5">
      <c r="A377" s="3">
        <v>369</v>
      </c>
      <c r="B377" s="11" t="s">
        <v>372</v>
      </c>
      <c r="C377" s="3">
        <v>2</v>
      </c>
      <c r="D377" s="3">
        <v>7</v>
      </c>
      <c r="E377" s="11" t="s">
        <v>441</v>
      </c>
      <c r="F377" s="14">
        <v>0.57199999999999995</v>
      </c>
      <c r="G377" s="14">
        <f t="shared" si="41"/>
        <v>0.15499999999999997</v>
      </c>
      <c r="H377" s="14">
        <f t="shared" si="35"/>
        <v>0.32666164154103872</v>
      </c>
      <c r="I377" s="14">
        <f t="shared" si="36"/>
        <v>0.71360741478107859</v>
      </c>
      <c r="J377" s="14">
        <f t="shared" si="37"/>
        <v>0.47532109228187902</v>
      </c>
      <c r="K377" s="14">
        <f t="shared" si="38"/>
        <v>0.14549161073825498</v>
      </c>
      <c r="L377" s="12" t="str">
        <f t="shared" si="39"/>
        <v/>
      </c>
      <c r="M377" s="12" t="str">
        <f t="shared" si="40"/>
        <v/>
      </c>
    </row>
    <row r="378" spans="1:13" ht="31.5">
      <c r="A378" s="3">
        <v>371</v>
      </c>
      <c r="B378" s="11" t="s">
        <v>372</v>
      </c>
      <c r="C378" s="3">
        <v>2</v>
      </c>
      <c r="D378" s="3">
        <v>5</v>
      </c>
      <c r="E378" s="11" t="s">
        <v>443</v>
      </c>
      <c r="F378" s="14">
        <v>0.31900000000000001</v>
      </c>
      <c r="G378" s="14">
        <f t="shared" si="41"/>
        <v>0.25299999999999995</v>
      </c>
      <c r="H378" s="14">
        <f t="shared" si="35"/>
        <v>0.32666164154103872</v>
      </c>
      <c r="I378" s="14">
        <f t="shared" si="36"/>
        <v>0.71360741478107859</v>
      </c>
      <c r="J378" s="14">
        <f t="shared" si="37"/>
        <v>0.47532109228187902</v>
      </c>
      <c r="K378" s="14">
        <f t="shared" si="38"/>
        <v>0.14549161073825498</v>
      </c>
      <c r="L378" s="12" t="str">
        <f t="shared" si="39"/>
        <v/>
      </c>
      <c r="M378" s="12" t="str">
        <f t="shared" si="40"/>
        <v/>
      </c>
    </row>
    <row r="379" spans="1:13" ht="31.5">
      <c r="A379" s="3">
        <v>372</v>
      </c>
      <c r="B379" s="11" t="s">
        <v>372</v>
      </c>
      <c r="C379" s="3">
        <v>2</v>
      </c>
      <c r="D379" s="3">
        <v>4</v>
      </c>
      <c r="E379" s="11" t="s">
        <v>444</v>
      </c>
      <c r="F379" s="14">
        <v>0.11600000000000001</v>
      </c>
      <c r="G379" s="14">
        <f t="shared" si="41"/>
        <v>0.20300000000000001</v>
      </c>
      <c r="H379" s="14">
        <f t="shared" si="35"/>
        <v>0.32666164154103872</v>
      </c>
      <c r="I379" s="14">
        <f t="shared" si="36"/>
        <v>0.71360741478107859</v>
      </c>
      <c r="J379" s="14">
        <f t="shared" si="37"/>
        <v>0.47532109228187902</v>
      </c>
      <c r="K379" s="14">
        <f t="shared" si="38"/>
        <v>0.14549161073825498</v>
      </c>
      <c r="L379" s="12" t="str">
        <f t="shared" si="39"/>
        <v/>
      </c>
      <c r="M379" s="12" t="str">
        <f t="shared" si="40"/>
        <v/>
      </c>
    </row>
    <row r="380" spans="1:13" ht="31.5">
      <c r="A380" s="3">
        <v>373</v>
      </c>
      <c r="B380" s="11" t="s">
        <v>372</v>
      </c>
      <c r="C380" s="3">
        <v>2</v>
      </c>
      <c r="D380" s="3">
        <v>3</v>
      </c>
      <c r="E380" s="11" t="s">
        <v>445</v>
      </c>
      <c r="F380" s="14">
        <v>0.191</v>
      </c>
      <c r="G380" s="14">
        <f t="shared" si="41"/>
        <v>7.4999999999999997E-2</v>
      </c>
      <c r="H380" s="14">
        <f t="shared" si="35"/>
        <v>0.32666164154103872</v>
      </c>
      <c r="I380" s="14">
        <f t="shared" si="36"/>
        <v>0.71360741478107859</v>
      </c>
      <c r="J380" s="14">
        <f t="shared" si="37"/>
        <v>0.47532109228187902</v>
      </c>
      <c r="K380" s="14">
        <f t="shared" si="38"/>
        <v>0.14549161073825498</v>
      </c>
      <c r="L380" s="12" t="str">
        <f t="shared" si="39"/>
        <v/>
      </c>
      <c r="M380" s="12" t="str">
        <f t="shared" si="40"/>
        <v/>
      </c>
    </row>
    <row r="381" spans="1:13" ht="31.5">
      <c r="A381" s="3">
        <v>374</v>
      </c>
      <c r="B381" s="11" t="s">
        <v>372</v>
      </c>
      <c r="C381" s="3">
        <v>2</v>
      </c>
      <c r="D381" s="3">
        <v>2</v>
      </c>
      <c r="E381" s="11" t="s">
        <v>446</v>
      </c>
      <c r="F381" s="14">
        <v>0.10100000000000001</v>
      </c>
      <c r="G381" s="14">
        <f t="shared" si="41"/>
        <v>0.09</v>
      </c>
      <c r="H381" s="14">
        <f t="shared" si="35"/>
        <v>0.32666164154103872</v>
      </c>
      <c r="I381" s="14">
        <f t="shared" si="36"/>
        <v>0.71360741478107859</v>
      </c>
      <c r="J381" s="14">
        <f t="shared" si="37"/>
        <v>0.47532109228187902</v>
      </c>
      <c r="K381" s="14">
        <f t="shared" si="38"/>
        <v>0.14549161073825498</v>
      </c>
      <c r="L381" s="12" t="str">
        <f t="shared" si="39"/>
        <v/>
      </c>
      <c r="M381" s="12" t="str">
        <f t="shared" si="40"/>
        <v/>
      </c>
    </row>
    <row r="382" spans="1:13" ht="31.5">
      <c r="A382" s="3">
        <v>375</v>
      </c>
      <c r="B382" s="11" t="s">
        <v>372</v>
      </c>
      <c r="C382" s="3">
        <v>2</v>
      </c>
      <c r="D382" s="3">
        <v>1</v>
      </c>
      <c r="E382" s="11" t="s">
        <v>447</v>
      </c>
      <c r="F382" s="14">
        <v>0.40699999999999997</v>
      </c>
      <c r="G382" s="14">
        <f t="shared" si="41"/>
        <v>0.30599999999999994</v>
      </c>
      <c r="H382" s="14">
        <f t="shared" si="35"/>
        <v>0.32666164154103872</v>
      </c>
      <c r="I382" s="14">
        <f t="shared" si="36"/>
        <v>0.71360741478107859</v>
      </c>
      <c r="J382" s="14">
        <f t="shared" si="37"/>
        <v>0.47532109228187902</v>
      </c>
      <c r="K382" s="14">
        <f t="shared" si="38"/>
        <v>0.14549161073825498</v>
      </c>
      <c r="L382" s="12" t="str">
        <f t="shared" si="39"/>
        <v/>
      </c>
      <c r="M382" s="12" t="str">
        <f t="shared" si="40"/>
        <v/>
      </c>
    </row>
    <row r="383" spans="1:13" ht="31.5">
      <c r="A383" s="3">
        <v>376</v>
      </c>
      <c r="B383" s="11" t="s">
        <v>372</v>
      </c>
      <c r="C383" s="3">
        <v>2</v>
      </c>
      <c r="D383" s="3">
        <v>25</v>
      </c>
      <c r="E383" s="11" t="s">
        <v>448</v>
      </c>
      <c r="F383" s="14">
        <v>0.49099999999999999</v>
      </c>
      <c r="G383" s="14">
        <f t="shared" si="41"/>
        <v>8.4000000000000019E-2</v>
      </c>
      <c r="H383" s="14">
        <f t="shared" si="35"/>
        <v>0.32666164154103872</v>
      </c>
      <c r="I383" s="14">
        <f t="shared" si="36"/>
        <v>0.71360741478107859</v>
      </c>
      <c r="J383" s="14">
        <f t="shared" si="37"/>
        <v>0.47532109228187902</v>
      </c>
      <c r="K383" s="14">
        <f t="shared" si="38"/>
        <v>0.14549161073825498</v>
      </c>
      <c r="L383" s="12" t="str">
        <f t="shared" si="39"/>
        <v/>
      </c>
      <c r="M383" s="12" t="str">
        <f t="shared" si="40"/>
        <v/>
      </c>
    </row>
    <row r="384" spans="1:13" ht="31.5">
      <c r="A384" s="3">
        <v>377</v>
      </c>
      <c r="B384" s="11" t="s">
        <v>372</v>
      </c>
      <c r="C384" s="3">
        <v>2</v>
      </c>
      <c r="D384" s="3">
        <v>24</v>
      </c>
      <c r="E384" s="11" t="s">
        <v>449</v>
      </c>
      <c r="F384" s="14">
        <v>0.13100000000000001</v>
      </c>
      <c r="G384" s="14">
        <f t="shared" si="41"/>
        <v>0.36</v>
      </c>
      <c r="H384" s="14">
        <f t="shared" si="35"/>
        <v>0.32666164154103872</v>
      </c>
      <c r="I384" s="14">
        <f t="shared" si="36"/>
        <v>0.71360741478107859</v>
      </c>
      <c r="J384" s="14">
        <f t="shared" si="37"/>
        <v>0.47532109228187902</v>
      </c>
      <c r="K384" s="14">
        <f t="shared" si="38"/>
        <v>0.14549161073825498</v>
      </c>
      <c r="L384" s="12" t="str">
        <f t="shared" si="39"/>
        <v/>
      </c>
      <c r="M384" s="12" t="str">
        <f t="shared" si="40"/>
        <v/>
      </c>
    </row>
    <row r="385" spans="1:13" ht="31.5">
      <c r="A385" s="3">
        <v>378</v>
      </c>
      <c r="B385" s="11" t="s">
        <v>372</v>
      </c>
      <c r="C385" s="3">
        <v>2</v>
      </c>
      <c r="D385" s="3">
        <v>23</v>
      </c>
      <c r="E385" s="11" t="s">
        <v>450</v>
      </c>
      <c r="F385" s="14">
        <v>0.33700000000000002</v>
      </c>
      <c r="G385" s="14">
        <f t="shared" si="41"/>
        <v>0.20600000000000002</v>
      </c>
      <c r="H385" s="14">
        <f t="shared" si="35"/>
        <v>0.32666164154103872</v>
      </c>
      <c r="I385" s="14">
        <f t="shared" si="36"/>
        <v>0.71360741478107859</v>
      </c>
      <c r="J385" s="14">
        <f t="shared" si="37"/>
        <v>0.47532109228187902</v>
      </c>
      <c r="K385" s="14">
        <f t="shared" si="38"/>
        <v>0.14549161073825498</v>
      </c>
      <c r="L385" s="12" t="str">
        <f t="shared" si="39"/>
        <v/>
      </c>
      <c r="M385" s="12" t="str">
        <f t="shared" si="40"/>
        <v/>
      </c>
    </row>
    <row r="386" spans="1:13" ht="31.5">
      <c r="A386" s="3">
        <v>379</v>
      </c>
      <c r="B386" s="11" t="s">
        <v>372</v>
      </c>
      <c r="C386" s="3">
        <v>2</v>
      </c>
      <c r="D386" s="3">
        <v>22</v>
      </c>
      <c r="E386" s="11" t="s">
        <v>451</v>
      </c>
      <c r="F386" s="14">
        <v>0.377</v>
      </c>
      <c r="G386" s="14">
        <f t="shared" si="41"/>
        <v>3.999999999999998E-2</v>
      </c>
      <c r="H386" s="14">
        <f t="shared" si="35"/>
        <v>0.32666164154103872</v>
      </c>
      <c r="I386" s="14">
        <f t="shared" si="36"/>
        <v>0.71360741478107859</v>
      </c>
      <c r="J386" s="14">
        <f t="shared" si="37"/>
        <v>0.47532109228187902</v>
      </c>
      <c r="K386" s="14">
        <f t="shared" si="38"/>
        <v>0.14549161073825498</v>
      </c>
      <c r="L386" s="12" t="str">
        <f t="shared" si="39"/>
        <v/>
      </c>
      <c r="M386" s="12" t="str">
        <f t="shared" si="40"/>
        <v/>
      </c>
    </row>
    <row r="387" spans="1:13" ht="31.5">
      <c r="A387" s="3">
        <v>380</v>
      </c>
      <c r="B387" s="11" t="s">
        <v>372</v>
      </c>
      <c r="C387" s="3">
        <v>2</v>
      </c>
      <c r="D387" s="3">
        <v>21</v>
      </c>
      <c r="E387" s="11" t="s">
        <v>452</v>
      </c>
      <c r="F387" s="14">
        <v>0.129</v>
      </c>
      <c r="G387" s="14">
        <f t="shared" si="41"/>
        <v>0.248</v>
      </c>
      <c r="H387" s="14">
        <f t="shared" si="35"/>
        <v>0.32666164154103872</v>
      </c>
      <c r="I387" s="14">
        <f t="shared" si="36"/>
        <v>0.71360741478107859</v>
      </c>
      <c r="J387" s="14">
        <f t="shared" si="37"/>
        <v>0.47532109228187902</v>
      </c>
      <c r="K387" s="14">
        <f t="shared" si="38"/>
        <v>0.14549161073825498</v>
      </c>
      <c r="L387" s="12" t="str">
        <f t="shared" si="39"/>
        <v/>
      </c>
      <c r="M387" s="12" t="str">
        <f t="shared" si="40"/>
        <v/>
      </c>
    </row>
    <row r="388" spans="1:13" ht="31.5">
      <c r="A388" s="3">
        <v>381</v>
      </c>
      <c r="B388" s="11" t="s">
        <v>372</v>
      </c>
      <c r="C388" s="3">
        <v>2</v>
      </c>
      <c r="D388" s="3">
        <v>20</v>
      </c>
      <c r="E388" s="11" t="s">
        <v>453</v>
      </c>
      <c r="F388" s="14">
        <v>0.49099999999999999</v>
      </c>
      <c r="G388" s="14">
        <f t="shared" si="41"/>
        <v>0.36199999999999999</v>
      </c>
      <c r="H388" s="14">
        <f t="shared" si="35"/>
        <v>0.32666164154103872</v>
      </c>
      <c r="I388" s="14">
        <f t="shared" si="36"/>
        <v>0.71360741478107859</v>
      </c>
      <c r="J388" s="14">
        <f t="shared" si="37"/>
        <v>0.47532109228187902</v>
      </c>
      <c r="K388" s="14">
        <f t="shared" si="38"/>
        <v>0.14549161073825498</v>
      </c>
      <c r="L388" s="12" t="str">
        <f t="shared" si="39"/>
        <v/>
      </c>
      <c r="M388" s="12" t="str">
        <f t="shared" si="40"/>
        <v/>
      </c>
    </row>
    <row r="389" spans="1:13" ht="31.5">
      <c r="A389" s="3">
        <v>382</v>
      </c>
      <c r="B389" s="11" t="s">
        <v>372</v>
      </c>
      <c r="C389" s="3">
        <v>2</v>
      </c>
      <c r="D389" s="3">
        <v>19</v>
      </c>
      <c r="E389" s="11" t="s">
        <v>454</v>
      </c>
      <c r="F389" s="14">
        <v>0.184</v>
      </c>
      <c r="G389" s="14">
        <f t="shared" si="41"/>
        <v>0.307</v>
      </c>
      <c r="H389" s="14">
        <f t="shared" si="35"/>
        <v>0.32666164154103872</v>
      </c>
      <c r="I389" s="14">
        <f t="shared" si="36"/>
        <v>0.71360741478107859</v>
      </c>
      <c r="J389" s="14">
        <f t="shared" si="37"/>
        <v>0.47532109228187902</v>
      </c>
      <c r="K389" s="14">
        <f t="shared" si="38"/>
        <v>0.14549161073825498</v>
      </c>
      <c r="L389" s="12" t="str">
        <f t="shared" si="39"/>
        <v/>
      </c>
      <c r="M389" s="12" t="str">
        <f t="shared" si="40"/>
        <v/>
      </c>
    </row>
    <row r="390" spans="1:13" ht="31.5">
      <c r="A390" s="3">
        <v>383</v>
      </c>
      <c r="B390" s="11" t="s">
        <v>372</v>
      </c>
      <c r="C390" s="3">
        <v>2</v>
      </c>
      <c r="D390" s="3">
        <v>18</v>
      </c>
      <c r="E390" s="11" t="s">
        <v>455</v>
      </c>
      <c r="F390" s="14">
        <v>0.53800000000000003</v>
      </c>
      <c r="G390" s="14">
        <f t="shared" si="41"/>
        <v>0.35400000000000004</v>
      </c>
      <c r="H390" s="14">
        <f t="shared" si="35"/>
        <v>0.32666164154103872</v>
      </c>
      <c r="I390" s="14">
        <f t="shared" si="36"/>
        <v>0.71360741478107859</v>
      </c>
      <c r="J390" s="14">
        <f t="shared" si="37"/>
        <v>0.47532109228187902</v>
      </c>
      <c r="K390" s="14">
        <f t="shared" si="38"/>
        <v>0.14549161073825498</v>
      </c>
      <c r="L390" s="12" t="str">
        <f t="shared" si="39"/>
        <v/>
      </c>
      <c r="M390" s="12" t="str">
        <f t="shared" si="40"/>
        <v/>
      </c>
    </row>
    <row r="391" spans="1:13" ht="31.5">
      <c r="A391" s="3">
        <v>384</v>
      </c>
      <c r="B391" s="11" t="s">
        <v>372</v>
      </c>
      <c r="C391" s="3">
        <v>2</v>
      </c>
      <c r="D391" s="3">
        <v>17</v>
      </c>
      <c r="E391" s="11" t="s">
        <v>456</v>
      </c>
      <c r="F391" s="14">
        <v>0.39200000000000002</v>
      </c>
      <c r="G391" s="14">
        <f t="shared" si="41"/>
        <v>0.14600000000000002</v>
      </c>
      <c r="H391" s="14">
        <f t="shared" si="35"/>
        <v>0.32666164154103872</v>
      </c>
      <c r="I391" s="14">
        <f t="shared" si="36"/>
        <v>0.71360741478107859</v>
      </c>
      <c r="J391" s="14">
        <f t="shared" si="37"/>
        <v>0.47532109228187902</v>
      </c>
      <c r="K391" s="14">
        <f t="shared" si="38"/>
        <v>0.14549161073825498</v>
      </c>
      <c r="L391" s="12" t="str">
        <f t="shared" si="39"/>
        <v/>
      </c>
      <c r="M391" s="12" t="str">
        <f t="shared" si="40"/>
        <v/>
      </c>
    </row>
    <row r="392" spans="1:13" ht="31.5">
      <c r="A392" s="3">
        <v>385</v>
      </c>
      <c r="B392" s="11" t="s">
        <v>372</v>
      </c>
      <c r="C392" s="3">
        <v>2</v>
      </c>
      <c r="D392" s="3">
        <v>16</v>
      </c>
      <c r="E392" s="11" t="s">
        <v>457</v>
      </c>
      <c r="F392" s="14">
        <v>9.6000000000000002E-2</v>
      </c>
      <c r="G392" s="14">
        <f t="shared" si="41"/>
        <v>0.29600000000000004</v>
      </c>
      <c r="H392" s="14">
        <f t="shared" si="35"/>
        <v>0.32666164154103872</v>
      </c>
      <c r="I392" s="14">
        <f t="shared" si="36"/>
        <v>0.71360741478107859</v>
      </c>
      <c r="J392" s="14">
        <f t="shared" si="37"/>
        <v>0.47532109228187902</v>
      </c>
      <c r="K392" s="14">
        <f t="shared" si="38"/>
        <v>0.14549161073825498</v>
      </c>
      <c r="L392" s="12" t="str">
        <f t="shared" si="39"/>
        <v/>
      </c>
      <c r="M392" s="12" t="str">
        <f t="shared" si="40"/>
        <v/>
      </c>
    </row>
    <row r="393" spans="1:13" ht="31.5">
      <c r="A393" s="3">
        <v>386</v>
      </c>
      <c r="B393" s="11" t="s">
        <v>372</v>
      </c>
      <c r="C393" s="3">
        <v>2</v>
      </c>
      <c r="D393" s="3">
        <v>15</v>
      </c>
      <c r="E393" s="11" t="s">
        <v>458</v>
      </c>
      <c r="F393" s="14">
        <v>0.127</v>
      </c>
      <c r="G393" s="14">
        <f t="shared" si="41"/>
        <v>3.1E-2</v>
      </c>
      <c r="H393" s="14">
        <f t="shared" si="35"/>
        <v>0.32666164154103872</v>
      </c>
      <c r="I393" s="14">
        <f t="shared" si="36"/>
        <v>0.71360741478107859</v>
      </c>
      <c r="J393" s="14">
        <f t="shared" si="37"/>
        <v>0.47532109228187902</v>
      </c>
      <c r="K393" s="14">
        <f t="shared" si="38"/>
        <v>0.14549161073825498</v>
      </c>
      <c r="L393" s="12" t="str">
        <f t="shared" si="39"/>
        <v/>
      </c>
      <c r="M393" s="12" t="str">
        <f t="shared" si="40"/>
        <v/>
      </c>
    </row>
    <row r="394" spans="1:13" ht="31.5">
      <c r="A394" s="3">
        <v>387</v>
      </c>
      <c r="B394" s="11" t="s">
        <v>372</v>
      </c>
      <c r="C394" s="3">
        <v>2</v>
      </c>
      <c r="D394" s="3">
        <v>14</v>
      </c>
      <c r="E394" s="11" t="s">
        <v>459</v>
      </c>
      <c r="F394" s="14">
        <v>0.13</v>
      </c>
      <c r="G394" s="14">
        <f t="shared" si="41"/>
        <v>3.0000000000000027E-3</v>
      </c>
      <c r="H394" s="14">
        <f t="shared" si="35"/>
        <v>0.32666164154103872</v>
      </c>
      <c r="I394" s="14">
        <f t="shared" si="36"/>
        <v>0.71360741478107859</v>
      </c>
      <c r="J394" s="14">
        <f t="shared" si="37"/>
        <v>0.47532109228187902</v>
      </c>
      <c r="K394" s="14">
        <f t="shared" si="38"/>
        <v>0.14549161073825498</v>
      </c>
      <c r="L394" s="12" t="str">
        <f t="shared" si="39"/>
        <v/>
      </c>
      <c r="M394" s="12" t="str">
        <f t="shared" si="40"/>
        <v/>
      </c>
    </row>
    <row r="395" spans="1:13" ht="31.5">
      <c r="A395" s="3">
        <v>388</v>
      </c>
      <c r="B395" s="11" t="s">
        <v>372</v>
      </c>
      <c r="C395" s="3">
        <v>2</v>
      </c>
      <c r="D395" s="3">
        <v>13</v>
      </c>
      <c r="E395" s="11" t="s">
        <v>460</v>
      </c>
      <c r="F395" s="14">
        <v>0.16200000000000001</v>
      </c>
      <c r="G395" s="14">
        <f t="shared" si="41"/>
        <v>3.2000000000000001E-2</v>
      </c>
      <c r="H395" s="14">
        <f t="shared" ref="H395:H458" si="42">$F$4</f>
        <v>0.32666164154103872</v>
      </c>
      <c r="I395" s="14">
        <f t="shared" ref="I395:I458" si="43">$F$7</f>
        <v>0.71360741478107859</v>
      </c>
      <c r="J395" s="14">
        <f t="shared" ref="J395:J458" si="44">$F$8</f>
        <v>0.47532109228187902</v>
      </c>
      <c r="K395" s="14">
        <f t="shared" ref="K395:K458" si="45">$F$5</f>
        <v>0.14549161073825498</v>
      </c>
      <c r="L395" s="12" t="str">
        <f t="shared" ref="L395:L458" si="46">IF(F395&gt;$F$7,"OOC","" )</f>
        <v/>
      </c>
      <c r="M395" s="12" t="str">
        <f t="shared" ref="M395:M458" si="47">IF(F395&gt;$B$4,"OOS","" )</f>
        <v/>
      </c>
    </row>
    <row r="396" spans="1:13" ht="31.5">
      <c r="A396" s="3">
        <v>389</v>
      </c>
      <c r="B396" s="11" t="s">
        <v>372</v>
      </c>
      <c r="C396" s="3">
        <v>2</v>
      </c>
      <c r="D396" s="3">
        <v>12</v>
      </c>
      <c r="E396" s="11" t="s">
        <v>461</v>
      </c>
      <c r="F396" s="14">
        <v>0.31900000000000001</v>
      </c>
      <c r="G396" s="14">
        <f t="shared" ref="G396:G459" si="48">ABS(F396-F395)</f>
        <v>0.157</v>
      </c>
      <c r="H396" s="14">
        <f t="shared" si="42"/>
        <v>0.32666164154103872</v>
      </c>
      <c r="I396" s="14">
        <f t="shared" si="43"/>
        <v>0.71360741478107859</v>
      </c>
      <c r="J396" s="14">
        <f t="shared" si="44"/>
        <v>0.47532109228187902</v>
      </c>
      <c r="K396" s="14">
        <f t="shared" si="45"/>
        <v>0.14549161073825498</v>
      </c>
      <c r="L396" s="12" t="str">
        <f t="shared" si="46"/>
        <v/>
      </c>
      <c r="M396" s="12" t="str">
        <f t="shared" si="47"/>
        <v/>
      </c>
    </row>
    <row r="397" spans="1:13" ht="31.5">
      <c r="A397" s="3">
        <v>390</v>
      </c>
      <c r="B397" s="11" t="s">
        <v>372</v>
      </c>
      <c r="C397" s="3">
        <v>2</v>
      </c>
      <c r="D397" s="3">
        <v>11</v>
      </c>
      <c r="E397" s="11" t="s">
        <v>462</v>
      </c>
      <c r="F397" s="14">
        <v>0.20799999999999999</v>
      </c>
      <c r="G397" s="14">
        <f t="shared" si="48"/>
        <v>0.11100000000000002</v>
      </c>
      <c r="H397" s="14">
        <f t="shared" si="42"/>
        <v>0.32666164154103872</v>
      </c>
      <c r="I397" s="14">
        <f t="shared" si="43"/>
        <v>0.71360741478107859</v>
      </c>
      <c r="J397" s="14">
        <f t="shared" si="44"/>
        <v>0.47532109228187902</v>
      </c>
      <c r="K397" s="14">
        <f t="shared" si="45"/>
        <v>0.14549161073825498</v>
      </c>
      <c r="L397" s="12" t="str">
        <f t="shared" si="46"/>
        <v/>
      </c>
      <c r="M397" s="12" t="str">
        <f t="shared" si="47"/>
        <v/>
      </c>
    </row>
    <row r="398" spans="1:13" ht="31.5">
      <c r="A398" s="3">
        <v>391</v>
      </c>
      <c r="B398" s="11" t="s">
        <v>372</v>
      </c>
      <c r="C398" s="3">
        <v>2</v>
      </c>
      <c r="D398" s="3">
        <v>10</v>
      </c>
      <c r="E398" s="11" t="s">
        <v>463</v>
      </c>
      <c r="F398" s="14">
        <v>0.13600000000000001</v>
      </c>
      <c r="G398" s="14">
        <f t="shared" si="48"/>
        <v>7.1999999999999981E-2</v>
      </c>
      <c r="H398" s="14">
        <f t="shared" si="42"/>
        <v>0.32666164154103872</v>
      </c>
      <c r="I398" s="14">
        <f t="shared" si="43"/>
        <v>0.71360741478107859</v>
      </c>
      <c r="J398" s="14">
        <f t="shared" si="44"/>
        <v>0.47532109228187902</v>
      </c>
      <c r="K398" s="14">
        <f t="shared" si="45"/>
        <v>0.14549161073825498</v>
      </c>
      <c r="L398" s="12" t="str">
        <f t="shared" si="46"/>
        <v/>
      </c>
      <c r="M398" s="12" t="str">
        <f t="shared" si="47"/>
        <v/>
      </c>
    </row>
    <row r="399" spans="1:13" ht="31.5">
      <c r="A399" s="3">
        <v>392</v>
      </c>
      <c r="B399" s="11" t="s">
        <v>372</v>
      </c>
      <c r="C399" s="3">
        <v>2</v>
      </c>
      <c r="D399" s="3">
        <v>9</v>
      </c>
      <c r="E399" s="11" t="s">
        <v>464</v>
      </c>
      <c r="F399" s="14">
        <v>0.57599999999999996</v>
      </c>
      <c r="G399" s="14">
        <f t="shared" si="48"/>
        <v>0.43999999999999995</v>
      </c>
      <c r="H399" s="14">
        <f t="shared" si="42"/>
        <v>0.32666164154103872</v>
      </c>
      <c r="I399" s="14">
        <f t="shared" si="43"/>
        <v>0.71360741478107859</v>
      </c>
      <c r="J399" s="14">
        <f t="shared" si="44"/>
        <v>0.47532109228187902</v>
      </c>
      <c r="K399" s="14">
        <f t="shared" si="45"/>
        <v>0.14549161073825498</v>
      </c>
      <c r="L399" s="12" t="str">
        <f t="shared" si="46"/>
        <v/>
      </c>
      <c r="M399" s="12" t="str">
        <f t="shared" si="47"/>
        <v/>
      </c>
    </row>
    <row r="400" spans="1:13" ht="31.5">
      <c r="A400" s="3">
        <v>393</v>
      </c>
      <c r="B400" s="11" t="s">
        <v>372</v>
      </c>
      <c r="C400" s="3">
        <v>2</v>
      </c>
      <c r="D400" s="3">
        <v>8</v>
      </c>
      <c r="E400" s="11" t="s">
        <v>465</v>
      </c>
      <c r="F400" s="14">
        <v>0.78</v>
      </c>
      <c r="G400" s="14">
        <f t="shared" si="48"/>
        <v>0.20400000000000007</v>
      </c>
      <c r="H400" s="14">
        <f t="shared" si="42"/>
        <v>0.32666164154103872</v>
      </c>
      <c r="I400" s="14">
        <f t="shared" si="43"/>
        <v>0.71360741478107859</v>
      </c>
      <c r="J400" s="14">
        <f t="shared" si="44"/>
        <v>0.47532109228187902</v>
      </c>
      <c r="K400" s="14">
        <f t="shared" si="45"/>
        <v>0.14549161073825498</v>
      </c>
      <c r="L400" s="12" t="str">
        <f t="shared" si="46"/>
        <v>OOC</v>
      </c>
      <c r="M400" s="12" t="str">
        <f t="shared" si="47"/>
        <v/>
      </c>
    </row>
    <row r="401" spans="1:13" ht="31.5">
      <c r="A401" s="3">
        <v>394</v>
      </c>
      <c r="B401" s="11" t="s">
        <v>372</v>
      </c>
      <c r="C401" s="3">
        <v>2</v>
      </c>
      <c r="D401" s="3">
        <v>7</v>
      </c>
      <c r="E401" s="11" t="s">
        <v>466</v>
      </c>
      <c r="F401" s="14">
        <v>0.78</v>
      </c>
      <c r="G401" s="14">
        <f t="shared" si="48"/>
        <v>0</v>
      </c>
      <c r="H401" s="14">
        <f t="shared" si="42"/>
        <v>0.32666164154103872</v>
      </c>
      <c r="I401" s="14">
        <f t="shared" si="43"/>
        <v>0.71360741478107859</v>
      </c>
      <c r="J401" s="14">
        <f t="shared" si="44"/>
        <v>0.47532109228187902</v>
      </c>
      <c r="K401" s="14">
        <f t="shared" si="45"/>
        <v>0.14549161073825498</v>
      </c>
      <c r="L401" s="12" t="str">
        <f t="shared" si="46"/>
        <v>OOC</v>
      </c>
      <c r="M401" s="12" t="str">
        <f t="shared" si="47"/>
        <v/>
      </c>
    </row>
    <row r="402" spans="1:13" ht="31.5">
      <c r="A402" s="3">
        <v>395</v>
      </c>
      <c r="B402" s="11" t="s">
        <v>372</v>
      </c>
      <c r="C402" s="3">
        <v>2</v>
      </c>
      <c r="D402" s="3">
        <v>6</v>
      </c>
      <c r="E402" s="11" t="s">
        <v>467</v>
      </c>
      <c r="F402" s="14">
        <v>0.65100000000000002</v>
      </c>
      <c r="G402" s="14">
        <f t="shared" si="48"/>
        <v>0.129</v>
      </c>
      <c r="H402" s="14">
        <f t="shared" si="42"/>
        <v>0.32666164154103872</v>
      </c>
      <c r="I402" s="14">
        <f t="shared" si="43"/>
        <v>0.71360741478107859</v>
      </c>
      <c r="J402" s="14">
        <f t="shared" si="44"/>
        <v>0.47532109228187902</v>
      </c>
      <c r="K402" s="14">
        <f t="shared" si="45"/>
        <v>0.14549161073825498</v>
      </c>
      <c r="L402" s="12" t="str">
        <f t="shared" si="46"/>
        <v/>
      </c>
      <c r="M402" s="12" t="str">
        <f t="shared" si="47"/>
        <v/>
      </c>
    </row>
    <row r="403" spans="1:13" ht="31.5">
      <c r="A403" s="3">
        <v>396</v>
      </c>
      <c r="B403" s="11" t="s">
        <v>372</v>
      </c>
      <c r="C403" s="3">
        <v>2</v>
      </c>
      <c r="D403" s="3">
        <v>5</v>
      </c>
      <c r="E403" s="11" t="s">
        <v>468</v>
      </c>
      <c r="F403" s="14">
        <v>0.752</v>
      </c>
      <c r="G403" s="14">
        <f t="shared" si="48"/>
        <v>0.10099999999999998</v>
      </c>
      <c r="H403" s="14">
        <f t="shared" si="42"/>
        <v>0.32666164154103872</v>
      </c>
      <c r="I403" s="14">
        <f t="shared" si="43"/>
        <v>0.71360741478107859</v>
      </c>
      <c r="J403" s="14">
        <f t="shared" si="44"/>
        <v>0.47532109228187902</v>
      </c>
      <c r="K403" s="14">
        <f t="shared" si="45"/>
        <v>0.14549161073825498</v>
      </c>
      <c r="L403" s="12" t="str">
        <f t="shared" si="46"/>
        <v>OOC</v>
      </c>
      <c r="M403" s="12" t="str">
        <f t="shared" si="47"/>
        <v/>
      </c>
    </row>
    <row r="404" spans="1:13" ht="31.5">
      <c r="A404" s="3">
        <v>397</v>
      </c>
      <c r="B404" s="11" t="s">
        <v>372</v>
      </c>
      <c r="C404" s="3">
        <v>2</v>
      </c>
      <c r="D404" s="3">
        <v>4</v>
      </c>
      <c r="E404" s="11" t="s">
        <v>469</v>
      </c>
      <c r="F404" s="14">
        <v>0.371</v>
      </c>
      <c r="G404" s="14">
        <f t="shared" si="48"/>
        <v>0.38100000000000001</v>
      </c>
      <c r="H404" s="14">
        <f t="shared" si="42"/>
        <v>0.32666164154103872</v>
      </c>
      <c r="I404" s="14">
        <f t="shared" si="43"/>
        <v>0.71360741478107859</v>
      </c>
      <c r="J404" s="14">
        <f t="shared" si="44"/>
        <v>0.47532109228187902</v>
      </c>
      <c r="K404" s="14">
        <f t="shared" si="45"/>
        <v>0.14549161073825498</v>
      </c>
      <c r="L404" s="12" t="str">
        <f t="shared" si="46"/>
        <v/>
      </c>
      <c r="M404" s="12" t="str">
        <f t="shared" si="47"/>
        <v/>
      </c>
    </row>
    <row r="405" spans="1:13" ht="31.5">
      <c r="A405" s="3">
        <v>398</v>
      </c>
      <c r="B405" s="11" t="s">
        <v>372</v>
      </c>
      <c r="C405" s="3">
        <v>2</v>
      </c>
      <c r="D405" s="3">
        <v>3</v>
      </c>
      <c r="E405" s="11" t="s">
        <v>470</v>
      </c>
      <c r="F405" s="14">
        <v>0.41</v>
      </c>
      <c r="G405" s="14">
        <f t="shared" si="48"/>
        <v>3.8999999999999979E-2</v>
      </c>
      <c r="H405" s="14">
        <f t="shared" si="42"/>
        <v>0.32666164154103872</v>
      </c>
      <c r="I405" s="14">
        <f t="shared" si="43"/>
        <v>0.71360741478107859</v>
      </c>
      <c r="J405" s="14">
        <f t="shared" si="44"/>
        <v>0.47532109228187902</v>
      </c>
      <c r="K405" s="14">
        <f t="shared" si="45"/>
        <v>0.14549161073825498</v>
      </c>
      <c r="L405" s="12" t="str">
        <f t="shared" si="46"/>
        <v/>
      </c>
      <c r="M405" s="12" t="str">
        <f t="shared" si="47"/>
        <v/>
      </c>
    </row>
    <row r="406" spans="1:13" ht="31.5">
      <c r="A406" s="3">
        <v>399</v>
      </c>
      <c r="B406" s="11" t="s">
        <v>372</v>
      </c>
      <c r="C406" s="3">
        <v>2</v>
      </c>
      <c r="D406" s="3">
        <v>2</v>
      </c>
      <c r="E406" s="11" t="s">
        <v>471</v>
      </c>
      <c r="F406" s="14">
        <v>5.7000000000000002E-2</v>
      </c>
      <c r="G406" s="14">
        <f t="shared" si="48"/>
        <v>0.35299999999999998</v>
      </c>
      <c r="H406" s="14">
        <f t="shared" si="42"/>
        <v>0.32666164154103872</v>
      </c>
      <c r="I406" s="14">
        <f t="shared" si="43"/>
        <v>0.71360741478107859</v>
      </c>
      <c r="J406" s="14">
        <f t="shared" si="44"/>
        <v>0.47532109228187902</v>
      </c>
      <c r="K406" s="14">
        <f t="shared" si="45"/>
        <v>0.14549161073825498</v>
      </c>
      <c r="L406" s="12" t="str">
        <f t="shared" si="46"/>
        <v/>
      </c>
      <c r="M406" s="12" t="str">
        <f t="shared" si="47"/>
        <v/>
      </c>
    </row>
    <row r="407" spans="1:13" ht="31.5">
      <c r="A407" s="3">
        <v>400</v>
      </c>
      <c r="B407" s="11" t="s">
        <v>372</v>
      </c>
      <c r="C407" s="3">
        <v>2</v>
      </c>
      <c r="D407" s="3">
        <v>1</v>
      </c>
      <c r="E407" s="11" t="s">
        <v>472</v>
      </c>
      <c r="F407" s="14">
        <v>0.27500000000000002</v>
      </c>
      <c r="G407" s="14">
        <f t="shared" si="48"/>
        <v>0.21800000000000003</v>
      </c>
      <c r="H407" s="14">
        <f t="shared" si="42"/>
        <v>0.32666164154103872</v>
      </c>
      <c r="I407" s="14">
        <f t="shared" si="43"/>
        <v>0.71360741478107859</v>
      </c>
      <c r="J407" s="14">
        <f t="shared" si="44"/>
        <v>0.47532109228187902</v>
      </c>
      <c r="K407" s="14">
        <f t="shared" si="45"/>
        <v>0.14549161073825498</v>
      </c>
      <c r="L407" s="12" t="str">
        <f t="shared" si="46"/>
        <v/>
      </c>
      <c r="M407" s="12" t="str">
        <f t="shared" si="47"/>
        <v/>
      </c>
    </row>
    <row r="408" spans="1:13" ht="31.5">
      <c r="A408" s="3">
        <v>401</v>
      </c>
      <c r="B408" s="11" t="s">
        <v>372</v>
      </c>
      <c r="C408" s="3">
        <v>3</v>
      </c>
      <c r="D408" s="3">
        <v>25</v>
      </c>
      <c r="E408" s="11" t="s">
        <v>473</v>
      </c>
      <c r="F408" s="14">
        <v>0.377</v>
      </c>
      <c r="G408" s="14">
        <f t="shared" si="48"/>
        <v>0.10199999999999998</v>
      </c>
      <c r="H408" s="14">
        <f t="shared" si="42"/>
        <v>0.32666164154103872</v>
      </c>
      <c r="I408" s="14">
        <f t="shared" si="43"/>
        <v>0.71360741478107859</v>
      </c>
      <c r="J408" s="14">
        <f t="shared" si="44"/>
        <v>0.47532109228187902</v>
      </c>
      <c r="K408" s="14">
        <f t="shared" si="45"/>
        <v>0.14549161073825498</v>
      </c>
      <c r="L408" s="12" t="str">
        <f t="shared" si="46"/>
        <v/>
      </c>
      <c r="M408" s="12" t="str">
        <f t="shared" si="47"/>
        <v/>
      </c>
    </row>
    <row r="409" spans="1:13" ht="31.5">
      <c r="A409" s="3">
        <v>402</v>
      </c>
      <c r="B409" s="11" t="s">
        <v>372</v>
      </c>
      <c r="C409" s="3">
        <v>3</v>
      </c>
      <c r="D409" s="3">
        <v>24</v>
      </c>
      <c r="E409" s="11" t="s">
        <v>474</v>
      </c>
      <c r="F409" s="14">
        <v>0.24199999999999999</v>
      </c>
      <c r="G409" s="14">
        <f t="shared" si="48"/>
        <v>0.13500000000000001</v>
      </c>
      <c r="H409" s="14">
        <f t="shared" si="42"/>
        <v>0.32666164154103872</v>
      </c>
      <c r="I409" s="14">
        <f t="shared" si="43"/>
        <v>0.71360741478107859</v>
      </c>
      <c r="J409" s="14">
        <f t="shared" si="44"/>
        <v>0.47532109228187902</v>
      </c>
      <c r="K409" s="14">
        <f t="shared" si="45"/>
        <v>0.14549161073825498</v>
      </c>
      <c r="L409" s="12" t="str">
        <f t="shared" si="46"/>
        <v/>
      </c>
      <c r="M409" s="12" t="str">
        <f t="shared" si="47"/>
        <v/>
      </c>
    </row>
    <row r="410" spans="1:13" ht="31.5">
      <c r="A410" s="3">
        <v>403</v>
      </c>
      <c r="B410" s="11" t="s">
        <v>372</v>
      </c>
      <c r="C410" s="3">
        <v>3</v>
      </c>
      <c r="D410" s="3">
        <v>23</v>
      </c>
      <c r="E410" s="11" t="s">
        <v>475</v>
      </c>
      <c r="F410" s="14">
        <v>0.29399999999999998</v>
      </c>
      <c r="G410" s="14">
        <f t="shared" si="48"/>
        <v>5.1999999999999991E-2</v>
      </c>
      <c r="H410" s="14">
        <f t="shared" si="42"/>
        <v>0.32666164154103872</v>
      </c>
      <c r="I410" s="14">
        <f t="shared" si="43"/>
        <v>0.71360741478107859</v>
      </c>
      <c r="J410" s="14">
        <f t="shared" si="44"/>
        <v>0.47532109228187902</v>
      </c>
      <c r="K410" s="14">
        <f t="shared" si="45"/>
        <v>0.14549161073825498</v>
      </c>
      <c r="L410" s="12" t="str">
        <f t="shared" si="46"/>
        <v/>
      </c>
      <c r="M410" s="12" t="str">
        <f t="shared" si="47"/>
        <v/>
      </c>
    </row>
    <row r="411" spans="1:13" ht="31.5">
      <c r="A411" s="3">
        <v>404</v>
      </c>
      <c r="B411" s="11" t="s">
        <v>372</v>
      </c>
      <c r="C411" s="3">
        <v>3</v>
      </c>
      <c r="D411" s="3">
        <v>22</v>
      </c>
      <c r="E411" s="11" t="s">
        <v>476</v>
      </c>
      <c r="F411" s="14">
        <v>0.33300000000000002</v>
      </c>
      <c r="G411" s="14">
        <f t="shared" si="48"/>
        <v>3.9000000000000035E-2</v>
      </c>
      <c r="H411" s="14">
        <f t="shared" si="42"/>
        <v>0.32666164154103872</v>
      </c>
      <c r="I411" s="14">
        <f t="shared" si="43"/>
        <v>0.71360741478107859</v>
      </c>
      <c r="J411" s="14">
        <f t="shared" si="44"/>
        <v>0.47532109228187902</v>
      </c>
      <c r="K411" s="14">
        <f t="shared" si="45"/>
        <v>0.14549161073825498</v>
      </c>
      <c r="L411" s="12" t="str">
        <f t="shared" si="46"/>
        <v/>
      </c>
      <c r="M411" s="12" t="str">
        <f t="shared" si="47"/>
        <v/>
      </c>
    </row>
    <row r="412" spans="1:13" ht="31.5">
      <c r="A412" s="3">
        <v>405</v>
      </c>
      <c r="B412" s="11" t="s">
        <v>372</v>
      </c>
      <c r="C412" s="3">
        <v>3</v>
      </c>
      <c r="D412" s="3">
        <v>21</v>
      </c>
      <c r="E412" s="11" t="s">
        <v>477</v>
      </c>
      <c r="F412" s="14">
        <v>0.63800000000000001</v>
      </c>
      <c r="G412" s="14">
        <f t="shared" si="48"/>
        <v>0.30499999999999999</v>
      </c>
      <c r="H412" s="14">
        <f t="shared" si="42"/>
        <v>0.32666164154103872</v>
      </c>
      <c r="I412" s="14">
        <f t="shared" si="43"/>
        <v>0.71360741478107859</v>
      </c>
      <c r="J412" s="14">
        <f t="shared" si="44"/>
        <v>0.47532109228187902</v>
      </c>
      <c r="K412" s="14">
        <f t="shared" si="45"/>
        <v>0.14549161073825498</v>
      </c>
      <c r="L412" s="12" t="str">
        <f t="shared" si="46"/>
        <v/>
      </c>
      <c r="M412" s="12" t="str">
        <f t="shared" si="47"/>
        <v/>
      </c>
    </row>
    <row r="413" spans="1:13" ht="31.5">
      <c r="A413" s="3">
        <v>406</v>
      </c>
      <c r="B413" s="11" t="s">
        <v>372</v>
      </c>
      <c r="C413" s="3">
        <v>3</v>
      </c>
      <c r="D413" s="3">
        <v>20</v>
      </c>
      <c r="E413" s="11" t="s">
        <v>478</v>
      </c>
      <c r="F413" s="14">
        <v>0.34399999999999997</v>
      </c>
      <c r="G413" s="14">
        <f t="shared" si="48"/>
        <v>0.29400000000000004</v>
      </c>
      <c r="H413" s="14">
        <f t="shared" si="42"/>
        <v>0.32666164154103872</v>
      </c>
      <c r="I413" s="14">
        <f t="shared" si="43"/>
        <v>0.71360741478107859</v>
      </c>
      <c r="J413" s="14">
        <f t="shared" si="44"/>
        <v>0.47532109228187902</v>
      </c>
      <c r="K413" s="14">
        <f t="shared" si="45"/>
        <v>0.14549161073825498</v>
      </c>
      <c r="L413" s="12" t="str">
        <f t="shared" si="46"/>
        <v/>
      </c>
      <c r="M413" s="12" t="str">
        <f t="shared" si="47"/>
        <v/>
      </c>
    </row>
    <row r="414" spans="1:13" ht="31.5">
      <c r="A414" s="3">
        <v>407</v>
      </c>
      <c r="B414" s="11" t="s">
        <v>372</v>
      </c>
      <c r="C414" s="3">
        <v>3</v>
      </c>
      <c r="D414" s="3">
        <v>19</v>
      </c>
      <c r="E414" s="11" t="s">
        <v>479</v>
      </c>
      <c r="F414" s="14">
        <v>0.26900000000000002</v>
      </c>
      <c r="G414" s="14">
        <f t="shared" si="48"/>
        <v>7.4999999999999956E-2</v>
      </c>
      <c r="H414" s="14">
        <f t="shared" si="42"/>
        <v>0.32666164154103872</v>
      </c>
      <c r="I414" s="14">
        <f t="shared" si="43"/>
        <v>0.71360741478107859</v>
      </c>
      <c r="J414" s="14">
        <f t="shared" si="44"/>
        <v>0.47532109228187902</v>
      </c>
      <c r="K414" s="14">
        <f t="shared" si="45"/>
        <v>0.14549161073825498</v>
      </c>
      <c r="L414" s="12" t="str">
        <f t="shared" si="46"/>
        <v/>
      </c>
      <c r="M414" s="12" t="str">
        <f t="shared" si="47"/>
        <v/>
      </c>
    </row>
    <row r="415" spans="1:13" ht="31.5">
      <c r="A415" s="3">
        <v>408</v>
      </c>
      <c r="B415" s="11" t="s">
        <v>372</v>
      </c>
      <c r="C415" s="3">
        <v>3</v>
      </c>
      <c r="D415" s="3">
        <v>18</v>
      </c>
      <c r="E415" s="11" t="s">
        <v>480</v>
      </c>
      <c r="F415" s="14">
        <v>0.23799999999999999</v>
      </c>
      <c r="G415" s="14">
        <f t="shared" si="48"/>
        <v>3.1000000000000028E-2</v>
      </c>
      <c r="H415" s="14">
        <f t="shared" si="42"/>
        <v>0.32666164154103872</v>
      </c>
      <c r="I415" s="14">
        <f t="shared" si="43"/>
        <v>0.71360741478107859</v>
      </c>
      <c r="J415" s="14">
        <f t="shared" si="44"/>
        <v>0.47532109228187902</v>
      </c>
      <c r="K415" s="14">
        <f t="shared" si="45"/>
        <v>0.14549161073825498</v>
      </c>
      <c r="L415" s="12" t="str">
        <f t="shared" si="46"/>
        <v/>
      </c>
      <c r="M415" s="12" t="str">
        <f t="shared" si="47"/>
        <v/>
      </c>
    </row>
    <row r="416" spans="1:13" ht="31.5">
      <c r="A416" s="3">
        <v>409</v>
      </c>
      <c r="B416" s="11" t="s">
        <v>372</v>
      </c>
      <c r="C416" s="3">
        <v>3</v>
      </c>
      <c r="D416" s="3">
        <v>17</v>
      </c>
      <c r="E416" s="11" t="s">
        <v>481</v>
      </c>
      <c r="F416" s="14">
        <v>0.21199999999999999</v>
      </c>
      <c r="G416" s="14">
        <f t="shared" si="48"/>
        <v>2.5999999999999995E-2</v>
      </c>
      <c r="H416" s="14">
        <f t="shared" si="42"/>
        <v>0.32666164154103872</v>
      </c>
      <c r="I416" s="14">
        <f t="shared" si="43"/>
        <v>0.71360741478107859</v>
      </c>
      <c r="J416" s="14">
        <f t="shared" si="44"/>
        <v>0.47532109228187902</v>
      </c>
      <c r="K416" s="14">
        <f t="shared" si="45"/>
        <v>0.14549161073825498</v>
      </c>
      <c r="L416" s="12" t="str">
        <f t="shared" si="46"/>
        <v/>
      </c>
      <c r="M416" s="12" t="str">
        <f t="shared" si="47"/>
        <v/>
      </c>
    </row>
    <row r="417" spans="1:13" ht="31.5">
      <c r="A417" s="3">
        <v>410</v>
      </c>
      <c r="B417" s="11" t="s">
        <v>372</v>
      </c>
      <c r="C417" s="3">
        <v>3</v>
      </c>
      <c r="D417" s="3">
        <v>16</v>
      </c>
      <c r="E417" s="11" t="s">
        <v>482</v>
      </c>
      <c r="F417" s="14">
        <v>0.44900000000000001</v>
      </c>
      <c r="G417" s="14">
        <f t="shared" si="48"/>
        <v>0.23700000000000002</v>
      </c>
      <c r="H417" s="14">
        <f t="shared" si="42"/>
        <v>0.32666164154103872</v>
      </c>
      <c r="I417" s="14">
        <f t="shared" si="43"/>
        <v>0.71360741478107859</v>
      </c>
      <c r="J417" s="14">
        <f t="shared" si="44"/>
        <v>0.47532109228187902</v>
      </c>
      <c r="K417" s="14">
        <f t="shared" si="45"/>
        <v>0.14549161073825498</v>
      </c>
      <c r="L417" s="12" t="str">
        <f t="shared" si="46"/>
        <v/>
      </c>
      <c r="M417" s="12" t="str">
        <f t="shared" si="47"/>
        <v/>
      </c>
    </row>
    <row r="418" spans="1:13" ht="31.5">
      <c r="A418" s="3">
        <v>411</v>
      </c>
      <c r="B418" s="11" t="s">
        <v>372</v>
      </c>
      <c r="C418" s="3">
        <v>3</v>
      </c>
      <c r="D418" s="3">
        <v>15</v>
      </c>
      <c r="E418" s="11" t="s">
        <v>483</v>
      </c>
      <c r="F418" s="14">
        <v>0.499</v>
      </c>
      <c r="G418" s="14">
        <f t="shared" si="48"/>
        <v>4.9999999999999989E-2</v>
      </c>
      <c r="H418" s="14">
        <f t="shared" si="42"/>
        <v>0.32666164154103872</v>
      </c>
      <c r="I418" s="14">
        <f t="shared" si="43"/>
        <v>0.71360741478107859</v>
      </c>
      <c r="J418" s="14">
        <f t="shared" si="44"/>
        <v>0.47532109228187902</v>
      </c>
      <c r="K418" s="14">
        <f t="shared" si="45"/>
        <v>0.14549161073825498</v>
      </c>
      <c r="L418" s="12" t="str">
        <f t="shared" si="46"/>
        <v/>
      </c>
      <c r="M418" s="12" t="str">
        <f t="shared" si="47"/>
        <v/>
      </c>
    </row>
    <row r="419" spans="1:13" ht="31.5">
      <c r="A419" s="3">
        <v>412</v>
      </c>
      <c r="B419" s="11" t="s">
        <v>372</v>
      </c>
      <c r="C419" s="3">
        <v>3</v>
      </c>
      <c r="D419" s="3">
        <v>14</v>
      </c>
      <c r="E419" s="11" t="s">
        <v>484</v>
      </c>
      <c r="F419" s="14">
        <v>0.316</v>
      </c>
      <c r="G419" s="14">
        <f t="shared" si="48"/>
        <v>0.183</v>
      </c>
      <c r="H419" s="14">
        <f t="shared" si="42"/>
        <v>0.32666164154103872</v>
      </c>
      <c r="I419" s="14">
        <f t="shared" si="43"/>
        <v>0.71360741478107859</v>
      </c>
      <c r="J419" s="14">
        <f t="shared" si="44"/>
        <v>0.47532109228187902</v>
      </c>
      <c r="K419" s="14">
        <f t="shared" si="45"/>
        <v>0.14549161073825498</v>
      </c>
      <c r="L419" s="12" t="str">
        <f t="shared" si="46"/>
        <v/>
      </c>
      <c r="M419" s="12" t="str">
        <f t="shared" si="47"/>
        <v/>
      </c>
    </row>
    <row r="420" spans="1:13" ht="31.5">
      <c r="A420" s="3">
        <v>413</v>
      </c>
      <c r="B420" s="11" t="s">
        <v>372</v>
      </c>
      <c r="C420" s="3">
        <v>3</v>
      </c>
      <c r="D420" s="3">
        <v>13</v>
      </c>
      <c r="E420" s="11" t="s">
        <v>485</v>
      </c>
      <c r="F420" s="14">
        <v>0.16900000000000001</v>
      </c>
      <c r="G420" s="14">
        <f t="shared" si="48"/>
        <v>0.14699999999999999</v>
      </c>
      <c r="H420" s="14">
        <f t="shared" si="42"/>
        <v>0.32666164154103872</v>
      </c>
      <c r="I420" s="14">
        <f t="shared" si="43"/>
        <v>0.71360741478107859</v>
      </c>
      <c r="J420" s="14">
        <f t="shared" si="44"/>
        <v>0.47532109228187902</v>
      </c>
      <c r="K420" s="14">
        <f t="shared" si="45"/>
        <v>0.14549161073825498</v>
      </c>
      <c r="L420" s="12" t="str">
        <f t="shared" si="46"/>
        <v/>
      </c>
      <c r="M420" s="12" t="str">
        <f t="shared" si="47"/>
        <v/>
      </c>
    </row>
    <row r="421" spans="1:13" ht="31.5">
      <c r="A421" s="3">
        <v>414</v>
      </c>
      <c r="B421" s="11" t="s">
        <v>372</v>
      </c>
      <c r="C421" s="3">
        <v>3</v>
      </c>
      <c r="D421" s="3">
        <v>12</v>
      </c>
      <c r="E421" s="11" t="s">
        <v>486</v>
      </c>
      <c r="F421" s="14">
        <v>0.435</v>
      </c>
      <c r="G421" s="14">
        <f t="shared" si="48"/>
        <v>0.26600000000000001</v>
      </c>
      <c r="H421" s="14">
        <f t="shared" si="42"/>
        <v>0.32666164154103872</v>
      </c>
      <c r="I421" s="14">
        <f t="shared" si="43"/>
        <v>0.71360741478107859</v>
      </c>
      <c r="J421" s="14">
        <f t="shared" si="44"/>
        <v>0.47532109228187902</v>
      </c>
      <c r="K421" s="14">
        <f t="shared" si="45"/>
        <v>0.14549161073825498</v>
      </c>
      <c r="L421" s="12" t="str">
        <f t="shared" si="46"/>
        <v/>
      </c>
      <c r="M421" s="12" t="str">
        <f t="shared" si="47"/>
        <v/>
      </c>
    </row>
    <row r="422" spans="1:13" ht="31.5">
      <c r="A422" s="3">
        <v>415</v>
      </c>
      <c r="B422" s="11" t="s">
        <v>372</v>
      </c>
      <c r="C422" s="3">
        <v>3</v>
      </c>
      <c r="D422" s="3">
        <v>11</v>
      </c>
      <c r="E422" s="11" t="s">
        <v>487</v>
      </c>
      <c r="F422" s="14">
        <v>0.191</v>
      </c>
      <c r="G422" s="14">
        <f t="shared" si="48"/>
        <v>0.24399999999999999</v>
      </c>
      <c r="H422" s="14">
        <f t="shared" si="42"/>
        <v>0.32666164154103872</v>
      </c>
      <c r="I422" s="14">
        <f t="shared" si="43"/>
        <v>0.71360741478107859</v>
      </c>
      <c r="J422" s="14">
        <f t="shared" si="44"/>
        <v>0.47532109228187902</v>
      </c>
      <c r="K422" s="14">
        <f t="shared" si="45"/>
        <v>0.14549161073825498</v>
      </c>
      <c r="L422" s="12" t="str">
        <f t="shared" si="46"/>
        <v/>
      </c>
      <c r="M422" s="12" t="str">
        <f t="shared" si="47"/>
        <v/>
      </c>
    </row>
    <row r="423" spans="1:13" ht="31.5">
      <c r="A423" s="3">
        <v>416</v>
      </c>
      <c r="B423" s="11" t="s">
        <v>372</v>
      </c>
      <c r="C423" s="3">
        <v>3</v>
      </c>
      <c r="D423" s="3">
        <v>10</v>
      </c>
      <c r="E423" s="11" t="s">
        <v>488</v>
      </c>
      <c r="F423" s="14">
        <v>0.19900000000000001</v>
      </c>
      <c r="G423" s="14">
        <f t="shared" si="48"/>
        <v>8.0000000000000071E-3</v>
      </c>
      <c r="H423" s="14">
        <f t="shared" si="42"/>
        <v>0.32666164154103872</v>
      </c>
      <c r="I423" s="14">
        <f t="shared" si="43"/>
        <v>0.71360741478107859</v>
      </c>
      <c r="J423" s="14">
        <f t="shared" si="44"/>
        <v>0.47532109228187902</v>
      </c>
      <c r="K423" s="14">
        <f t="shared" si="45"/>
        <v>0.14549161073825498</v>
      </c>
      <c r="L423" s="12" t="str">
        <f t="shared" si="46"/>
        <v/>
      </c>
      <c r="M423" s="12" t="str">
        <f t="shared" si="47"/>
        <v/>
      </c>
    </row>
    <row r="424" spans="1:13" ht="31.5">
      <c r="A424" s="3">
        <v>417</v>
      </c>
      <c r="B424" s="11" t="s">
        <v>372</v>
      </c>
      <c r="C424" s="3">
        <v>3</v>
      </c>
      <c r="D424" s="3">
        <v>9</v>
      </c>
      <c r="E424" s="11" t="s">
        <v>489</v>
      </c>
      <c r="F424" s="14">
        <v>0.23799999999999999</v>
      </c>
      <c r="G424" s="14">
        <f t="shared" si="48"/>
        <v>3.8999999999999979E-2</v>
      </c>
      <c r="H424" s="14">
        <f t="shared" si="42"/>
        <v>0.32666164154103872</v>
      </c>
      <c r="I424" s="14">
        <f t="shared" si="43"/>
        <v>0.71360741478107859</v>
      </c>
      <c r="J424" s="14">
        <f t="shared" si="44"/>
        <v>0.47532109228187902</v>
      </c>
      <c r="K424" s="14">
        <f t="shared" si="45"/>
        <v>0.14549161073825498</v>
      </c>
      <c r="L424" s="12" t="str">
        <f t="shared" si="46"/>
        <v/>
      </c>
      <c r="M424" s="12" t="str">
        <f t="shared" si="47"/>
        <v/>
      </c>
    </row>
    <row r="425" spans="1:13" ht="31.5">
      <c r="A425" s="3">
        <v>418</v>
      </c>
      <c r="B425" s="11" t="s">
        <v>372</v>
      </c>
      <c r="C425" s="3">
        <v>3</v>
      </c>
      <c r="D425" s="3">
        <v>8</v>
      </c>
      <c r="E425" s="11" t="s">
        <v>490</v>
      </c>
      <c r="F425" s="14">
        <v>7.4999999999999997E-2</v>
      </c>
      <c r="G425" s="14">
        <f t="shared" si="48"/>
        <v>0.16299999999999998</v>
      </c>
      <c r="H425" s="14">
        <f t="shared" si="42"/>
        <v>0.32666164154103872</v>
      </c>
      <c r="I425" s="14">
        <f t="shared" si="43"/>
        <v>0.71360741478107859</v>
      </c>
      <c r="J425" s="14">
        <f t="shared" si="44"/>
        <v>0.47532109228187902</v>
      </c>
      <c r="K425" s="14">
        <f t="shared" si="45"/>
        <v>0.14549161073825498</v>
      </c>
      <c r="L425" s="12" t="str">
        <f t="shared" si="46"/>
        <v/>
      </c>
      <c r="M425" s="12" t="str">
        <f t="shared" si="47"/>
        <v/>
      </c>
    </row>
    <row r="426" spans="1:13" ht="31.5">
      <c r="A426" s="3">
        <v>419</v>
      </c>
      <c r="B426" s="11" t="s">
        <v>372</v>
      </c>
      <c r="C426" s="3">
        <v>3</v>
      </c>
      <c r="D426" s="3">
        <v>7</v>
      </c>
      <c r="E426" s="11" t="s">
        <v>491</v>
      </c>
      <c r="F426" s="14">
        <v>0.20200000000000001</v>
      </c>
      <c r="G426" s="14">
        <f t="shared" si="48"/>
        <v>0.127</v>
      </c>
      <c r="H426" s="14">
        <f t="shared" si="42"/>
        <v>0.32666164154103872</v>
      </c>
      <c r="I426" s="14">
        <f t="shared" si="43"/>
        <v>0.71360741478107859</v>
      </c>
      <c r="J426" s="14">
        <f t="shared" si="44"/>
        <v>0.47532109228187902</v>
      </c>
      <c r="K426" s="14">
        <f t="shared" si="45"/>
        <v>0.14549161073825498</v>
      </c>
      <c r="L426" s="12" t="str">
        <f t="shared" si="46"/>
        <v/>
      </c>
      <c r="M426" s="12" t="str">
        <f t="shared" si="47"/>
        <v/>
      </c>
    </row>
    <row r="427" spans="1:13" ht="31.5">
      <c r="A427" s="3">
        <v>420</v>
      </c>
      <c r="B427" s="11" t="s">
        <v>372</v>
      </c>
      <c r="C427" s="3">
        <v>3</v>
      </c>
      <c r="D427" s="3">
        <v>6</v>
      </c>
      <c r="E427" s="11" t="s">
        <v>492</v>
      </c>
      <c r="F427" s="14">
        <v>0.38500000000000001</v>
      </c>
      <c r="G427" s="14">
        <f t="shared" si="48"/>
        <v>0.183</v>
      </c>
      <c r="H427" s="14">
        <f t="shared" si="42"/>
        <v>0.32666164154103872</v>
      </c>
      <c r="I427" s="14">
        <f t="shared" si="43"/>
        <v>0.71360741478107859</v>
      </c>
      <c r="J427" s="14">
        <f t="shared" si="44"/>
        <v>0.47532109228187902</v>
      </c>
      <c r="K427" s="14">
        <f t="shared" si="45"/>
        <v>0.14549161073825498</v>
      </c>
      <c r="L427" s="12" t="str">
        <f t="shared" si="46"/>
        <v/>
      </c>
      <c r="M427" s="12" t="str">
        <f t="shared" si="47"/>
        <v/>
      </c>
    </row>
    <row r="428" spans="1:13" ht="31.5">
      <c r="A428" s="3">
        <v>421</v>
      </c>
      <c r="B428" s="11" t="s">
        <v>372</v>
      </c>
      <c r="C428" s="3">
        <v>3</v>
      </c>
      <c r="D428" s="3">
        <v>5</v>
      </c>
      <c r="E428" s="11" t="s">
        <v>493</v>
      </c>
      <c r="F428" s="14">
        <v>0.35299999999999998</v>
      </c>
      <c r="G428" s="14">
        <f t="shared" si="48"/>
        <v>3.2000000000000028E-2</v>
      </c>
      <c r="H428" s="14">
        <f t="shared" si="42"/>
        <v>0.32666164154103872</v>
      </c>
      <c r="I428" s="14">
        <f t="shared" si="43"/>
        <v>0.71360741478107859</v>
      </c>
      <c r="J428" s="14">
        <f t="shared" si="44"/>
        <v>0.47532109228187902</v>
      </c>
      <c r="K428" s="14">
        <f t="shared" si="45"/>
        <v>0.14549161073825498</v>
      </c>
      <c r="L428" s="12" t="str">
        <f t="shared" si="46"/>
        <v/>
      </c>
      <c r="M428" s="12" t="str">
        <f t="shared" si="47"/>
        <v/>
      </c>
    </row>
    <row r="429" spans="1:13" ht="31.5">
      <c r="A429" s="3">
        <v>422</v>
      </c>
      <c r="B429" s="11" t="s">
        <v>372</v>
      </c>
      <c r="C429" s="3">
        <v>3</v>
      </c>
      <c r="D429" s="3">
        <v>4</v>
      </c>
      <c r="E429" s="11" t="s">
        <v>494</v>
      </c>
      <c r="F429" s="14">
        <v>0.501</v>
      </c>
      <c r="G429" s="14">
        <f t="shared" si="48"/>
        <v>0.14800000000000002</v>
      </c>
      <c r="H429" s="14">
        <f t="shared" si="42"/>
        <v>0.32666164154103872</v>
      </c>
      <c r="I429" s="14">
        <f t="shared" si="43"/>
        <v>0.71360741478107859</v>
      </c>
      <c r="J429" s="14">
        <f t="shared" si="44"/>
        <v>0.47532109228187902</v>
      </c>
      <c r="K429" s="14">
        <f t="shared" si="45"/>
        <v>0.14549161073825498</v>
      </c>
      <c r="L429" s="12" t="str">
        <f t="shared" si="46"/>
        <v/>
      </c>
      <c r="M429" s="12" t="str">
        <f t="shared" si="47"/>
        <v/>
      </c>
    </row>
    <row r="430" spans="1:13" ht="31.5">
      <c r="A430" s="3">
        <v>423</v>
      </c>
      <c r="B430" s="11" t="s">
        <v>372</v>
      </c>
      <c r="C430" s="3">
        <v>3</v>
      </c>
      <c r="D430" s="3">
        <v>3</v>
      </c>
      <c r="E430" s="11" t="s">
        <v>495</v>
      </c>
      <c r="F430" s="14">
        <v>0.253</v>
      </c>
      <c r="G430" s="14">
        <f t="shared" si="48"/>
        <v>0.248</v>
      </c>
      <c r="H430" s="14">
        <f t="shared" si="42"/>
        <v>0.32666164154103872</v>
      </c>
      <c r="I430" s="14">
        <f t="shared" si="43"/>
        <v>0.71360741478107859</v>
      </c>
      <c r="J430" s="14">
        <f t="shared" si="44"/>
        <v>0.47532109228187902</v>
      </c>
      <c r="K430" s="14">
        <f t="shared" si="45"/>
        <v>0.14549161073825498</v>
      </c>
      <c r="L430" s="12" t="str">
        <f t="shared" si="46"/>
        <v/>
      </c>
      <c r="M430" s="12" t="str">
        <f t="shared" si="47"/>
        <v/>
      </c>
    </row>
    <row r="431" spans="1:13" ht="31.5">
      <c r="A431" s="3">
        <v>424</v>
      </c>
      <c r="B431" s="11" t="s">
        <v>372</v>
      </c>
      <c r="C431" s="3">
        <v>3</v>
      </c>
      <c r="D431" s="3">
        <v>2</v>
      </c>
      <c r="E431" s="11" t="s">
        <v>496</v>
      </c>
      <c r="F431" s="14">
        <v>0.34799999999999998</v>
      </c>
      <c r="G431" s="14">
        <f t="shared" si="48"/>
        <v>9.4999999999999973E-2</v>
      </c>
      <c r="H431" s="14">
        <f t="shared" si="42"/>
        <v>0.32666164154103872</v>
      </c>
      <c r="I431" s="14">
        <f t="shared" si="43"/>
        <v>0.71360741478107859</v>
      </c>
      <c r="J431" s="14">
        <f t="shared" si="44"/>
        <v>0.47532109228187902</v>
      </c>
      <c r="K431" s="14">
        <f t="shared" si="45"/>
        <v>0.14549161073825498</v>
      </c>
      <c r="L431" s="12" t="str">
        <f t="shared" si="46"/>
        <v/>
      </c>
      <c r="M431" s="12" t="str">
        <f t="shared" si="47"/>
        <v/>
      </c>
    </row>
    <row r="432" spans="1:13" ht="31.5">
      <c r="A432" s="3">
        <v>425</v>
      </c>
      <c r="B432" s="11" t="s">
        <v>372</v>
      </c>
      <c r="C432" s="3">
        <v>3</v>
      </c>
      <c r="D432" s="3">
        <v>1</v>
      </c>
      <c r="E432" s="11" t="s">
        <v>497</v>
      </c>
      <c r="F432" s="14">
        <v>0.29299999999999998</v>
      </c>
      <c r="G432" s="14">
        <f t="shared" si="48"/>
        <v>5.4999999999999993E-2</v>
      </c>
      <c r="H432" s="14">
        <f t="shared" si="42"/>
        <v>0.32666164154103872</v>
      </c>
      <c r="I432" s="14">
        <f t="shared" si="43"/>
        <v>0.71360741478107859</v>
      </c>
      <c r="J432" s="14">
        <f t="shared" si="44"/>
        <v>0.47532109228187902</v>
      </c>
      <c r="K432" s="14">
        <f t="shared" si="45"/>
        <v>0.14549161073825498</v>
      </c>
      <c r="L432" s="12" t="str">
        <f t="shared" si="46"/>
        <v/>
      </c>
      <c r="M432" s="12" t="str">
        <f t="shared" si="47"/>
        <v/>
      </c>
    </row>
    <row r="433" spans="1:13" ht="31.5">
      <c r="A433" s="3">
        <v>426</v>
      </c>
      <c r="B433" s="11" t="s">
        <v>372</v>
      </c>
      <c r="C433" s="3">
        <v>3</v>
      </c>
      <c r="D433" s="3">
        <v>25</v>
      </c>
      <c r="E433" s="11" t="s">
        <v>498</v>
      </c>
      <c r="F433" s="14">
        <v>0.191</v>
      </c>
      <c r="G433" s="14">
        <f t="shared" si="48"/>
        <v>0.10199999999999998</v>
      </c>
      <c r="H433" s="14">
        <f t="shared" si="42"/>
        <v>0.32666164154103872</v>
      </c>
      <c r="I433" s="14">
        <f t="shared" si="43"/>
        <v>0.71360741478107859</v>
      </c>
      <c r="J433" s="14">
        <f t="shared" si="44"/>
        <v>0.47532109228187902</v>
      </c>
      <c r="K433" s="14">
        <f t="shared" si="45"/>
        <v>0.14549161073825498</v>
      </c>
      <c r="L433" s="12" t="str">
        <f t="shared" si="46"/>
        <v/>
      </c>
      <c r="M433" s="12" t="str">
        <f t="shared" si="47"/>
        <v/>
      </c>
    </row>
    <row r="434" spans="1:13" ht="31.5">
      <c r="A434" s="3">
        <v>427</v>
      </c>
      <c r="B434" s="11" t="s">
        <v>372</v>
      </c>
      <c r="C434" s="3">
        <v>3</v>
      </c>
      <c r="D434" s="3">
        <v>24</v>
      </c>
      <c r="E434" s="11" t="s">
        <v>499</v>
      </c>
      <c r="F434" s="14">
        <v>0.16500000000000001</v>
      </c>
      <c r="G434" s="14">
        <f t="shared" si="48"/>
        <v>2.5999999999999995E-2</v>
      </c>
      <c r="H434" s="14">
        <f t="shared" si="42"/>
        <v>0.32666164154103872</v>
      </c>
      <c r="I434" s="14">
        <f t="shared" si="43"/>
        <v>0.71360741478107859</v>
      </c>
      <c r="J434" s="14">
        <f t="shared" si="44"/>
        <v>0.47532109228187902</v>
      </c>
      <c r="K434" s="14">
        <f t="shared" si="45"/>
        <v>0.14549161073825498</v>
      </c>
      <c r="L434" s="12" t="str">
        <f t="shared" si="46"/>
        <v/>
      </c>
      <c r="M434" s="12" t="str">
        <f t="shared" si="47"/>
        <v/>
      </c>
    </row>
    <row r="435" spans="1:13" ht="31.5">
      <c r="A435" s="3">
        <v>428</v>
      </c>
      <c r="B435" s="11" t="s">
        <v>372</v>
      </c>
      <c r="C435" s="3">
        <v>3</v>
      </c>
      <c r="D435" s="3">
        <v>23</v>
      </c>
      <c r="E435" s="11" t="s">
        <v>500</v>
      </c>
      <c r="F435" s="14">
        <v>0.161</v>
      </c>
      <c r="G435" s="14">
        <f t="shared" si="48"/>
        <v>4.0000000000000036E-3</v>
      </c>
      <c r="H435" s="14">
        <f t="shared" si="42"/>
        <v>0.32666164154103872</v>
      </c>
      <c r="I435" s="14">
        <f t="shared" si="43"/>
        <v>0.71360741478107859</v>
      </c>
      <c r="J435" s="14">
        <f t="shared" si="44"/>
        <v>0.47532109228187902</v>
      </c>
      <c r="K435" s="14">
        <f t="shared" si="45"/>
        <v>0.14549161073825498</v>
      </c>
      <c r="L435" s="12" t="str">
        <f t="shared" si="46"/>
        <v/>
      </c>
      <c r="M435" s="12" t="str">
        <f t="shared" si="47"/>
        <v/>
      </c>
    </row>
    <row r="436" spans="1:13" ht="31.5">
      <c r="A436" s="3">
        <v>429</v>
      </c>
      <c r="B436" s="11" t="s">
        <v>372</v>
      </c>
      <c r="C436" s="3">
        <v>3</v>
      </c>
      <c r="D436" s="3">
        <v>22</v>
      </c>
      <c r="E436" s="11" t="s">
        <v>501</v>
      </c>
      <c r="F436" s="14">
        <v>0.124</v>
      </c>
      <c r="G436" s="14">
        <f t="shared" si="48"/>
        <v>3.7000000000000005E-2</v>
      </c>
      <c r="H436" s="14">
        <f t="shared" si="42"/>
        <v>0.32666164154103872</v>
      </c>
      <c r="I436" s="14">
        <f t="shared" si="43"/>
        <v>0.71360741478107859</v>
      </c>
      <c r="J436" s="14">
        <f t="shared" si="44"/>
        <v>0.47532109228187902</v>
      </c>
      <c r="K436" s="14">
        <f t="shared" si="45"/>
        <v>0.14549161073825498</v>
      </c>
      <c r="L436" s="12" t="str">
        <f t="shared" si="46"/>
        <v/>
      </c>
      <c r="M436" s="12" t="str">
        <f t="shared" si="47"/>
        <v/>
      </c>
    </row>
    <row r="437" spans="1:13" ht="31.5">
      <c r="A437" s="3">
        <v>430</v>
      </c>
      <c r="B437" s="11" t="s">
        <v>372</v>
      </c>
      <c r="C437" s="3">
        <v>3</v>
      </c>
      <c r="D437" s="3">
        <v>21</v>
      </c>
      <c r="E437" s="11" t="s">
        <v>502</v>
      </c>
      <c r="F437" s="14">
        <v>7.0000000000000007E-2</v>
      </c>
      <c r="G437" s="14">
        <f t="shared" si="48"/>
        <v>5.3999999999999992E-2</v>
      </c>
      <c r="H437" s="14">
        <f t="shared" si="42"/>
        <v>0.32666164154103872</v>
      </c>
      <c r="I437" s="14">
        <f t="shared" si="43"/>
        <v>0.71360741478107859</v>
      </c>
      <c r="J437" s="14">
        <f t="shared" si="44"/>
        <v>0.47532109228187902</v>
      </c>
      <c r="K437" s="14">
        <f t="shared" si="45"/>
        <v>0.14549161073825498</v>
      </c>
      <c r="L437" s="12" t="str">
        <f t="shared" si="46"/>
        <v/>
      </c>
      <c r="M437" s="12" t="str">
        <f t="shared" si="47"/>
        <v/>
      </c>
    </row>
    <row r="438" spans="1:13" ht="31.5">
      <c r="A438" s="3">
        <v>431</v>
      </c>
      <c r="B438" s="11" t="s">
        <v>372</v>
      </c>
      <c r="C438" s="3">
        <v>3</v>
      </c>
      <c r="D438" s="3">
        <v>20</v>
      </c>
      <c r="E438" s="11" t="s">
        <v>503</v>
      </c>
      <c r="F438" s="14">
        <v>0.22500000000000001</v>
      </c>
      <c r="G438" s="14">
        <f t="shared" si="48"/>
        <v>0.155</v>
      </c>
      <c r="H438" s="14">
        <f t="shared" si="42"/>
        <v>0.32666164154103872</v>
      </c>
      <c r="I438" s="14">
        <f t="shared" si="43"/>
        <v>0.71360741478107859</v>
      </c>
      <c r="J438" s="14">
        <f t="shared" si="44"/>
        <v>0.47532109228187902</v>
      </c>
      <c r="K438" s="14">
        <f t="shared" si="45"/>
        <v>0.14549161073825498</v>
      </c>
      <c r="L438" s="12" t="str">
        <f t="shared" si="46"/>
        <v/>
      </c>
      <c r="M438" s="12" t="str">
        <f t="shared" si="47"/>
        <v/>
      </c>
    </row>
    <row r="439" spans="1:13" ht="31.5">
      <c r="A439" s="3">
        <v>432</v>
      </c>
      <c r="B439" s="11" t="s">
        <v>372</v>
      </c>
      <c r="C439" s="3">
        <v>3</v>
      </c>
      <c r="D439" s="3">
        <v>19</v>
      </c>
      <c r="E439" s="11" t="s">
        <v>504</v>
      </c>
      <c r="F439" s="14">
        <v>0.23100000000000001</v>
      </c>
      <c r="G439" s="14">
        <f t="shared" si="48"/>
        <v>6.0000000000000053E-3</v>
      </c>
      <c r="H439" s="14">
        <f t="shared" si="42"/>
        <v>0.32666164154103872</v>
      </c>
      <c r="I439" s="14">
        <f t="shared" si="43"/>
        <v>0.71360741478107859</v>
      </c>
      <c r="J439" s="14">
        <f t="shared" si="44"/>
        <v>0.47532109228187902</v>
      </c>
      <c r="K439" s="14">
        <f t="shared" si="45"/>
        <v>0.14549161073825498</v>
      </c>
      <c r="L439" s="12" t="str">
        <f t="shared" si="46"/>
        <v/>
      </c>
      <c r="M439" s="12" t="str">
        <f t="shared" si="47"/>
        <v/>
      </c>
    </row>
    <row r="440" spans="1:13" ht="31.5">
      <c r="A440" s="3">
        <v>433</v>
      </c>
      <c r="B440" s="11" t="s">
        <v>372</v>
      </c>
      <c r="C440" s="3">
        <v>3</v>
      </c>
      <c r="D440" s="3">
        <v>18</v>
      </c>
      <c r="E440" s="11" t="s">
        <v>505</v>
      </c>
      <c r="F440" s="14">
        <v>0.32900000000000001</v>
      </c>
      <c r="G440" s="14">
        <f t="shared" si="48"/>
        <v>9.8000000000000004E-2</v>
      </c>
      <c r="H440" s="14">
        <f t="shared" si="42"/>
        <v>0.32666164154103872</v>
      </c>
      <c r="I440" s="14">
        <f t="shared" si="43"/>
        <v>0.71360741478107859</v>
      </c>
      <c r="J440" s="14">
        <f t="shared" si="44"/>
        <v>0.47532109228187902</v>
      </c>
      <c r="K440" s="14">
        <f t="shared" si="45"/>
        <v>0.14549161073825498</v>
      </c>
      <c r="L440" s="12" t="str">
        <f t="shared" si="46"/>
        <v/>
      </c>
      <c r="M440" s="12" t="str">
        <f t="shared" si="47"/>
        <v/>
      </c>
    </row>
    <row r="441" spans="1:13" ht="31.5">
      <c r="A441" s="3">
        <v>434</v>
      </c>
      <c r="B441" s="11" t="s">
        <v>372</v>
      </c>
      <c r="C441" s="3">
        <v>3</v>
      </c>
      <c r="D441" s="3">
        <v>17</v>
      </c>
      <c r="E441" s="11" t="s">
        <v>506</v>
      </c>
      <c r="F441" s="14">
        <v>0.109</v>
      </c>
      <c r="G441" s="14">
        <f t="shared" si="48"/>
        <v>0.22000000000000003</v>
      </c>
      <c r="H441" s="14">
        <f t="shared" si="42"/>
        <v>0.32666164154103872</v>
      </c>
      <c r="I441" s="14">
        <f t="shared" si="43"/>
        <v>0.71360741478107859</v>
      </c>
      <c r="J441" s="14">
        <f t="shared" si="44"/>
        <v>0.47532109228187902</v>
      </c>
      <c r="K441" s="14">
        <f t="shared" si="45"/>
        <v>0.14549161073825498</v>
      </c>
      <c r="L441" s="12" t="str">
        <f t="shared" si="46"/>
        <v/>
      </c>
      <c r="M441" s="12" t="str">
        <f t="shared" si="47"/>
        <v/>
      </c>
    </row>
    <row r="442" spans="1:13" ht="31.5">
      <c r="A442" s="3">
        <v>435</v>
      </c>
      <c r="B442" s="11" t="s">
        <v>372</v>
      </c>
      <c r="C442" s="3">
        <v>3</v>
      </c>
      <c r="D442" s="3">
        <v>16</v>
      </c>
      <c r="E442" s="11" t="s">
        <v>507</v>
      </c>
      <c r="F442" s="14">
        <v>0.624</v>
      </c>
      <c r="G442" s="14">
        <f t="shared" si="48"/>
        <v>0.51500000000000001</v>
      </c>
      <c r="H442" s="14">
        <f t="shared" si="42"/>
        <v>0.32666164154103872</v>
      </c>
      <c r="I442" s="14">
        <f t="shared" si="43"/>
        <v>0.71360741478107859</v>
      </c>
      <c r="J442" s="14">
        <f t="shared" si="44"/>
        <v>0.47532109228187902</v>
      </c>
      <c r="K442" s="14">
        <f t="shared" si="45"/>
        <v>0.14549161073825498</v>
      </c>
      <c r="L442" s="12" t="str">
        <f t="shared" si="46"/>
        <v/>
      </c>
      <c r="M442" s="12" t="str">
        <f t="shared" si="47"/>
        <v/>
      </c>
    </row>
    <row r="443" spans="1:13" ht="31.5">
      <c r="A443" s="3">
        <v>436</v>
      </c>
      <c r="B443" s="11" t="s">
        <v>372</v>
      </c>
      <c r="C443" s="3">
        <v>3</v>
      </c>
      <c r="D443" s="3">
        <v>15</v>
      </c>
      <c r="E443" s="11" t="s">
        <v>508</v>
      </c>
      <c r="F443" s="14">
        <v>0.38200000000000001</v>
      </c>
      <c r="G443" s="14">
        <f t="shared" si="48"/>
        <v>0.24199999999999999</v>
      </c>
      <c r="H443" s="14">
        <f t="shared" si="42"/>
        <v>0.32666164154103872</v>
      </c>
      <c r="I443" s="14">
        <f t="shared" si="43"/>
        <v>0.71360741478107859</v>
      </c>
      <c r="J443" s="14">
        <f t="shared" si="44"/>
        <v>0.47532109228187902</v>
      </c>
      <c r="K443" s="14">
        <f t="shared" si="45"/>
        <v>0.14549161073825498</v>
      </c>
      <c r="L443" s="12" t="str">
        <f t="shared" si="46"/>
        <v/>
      </c>
      <c r="M443" s="12" t="str">
        <f t="shared" si="47"/>
        <v/>
      </c>
    </row>
    <row r="444" spans="1:13" ht="31.5">
      <c r="A444" s="3">
        <v>437</v>
      </c>
      <c r="B444" s="11" t="s">
        <v>372</v>
      </c>
      <c r="C444" s="3">
        <v>3</v>
      </c>
      <c r="D444" s="3">
        <v>14</v>
      </c>
      <c r="E444" s="11" t="s">
        <v>509</v>
      </c>
      <c r="F444" s="14">
        <v>0.436</v>
      </c>
      <c r="G444" s="14">
        <f t="shared" si="48"/>
        <v>5.3999999999999992E-2</v>
      </c>
      <c r="H444" s="14">
        <f t="shared" si="42"/>
        <v>0.32666164154103872</v>
      </c>
      <c r="I444" s="14">
        <f t="shared" si="43"/>
        <v>0.71360741478107859</v>
      </c>
      <c r="J444" s="14">
        <f t="shared" si="44"/>
        <v>0.47532109228187902</v>
      </c>
      <c r="K444" s="14">
        <f t="shared" si="45"/>
        <v>0.14549161073825498</v>
      </c>
      <c r="L444" s="12" t="str">
        <f t="shared" si="46"/>
        <v/>
      </c>
      <c r="M444" s="12" t="str">
        <f t="shared" si="47"/>
        <v/>
      </c>
    </row>
    <row r="445" spans="1:13" ht="31.5">
      <c r="A445" s="3">
        <v>438</v>
      </c>
      <c r="B445" s="11" t="s">
        <v>372</v>
      </c>
      <c r="C445" s="3">
        <v>3</v>
      </c>
      <c r="D445" s="3">
        <v>13</v>
      </c>
      <c r="E445" s="11" t="s">
        <v>510</v>
      </c>
      <c r="F445" s="14">
        <v>0.621</v>
      </c>
      <c r="G445" s="14">
        <f t="shared" si="48"/>
        <v>0.185</v>
      </c>
      <c r="H445" s="14">
        <f t="shared" si="42"/>
        <v>0.32666164154103872</v>
      </c>
      <c r="I445" s="14">
        <f t="shared" si="43"/>
        <v>0.71360741478107859</v>
      </c>
      <c r="J445" s="14">
        <f t="shared" si="44"/>
        <v>0.47532109228187902</v>
      </c>
      <c r="K445" s="14">
        <f t="shared" si="45"/>
        <v>0.14549161073825498</v>
      </c>
      <c r="L445" s="12" t="str">
        <f t="shared" si="46"/>
        <v/>
      </c>
      <c r="M445" s="12" t="str">
        <f t="shared" si="47"/>
        <v/>
      </c>
    </row>
    <row r="446" spans="1:13" ht="31.5">
      <c r="A446" s="3">
        <v>439</v>
      </c>
      <c r="B446" s="11" t="s">
        <v>372</v>
      </c>
      <c r="C446" s="3">
        <v>3</v>
      </c>
      <c r="D446" s="3">
        <v>12</v>
      </c>
      <c r="E446" s="11" t="s">
        <v>511</v>
      </c>
      <c r="F446" s="14">
        <v>0.33100000000000002</v>
      </c>
      <c r="G446" s="14">
        <f t="shared" si="48"/>
        <v>0.28999999999999998</v>
      </c>
      <c r="H446" s="14">
        <f t="shared" si="42"/>
        <v>0.32666164154103872</v>
      </c>
      <c r="I446" s="14">
        <f t="shared" si="43"/>
        <v>0.71360741478107859</v>
      </c>
      <c r="J446" s="14">
        <f t="shared" si="44"/>
        <v>0.47532109228187902</v>
      </c>
      <c r="K446" s="14">
        <f t="shared" si="45"/>
        <v>0.14549161073825498</v>
      </c>
      <c r="L446" s="12" t="str">
        <f t="shared" si="46"/>
        <v/>
      </c>
      <c r="M446" s="12" t="str">
        <f t="shared" si="47"/>
        <v/>
      </c>
    </row>
    <row r="447" spans="1:13" ht="31.5">
      <c r="A447" s="3">
        <v>440</v>
      </c>
      <c r="B447" s="11" t="s">
        <v>372</v>
      </c>
      <c r="C447" s="3">
        <v>3</v>
      </c>
      <c r="D447" s="3">
        <v>11</v>
      </c>
      <c r="E447" s="11" t="s">
        <v>512</v>
      </c>
      <c r="F447" s="14">
        <v>0.33800000000000002</v>
      </c>
      <c r="G447" s="14">
        <f t="shared" si="48"/>
        <v>7.0000000000000062E-3</v>
      </c>
      <c r="H447" s="14">
        <f t="shared" si="42"/>
        <v>0.32666164154103872</v>
      </c>
      <c r="I447" s="14">
        <f t="shared" si="43"/>
        <v>0.71360741478107859</v>
      </c>
      <c r="J447" s="14">
        <f t="shared" si="44"/>
        <v>0.47532109228187902</v>
      </c>
      <c r="K447" s="14">
        <f t="shared" si="45"/>
        <v>0.14549161073825498</v>
      </c>
      <c r="L447" s="12" t="str">
        <f t="shared" si="46"/>
        <v/>
      </c>
      <c r="M447" s="12" t="str">
        <f t="shared" si="47"/>
        <v/>
      </c>
    </row>
    <row r="448" spans="1:13" ht="31.5">
      <c r="A448" s="3">
        <v>441</v>
      </c>
      <c r="B448" s="11" t="s">
        <v>372</v>
      </c>
      <c r="C448" s="3">
        <v>3</v>
      </c>
      <c r="D448" s="3">
        <v>10</v>
      </c>
      <c r="E448" s="11" t="s">
        <v>513</v>
      </c>
      <c r="F448" s="14">
        <v>0.64700000000000002</v>
      </c>
      <c r="G448" s="14">
        <f t="shared" si="48"/>
        <v>0.309</v>
      </c>
      <c r="H448" s="14">
        <f t="shared" si="42"/>
        <v>0.32666164154103872</v>
      </c>
      <c r="I448" s="14">
        <f t="shared" si="43"/>
        <v>0.71360741478107859</v>
      </c>
      <c r="J448" s="14">
        <f t="shared" si="44"/>
        <v>0.47532109228187902</v>
      </c>
      <c r="K448" s="14">
        <f t="shared" si="45"/>
        <v>0.14549161073825498</v>
      </c>
      <c r="L448" s="12" t="str">
        <f t="shared" si="46"/>
        <v/>
      </c>
      <c r="M448" s="12" t="str">
        <f t="shared" si="47"/>
        <v/>
      </c>
    </row>
    <row r="449" spans="1:13" ht="31.5">
      <c r="A449" s="3">
        <v>442</v>
      </c>
      <c r="B449" s="11" t="s">
        <v>372</v>
      </c>
      <c r="C449" s="3">
        <v>3</v>
      </c>
      <c r="D449" s="3">
        <v>9</v>
      </c>
      <c r="E449" s="11" t="s">
        <v>514</v>
      </c>
      <c r="F449" s="14">
        <v>0.38400000000000001</v>
      </c>
      <c r="G449" s="14">
        <f t="shared" si="48"/>
        <v>0.26300000000000001</v>
      </c>
      <c r="H449" s="14">
        <f t="shared" si="42"/>
        <v>0.32666164154103872</v>
      </c>
      <c r="I449" s="14">
        <f t="shared" si="43"/>
        <v>0.71360741478107859</v>
      </c>
      <c r="J449" s="14">
        <f t="shared" si="44"/>
        <v>0.47532109228187902</v>
      </c>
      <c r="K449" s="14">
        <f t="shared" si="45"/>
        <v>0.14549161073825498</v>
      </c>
      <c r="L449" s="12" t="str">
        <f t="shared" si="46"/>
        <v/>
      </c>
      <c r="M449" s="12" t="str">
        <f t="shared" si="47"/>
        <v/>
      </c>
    </row>
    <row r="450" spans="1:13" ht="31.5">
      <c r="A450" s="3">
        <v>443</v>
      </c>
      <c r="B450" s="11" t="s">
        <v>372</v>
      </c>
      <c r="C450" s="3">
        <v>3</v>
      </c>
      <c r="D450" s="3">
        <v>8</v>
      </c>
      <c r="E450" s="11" t="s">
        <v>515</v>
      </c>
      <c r="F450" s="14">
        <v>0.53400000000000003</v>
      </c>
      <c r="G450" s="14">
        <f t="shared" si="48"/>
        <v>0.15000000000000002</v>
      </c>
      <c r="H450" s="14">
        <f t="shared" si="42"/>
        <v>0.32666164154103872</v>
      </c>
      <c r="I450" s="14">
        <f t="shared" si="43"/>
        <v>0.71360741478107859</v>
      </c>
      <c r="J450" s="14">
        <f t="shared" si="44"/>
        <v>0.47532109228187902</v>
      </c>
      <c r="K450" s="14">
        <f t="shared" si="45"/>
        <v>0.14549161073825498</v>
      </c>
      <c r="L450" s="12" t="str">
        <f t="shared" si="46"/>
        <v/>
      </c>
      <c r="M450" s="12" t="str">
        <f t="shared" si="47"/>
        <v/>
      </c>
    </row>
    <row r="451" spans="1:13" ht="31.5">
      <c r="A451" s="3">
        <v>444</v>
      </c>
      <c r="B451" s="11" t="s">
        <v>372</v>
      </c>
      <c r="C451" s="3">
        <v>3</v>
      </c>
      <c r="D451" s="3">
        <v>7</v>
      </c>
      <c r="E451" s="11" t="s">
        <v>516</v>
      </c>
      <c r="F451" s="14">
        <v>0.49299999999999999</v>
      </c>
      <c r="G451" s="14">
        <f t="shared" si="48"/>
        <v>4.1000000000000036E-2</v>
      </c>
      <c r="H451" s="14">
        <f t="shared" si="42"/>
        <v>0.32666164154103872</v>
      </c>
      <c r="I451" s="14">
        <f t="shared" si="43"/>
        <v>0.71360741478107859</v>
      </c>
      <c r="J451" s="14">
        <f t="shared" si="44"/>
        <v>0.47532109228187902</v>
      </c>
      <c r="K451" s="14">
        <f t="shared" si="45"/>
        <v>0.14549161073825498</v>
      </c>
      <c r="L451" s="12" t="str">
        <f t="shared" si="46"/>
        <v/>
      </c>
      <c r="M451" s="12" t="str">
        <f t="shared" si="47"/>
        <v/>
      </c>
    </row>
    <row r="452" spans="1:13" ht="31.5">
      <c r="A452" s="3">
        <v>445</v>
      </c>
      <c r="B452" s="11" t="s">
        <v>372</v>
      </c>
      <c r="C452" s="3">
        <v>3</v>
      </c>
      <c r="D452" s="3">
        <v>6</v>
      </c>
      <c r="E452" s="11" t="s">
        <v>517</v>
      </c>
      <c r="F452" s="14">
        <v>0.28699999999999998</v>
      </c>
      <c r="G452" s="14">
        <f t="shared" si="48"/>
        <v>0.20600000000000002</v>
      </c>
      <c r="H452" s="14">
        <f t="shared" si="42"/>
        <v>0.32666164154103872</v>
      </c>
      <c r="I452" s="14">
        <f t="shared" si="43"/>
        <v>0.71360741478107859</v>
      </c>
      <c r="J452" s="14">
        <f t="shared" si="44"/>
        <v>0.47532109228187902</v>
      </c>
      <c r="K452" s="14">
        <f t="shared" si="45"/>
        <v>0.14549161073825498</v>
      </c>
      <c r="L452" s="12" t="str">
        <f t="shared" si="46"/>
        <v/>
      </c>
      <c r="M452" s="12" t="str">
        <f t="shared" si="47"/>
        <v/>
      </c>
    </row>
    <row r="453" spans="1:13" ht="31.5">
      <c r="A453" s="3">
        <v>446</v>
      </c>
      <c r="B453" s="11" t="s">
        <v>372</v>
      </c>
      <c r="C453" s="3">
        <v>3</v>
      </c>
      <c r="D453" s="3">
        <v>5</v>
      </c>
      <c r="E453" s="11" t="s">
        <v>518</v>
      </c>
      <c r="F453" s="14">
        <v>0.19700000000000001</v>
      </c>
      <c r="G453" s="14">
        <f t="shared" si="48"/>
        <v>8.9999999999999969E-2</v>
      </c>
      <c r="H453" s="14">
        <f t="shared" si="42"/>
        <v>0.32666164154103872</v>
      </c>
      <c r="I453" s="14">
        <f t="shared" si="43"/>
        <v>0.71360741478107859</v>
      </c>
      <c r="J453" s="14">
        <f t="shared" si="44"/>
        <v>0.47532109228187902</v>
      </c>
      <c r="K453" s="14">
        <f t="shared" si="45"/>
        <v>0.14549161073825498</v>
      </c>
      <c r="L453" s="12" t="str">
        <f t="shared" si="46"/>
        <v/>
      </c>
      <c r="M453" s="12" t="str">
        <f t="shared" si="47"/>
        <v/>
      </c>
    </row>
    <row r="454" spans="1:13" ht="31.5">
      <c r="A454" s="3">
        <v>447</v>
      </c>
      <c r="B454" s="11" t="s">
        <v>372</v>
      </c>
      <c r="C454" s="3">
        <v>3</v>
      </c>
      <c r="D454" s="3">
        <v>4</v>
      </c>
      <c r="E454" s="11" t="s">
        <v>519</v>
      </c>
      <c r="F454" s="14">
        <v>0.30499999999999999</v>
      </c>
      <c r="G454" s="14">
        <f t="shared" si="48"/>
        <v>0.10799999999999998</v>
      </c>
      <c r="H454" s="14">
        <f t="shared" si="42"/>
        <v>0.32666164154103872</v>
      </c>
      <c r="I454" s="14">
        <f t="shared" si="43"/>
        <v>0.71360741478107859</v>
      </c>
      <c r="J454" s="14">
        <f t="shared" si="44"/>
        <v>0.47532109228187902</v>
      </c>
      <c r="K454" s="14">
        <f t="shared" si="45"/>
        <v>0.14549161073825498</v>
      </c>
      <c r="L454" s="12" t="str">
        <f t="shared" si="46"/>
        <v/>
      </c>
      <c r="M454" s="12" t="str">
        <f t="shared" si="47"/>
        <v/>
      </c>
    </row>
    <row r="455" spans="1:13" ht="31.5">
      <c r="A455" s="3">
        <v>448</v>
      </c>
      <c r="B455" s="11" t="s">
        <v>372</v>
      </c>
      <c r="C455" s="3">
        <v>3</v>
      </c>
      <c r="D455" s="3">
        <v>3</v>
      </c>
      <c r="E455" s="11" t="s">
        <v>520</v>
      </c>
      <c r="F455" s="14">
        <v>0.49099999999999999</v>
      </c>
      <c r="G455" s="14">
        <f t="shared" si="48"/>
        <v>0.186</v>
      </c>
      <c r="H455" s="14">
        <f t="shared" si="42"/>
        <v>0.32666164154103872</v>
      </c>
      <c r="I455" s="14">
        <f t="shared" si="43"/>
        <v>0.71360741478107859</v>
      </c>
      <c r="J455" s="14">
        <f t="shared" si="44"/>
        <v>0.47532109228187902</v>
      </c>
      <c r="K455" s="14">
        <f t="shared" si="45"/>
        <v>0.14549161073825498</v>
      </c>
      <c r="L455" s="12" t="str">
        <f t="shared" si="46"/>
        <v/>
      </c>
      <c r="M455" s="12" t="str">
        <f t="shared" si="47"/>
        <v/>
      </c>
    </row>
    <row r="456" spans="1:13" ht="31.5">
      <c r="A456" s="3">
        <v>449</v>
      </c>
      <c r="B456" s="11" t="s">
        <v>372</v>
      </c>
      <c r="C456" s="3">
        <v>3</v>
      </c>
      <c r="D456" s="3">
        <v>2</v>
      </c>
      <c r="E456" s="11" t="s">
        <v>521</v>
      </c>
      <c r="F456" s="14">
        <v>0.28399999999999997</v>
      </c>
      <c r="G456" s="14">
        <f t="shared" si="48"/>
        <v>0.20700000000000002</v>
      </c>
      <c r="H456" s="14">
        <f t="shared" si="42"/>
        <v>0.32666164154103872</v>
      </c>
      <c r="I456" s="14">
        <f t="shared" si="43"/>
        <v>0.71360741478107859</v>
      </c>
      <c r="J456" s="14">
        <f t="shared" si="44"/>
        <v>0.47532109228187902</v>
      </c>
      <c r="K456" s="14">
        <f t="shared" si="45"/>
        <v>0.14549161073825498</v>
      </c>
      <c r="L456" s="12" t="str">
        <f t="shared" si="46"/>
        <v/>
      </c>
      <c r="M456" s="12" t="str">
        <f t="shared" si="47"/>
        <v/>
      </c>
    </row>
    <row r="457" spans="1:13" ht="31.5">
      <c r="A457" s="3">
        <v>450</v>
      </c>
      <c r="B457" s="11" t="s">
        <v>372</v>
      </c>
      <c r="C457" s="3">
        <v>3</v>
      </c>
      <c r="D457" s="3">
        <v>1</v>
      </c>
      <c r="E457" s="11" t="s">
        <v>522</v>
      </c>
      <c r="F457" s="14">
        <v>0.54400000000000004</v>
      </c>
      <c r="G457" s="14">
        <f t="shared" si="48"/>
        <v>0.26000000000000006</v>
      </c>
      <c r="H457" s="14">
        <f t="shared" si="42"/>
        <v>0.32666164154103872</v>
      </c>
      <c r="I457" s="14">
        <f t="shared" si="43"/>
        <v>0.71360741478107859</v>
      </c>
      <c r="J457" s="14">
        <f t="shared" si="44"/>
        <v>0.47532109228187902</v>
      </c>
      <c r="K457" s="14">
        <f t="shared" si="45"/>
        <v>0.14549161073825498</v>
      </c>
      <c r="L457" s="12" t="str">
        <f t="shared" si="46"/>
        <v/>
      </c>
      <c r="M457" s="12" t="str">
        <f t="shared" si="47"/>
        <v/>
      </c>
    </row>
    <row r="458" spans="1:13" ht="31.5">
      <c r="A458" s="3">
        <v>451</v>
      </c>
      <c r="B458" s="11" t="s">
        <v>372</v>
      </c>
      <c r="C458" s="3">
        <v>4</v>
      </c>
      <c r="D458" s="3">
        <v>25</v>
      </c>
      <c r="E458" s="11" t="s">
        <v>523</v>
      </c>
      <c r="F458" s="14">
        <v>0.13800000000000001</v>
      </c>
      <c r="G458" s="14">
        <f t="shared" si="48"/>
        <v>0.40600000000000003</v>
      </c>
      <c r="H458" s="14">
        <f t="shared" si="42"/>
        <v>0.32666164154103872</v>
      </c>
      <c r="I458" s="14">
        <f t="shared" si="43"/>
        <v>0.71360741478107859</v>
      </c>
      <c r="J458" s="14">
        <f t="shared" si="44"/>
        <v>0.47532109228187902</v>
      </c>
      <c r="K458" s="14">
        <f t="shared" si="45"/>
        <v>0.14549161073825498</v>
      </c>
      <c r="L458" s="12" t="str">
        <f t="shared" si="46"/>
        <v/>
      </c>
      <c r="M458" s="12" t="str">
        <f t="shared" si="47"/>
        <v/>
      </c>
    </row>
    <row r="459" spans="1:13" ht="31.5">
      <c r="A459" s="3">
        <v>452</v>
      </c>
      <c r="B459" s="11" t="s">
        <v>372</v>
      </c>
      <c r="C459" s="3">
        <v>4</v>
      </c>
      <c r="D459" s="3">
        <v>24</v>
      </c>
      <c r="E459" s="11" t="s">
        <v>524</v>
      </c>
      <c r="F459" s="14">
        <v>0.21099999999999999</v>
      </c>
      <c r="G459" s="14">
        <f t="shared" si="48"/>
        <v>7.2999999999999982E-2</v>
      </c>
      <c r="H459" s="14">
        <f t="shared" ref="H459:H522" si="49">$F$4</f>
        <v>0.32666164154103872</v>
      </c>
      <c r="I459" s="14">
        <f t="shared" ref="I459:I522" si="50">$F$7</f>
        <v>0.71360741478107859</v>
      </c>
      <c r="J459" s="14">
        <f t="shared" ref="J459:J522" si="51">$F$8</f>
        <v>0.47532109228187902</v>
      </c>
      <c r="K459" s="14">
        <f t="shared" ref="K459:K522" si="52">$F$5</f>
        <v>0.14549161073825498</v>
      </c>
      <c r="L459" s="12" t="str">
        <f t="shared" ref="L459:L522" si="53">IF(F459&gt;$F$7,"OOC","" )</f>
        <v/>
      </c>
      <c r="M459" s="12" t="str">
        <f t="shared" ref="M459:M522" si="54">IF(F459&gt;$B$4,"OOS","" )</f>
        <v/>
      </c>
    </row>
    <row r="460" spans="1:13" ht="31.5">
      <c r="A460" s="3">
        <v>453</v>
      </c>
      <c r="B460" s="11" t="s">
        <v>372</v>
      </c>
      <c r="C460" s="3">
        <v>4</v>
      </c>
      <c r="D460" s="3">
        <v>23</v>
      </c>
      <c r="E460" s="11" t="s">
        <v>525</v>
      </c>
      <c r="F460" s="14">
        <v>0.251</v>
      </c>
      <c r="G460" s="14">
        <f t="shared" ref="G460:G523" si="55">ABS(F460-F459)</f>
        <v>4.0000000000000008E-2</v>
      </c>
      <c r="H460" s="14">
        <f t="shared" si="49"/>
        <v>0.32666164154103872</v>
      </c>
      <c r="I460" s="14">
        <f t="shared" si="50"/>
        <v>0.71360741478107859</v>
      </c>
      <c r="J460" s="14">
        <f t="shared" si="51"/>
        <v>0.47532109228187902</v>
      </c>
      <c r="K460" s="14">
        <f t="shared" si="52"/>
        <v>0.14549161073825498</v>
      </c>
      <c r="L460" s="12" t="str">
        <f t="shared" si="53"/>
        <v/>
      </c>
      <c r="M460" s="12" t="str">
        <f t="shared" si="54"/>
        <v/>
      </c>
    </row>
    <row r="461" spans="1:13" ht="31.5">
      <c r="A461" s="3">
        <v>454</v>
      </c>
      <c r="B461" s="11" t="s">
        <v>372</v>
      </c>
      <c r="C461" s="3">
        <v>4</v>
      </c>
      <c r="D461" s="3">
        <v>22</v>
      </c>
      <c r="E461" s="11" t="s">
        <v>526</v>
      </c>
      <c r="F461" s="14">
        <v>0.27400000000000002</v>
      </c>
      <c r="G461" s="14">
        <f t="shared" si="55"/>
        <v>2.300000000000002E-2</v>
      </c>
      <c r="H461" s="14">
        <f t="shared" si="49"/>
        <v>0.32666164154103872</v>
      </c>
      <c r="I461" s="14">
        <f t="shared" si="50"/>
        <v>0.71360741478107859</v>
      </c>
      <c r="J461" s="14">
        <f t="shared" si="51"/>
        <v>0.47532109228187902</v>
      </c>
      <c r="K461" s="14">
        <f t="shared" si="52"/>
        <v>0.14549161073825498</v>
      </c>
      <c r="L461" s="12" t="str">
        <f t="shared" si="53"/>
        <v/>
      </c>
      <c r="M461" s="12" t="str">
        <f t="shared" si="54"/>
        <v/>
      </c>
    </row>
    <row r="462" spans="1:13" ht="31.5">
      <c r="A462" s="3">
        <v>455</v>
      </c>
      <c r="B462" s="11" t="s">
        <v>372</v>
      </c>
      <c r="C462" s="3">
        <v>4</v>
      </c>
      <c r="D462" s="3">
        <v>21</v>
      </c>
      <c r="E462" s="11" t="s">
        <v>527</v>
      </c>
      <c r="F462" s="14">
        <v>0.14399999999999999</v>
      </c>
      <c r="G462" s="14">
        <f t="shared" si="55"/>
        <v>0.13000000000000003</v>
      </c>
      <c r="H462" s="14">
        <f t="shared" si="49"/>
        <v>0.32666164154103872</v>
      </c>
      <c r="I462" s="14">
        <f t="shared" si="50"/>
        <v>0.71360741478107859</v>
      </c>
      <c r="J462" s="14">
        <f t="shared" si="51"/>
        <v>0.47532109228187902</v>
      </c>
      <c r="K462" s="14">
        <f t="shared" si="52"/>
        <v>0.14549161073825498</v>
      </c>
      <c r="L462" s="12" t="str">
        <f t="shared" si="53"/>
        <v/>
      </c>
      <c r="M462" s="12" t="str">
        <f t="shared" si="54"/>
        <v/>
      </c>
    </row>
    <row r="463" spans="1:13" ht="31.5">
      <c r="A463" s="3">
        <v>456</v>
      </c>
      <c r="B463" s="11" t="s">
        <v>372</v>
      </c>
      <c r="C463" s="3">
        <v>4</v>
      </c>
      <c r="D463" s="3">
        <v>20</v>
      </c>
      <c r="E463" s="11" t="s">
        <v>528</v>
      </c>
      <c r="F463" s="14">
        <v>0.106</v>
      </c>
      <c r="G463" s="14">
        <f t="shared" si="55"/>
        <v>3.7999999999999992E-2</v>
      </c>
      <c r="H463" s="14">
        <f t="shared" si="49"/>
        <v>0.32666164154103872</v>
      </c>
      <c r="I463" s="14">
        <f t="shared" si="50"/>
        <v>0.71360741478107859</v>
      </c>
      <c r="J463" s="14">
        <f t="shared" si="51"/>
        <v>0.47532109228187902</v>
      </c>
      <c r="K463" s="14">
        <f t="shared" si="52"/>
        <v>0.14549161073825498</v>
      </c>
      <c r="L463" s="12" t="str">
        <f t="shared" si="53"/>
        <v/>
      </c>
      <c r="M463" s="12" t="str">
        <f t="shared" si="54"/>
        <v/>
      </c>
    </row>
    <row r="464" spans="1:13" ht="31.5">
      <c r="A464" s="3">
        <v>457</v>
      </c>
      <c r="B464" s="11" t="s">
        <v>372</v>
      </c>
      <c r="C464" s="3">
        <v>4</v>
      </c>
      <c r="D464" s="3">
        <v>19</v>
      </c>
      <c r="E464" s="11" t="s">
        <v>529</v>
      </c>
      <c r="F464" s="14">
        <v>0.24199999999999999</v>
      </c>
      <c r="G464" s="14">
        <f t="shared" si="55"/>
        <v>0.13600000000000001</v>
      </c>
      <c r="H464" s="14">
        <f t="shared" si="49"/>
        <v>0.32666164154103872</v>
      </c>
      <c r="I464" s="14">
        <f t="shared" si="50"/>
        <v>0.71360741478107859</v>
      </c>
      <c r="J464" s="14">
        <f t="shared" si="51"/>
        <v>0.47532109228187902</v>
      </c>
      <c r="K464" s="14">
        <f t="shared" si="52"/>
        <v>0.14549161073825498</v>
      </c>
      <c r="L464" s="12" t="str">
        <f t="shared" si="53"/>
        <v/>
      </c>
      <c r="M464" s="12" t="str">
        <f t="shared" si="54"/>
        <v/>
      </c>
    </row>
    <row r="465" spans="1:13" ht="31.5">
      <c r="A465" s="3">
        <v>458</v>
      </c>
      <c r="B465" s="11" t="s">
        <v>372</v>
      </c>
      <c r="C465" s="3">
        <v>4</v>
      </c>
      <c r="D465" s="3">
        <v>18</v>
      </c>
      <c r="E465" s="11" t="s">
        <v>530</v>
      </c>
      <c r="F465" s="14">
        <v>0.308</v>
      </c>
      <c r="G465" s="14">
        <f t="shared" si="55"/>
        <v>6.6000000000000003E-2</v>
      </c>
      <c r="H465" s="14">
        <f t="shared" si="49"/>
        <v>0.32666164154103872</v>
      </c>
      <c r="I465" s="14">
        <f t="shared" si="50"/>
        <v>0.71360741478107859</v>
      </c>
      <c r="J465" s="14">
        <f t="shared" si="51"/>
        <v>0.47532109228187902</v>
      </c>
      <c r="K465" s="14">
        <f t="shared" si="52"/>
        <v>0.14549161073825498</v>
      </c>
      <c r="L465" s="12" t="str">
        <f t="shared" si="53"/>
        <v/>
      </c>
      <c r="M465" s="12" t="str">
        <f t="shared" si="54"/>
        <v/>
      </c>
    </row>
    <row r="466" spans="1:13" ht="31.5">
      <c r="A466" s="3">
        <v>459</v>
      </c>
      <c r="B466" s="11" t="s">
        <v>372</v>
      </c>
      <c r="C466" s="3">
        <v>4</v>
      </c>
      <c r="D466" s="3">
        <v>17</v>
      </c>
      <c r="E466" s="11" t="s">
        <v>531</v>
      </c>
      <c r="F466" s="14">
        <v>0.28899999999999998</v>
      </c>
      <c r="G466" s="14">
        <f t="shared" si="55"/>
        <v>1.9000000000000017E-2</v>
      </c>
      <c r="H466" s="14">
        <f t="shared" si="49"/>
        <v>0.32666164154103872</v>
      </c>
      <c r="I466" s="14">
        <f t="shared" si="50"/>
        <v>0.71360741478107859</v>
      </c>
      <c r="J466" s="14">
        <f t="shared" si="51"/>
        <v>0.47532109228187902</v>
      </c>
      <c r="K466" s="14">
        <f t="shared" si="52"/>
        <v>0.14549161073825498</v>
      </c>
      <c r="L466" s="12" t="str">
        <f t="shared" si="53"/>
        <v/>
      </c>
      <c r="M466" s="12" t="str">
        <f t="shared" si="54"/>
        <v/>
      </c>
    </row>
    <row r="467" spans="1:13" ht="31.5">
      <c r="A467" s="3">
        <v>460</v>
      </c>
      <c r="B467" s="11" t="s">
        <v>372</v>
      </c>
      <c r="C467" s="3">
        <v>4</v>
      </c>
      <c r="D467" s="3">
        <v>16</v>
      </c>
      <c r="E467" s="11" t="s">
        <v>532</v>
      </c>
      <c r="F467" s="14">
        <v>0.32200000000000001</v>
      </c>
      <c r="G467" s="14">
        <f t="shared" si="55"/>
        <v>3.3000000000000029E-2</v>
      </c>
      <c r="H467" s="14">
        <f t="shared" si="49"/>
        <v>0.32666164154103872</v>
      </c>
      <c r="I467" s="14">
        <f t="shared" si="50"/>
        <v>0.71360741478107859</v>
      </c>
      <c r="J467" s="14">
        <f t="shared" si="51"/>
        <v>0.47532109228187902</v>
      </c>
      <c r="K467" s="14">
        <f t="shared" si="52"/>
        <v>0.14549161073825498</v>
      </c>
      <c r="L467" s="12" t="str">
        <f t="shared" si="53"/>
        <v/>
      </c>
      <c r="M467" s="12" t="str">
        <f t="shared" si="54"/>
        <v/>
      </c>
    </row>
    <row r="468" spans="1:13" ht="31.5">
      <c r="A468" s="3">
        <v>461</v>
      </c>
      <c r="B468" s="11" t="s">
        <v>372</v>
      </c>
      <c r="C468" s="3">
        <v>4</v>
      </c>
      <c r="D468" s="3">
        <v>15</v>
      </c>
      <c r="E468" s="11" t="s">
        <v>533</v>
      </c>
      <c r="F468" s="14">
        <v>0.17499999999999999</v>
      </c>
      <c r="G468" s="14">
        <f t="shared" si="55"/>
        <v>0.14700000000000002</v>
      </c>
      <c r="H468" s="14">
        <f t="shared" si="49"/>
        <v>0.32666164154103872</v>
      </c>
      <c r="I468" s="14">
        <f t="shared" si="50"/>
        <v>0.71360741478107859</v>
      </c>
      <c r="J468" s="14">
        <f t="shared" si="51"/>
        <v>0.47532109228187902</v>
      </c>
      <c r="K468" s="14">
        <f t="shared" si="52"/>
        <v>0.14549161073825498</v>
      </c>
      <c r="L468" s="12" t="str">
        <f t="shared" si="53"/>
        <v/>
      </c>
      <c r="M468" s="12" t="str">
        <f t="shared" si="54"/>
        <v/>
      </c>
    </row>
    <row r="469" spans="1:13" ht="31.5">
      <c r="A469" s="3">
        <v>462</v>
      </c>
      <c r="B469" s="11" t="s">
        <v>372</v>
      </c>
      <c r="C469" s="3">
        <v>4</v>
      </c>
      <c r="D469" s="3">
        <v>14</v>
      </c>
      <c r="E469" s="11" t="s">
        <v>534</v>
      </c>
      <c r="F469" s="14">
        <v>0.245</v>
      </c>
      <c r="G469" s="14">
        <f t="shared" si="55"/>
        <v>7.0000000000000007E-2</v>
      </c>
      <c r="H469" s="14">
        <f t="shared" si="49"/>
        <v>0.32666164154103872</v>
      </c>
      <c r="I469" s="14">
        <f t="shared" si="50"/>
        <v>0.71360741478107859</v>
      </c>
      <c r="J469" s="14">
        <f t="shared" si="51"/>
        <v>0.47532109228187902</v>
      </c>
      <c r="K469" s="14">
        <f t="shared" si="52"/>
        <v>0.14549161073825498</v>
      </c>
      <c r="L469" s="12" t="str">
        <f t="shared" si="53"/>
        <v/>
      </c>
      <c r="M469" s="12" t="str">
        <f t="shared" si="54"/>
        <v/>
      </c>
    </row>
    <row r="470" spans="1:13" ht="31.5">
      <c r="A470" s="3">
        <v>463</v>
      </c>
      <c r="B470" s="11" t="s">
        <v>372</v>
      </c>
      <c r="C470" s="3">
        <v>4</v>
      </c>
      <c r="D470" s="3">
        <v>13</v>
      </c>
      <c r="E470" s="11" t="s">
        <v>535</v>
      </c>
      <c r="F470" s="14">
        <v>0.26600000000000001</v>
      </c>
      <c r="G470" s="14">
        <f t="shared" si="55"/>
        <v>2.1000000000000019E-2</v>
      </c>
      <c r="H470" s="14">
        <f t="shared" si="49"/>
        <v>0.32666164154103872</v>
      </c>
      <c r="I470" s="14">
        <f t="shared" si="50"/>
        <v>0.71360741478107859</v>
      </c>
      <c r="J470" s="14">
        <f t="shared" si="51"/>
        <v>0.47532109228187902</v>
      </c>
      <c r="K470" s="14">
        <f t="shared" si="52"/>
        <v>0.14549161073825498</v>
      </c>
      <c r="L470" s="12" t="str">
        <f t="shared" si="53"/>
        <v/>
      </c>
      <c r="M470" s="12" t="str">
        <f t="shared" si="54"/>
        <v/>
      </c>
    </row>
    <row r="471" spans="1:13" ht="31.5">
      <c r="A471" s="3">
        <v>464</v>
      </c>
      <c r="B471" s="11" t="s">
        <v>372</v>
      </c>
      <c r="C471" s="3">
        <v>4</v>
      </c>
      <c r="D471" s="3">
        <v>12</v>
      </c>
      <c r="E471" s="11" t="s">
        <v>536</v>
      </c>
      <c r="F471" s="14">
        <v>0.27600000000000002</v>
      </c>
      <c r="G471" s="14">
        <f t="shared" si="55"/>
        <v>1.0000000000000009E-2</v>
      </c>
      <c r="H471" s="14">
        <f t="shared" si="49"/>
        <v>0.32666164154103872</v>
      </c>
      <c r="I471" s="14">
        <f t="shared" si="50"/>
        <v>0.71360741478107859</v>
      </c>
      <c r="J471" s="14">
        <f t="shared" si="51"/>
        <v>0.47532109228187902</v>
      </c>
      <c r="K471" s="14">
        <f t="shared" si="52"/>
        <v>0.14549161073825498</v>
      </c>
      <c r="L471" s="12" t="str">
        <f t="shared" si="53"/>
        <v/>
      </c>
      <c r="M471" s="12" t="str">
        <f t="shared" si="54"/>
        <v/>
      </c>
    </row>
    <row r="472" spans="1:13" ht="31.5">
      <c r="A472" s="3">
        <v>465</v>
      </c>
      <c r="B472" s="11" t="s">
        <v>372</v>
      </c>
      <c r="C472" s="3">
        <v>4</v>
      </c>
      <c r="D472" s="3">
        <v>11</v>
      </c>
      <c r="E472" s="11" t="s">
        <v>537</v>
      </c>
      <c r="F472" s="14">
        <v>0.18099999999999999</v>
      </c>
      <c r="G472" s="14">
        <f t="shared" si="55"/>
        <v>9.5000000000000029E-2</v>
      </c>
      <c r="H472" s="14">
        <f t="shared" si="49"/>
        <v>0.32666164154103872</v>
      </c>
      <c r="I472" s="14">
        <f t="shared" si="50"/>
        <v>0.71360741478107859</v>
      </c>
      <c r="J472" s="14">
        <f t="shared" si="51"/>
        <v>0.47532109228187902</v>
      </c>
      <c r="K472" s="14">
        <f t="shared" si="52"/>
        <v>0.14549161073825498</v>
      </c>
      <c r="L472" s="12" t="str">
        <f t="shared" si="53"/>
        <v/>
      </c>
      <c r="M472" s="12" t="str">
        <f t="shared" si="54"/>
        <v/>
      </c>
    </row>
    <row r="473" spans="1:13" ht="31.5">
      <c r="A473" s="3">
        <v>466</v>
      </c>
      <c r="B473" s="11" t="s">
        <v>372</v>
      </c>
      <c r="C473" s="3">
        <v>4</v>
      </c>
      <c r="D473" s="3">
        <v>10</v>
      </c>
      <c r="E473" s="11" t="s">
        <v>538</v>
      </c>
      <c r="F473" s="14">
        <v>0.29799999999999999</v>
      </c>
      <c r="G473" s="14">
        <f t="shared" si="55"/>
        <v>0.11699999999999999</v>
      </c>
      <c r="H473" s="14">
        <f t="shared" si="49"/>
        <v>0.32666164154103872</v>
      </c>
      <c r="I473" s="14">
        <f t="shared" si="50"/>
        <v>0.71360741478107859</v>
      </c>
      <c r="J473" s="14">
        <f t="shared" si="51"/>
        <v>0.47532109228187902</v>
      </c>
      <c r="K473" s="14">
        <f t="shared" si="52"/>
        <v>0.14549161073825498</v>
      </c>
      <c r="L473" s="12" t="str">
        <f t="shared" si="53"/>
        <v/>
      </c>
      <c r="M473" s="12" t="str">
        <f t="shared" si="54"/>
        <v/>
      </c>
    </row>
    <row r="474" spans="1:13" ht="31.5">
      <c r="A474" s="3">
        <v>467</v>
      </c>
      <c r="B474" s="11" t="s">
        <v>372</v>
      </c>
      <c r="C474" s="3">
        <v>4</v>
      </c>
      <c r="D474" s="3">
        <v>9</v>
      </c>
      <c r="E474" s="11" t="s">
        <v>539</v>
      </c>
      <c r="F474" s="14">
        <v>0.23699999999999999</v>
      </c>
      <c r="G474" s="14">
        <f t="shared" si="55"/>
        <v>6.0999999999999999E-2</v>
      </c>
      <c r="H474" s="14">
        <f t="shared" si="49"/>
        <v>0.32666164154103872</v>
      </c>
      <c r="I474" s="14">
        <f t="shared" si="50"/>
        <v>0.71360741478107859</v>
      </c>
      <c r="J474" s="14">
        <f t="shared" si="51"/>
        <v>0.47532109228187902</v>
      </c>
      <c r="K474" s="14">
        <f t="shared" si="52"/>
        <v>0.14549161073825498</v>
      </c>
      <c r="L474" s="12" t="str">
        <f t="shared" si="53"/>
        <v/>
      </c>
      <c r="M474" s="12" t="str">
        <f t="shared" si="54"/>
        <v/>
      </c>
    </row>
    <row r="475" spans="1:13" ht="31.5">
      <c r="A475" s="3">
        <v>468</v>
      </c>
      <c r="B475" s="11" t="s">
        <v>372</v>
      </c>
      <c r="C475" s="3">
        <v>4</v>
      </c>
      <c r="D475" s="3">
        <v>8</v>
      </c>
      <c r="E475" s="11" t="s">
        <v>540</v>
      </c>
      <c r="F475" s="14">
        <v>0.24199999999999999</v>
      </c>
      <c r="G475" s="14">
        <f t="shared" si="55"/>
        <v>5.0000000000000044E-3</v>
      </c>
      <c r="H475" s="14">
        <f t="shared" si="49"/>
        <v>0.32666164154103872</v>
      </c>
      <c r="I475" s="14">
        <f t="shared" si="50"/>
        <v>0.71360741478107859</v>
      </c>
      <c r="J475" s="14">
        <f t="shared" si="51"/>
        <v>0.47532109228187902</v>
      </c>
      <c r="K475" s="14">
        <f t="shared" si="52"/>
        <v>0.14549161073825498</v>
      </c>
      <c r="L475" s="12" t="str">
        <f t="shared" si="53"/>
        <v/>
      </c>
      <c r="M475" s="12" t="str">
        <f t="shared" si="54"/>
        <v/>
      </c>
    </row>
    <row r="476" spans="1:13" ht="31.5">
      <c r="A476" s="3">
        <v>469</v>
      </c>
      <c r="B476" s="11" t="s">
        <v>372</v>
      </c>
      <c r="C476" s="3">
        <v>4</v>
      </c>
      <c r="D476" s="3">
        <v>7</v>
      </c>
      <c r="E476" s="11" t="s">
        <v>541</v>
      </c>
      <c r="F476" s="14">
        <v>0.23599999999999999</v>
      </c>
      <c r="G476" s="14">
        <f t="shared" si="55"/>
        <v>6.0000000000000053E-3</v>
      </c>
      <c r="H476" s="14">
        <f t="shared" si="49"/>
        <v>0.32666164154103872</v>
      </c>
      <c r="I476" s="14">
        <f t="shared" si="50"/>
        <v>0.71360741478107859</v>
      </c>
      <c r="J476" s="14">
        <f t="shared" si="51"/>
        <v>0.47532109228187902</v>
      </c>
      <c r="K476" s="14">
        <f t="shared" si="52"/>
        <v>0.14549161073825498</v>
      </c>
      <c r="L476" s="12" t="str">
        <f t="shared" si="53"/>
        <v/>
      </c>
      <c r="M476" s="12" t="str">
        <f t="shared" si="54"/>
        <v/>
      </c>
    </row>
    <row r="477" spans="1:13" ht="31.5">
      <c r="A477" s="3">
        <v>470</v>
      </c>
      <c r="B477" s="11" t="s">
        <v>372</v>
      </c>
      <c r="C477" s="3">
        <v>4</v>
      </c>
      <c r="D477" s="3">
        <v>6</v>
      </c>
      <c r="E477" s="11" t="s">
        <v>542</v>
      </c>
      <c r="F477" s="14">
        <v>0.38400000000000001</v>
      </c>
      <c r="G477" s="14">
        <f t="shared" si="55"/>
        <v>0.14800000000000002</v>
      </c>
      <c r="H477" s="14">
        <f t="shared" si="49"/>
        <v>0.32666164154103872</v>
      </c>
      <c r="I477" s="14">
        <f t="shared" si="50"/>
        <v>0.71360741478107859</v>
      </c>
      <c r="J477" s="14">
        <f t="shared" si="51"/>
        <v>0.47532109228187902</v>
      </c>
      <c r="K477" s="14">
        <f t="shared" si="52"/>
        <v>0.14549161073825498</v>
      </c>
      <c r="L477" s="12" t="str">
        <f t="shared" si="53"/>
        <v/>
      </c>
      <c r="M477" s="12" t="str">
        <f t="shared" si="54"/>
        <v/>
      </c>
    </row>
    <row r="478" spans="1:13" ht="31.5">
      <c r="A478" s="3">
        <v>471</v>
      </c>
      <c r="B478" s="11" t="s">
        <v>372</v>
      </c>
      <c r="C478" s="3">
        <v>4</v>
      </c>
      <c r="D478" s="3">
        <v>5</v>
      </c>
      <c r="E478" s="11" t="s">
        <v>543</v>
      </c>
      <c r="F478" s="14">
        <v>0.48099999999999998</v>
      </c>
      <c r="G478" s="14">
        <f t="shared" si="55"/>
        <v>9.6999999999999975E-2</v>
      </c>
      <c r="H478" s="14">
        <f t="shared" si="49"/>
        <v>0.32666164154103872</v>
      </c>
      <c r="I478" s="14">
        <f t="shared" si="50"/>
        <v>0.71360741478107859</v>
      </c>
      <c r="J478" s="14">
        <f t="shared" si="51"/>
        <v>0.47532109228187902</v>
      </c>
      <c r="K478" s="14">
        <f t="shared" si="52"/>
        <v>0.14549161073825498</v>
      </c>
      <c r="L478" s="12" t="str">
        <f t="shared" si="53"/>
        <v/>
      </c>
      <c r="M478" s="12" t="str">
        <f t="shared" si="54"/>
        <v/>
      </c>
    </row>
    <row r="479" spans="1:13" ht="31.5">
      <c r="A479" s="3">
        <v>472</v>
      </c>
      <c r="B479" s="11" t="s">
        <v>372</v>
      </c>
      <c r="C479" s="3">
        <v>4</v>
      </c>
      <c r="D479" s="3">
        <v>4</v>
      </c>
      <c r="E479" s="11" t="s">
        <v>544</v>
      </c>
      <c r="F479" s="14">
        <v>0.114</v>
      </c>
      <c r="G479" s="14">
        <f t="shared" si="55"/>
        <v>0.36699999999999999</v>
      </c>
      <c r="H479" s="14">
        <f t="shared" si="49"/>
        <v>0.32666164154103872</v>
      </c>
      <c r="I479" s="14">
        <f t="shared" si="50"/>
        <v>0.71360741478107859</v>
      </c>
      <c r="J479" s="14">
        <f t="shared" si="51"/>
        <v>0.47532109228187902</v>
      </c>
      <c r="K479" s="14">
        <f t="shared" si="52"/>
        <v>0.14549161073825498</v>
      </c>
      <c r="L479" s="12" t="str">
        <f t="shared" si="53"/>
        <v/>
      </c>
      <c r="M479" s="12" t="str">
        <f t="shared" si="54"/>
        <v/>
      </c>
    </row>
    <row r="480" spans="1:13" ht="31.5">
      <c r="A480" s="3">
        <v>473</v>
      </c>
      <c r="B480" s="11" t="s">
        <v>372</v>
      </c>
      <c r="C480" s="3">
        <v>4</v>
      </c>
      <c r="D480" s="3">
        <v>3</v>
      </c>
      <c r="E480" s="11" t="s">
        <v>545</v>
      </c>
      <c r="F480" s="14">
        <v>0.34799999999999998</v>
      </c>
      <c r="G480" s="14">
        <f t="shared" si="55"/>
        <v>0.23399999999999999</v>
      </c>
      <c r="H480" s="14">
        <f t="shared" si="49"/>
        <v>0.32666164154103872</v>
      </c>
      <c r="I480" s="14">
        <f t="shared" si="50"/>
        <v>0.71360741478107859</v>
      </c>
      <c r="J480" s="14">
        <f t="shared" si="51"/>
        <v>0.47532109228187902</v>
      </c>
      <c r="K480" s="14">
        <f t="shared" si="52"/>
        <v>0.14549161073825498</v>
      </c>
      <c r="L480" s="12" t="str">
        <f t="shared" si="53"/>
        <v/>
      </c>
      <c r="M480" s="12" t="str">
        <f t="shared" si="54"/>
        <v/>
      </c>
    </row>
    <row r="481" spans="1:13" ht="31.5">
      <c r="A481" s="3">
        <v>474</v>
      </c>
      <c r="B481" s="11" t="s">
        <v>372</v>
      </c>
      <c r="C481" s="3">
        <v>4</v>
      </c>
      <c r="D481" s="3">
        <v>2</v>
      </c>
      <c r="E481" s="11" t="s">
        <v>546</v>
      </c>
      <c r="F481" s="14">
        <v>0.34499999999999997</v>
      </c>
      <c r="G481" s="14">
        <f t="shared" si="55"/>
        <v>3.0000000000000027E-3</v>
      </c>
      <c r="H481" s="14">
        <f t="shared" si="49"/>
        <v>0.32666164154103872</v>
      </c>
      <c r="I481" s="14">
        <f t="shared" si="50"/>
        <v>0.71360741478107859</v>
      </c>
      <c r="J481" s="14">
        <f t="shared" si="51"/>
        <v>0.47532109228187902</v>
      </c>
      <c r="K481" s="14">
        <f t="shared" si="52"/>
        <v>0.14549161073825498</v>
      </c>
      <c r="L481" s="12" t="str">
        <f t="shared" si="53"/>
        <v/>
      </c>
      <c r="M481" s="12" t="str">
        <f t="shared" si="54"/>
        <v/>
      </c>
    </row>
    <row r="482" spans="1:13" ht="31.5">
      <c r="A482" s="3">
        <v>475</v>
      </c>
      <c r="B482" s="11" t="s">
        <v>372</v>
      </c>
      <c r="C482" s="3">
        <v>4</v>
      </c>
      <c r="D482" s="3">
        <v>1</v>
      </c>
      <c r="E482" s="11" t="s">
        <v>547</v>
      </c>
      <c r="F482" s="14">
        <v>0.122</v>
      </c>
      <c r="G482" s="14">
        <f t="shared" si="55"/>
        <v>0.22299999999999998</v>
      </c>
      <c r="H482" s="14">
        <f t="shared" si="49"/>
        <v>0.32666164154103872</v>
      </c>
      <c r="I482" s="14">
        <f t="shared" si="50"/>
        <v>0.71360741478107859</v>
      </c>
      <c r="J482" s="14">
        <f t="shared" si="51"/>
        <v>0.47532109228187902</v>
      </c>
      <c r="K482" s="14">
        <f t="shared" si="52"/>
        <v>0.14549161073825498</v>
      </c>
      <c r="L482" s="12" t="str">
        <f t="shared" si="53"/>
        <v/>
      </c>
      <c r="M482" s="12" t="str">
        <f t="shared" si="54"/>
        <v/>
      </c>
    </row>
    <row r="483" spans="1:13" ht="31.5">
      <c r="A483" s="3">
        <v>476</v>
      </c>
      <c r="B483" s="11" t="s">
        <v>372</v>
      </c>
      <c r="C483" s="3">
        <v>4</v>
      </c>
      <c r="D483" s="3">
        <v>25</v>
      </c>
      <c r="E483" s="11" t="s">
        <v>548</v>
      </c>
      <c r="F483" s="14">
        <v>0.40600000000000003</v>
      </c>
      <c r="G483" s="14">
        <f t="shared" si="55"/>
        <v>0.28400000000000003</v>
      </c>
      <c r="H483" s="14">
        <f t="shared" si="49"/>
        <v>0.32666164154103872</v>
      </c>
      <c r="I483" s="14">
        <f t="shared" si="50"/>
        <v>0.71360741478107859</v>
      </c>
      <c r="J483" s="14">
        <f t="shared" si="51"/>
        <v>0.47532109228187902</v>
      </c>
      <c r="K483" s="14">
        <f t="shared" si="52"/>
        <v>0.14549161073825498</v>
      </c>
      <c r="L483" s="12" t="str">
        <f t="shared" si="53"/>
        <v/>
      </c>
      <c r="M483" s="12" t="str">
        <f t="shared" si="54"/>
        <v/>
      </c>
    </row>
    <row r="484" spans="1:13" ht="31.5">
      <c r="A484" s="3">
        <v>477</v>
      </c>
      <c r="B484" s="11" t="s">
        <v>372</v>
      </c>
      <c r="C484" s="3">
        <v>4</v>
      </c>
      <c r="D484" s="3">
        <v>24</v>
      </c>
      <c r="E484" s="11" t="s">
        <v>549</v>
      </c>
      <c r="F484" s="14">
        <v>0.495</v>
      </c>
      <c r="G484" s="14">
        <f t="shared" si="55"/>
        <v>8.8999999999999968E-2</v>
      </c>
      <c r="H484" s="14">
        <f t="shared" si="49"/>
        <v>0.32666164154103872</v>
      </c>
      <c r="I484" s="14">
        <f t="shared" si="50"/>
        <v>0.71360741478107859</v>
      </c>
      <c r="J484" s="14">
        <f t="shared" si="51"/>
        <v>0.47532109228187902</v>
      </c>
      <c r="K484" s="14">
        <f t="shared" si="52"/>
        <v>0.14549161073825498</v>
      </c>
      <c r="L484" s="12" t="str">
        <f t="shared" si="53"/>
        <v/>
      </c>
      <c r="M484" s="12" t="str">
        <f t="shared" si="54"/>
        <v/>
      </c>
    </row>
    <row r="485" spans="1:13" ht="31.5">
      <c r="A485" s="3">
        <v>478</v>
      </c>
      <c r="B485" s="11" t="s">
        <v>372</v>
      </c>
      <c r="C485" s="3">
        <v>4</v>
      </c>
      <c r="D485" s="3">
        <v>23</v>
      </c>
      <c r="E485" s="11" t="s">
        <v>550</v>
      </c>
      <c r="F485" s="14">
        <v>0.439</v>
      </c>
      <c r="G485" s="14">
        <f t="shared" si="55"/>
        <v>5.5999999999999994E-2</v>
      </c>
      <c r="H485" s="14">
        <f t="shared" si="49"/>
        <v>0.32666164154103872</v>
      </c>
      <c r="I485" s="14">
        <f t="shared" si="50"/>
        <v>0.71360741478107859</v>
      </c>
      <c r="J485" s="14">
        <f t="shared" si="51"/>
        <v>0.47532109228187902</v>
      </c>
      <c r="K485" s="14">
        <f t="shared" si="52"/>
        <v>0.14549161073825498</v>
      </c>
      <c r="L485" s="12" t="str">
        <f t="shared" si="53"/>
        <v/>
      </c>
      <c r="M485" s="12" t="str">
        <f t="shared" si="54"/>
        <v/>
      </c>
    </row>
    <row r="486" spans="1:13" ht="31.5">
      <c r="A486" s="3">
        <v>479</v>
      </c>
      <c r="B486" s="11" t="s">
        <v>372</v>
      </c>
      <c r="C486" s="3">
        <v>4</v>
      </c>
      <c r="D486" s="3">
        <v>22</v>
      </c>
      <c r="E486" s="11" t="s">
        <v>551</v>
      </c>
      <c r="F486" s="14">
        <v>0.14499999999999999</v>
      </c>
      <c r="G486" s="14">
        <f t="shared" si="55"/>
        <v>0.29400000000000004</v>
      </c>
      <c r="H486" s="14">
        <f t="shared" si="49"/>
        <v>0.32666164154103872</v>
      </c>
      <c r="I486" s="14">
        <f t="shared" si="50"/>
        <v>0.71360741478107859</v>
      </c>
      <c r="J486" s="14">
        <f t="shared" si="51"/>
        <v>0.47532109228187902</v>
      </c>
      <c r="K486" s="14">
        <f t="shared" si="52"/>
        <v>0.14549161073825498</v>
      </c>
      <c r="L486" s="12" t="str">
        <f t="shared" si="53"/>
        <v/>
      </c>
      <c r="M486" s="12" t="str">
        <f t="shared" si="54"/>
        <v/>
      </c>
    </row>
    <row r="487" spans="1:13" ht="31.5">
      <c r="A487" s="3">
        <v>480</v>
      </c>
      <c r="B487" s="11" t="s">
        <v>372</v>
      </c>
      <c r="C487" s="3">
        <v>4</v>
      </c>
      <c r="D487" s="3">
        <v>21</v>
      </c>
      <c r="E487" s="11" t="s">
        <v>552</v>
      </c>
      <c r="F487" s="14">
        <v>0.45800000000000002</v>
      </c>
      <c r="G487" s="14">
        <f t="shared" si="55"/>
        <v>0.31300000000000006</v>
      </c>
      <c r="H487" s="14">
        <f t="shared" si="49"/>
        <v>0.32666164154103872</v>
      </c>
      <c r="I487" s="14">
        <f t="shared" si="50"/>
        <v>0.71360741478107859</v>
      </c>
      <c r="J487" s="14">
        <f t="shared" si="51"/>
        <v>0.47532109228187902</v>
      </c>
      <c r="K487" s="14">
        <f t="shared" si="52"/>
        <v>0.14549161073825498</v>
      </c>
      <c r="L487" s="12" t="str">
        <f t="shared" si="53"/>
        <v/>
      </c>
      <c r="M487" s="12" t="str">
        <f t="shared" si="54"/>
        <v/>
      </c>
    </row>
    <row r="488" spans="1:13" ht="31.5">
      <c r="A488" s="3">
        <v>481</v>
      </c>
      <c r="B488" s="11" t="s">
        <v>372</v>
      </c>
      <c r="C488" s="3">
        <v>4</v>
      </c>
      <c r="D488" s="3">
        <v>20</v>
      </c>
      <c r="E488" s="11" t="s">
        <v>553</v>
      </c>
      <c r="F488" s="14">
        <v>0.53100000000000003</v>
      </c>
      <c r="G488" s="14">
        <f t="shared" si="55"/>
        <v>7.3000000000000009E-2</v>
      </c>
      <c r="H488" s="14">
        <f t="shared" si="49"/>
        <v>0.32666164154103872</v>
      </c>
      <c r="I488" s="14">
        <f t="shared" si="50"/>
        <v>0.71360741478107859</v>
      </c>
      <c r="J488" s="14">
        <f t="shared" si="51"/>
        <v>0.47532109228187902</v>
      </c>
      <c r="K488" s="14">
        <f t="shared" si="52"/>
        <v>0.14549161073825498</v>
      </c>
      <c r="L488" s="12" t="str">
        <f t="shared" si="53"/>
        <v/>
      </c>
      <c r="M488" s="12" t="str">
        <f t="shared" si="54"/>
        <v/>
      </c>
    </row>
    <row r="489" spans="1:13" ht="31.5">
      <c r="A489" s="3">
        <v>482</v>
      </c>
      <c r="B489" s="11" t="s">
        <v>372</v>
      </c>
      <c r="C489" s="3">
        <v>4</v>
      </c>
      <c r="D489" s="3">
        <v>19</v>
      </c>
      <c r="E489" s="11" t="s">
        <v>554</v>
      </c>
      <c r="F489" s="14">
        <v>0.16800000000000001</v>
      </c>
      <c r="G489" s="14">
        <f t="shared" si="55"/>
        <v>0.36299999999999999</v>
      </c>
      <c r="H489" s="14">
        <f t="shared" si="49"/>
        <v>0.32666164154103872</v>
      </c>
      <c r="I489" s="14">
        <f t="shared" si="50"/>
        <v>0.71360741478107859</v>
      </c>
      <c r="J489" s="14">
        <f t="shared" si="51"/>
        <v>0.47532109228187902</v>
      </c>
      <c r="K489" s="14">
        <f t="shared" si="52"/>
        <v>0.14549161073825498</v>
      </c>
      <c r="L489" s="12" t="str">
        <f t="shared" si="53"/>
        <v/>
      </c>
      <c r="M489" s="12" t="str">
        <f t="shared" si="54"/>
        <v/>
      </c>
    </row>
    <row r="490" spans="1:13" ht="31.5">
      <c r="A490" s="3">
        <v>483</v>
      </c>
      <c r="B490" s="11" t="s">
        <v>372</v>
      </c>
      <c r="C490" s="3">
        <v>4</v>
      </c>
      <c r="D490" s="3">
        <v>18</v>
      </c>
      <c r="E490" s="11" t="s">
        <v>555</v>
      </c>
      <c r="F490" s="14">
        <v>0.19600000000000001</v>
      </c>
      <c r="G490" s="14">
        <f t="shared" si="55"/>
        <v>2.7999999999999997E-2</v>
      </c>
      <c r="H490" s="14">
        <f t="shared" si="49"/>
        <v>0.32666164154103872</v>
      </c>
      <c r="I490" s="14">
        <f t="shared" si="50"/>
        <v>0.71360741478107859</v>
      </c>
      <c r="J490" s="14">
        <f t="shared" si="51"/>
        <v>0.47532109228187902</v>
      </c>
      <c r="K490" s="14">
        <f t="shared" si="52"/>
        <v>0.14549161073825498</v>
      </c>
      <c r="L490" s="12" t="str">
        <f t="shared" si="53"/>
        <v/>
      </c>
      <c r="M490" s="12" t="str">
        <f t="shared" si="54"/>
        <v/>
      </c>
    </row>
    <row r="491" spans="1:13" ht="31.5">
      <c r="A491" s="3">
        <v>484</v>
      </c>
      <c r="B491" s="11" t="s">
        <v>372</v>
      </c>
      <c r="C491" s="3">
        <v>4</v>
      </c>
      <c r="D491" s="3">
        <v>17</v>
      </c>
      <c r="E491" s="11" t="s">
        <v>556</v>
      </c>
      <c r="F491" s="14">
        <v>0.245</v>
      </c>
      <c r="G491" s="14">
        <f t="shared" si="55"/>
        <v>4.8999999999999988E-2</v>
      </c>
      <c r="H491" s="14">
        <f t="shared" si="49"/>
        <v>0.32666164154103872</v>
      </c>
      <c r="I491" s="14">
        <f t="shared" si="50"/>
        <v>0.71360741478107859</v>
      </c>
      <c r="J491" s="14">
        <f t="shared" si="51"/>
        <v>0.47532109228187902</v>
      </c>
      <c r="K491" s="14">
        <f t="shared" si="52"/>
        <v>0.14549161073825498</v>
      </c>
      <c r="L491" s="12" t="str">
        <f t="shared" si="53"/>
        <v/>
      </c>
      <c r="M491" s="12" t="str">
        <f t="shared" si="54"/>
        <v/>
      </c>
    </row>
    <row r="492" spans="1:13" ht="31.5">
      <c r="A492" s="3">
        <v>485</v>
      </c>
      <c r="B492" s="11" t="s">
        <v>372</v>
      </c>
      <c r="C492" s="3">
        <v>4</v>
      </c>
      <c r="D492" s="3">
        <v>16</v>
      </c>
      <c r="E492" s="11" t="s">
        <v>557</v>
      </c>
      <c r="F492" s="14">
        <v>0.29599999999999999</v>
      </c>
      <c r="G492" s="14">
        <f t="shared" si="55"/>
        <v>5.099999999999999E-2</v>
      </c>
      <c r="H492" s="14">
        <f t="shared" si="49"/>
        <v>0.32666164154103872</v>
      </c>
      <c r="I492" s="14">
        <f t="shared" si="50"/>
        <v>0.71360741478107859</v>
      </c>
      <c r="J492" s="14">
        <f t="shared" si="51"/>
        <v>0.47532109228187902</v>
      </c>
      <c r="K492" s="14">
        <f t="shared" si="52"/>
        <v>0.14549161073825498</v>
      </c>
      <c r="L492" s="12" t="str">
        <f t="shared" si="53"/>
        <v/>
      </c>
      <c r="M492" s="12" t="str">
        <f t="shared" si="54"/>
        <v/>
      </c>
    </row>
    <row r="493" spans="1:13" ht="31.5">
      <c r="A493" s="3">
        <v>486</v>
      </c>
      <c r="B493" s="11" t="s">
        <v>372</v>
      </c>
      <c r="C493" s="3">
        <v>4</v>
      </c>
      <c r="D493" s="3">
        <v>15</v>
      </c>
      <c r="E493" s="11" t="s">
        <v>558</v>
      </c>
      <c r="F493" s="14">
        <v>0.35</v>
      </c>
      <c r="G493" s="14">
        <f t="shared" si="55"/>
        <v>5.3999999999999992E-2</v>
      </c>
      <c r="H493" s="14">
        <f t="shared" si="49"/>
        <v>0.32666164154103872</v>
      </c>
      <c r="I493" s="14">
        <f t="shared" si="50"/>
        <v>0.71360741478107859</v>
      </c>
      <c r="J493" s="14">
        <f t="shared" si="51"/>
        <v>0.47532109228187902</v>
      </c>
      <c r="K493" s="14">
        <f t="shared" si="52"/>
        <v>0.14549161073825498</v>
      </c>
      <c r="L493" s="12" t="str">
        <f t="shared" si="53"/>
        <v/>
      </c>
      <c r="M493" s="12" t="str">
        <f t="shared" si="54"/>
        <v/>
      </c>
    </row>
    <row r="494" spans="1:13" ht="31.5">
      <c r="A494" s="3">
        <v>487</v>
      </c>
      <c r="B494" s="11" t="s">
        <v>372</v>
      </c>
      <c r="C494" s="3">
        <v>4</v>
      </c>
      <c r="D494" s="3">
        <v>14</v>
      </c>
      <c r="E494" s="11" t="s">
        <v>559</v>
      </c>
      <c r="F494" s="14">
        <v>0.20300000000000001</v>
      </c>
      <c r="G494" s="14">
        <f t="shared" si="55"/>
        <v>0.14699999999999996</v>
      </c>
      <c r="H494" s="14">
        <f t="shared" si="49"/>
        <v>0.32666164154103872</v>
      </c>
      <c r="I494" s="14">
        <f t="shared" si="50"/>
        <v>0.71360741478107859</v>
      </c>
      <c r="J494" s="14">
        <f t="shared" si="51"/>
        <v>0.47532109228187902</v>
      </c>
      <c r="K494" s="14">
        <f t="shared" si="52"/>
        <v>0.14549161073825498</v>
      </c>
      <c r="L494" s="12" t="str">
        <f t="shared" si="53"/>
        <v/>
      </c>
      <c r="M494" s="12" t="str">
        <f t="shared" si="54"/>
        <v/>
      </c>
    </row>
    <row r="495" spans="1:13" ht="31.5">
      <c r="A495" s="3">
        <v>488</v>
      </c>
      <c r="B495" s="11" t="s">
        <v>372</v>
      </c>
      <c r="C495" s="3">
        <v>4</v>
      </c>
      <c r="D495" s="3">
        <v>13</v>
      </c>
      <c r="E495" s="11" t="s">
        <v>560</v>
      </c>
      <c r="F495" s="14">
        <v>0.37</v>
      </c>
      <c r="G495" s="14">
        <f t="shared" si="55"/>
        <v>0.16699999999999998</v>
      </c>
      <c r="H495" s="14">
        <f t="shared" si="49"/>
        <v>0.32666164154103872</v>
      </c>
      <c r="I495" s="14">
        <f t="shared" si="50"/>
        <v>0.71360741478107859</v>
      </c>
      <c r="J495" s="14">
        <f t="shared" si="51"/>
        <v>0.47532109228187902</v>
      </c>
      <c r="K495" s="14">
        <f t="shared" si="52"/>
        <v>0.14549161073825498</v>
      </c>
      <c r="L495" s="12" t="str">
        <f t="shared" si="53"/>
        <v/>
      </c>
      <c r="M495" s="12" t="str">
        <f t="shared" si="54"/>
        <v/>
      </c>
    </row>
    <row r="496" spans="1:13" ht="31.5">
      <c r="A496" s="3">
        <v>489</v>
      </c>
      <c r="B496" s="11" t="s">
        <v>372</v>
      </c>
      <c r="C496" s="3">
        <v>4</v>
      </c>
      <c r="D496" s="3">
        <v>12</v>
      </c>
      <c r="E496" s="11" t="s">
        <v>561</v>
      </c>
      <c r="F496" s="14">
        <v>0.19700000000000001</v>
      </c>
      <c r="G496" s="14">
        <f t="shared" si="55"/>
        <v>0.17299999999999999</v>
      </c>
      <c r="H496" s="14">
        <f t="shared" si="49"/>
        <v>0.32666164154103872</v>
      </c>
      <c r="I496" s="14">
        <f t="shared" si="50"/>
        <v>0.71360741478107859</v>
      </c>
      <c r="J496" s="14">
        <f t="shared" si="51"/>
        <v>0.47532109228187902</v>
      </c>
      <c r="K496" s="14">
        <f t="shared" si="52"/>
        <v>0.14549161073825498</v>
      </c>
      <c r="L496" s="12" t="str">
        <f t="shared" si="53"/>
        <v/>
      </c>
      <c r="M496" s="12" t="str">
        <f t="shared" si="54"/>
        <v/>
      </c>
    </row>
    <row r="497" spans="1:13" ht="31.5">
      <c r="A497" s="3">
        <v>490</v>
      </c>
      <c r="B497" s="11" t="s">
        <v>372</v>
      </c>
      <c r="C497" s="3">
        <v>4</v>
      </c>
      <c r="D497" s="3">
        <v>11</v>
      </c>
      <c r="E497" s="11" t="s">
        <v>562</v>
      </c>
      <c r="F497" s="14">
        <v>0.29399999999999998</v>
      </c>
      <c r="G497" s="14">
        <f t="shared" si="55"/>
        <v>9.6999999999999975E-2</v>
      </c>
      <c r="H497" s="14">
        <f t="shared" si="49"/>
        <v>0.32666164154103872</v>
      </c>
      <c r="I497" s="14">
        <f t="shared" si="50"/>
        <v>0.71360741478107859</v>
      </c>
      <c r="J497" s="14">
        <f t="shared" si="51"/>
        <v>0.47532109228187902</v>
      </c>
      <c r="K497" s="14">
        <f t="shared" si="52"/>
        <v>0.14549161073825498</v>
      </c>
      <c r="L497" s="12" t="str">
        <f t="shared" si="53"/>
        <v/>
      </c>
      <c r="M497" s="12" t="str">
        <f t="shared" si="54"/>
        <v/>
      </c>
    </row>
    <row r="498" spans="1:13" ht="31.5">
      <c r="A498" s="3">
        <v>491</v>
      </c>
      <c r="B498" s="11" t="s">
        <v>372</v>
      </c>
      <c r="C498" s="3">
        <v>4</v>
      </c>
      <c r="D498" s="3">
        <v>10</v>
      </c>
      <c r="E498" s="11" t="s">
        <v>563</v>
      </c>
      <c r="F498" s="14">
        <v>0.184</v>
      </c>
      <c r="G498" s="14">
        <f t="shared" si="55"/>
        <v>0.10999999999999999</v>
      </c>
      <c r="H498" s="14">
        <f t="shared" si="49"/>
        <v>0.32666164154103872</v>
      </c>
      <c r="I498" s="14">
        <f t="shared" si="50"/>
        <v>0.71360741478107859</v>
      </c>
      <c r="J498" s="14">
        <f t="shared" si="51"/>
        <v>0.47532109228187902</v>
      </c>
      <c r="K498" s="14">
        <f t="shared" si="52"/>
        <v>0.14549161073825498</v>
      </c>
      <c r="L498" s="12" t="str">
        <f t="shared" si="53"/>
        <v/>
      </c>
      <c r="M498" s="12" t="str">
        <f t="shared" si="54"/>
        <v/>
      </c>
    </row>
    <row r="499" spans="1:13" ht="31.5">
      <c r="A499" s="3">
        <v>492</v>
      </c>
      <c r="B499" s="11" t="s">
        <v>372</v>
      </c>
      <c r="C499" s="3">
        <v>4</v>
      </c>
      <c r="D499" s="3">
        <v>9</v>
      </c>
      <c r="E499" s="11" t="s">
        <v>564</v>
      </c>
      <c r="F499" s="14">
        <v>0.29399999999999998</v>
      </c>
      <c r="G499" s="14">
        <f t="shared" si="55"/>
        <v>0.10999999999999999</v>
      </c>
      <c r="H499" s="14">
        <f t="shared" si="49"/>
        <v>0.32666164154103872</v>
      </c>
      <c r="I499" s="14">
        <f t="shared" si="50"/>
        <v>0.71360741478107859</v>
      </c>
      <c r="J499" s="14">
        <f t="shared" si="51"/>
        <v>0.47532109228187902</v>
      </c>
      <c r="K499" s="14">
        <f t="shared" si="52"/>
        <v>0.14549161073825498</v>
      </c>
      <c r="L499" s="12" t="str">
        <f t="shared" si="53"/>
        <v/>
      </c>
      <c r="M499" s="12" t="str">
        <f t="shared" si="54"/>
        <v/>
      </c>
    </row>
    <row r="500" spans="1:13" ht="31.5">
      <c r="A500" s="3">
        <v>493</v>
      </c>
      <c r="B500" s="11" t="s">
        <v>372</v>
      </c>
      <c r="C500" s="3">
        <v>4</v>
      </c>
      <c r="D500" s="3">
        <v>8</v>
      </c>
      <c r="E500" s="11" t="s">
        <v>565</v>
      </c>
      <c r="F500" s="14">
        <v>0.39800000000000002</v>
      </c>
      <c r="G500" s="14">
        <f t="shared" si="55"/>
        <v>0.10400000000000004</v>
      </c>
      <c r="H500" s="14">
        <f t="shared" si="49"/>
        <v>0.32666164154103872</v>
      </c>
      <c r="I500" s="14">
        <f t="shared" si="50"/>
        <v>0.71360741478107859</v>
      </c>
      <c r="J500" s="14">
        <f t="shared" si="51"/>
        <v>0.47532109228187902</v>
      </c>
      <c r="K500" s="14">
        <f t="shared" si="52"/>
        <v>0.14549161073825498</v>
      </c>
      <c r="L500" s="12" t="str">
        <f t="shared" si="53"/>
        <v/>
      </c>
      <c r="M500" s="12" t="str">
        <f t="shared" si="54"/>
        <v/>
      </c>
    </row>
    <row r="501" spans="1:13" ht="31.5">
      <c r="A501" s="3">
        <v>494</v>
      </c>
      <c r="B501" s="11" t="s">
        <v>372</v>
      </c>
      <c r="C501" s="3">
        <v>4</v>
      </c>
      <c r="D501" s="3">
        <v>7</v>
      </c>
      <c r="E501" s="11" t="s">
        <v>566</v>
      </c>
      <c r="F501" s="14">
        <v>0.32500000000000001</v>
      </c>
      <c r="G501" s="14">
        <f t="shared" si="55"/>
        <v>7.3000000000000009E-2</v>
      </c>
      <c r="H501" s="14">
        <f t="shared" si="49"/>
        <v>0.32666164154103872</v>
      </c>
      <c r="I501" s="14">
        <f t="shared" si="50"/>
        <v>0.71360741478107859</v>
      </c>
      <c r="J501" s="14">
        <f t="shared" si="51"/>
        <v>0.47532109228187902</v>
      </c>
      <c r="K501" s="14">
        <f t="shared" si="52"/>
        <v>0.14549161073825498</v>
      </c>
      <c r="L501" s="12" t="str">
        <f t="shared" si="53"/>
        <v/>
      </c>
      <c r="M501" s="12" t="str">
        <f t="shared" si="54"/>
        <v/>
      </c>
    </row>
    <row r="502" spans="1:13" ht="31.5">
      <c r="A502" s="3">
        <v>495</v>
      </c>
      <c r="B502" s="11" t="s">
        <v>372</v>
      </c>
      <c r="C502" s="3">
        <v>4</v>
      </c>
      <c r="D502" s="3">
        <v>6</v>
      </c>
      <c r="E502" s="11" t="s">
        <v>567</v>
      </c>
      <c r="F502" s="14">
        <v>0.18</v>
      </c>
      <c r="G502" s="14">
        <f t="shared" si="55"/>
        <v>0.14500000000000002</v>
      </c>
      <c r="H502" s="14">
        <f t="shared" si="49"/>
        <v>0.32666164154103872</v>
      </c>
      <c r="I502" s="14">
        <f t="shared" si="50"/>
        <v>0.71360741478107859</v>
      </c>
      <c r="J502" s="14">
        <f t="shared" si="51"/>
        <v>0.47532109228187902</v>
      </c>
      <c r="K502" s="14">
        <f t="shared" si="52"/>
        <v>0.14549161073825498</v>
      </c>
      <c r="L502" s="12" t="str">
        <f t="shared" si="53"/>
        <v/>
      </c>
      <c r="M502" s="12" t="str">
        <f t="shared" si="54"/>
        <v/>
      </c>
    </row>
    <row r="503" spans="1:13" ht="31.5">
      <c r="A503" s="3">
        <v>496</v>
      </c>
      <c r="B503" s="11" t="s">
        <v>372</v>
      </c>
      <c r="C503" s="3">
        <v>4</v>
      </c>
      <c r="D503" s="3">
        <v>5</v>
      </c>
      <c r="E503" s="11" t="s">
        <v>568</v>
      </c>
      <c r="F503" s="14">
        <v>6.9000000000000006E-2</v>
      </c>
      <c r="G503" s="14">
        <f t="shared" si="55"/>
        <v>0.11099999999999999</v>
      </c>
      <c r="H503" s="14">
        <f t="shared" si="49"/>
        <v>0.32666164154103872</v>
      </c>
      <c r="I503" s="14">
        <f t="shared" si="50"/>
        <v>0.71360741478107859</v>
      </c>
      <c r="J503" s="14">
        <f t="shared" si="51"/>
        <v>0.47532109228187902</v>
      </c>
      <c r="K503" s="14">
        <f t="shared" si="52"/>
        <v>0.14549161073825498</v>
      </c>
      <c r="L503" s="12" t="str">
        <f t="shared" si="53"/>
        <v/>
      </c>
      <c r="M503" s="12" t="str">
        <f t="shared" si="54"/>
        <v/>
      </c>
    </row>
    <row r="504" spans="1:13" ht="31.5">
      <c r="A504" s="3">
        <v>497</v>
      </c>
      <c r="B504" s="11" t="s">
        <v>372</v>
      </c>
      <c r="C504" s="3">
        <v>4</v>
      </c>
      <c r="D504" s="3">
        <v>4</v>
      </c>
      <c r="E504" s="11" t="s">
        <v>569</v>
      </c>
      <c r="F504" s="14">
        <v>0.34899999999999998</v>
      </c>
      <c r="G504" s="14">
        <f t="shared" si="55"/>
        <v>0.27999999999999997</v>
      </c>
      <c r="H504" s="14">
        <f t="shared" si="49"/>
        <v>0.32666164154103872</v>
      </c>
      <c r="I504" s="14">
        <f t="shared" si="50"/>
        <v>0.71360741478107859</v>
      </c>
      <c r="J504" s="14">
        <f t="shared" si="51"/>
        <v>0.47532109228187902</v>
      </c>
      <c r="K504" s="14">
        <f t="shared" si="52"/>
        <v>0.14549161073825498</v>
      </c>
      <c r="L504" s="12" t="str">
        <f t="shared" si="53"/>
        <v/>
      </c>
      <c r="M504" s="12" t="str">
        <f t="shared" si="54"/>
        <v/>
      </c>
    </row>
    <row r="505" spans="1:13" ht="31.5">
      <c r="A505" s="3">
        <v>498</v>
      </c>
      <c r="B505" s="11" t="s">
        <v>372</v>
      </c>
      <c r="C505" s="3">
        <v>4</v>
      </c>
      <c r="D505" s="3">
        <v>3</v>
      </c>
      <c r="E505" s="11" t="s">
        <v>570</v>
      </c>
      <c r="F505" s="14">
        <v>0.193</v>
      </c>
      <c r="G505" s="14">
        <f t="shared" si="55"/>
        <v>0.15599999999999997</v>
      </c>
      <c r="H505" s="14">
        <f t="shared" si="49"/>
        <v>0.32666164154103872</v>
      </c>
      <c r="I505" s="14">
        <f t="shared" si="50"/>
        <v>0.71360741478107859</v>
      </c>
      <c r="J505" s="14">
        <f t="shared" si="51"/>
        <v>0.47532109228187902</v>
      </c>
      <c r="K505" s="14">
        <f t="shared" si="52"/>
        <v>0.14549161073825498</v>
      </c>
      <c r="L505" s="12" t="str">
        <f t="shared" si="53"/>
        <v/>
      </c>
      <c r="M505" s="12" t="str">
        <f t="shared" si="54"/>
        <v/>
      </c>
    </row>
    <row r="506" spans="1:13" ht="31.5">
      <c r="A506" s="3">
        <v>499</v>
      </c>
      <c r="B506" s="11" t="s">
        <v>372</v>
      </c>
      <c r="C506" s="3">
        <v>4</v>
      </c>
      <c r="D506" s="3">
        <v>2</v>
      </c>
      <c r="E506" s="11" t="s">
        <v>571</v>
      </c>
      <c r="F506" s="14">
        <v>0.377</v>
      </c>
      <c r="G506" s="14">
        <f t="shared" si="55"/>
        <v>0.184</v>
      </c>
      <c r="H506" s="14">
        <f t="shared" si="49"/>
        <v>0.32666164154103872</v>
      </c>
      <c r="I506" s="14">
        <f t="shared" si="50"/>
        <v>0.71360741478107859</v>
      </c>
      <c r="J506" s="14">
        <f t="shared" si="51"/>
        <v>0.47532109228187902</v>
      </c>
      <c r="K506" s="14">
        <f t="shared" si="52"/>
        <v>0.14549161073825498</v>
      </c>
      <c r="L506" s="12" t="str">
        <f t="shared" si="53"/>
        <v/>
      </c>
      <c r="M506" s="12" t="str">
        <f t="shared" si="54"/>
        <v/>
      </c>
    </row>
    <row r="507" spans="1:13" ht="31.5">
      <c r="A507" s="3">
        <v>500</v>
      </c>
      <c r="B507" s="11" t="s">
        <v>372</v>
      </c>
      <c r="C507" s="3">
        <v>4</v>
      </c>
      <c r="D507" s="3">
        <v>1</v>
      </c>
      <c r="E507" s="11" t="s">
        <v>572</v>
      </c>
      <c r="F507" s="14">
        <v>0.309</v>
      </c>
      <c r="G507" s="14">
        <f t="shared" si="55"/>
        <v>6.8000000000000005E-2</v>
      </c>
      <c r="H507" s="14">
        <f t="shared" si="49"/>
        <v>0.32666164154103872</v>
      </c>
      <c r="I507" s="14">
        <f t="shared" si="50"/>
        <v>0.71360741478107859</v>
      </c>
      <c r="J507" s="14">
        <f t="shared" si="51"/>
        <v>0.47532109228187902</v>
      </c>
      <c r="K507" s="14">
        <f t="shared" si="52"/>
        <v>0.14549161073825498</v>
      </c>
      <c r="L507" s="12" t="str">
        <f t="shared" si="53"/>
        <v/>
      </c>
      <c r="M507" s="12" t="str">
        <f t="shared" si="54"/>
        <v/>
      </c>
    </row>
    <row r="508" spans="1:13" ht="31.5">
      <c r="A508" s="3">
        <v>501</v>
      </c>
      <c r="B508" s="11" t="s">
        <v>372</v>
      </c>
      <c r="C508" s="3">
        <v>5</v>
      </c>
      <c r="D508" s="3">
        <v>25</v>
      </c>
      <c r="E508" s="11" t="s">
        <v>573</v>
      </c>
      <c r="F508" s="14">
        <v>0.188</v>
      </c>
      <c r="G508" s="14">
        <f t="shared" si="55"/>
        <v>0.121</v>
      </c>
      <c r="H508" s="14">
        <f t="shared" si="49"/>
        <v>0.32666164154103872</v>
      </c>
      <c r="I508" s="14">
        <f t="shared" si="50"/>
        <v>0.71360741478107859</v>
      </c>
      <c r="J508" s="14">
        <f t="shared" si="51"/>
        <v>0.47532109228187902</v>
      </c>
      <c r="K508" s="14">
        <f t="shared" si="52"/>
        <v>0.14549161073825498</v>
      </c>
      <c r="L508" s="12" t="str">
        <f t="shared" si="53"/>
        <v/>
      </c>
      <c r="M508" s="12" t="str">
        <f t="shared" si="54"/>
        <v/>
      </c>
    </row>
    <row r="509" spans="1:13" ht="31.5">
      <c r="A509" s="3">
        <v>502</v>
      </c>
      <c r="B509" s="11" t="s">
        <v>372</v>
      </c>
      <c r="C509" s="3">
        <v>5</v>
      </c>
      <c r="D509" s="3">
        <v>24</v>
      </c>
      <c r="E509" s="11" t="s">
        <v>574</v>
      </c>
      <c r="F509" s="14">
        <v>0.311</v>
      </c>
      <c r="G509" s="14">
        <f t="shared" si="55"/>
        <v>0.123</v>
      </c>
      <c r="H509" s="14">
        <f t="shared" si="49"/>
        <v>0.32666164154103872</v>
      </c>
      <c r="I509" s="14">
        <f t="shared" si="50"/>
        <v>0.71360741478107859</v>
      </c>
      <c r="J509" s="14">
        <f t="shared" si="51"/>
        <v>0.47532109228187902</v>
      </c>
      <c r="K509" s="14">
        <f t="shared" si="52"/>
        <v>0.14549161073825498</v>
      </c>
      <c r="L509" s="12" t="str">
        <f t="shared" si="53"/>
        <v/>
      </c>
      <c r="M509" s="12" t="str">
        <f t="shared" si="54"/>
        <v/>
      </c>
    </row>
    <row r="510" spans="1:13" ht="31.5">
      <c r="A510" s="3">
        <v>503</v>
      </c>
      <c r="B510" s="11" t="s">
        <v>372</v>
      </c>
      <c r="C510" s="3">
        <v>5</v>
      </c>
      <c r="D510" s="3">
        <v>23</v>
      </c>
      <c r="E510" s="11" t="s">
        <v>575</v>
      </c>
      <c r="F510" s="14">
        <v>0.42899999999999999</v>
      </c>
      <c r="G510" s="14">
        <f t="shared" si="55"/>
        <v>0.11799999999999999</v>
      </c>
      <c r="H510" s="14">
        <f t="shared" si="49"/>
        <v>0.32666164154103872</v>
      </c>
      <c r="I510" s="14">
        <f t="shared" si="50"/>
        <v>0.71360741478107859</v>
      </c>
      <c r="J510" s="14">
        <f t="shared" si="51"/>
        <v>0.47532109228187902</v>
      </c>
      <c r="K510" s="14">
        <f t="shared" si="52"/>
        <v>0.14549161073825498</v>
      </c>
      <c r="L510" s="12" t="str">
        <f t="shared" si="53"/>
        <v/>
      </c>
      <c r="M510" s="12" t="str">
        <f t="shared" si="54"/>
        <v/>
      </c>
    </row>
    <row r="511" spans="1:13" ht="31.5">
      <c r="A511" s="3">
        <v>504</v>
      </c>
      <c r="B511" s="11" t="s">
        <v>372</v>
      </c>
      <c r="C511" s="3">
        <v>5</v>
      </c>
      <c r="D511" s="3">
        <v>22</v>
      </c>
      <c r="E511" s="11" t="s">
        <v>576</v>
      </c>
      <c r="F511" s="14">
        <v>0.23400000000000001</v>
      </c>
      <c r="G511" s="14">
        <f t="shared" si="55"/>
        <v>0.19499999999999998</v>
      </c>
      <c r="H511" s="14">
        <f t="shared" si="49"/>
        <v>0.32666164154103872</v>
      </c>
      <c r="I511" s="14">
        <f t="shared" si="50"/>
        <v>0.71360741478107859</v>
      </c>
      <c r="J511" s="14">
        <f t="shared" si="51"/>
        <v>0.47532109228187902</v>
      </c>
      <c r="K511" s="14">
        <f t="shared" si="52"/>
        <v>0.14549161073825498</v>
      </c>
      <c r="L511" s="12" t="str">
        <f t="shared" si="53"/>
        <v/>
      </c>
      <c r="M511" s="12" t="str">
        <f t="shared" si="54"/>
        <v/>
      </c>
    </row>
    <row r="512" spans="1:13" ht="31.5">
      <c r="A512" s="3">
        <v>505</v>
      </c>
      <c r="B512" s="11" t="s">
        <v>372</v>
      </c>
      <c r="C512" s="3">
        <v>5</v>
      </c>
      <c r="D512" s="3">
        <v>21</v>
      </c>
      <c r="E512" s="11" t="s">
        <v>577</v>
      </c>
      <c r="F512" s="14">
        <v>0.20300000000000001</v>
      </c>
      <c r="G512" s="14">
        <f t="shared" si="55"/>
        <v>3.1E-2</v>
      </c>
      <c r="H512" s="14">
        <f t="shared" si="49"/>
        <v>0.32666164154103872</v>
      </c>
      <c r="I512" s="14">
        <f t="shared" si="50"/>
        <v>0.71360741478107859</v>
      </c>
      <c r="J512" s="14">
        <f t="shared" si="51"/>
        <v>0.47532109228187902</v>
      </c>
      <c r="K512" s="14">
        <f t="shared" si="52"/>
        <v>0.14549161073825498</v>
      </c>
      <c r="L512" s="12" t="str">
        <f t="shared" si="53"/>
        <v/>
      </c>
      <c r="M512" s="12" t="str">
        <f t="shared" si="54"/>
        <v/>
      </c>
    </row>
    <row r="513" spans="1:13" ht="31.5">
      <c r="A513" s="3">
        <v>506</v>
      </c>
      <c r="B513" s="11" t="s">
        <v>372</v>
      </c>
      <c r="C513" s="3">
        <v>5</v>
      </c>
      <c r="D513" s="3">
        <v>20</v>
      </c>
      <c r="E513" s="11" t="s">
        <v>578</v>
      </c>
      <c r="F513" s="14">
        <v>0.59299999999999997</v>
      </c>
      <c r="G513" s="14">
        <f t="shared" si="55"/>
        <v>0.38999999999999996</v>
      </c>
      <c r="H513" s="14">
        <f t="shared" si="49"/>
        <v>0.32666164154103872</v>
      </c>
      <c r="I513" s="14">
        <f t="shared" si="50"/>
        <v>0.71360741478107859</v>
      </c>
      <c r="J513" s="14">
        <f t="shared" si="51"/>
        <v>0.47532109228187902</v>
      </c>
      <c r="K513" s="14">
        <f t="shared" si="52"/>
        <v>0.14549161073825498</v>
      </c>
      <c r="L513" s="12" t="str">
        <f t="shared" si="53"/>
        <v/>
      </c>
      <c r="M513" s="12" t="str">
        <f t="shared" si="54"/>
        <v/>
      </c>
    </row>
    <row r="514" spans="1:13" ht="31.5">
      <c r="A514" s="3">
        <v>507</v>
      </c>
      <c r="B514" s="11" t="s">
        <v>372</v>
      </c>
      <c r="C514" s="3">
        <v>5</v>
      </c>
      <c r="D514" s="3">
        <v>19</v>
      </c>
      <c r="E514" s="11" t="s">
        <v>579</v>
      </c>
      <c r="F514" s="14">
        <v>0.53300000000000003</v>
      </c>
      <c r="G514" s="14">
        <f t="shared" si="55"/>
        <v>5.9999999999999942E-2</v>
      </c>
      <c r="H514" s="14">
        <f t="shared" si="49"/>
        <v>0.32666164154103872</v>
      </c>
      <c r="I514" s="14">
        <f t="shared" si="50"/>
        <v>0.71360741478107859</v>
      </c>
      <c r="J514" s="14">
        <f t="shared" si="51"/>
        <v>0.47532109228187902</v>
      </c>
      <c r="K514" s="14">
        <f t="shared" si="52"/>
        <v>0.14549161073825498</v>
      </c>
      <c r="L514" s="12" t="str">
        <f t="shared" si="53"/>
        <v/>
      </c>
      <c r="M514" s="12" t="str">
        <f t="shared" si="54"/>
        <v/>
      </c>
    </row>
    <row r="515" spans="1:13" ht="31.5">
      <c r="A515" s="3">
        <v>508</v>
      </c>
      <c r="B515" s="11" t="s">
        <v>372</v>
      </c>
      <c r="C515" s="3">
        <v>5</v>
      </c>
      <c r="D515" s="3">
        <v>18</v>
      </c>
      <c r="E515" s="11" t="s">
        <v>580</v>
      </c>
      <c r="F515" s="14">
        <v>0.308</v>
      </c>
      <c r="G515" s="14">
        <f t="shared" si="55"/>
        <v>0.22500000000000003</v>
      </c>
      <c r="H515" s="14">
        <f t="shared" si="49"/>
        <v>0.32666164154103872</v>
      </c>
      <c r="I515" s="14">
        <f t="shared" si="50"/>
        <v>0.71360741478107859</v>
      </c>
      <c r="J515" s="14">
        <f t="shared" si="51"/>
        <v>0.47532109228187902</v>
      </c>
      <c r="K515" s="14">
        <f t="shared" si="52"/>
        <v>0.14549161073825498</v>
      </c>
      <c r="L515" s="12" t="str">
        <f t="shared" si="53"/>
        <v/>
      </c>
      <c r="M515" s="12" t="str">
        <f t="shared" si="54"/>
        <v/>
      </c>
    </row>
    <row r="516" spans="1:13" ht="31.5">
      <c r="A516" s="3">
        <v>509</v>
      </c>
      <c r="B516" s="11" t="s">
        <v>372</v>
      </c>
      <c r="C516" s="3">
        <v>5</v>
      </c>
      <c r="D516" s="3">
        <v>17</v>
      </c>
      <c r="E516" s="11" t="s">
        <v>581</v>
      </c>
      <c r="F516" s="14">
        <v>0.67500000000000004</v>
      </c>
      <c r="G516" s="14">
        <f t="shared" si="55"/>
        <v>0.36700000000000005</v>
      </c>
      <c r="H516" s="14">
        <f t="shared" si="49"/>
        <v>0.32666164154103872</v>
      </c>
      <c r="I516" s="14">
        <f t="shared" si="50"/>
        <v>0.71360741478107859</v>
      </c>
      <c r="J516" s="14">
        <f t="shared" si="51"/>
        <v>0.47532109228187902</v>
      </c>
      <c r="K516" s="14">
        <f t="shared" si="52"/>
        <v>0.14549161073825498</v>
      </c>
      <c r="L516" s="12" t="str">
        <f t="shared" si="53"/>
        <v/>
      </c>
      <c r="M516" s="12" t="str">
        <f t="shared" si="54"/>
        <v/>
      </c>
    </row>
    <row r="517" spans="1:13" ht="31.5">
      <c r="A517" s="3">
        <v>510</v>
      </c>
      <c r="B517" s="11" t="s">
        <v>372</v>
      </c>
      <c r="C517" s="3">
        <v>5</v>
      </c>
      <c r="D517" s="3">
        <v>16</v>
      </c>
      <c r="E517" s="11" t="s">
        <v>582</v>
      </c>
      <c r="F517" s="14">
        <v>5.3999999999999999E-2</v>
      </c>
      <c r="G517" s="14">
        <f t="shared" si="55"/>
        <v>0.621</v>
      </c>
      <c r="H517" s="14">
        <f t="shared" si="49"/>
        <v>0.32666164154103872</v>
      </c>
      <c r="I517" s="14">
        <f t="shared" si="50"/>
        <v>0.71360741478107859</v>
      </c>
      <c r="J517" s="14">
        <f t="shared" si="51"/>
        <v>0.47532109228187902</v>
      </c>
      <c r="K517" s="14">
        <f t="shared" si="52"/>
        <v>0.14549161073825498</v>
      </c>
      <c r="L517" s="12" t="str">
        <f t="shared" si="53"/>
        <v/>
      </c>
      <c r="M517" s="12" t="str">
        <f t="shared" si="54"/>
        <v/>
      </c>
    </row>
    <row r="518" spans="1:13" ht="31.5">
      <c r="A518" s="3">
        <v>511</v>
      </c>
      <c r="B518" s="11" t="s">
        <v>372</v>
      </c>
      <c r="C518" s="3">
        <v>5</v>
      </c>
      <c r="D518" s="3">
        <v>15</v>
      </c>
      <c r="E518" s="11" t="s">
        <v>583</v>
      </c>
      <c r="F518" s="14">
        <v>0.17399999999999999</v>
      </c>
      <c r="G518" s="14">
        <f t="shared" si="55"/>
        <v>0.12</v>
      </c>
      <c r="H518" s="14">
        <f t="shared" si="49"/>
        <v>0.32666164154103872</v>
      </c>
      <c r="I518" s="14">
        <f t="shared" si="50"/>
        <v>0.71360741478107859</v>
      </c>
      <c r="J518" s="14">
        <f t="shared" si="51"/>
        <v>0.47532109228187902</v>
      </c>
      <c r="K518" s="14">
        <f t="shared" si="52"/>
        <v>0.14549161073825498</v>
      </c>
      <c r="L518" s="12" t="str">
        <f t="shared" si="53"/>
        <v/>
      </c>
      <c r="M518" s="12" t="str">
        <f t="shared" si="54"/>
        <v/>
      </c>
    </row>
    <row r="519" spans="1:13" ht="31.5">
      <c r="A519" s="3">
        <v>512</v>
      </c>
      <c r="B519" s="11" t="s">
        <v>372</v>
      </c>
      <c r="C519" s="3">
        <v>5</v>
      </c>
      <c r="D519" s="3">
        <v>14</v>
      </c>
      <c r="E519" s="11" t="s">
        <v>584</v>
      </c>
      <c r="F519" s="14">
        <v>0.218</v>
      </c>
      <c r="G519" s="14">
        <f t="shared" si="55"/>
        <v>4.4000000000000011E-2</v>
      </c>
      <c r="H519" s="14">
        <f t="shared" si="49"/>
        <v>0.32666164154103872</v>
      </c>
      <c r="I519" s="14">
        <f t="shared" si="50"/>
        <v>0.71360741478107859</v>
      </c>
      <c r="J519" s="14">
        <f t="shared" si="51"/>
        <v>0.47532109228187902</v>
      </c>
      <c r="K519" s="14">
        <f t="shared" si="52"/>
        <v>0.14549161073825498</v>
      </c>
      <c r="L519" s="12" t="str">
        <f t="shared" si="53"/>
        <v/>
      </c>
      <c r="M519" s="12" t="str">
        <f t="shared" si="54"/>
        <v/>
      </c>
    </row>
    <row r="520" spans="1:13" ht="31.5">
      <c r="A520" s="3">
        <v>513</v>
      </c>
      <c r="B520" s="11" t="s">
        <v>372</v>
      </c>
      <c r="C520" s="3">
        <v>5</v>
      </c>
      <c r="D520" s="3">
        <v>13</v>
      </c>
      <c r="E520" s="11" t="s">
        <v>585</v>
      </c>
      <c r="F520" s="14">
        <v>0.432</v>
      </c>
      <c r="G520" s="14">
        <f t="shared" si="55"/>
        <v>0.214</v>
      </c>
      <c r="H520" s="14">
        <f t="shared" si="49"/>
        <v>0.32666164154103872</v>
      </c>
      <c r="I520" s="14">
        <f t="shared" si="50"/>
        <v>0.71360741478107859</v>
      </c>
      <c r="J520" s="14">
        <f t="shared" si="51"/>
        <v>0.47532109228187902</v>
      </c>
      <c r="K520" s="14">
        <f t="shared" si="52"/>
        <v>0.14549161073825498</v>
      </c>
      <c r="L520" s="12" t="str">
        <f t="shared" si="53"/>
        <v/>
      </c>
      <c r="M520" s="12" t="str">
        <f t="shared" si="54"/>
        <v/>
      </c>
    </row>
    <row r="521" spans="1:13" ht="31.5">
      <c r="A521" s="3">
        <v>514</v>
      </c>
      <c r="B521" s="11" t="s">
        <v>372</v>
      </c>
      <c r="C521" s="3">
        <v>5</v>
      </c>
      <c r="D521" s="3">
        <v>12</v>
      </c>
      <c r="E521" s="11" t="s">
        <v>586</v>
      </c>
      <c r="F521" s="14">
        <v>0.38900000000000001</v>
      </c>
      <c r="G521" s="14">
        <f t="shared" si="55"/>
        <v>4.2999999999999983E-2</v>
      </c>
      <c r="H521" s="14">
        <f t="shared" si="49"/>
        <v>0.32666164154103872</v>
      </c>
      <c r="I521" s="14">
        <f t="shared" si="50"/>
        <v>0.71360741478107859</v>
      </c>
      <c r="J521" s="14">
        <f t="shared" si="51"/>
        <v>0.47532109228187902</v>
      </c>
      <c r="K521" s="14">
        <f t="shared" si="52"/>
        <v>0.14549161073825498</v>
      </c>
      <c r="L521" s="12" t="str">
        <f t="shared" si="53"/>
        <v/>
      </c>
      <c r="M521" s="12" t="str">
        <f t="shared" si="54"/>
        <v/>
      </c>
    </row>
    <row r="522" spans="1:13" ht="31.5">
      <c r="A522" s="3">
        <v>515</v>
      </c>
      <c r="B522" s="11" t="s">
        <v>372</v>
      </c>
      <c r="C522" s="3">
        <v>5</v>
      </c>
      <c r="D522" s="3">
        <v>11</v>
      </c>
      <c r="E522" s="11" t="s">
        <v>587</v>
      </c>
      <c r="F522" s="14">
        <v>0.52100000000000002</v>
      </c>
      <c r="G522" s="14">
        <f t="shared" si="55"/>
        <v>0.13200000000000001</v>
      </c>
      <c r="H522" s="14">
        <f t="shared" si="49"/>
        <v>0.32666164154103872</v>
      </c>
      <c r="I522" s="14">
        <f t="shared" si="50"/>
        <v>0.71360741478107859</v>
      </c>
      <c r="J522" s="14">
        <f t="shared" si="51"/>
        <v>0.47532109228187902</v>
      </c>
      <c r="K522" s="14">
        <f t="shared" si="52"/>
        <v>0.14549161073825498</v>
      </c>
      <c r="L522" s="12" t="str">
        <f t="shared" si="53"/>
        <v/>
      </c>
      <c r="M522" s="12" t="str">
        <f t="shared" si="54"/>
        <v/>
      </c>
    </row>
    <row r="523" spans="1:13" ht="31.5">
      <c r="A523" s="3">
        <v>516</v>
      </c>
      <c r="B523" s="11" t="s">
        <v>372</v>
      </c>
      <c r="C523" s="3">
        <v>5</v>
      </c>
      <c r="D523" s="3">
        <v>10</v>
      </c>
      <c r="E523" s="11" t="s">
        <v>588</v>
      </c>
      <c r="F523" s="14">
        <v>0.40400000000000003</v>
      </c>
      <c r="G523" s="14">
        <f t="shared" si="55"/>
        <v>0.11699999999999999</v>
      </c>
      <c r="H523" s="14">
        <f t="shared" ref="H523:H586" si="56">$F$4</f>
        <v>0.32666164154103872</v>
      </c>
      <c r="I523" s="14">
        <f t="shared" ref="I523:I586" si="57">$F$7</f>
        <v>0.71360741478107859</v>
      </c>
      <c r="J523" s="14">
        <f t="shared" ref="J523:J586" si="58">$F$8</f>
        <v>0.47532109228187902</v>
      </c>
      <c r="K523" s="14">
        <f t="shared" ref="K523:K586" si="59">$F$5</f>
        <v>0.14549161073825498</v>
      </c>
      <c r="L523" s="12" t="str">
        <f t="shared" ref="L523:L586" si="60">IF(F523&gt;$F$7,"OOC","" )</f>
        <v/>
      </c>
      <c r="M523" s="12" t="str">
        <f t="shared" ref="M523:M586" si="61">IF(F523&gt;$B$4,"OOS","" )</f>
        <v/>
      </c>
    </row>
    <row r="524" spans="1:13" ht="31.5">
      <c r="A524" s="3">
        <v>517</v>
      </c>
      <c r="B524" s="11" t="s">
        <v>372</v>
      </c>
      <c r="C524" s="3">
        <v>5</v>
      </c>
      <c r="D524" s="3">
        <v>9</v>
      </c>
      <c r="E524" s="11" t="s">
        <v>589</v>
      </c>
      <c r="F524" s="14">
        <v>0.114</v>
      </c>
      <c r="G524" s="14">
        <f t="shared" ref="G524:G587" si="62">ABS(F524-F523)</f>
        <v>0.29000000000000004</v>
      </c>
      <c r="H524" s="14">
        <f t="shared" si="56"/>
        <v>0.32666164154103872</v>
      </c>
      <c r="I524" s="14">
        <f t="shared" si="57"/>
        <v>0.71360741478107859</v>
      </c>
      <c r="J524" s="14">
        <f t="shared" si="58"/>
        <v>0.47532109228187902</v>
      </c>
      <c r="K524" s="14">
        <f t="shared" si="59"/>
        <v>0.14549161073825498</v>
      </c>
      <c r="L524" s="12" t="str">
        <f t="shared" si="60"/>
        <v/>
      </c>
      <c r="M524" s="12" t="str">
        <f t="shared" si="61"/>
        <v/>
      </c>
    </row>
    <row r="525" spans="1:13" ht="31.5">
      <c r="A525" s="3">
        <v>518</v>
      </c>
      <c r="B525" s="11" t="s">
        <v>372</v>
      </c>
      <c r="C525" s="3">
        <v>5</v>
      </c>
      <c r="D525" s="3">
        <v>8</v>
      </c>
      <c r="E525" s="11" t="s">
        <v>590</v>
      </c>
      <c r="F525" s="14">
        <v>0.39500000000000002</v>
      </c>
      <c r="G525" s="14">
        <f t="shared" si="62"/>
        <v>0.28100000000000003</v>
      </c>
      <c r="H525" s="14">
        <f t="shared" si="56"/>
        <v>0.32666164154103872</v>
      </c>
      <c r="I525" s="14">
        <f t="shared" si="57"/>
        <v>0.71360741478107859</v>
      </c>
      <c r="J525" s="14">
        <f t="shared" si="58"/>
        <v>0.47532109228187902</v>
      </c>
      <c r="K525" s="14">
        <f t="shared" si="59"/>
        <v>0.14549161073825498</v>
      </c>
      <c r="L525" s="12" t="str">
        <f t="shared" si="60"/>
        <v/>
      </c>
      <c r="M525" s="12" t="str">
        <f t="shared" si="61"/>
        <v/>
      </c>
    </row>
    <row r="526" spans="1:13" ht="31.5">
      <c r="A526" s="3">
        <v>519</v>
      </c>
      <c r="B526" s="11" t="s">
        <v>372</v>
      </c>
      <c r="C526" s="3">
        <v>5</v>
      </c>
      <c r="D526" s="3">
        <v>7</v>
      </c>
      <c r="E526" s="11" t="s">
        <v>591</v>
      </c>
      <c r="F526" s="14">
        <v>0.46899999999999997</v>
      </c>
      <c r="G526" s="14">
        <f t="shared" si="62"/>
        <v>7.3999999999999955E-2</v>
      </c>
      <c r="H526" s="14">
        <f t="shared" si="56"/>
        <v>0.32666164154103872</v>
      </c>
      <c r="I526" s="14">
        <f t="shared" si="57"/>
        <v>0.71360741478107859</v>
      </c>
      <c r="J526" s="14">
        <f t="shared" si="58"/>
        <v>0.47532109228187902</v>
      </c>
      <c r="K526" s="14">
        <f t="shared" si="59"/>
        <v>0.14549161073825498</v>
      </c>
      <c r="L526" s="12" t="str">
        <f t="shared" si="60"/>
        <v/>
      </c>
      <c r="M526" s="12" t="str">
        <f t="shared" si="61"/>
        <v/>
      </c>
    </row>
    <row r="527" spans="1:13" ht="31.5">
      <c r="A527" s="3">
        <v>520</v>
      </c>
      <c r="B527" s="11" t="s">
        <v>372</v>
      </c>
      <c r="C527" s="3">
        <v>5</v>
      </c>
      <c r="D527" s="3">
        <v>6</v>
      </c>
      <c r="E527" s="11" t="s">
        <v>592</v>
      </c>
      <c r="F527" s="14">
        <v>6.2E-2</v>
      </c>
      <c r="G527" s="14">
        <f t="shared" si="62"/>
        <v>0.40699999999999997</v>
      </c>
      <c r="H527" s="14">
        <f t="shared" si="56"/>
        <v>0.32666164154103872</v>
      </c>
      <c r="I527" s="14">
        <f t="shared" si="57"/>
        <v>0.71360741478107859</v>
      </c>
      <c r="J527" s="14">
        <f t="shared" si="58"/>
        <v>0.47532109228187902</v>
      </c>
      <c r="K527" s="14">
        <f t="shared" si="59"/>
        <v>0.14549161073825498</v>
      </c>
      <c r="L527" s="12" t="str">
        <f t="shared" si="60"/>
        <v/>
      </c>
      <c r="M527" s="12" t="str">
        <f t="shared" si="61"/>
        <v/>
      </c>
    </row>
    <row r="528" spans="1:13" ht="31.5">
      <c r="A528" s="3">
        <v>521</v>
      </c>
      <c r="B528" s="11" t="s">
        <v>372</v>
      </c>
      <c r="C528" s="3">
        <v>5</v>
      </c>
      <c r="D528" s="3">
        <v>5</v>
      </c>
      <c r="E528" s="11" t="s">
        <v>593</v>
      </c>
      <c r="F528" s="14">
        <v>0.50800000000000001</v>
      </c>
      <c r="G528" s="14">
        <f t="shared" si="62"/>
        <v>0.44600000000000001</v>
      </c>
      <c r="H528" s="14">
        <f t="shared" si="56"/>
        <v>0.32666164154103872</v>
      </c>
      <c r="I528" s="14">
        <f t="shared" si="57"/>
        <v>0.71360741478107859</v>
      </c>
      <c r="J528" s="14">
        <f t="shared" si="58"/>
        <v>0.47532109228187902</v>
      </c>
      <c r="K528" s="14">
        <f t="shared" si="59"/>
        <v>0.14549161073825498</v>
      </c>
      <c r="L528" s="12" t="str">
        <f t="shared" si="60"/>
        <v/>
      </c>
      <c r="M528" s="12" t="str">
        <f t="shared" si="61"/>
        <v/>
      </c>
    </row>
    <row r="529" spans="1:13" ht="31.5">
      <c r="A529" s="3">
        <v>522</v>
      </c>
      <c r="B529" s="11" t="s">
        <v>372</v>
      </c>
      <c r="C529" s="3">
        <v>5</v>
      </c>
      <c r="D529" s="3">
        <v>4</v>
      </c>
      <c r="E529" s="11" t="s">
        <v>594</v>
      </c>
      <c r="F529" s="14">
        <v>0.254</v>
      </c>
      <c r="G529" s="14">
        <f t="shared" si="62"/>
        <v>0.254</v>
      </c>
      <c r="H529" s="14">
        <f t="shared" si="56"/>
        <v>0.32666164154103872</v>
      </c>
      <c r="I529" s="14">
        <f t="shared" si="57"/>
        <v>0.71360741478107859</v>
      </c>
      <c r="J529" s="14">
        <f t="shared" si="58"/>
        <v>0.47532109228187902</v>
      </c>
      <c r="K529" s="14">
        <f t="shared" si="59"/>
        <v>0.14549161073825498</v>
      </c>
      <c r="L529" s="12" t="str">
        <f t="shared" si="60"/>
        <v/>
      </c>
      <c r="M529" s="12" t="str">
        <f t="shared" si="61"/>
        <v/>
      </c>
    </row>
    <row r="530" spans="1:13" ht="31.5">
      <c r="A530" s="3">
        <v>523</v>
      </c>
      <c r="B530" s="11" t="s">
        <v>372</v>
      </c>
      <c r="C530" s="3">
        <v>5</v>
      </c>
      <c r="D530" s="3">
        <v>3</v>
      </c>
      <c r="E530" s="11" t="s">
        <v>595</v>
      </c>
      <c r="F530" s="14">
        <v>0.26500000000000001</v>
      </c>
      <c r="G530" s="14">
        <f t="shared" si="62"/>
        <v>1.100000000000001E-2</v>
      </c>
      <c r="H530" s="14">
        <f t="shared" si="56"/>
        <v>0.32666164154103872</v>
      </c>
      <c r="I530" s="14">
        <f t="shared" si="57"/>
        <v>0.71360741478107859</v>
      </c>
      <c r="J530" s="14">
        <f t="shared" si="58"/>
        <v>0.47532109228187902</v>
      </c>
      <c r="K530" s="14">
        <f t="shared" si="59"/>
        <v>0.14549161073825498</v>
      </c>
      <c r="L530" s="12" t="str">
        <f t="shared" si="60"/>
        <v/>
      </c>
      <c r="M530" s="12" t="str">
        <f t="shared" si="61"/>
        <v/>
      </c>
    </row>
    <row r="531" spans="1:13" ht="31.5">
      <c r="A531" s="3">
        <v>524</v>
      </c>
      <c r="B531" s="11" t="s">
        <v>372</v>
      </c>
      <c r="C531" s="3">
        <v>5</v>
      </c>
      <c r="D531" s="3">
        <v>2</v>
      </c>
      <c r="E531" s="11" t="s">
        <v>596</v>
      </c>
      <c r="F531" s="14">
        <v>0.39600000000000002</v>
      </c>
      <c r="G531" s="14">
        <f t="shared" si="62"/>
        <v>0.13100000000000001</v>
      </c>
      <c r="H531" s="14">
        <f t="shared" si="56"/>
        <v>0.32666164154103872</v>
      </c>
      <c r="I531" s="14">
        <f t="shared" si="57"/>
        <v>0.71360741478107859</v>
      </c>
      <c r="J531" s="14">
        <f t="shared" si="58"/>
        <v>0.47532109228187902</v>
      </c>
      <c r="K531" s="14">
        <f t="shared" si="59"/>
        <v>0.14549161073825498</v>
      </c>
      <c r="L531" s="12" t="str">
        <f t="shared" si="60"/>
        <v/>
      </c>
      <c r="M531" s="12" t="str">
        <f t="shared" si="61"/>
        <v/>
      </c>
    </row>
    <row r="532" spans="1:13" ht="31.5">
      <c r="A532" s="3">
        <v>525</v>
      </c>
      <c r="B532" s="11" t="s">
        <v>372</v>
      </c>
      <c r="C532" s="3">
        <v>5</v>
      </c>
      <c r="D532" s="3">
        <v>1</v>
      </c>
      <c r="E532" s="11" t="s">
        <v>597</v>
      </c>
      <c r="F532" s="14">
        <v>0.56200000000000006</v>
      </c>
      <c r="G532" s="14">
        <f t="shared" si="62"/>
        <v>0.16600000000000004</v>
      </c>
      <c r="H532" s="14">
        <f t="shared" si="56"/>
        <v>0.32666164154103872</v>
      </c>
      <c r="I532" s="14">
        <f t="shared" si="57"/>
        <v>0.71360741478107859</v>
      </c>
      <c r="J532" s="14">
        <f t="shared" si="58"/>
        <v>0.47532109228187902</v>
      </c>
      <c r="K532" s="14">
        <f t="shared" si="59"/>
        <v>0.14549161073825498</v>
      </c>
      <c r="L532" s="12" t="str">
        <f t="shared" si="60"/>
        <v/>
      </c>
      <c r="M532" s="12" t="str">
        <f t="shared" si="61"/>
        <v/>
      </c>
    </row>
    <row r="533" spans="1:13" ht="31.5">
      <c r="A533" s="3">
        <v>526</v>
      </c>
      <c r="B533" s="11" t="s">
        <v>372</v>
      </c>
      <c r="C533" s="3">
        <v>5</v>
      </c>
      <c r="D533" s="3">
        <v>25</v>
      </c>
      <c r="E533" s="11" t="s">
        <v>598</v>
      </c>
      <c r="F533" s="14">
        <v>0.27200000000000002</v>
      </c>
      <c r="G533" s="14">
        <f t="shared" si="62"/>
        <v>0.29000000000000004</v>
      </c>
      <c r="H533" s="14">
        <f t="shared" si="56"/>
        <v>0.32666164154103872</v>
      </c>
      <c r="I533" s="14">
        <f t="shared" si="57"/>
        <v>0.71360741478107859</v>
      </c>
      <c r="J533" s="14">
        <f t="shared" si="58"/>
        <v>0.47532109228187902</v>
      </c>
      <c r="K533" s="14">
        <f t="shared" si="59"/>
        <v>0.14549161073825498</v>
      </c>
      <c r="L533" s="12" t="str">
        <f t="shared" si="60"/>
        <v/>
      </c>
      <c r="M533" s="12" t="str">
        <f t="shared" si="61"/>
        <v/>
      </c>
    </row>
    <row r="534" spans="1:13" ht="31.5">
      <c r="A534" s="3">
        <v>527</v>
      </c>
      <c r="B534" s="11" t="s">
        <v>372</v>
      </c>
      <c r="C534" s="3">
        <v>5</v>
      </c>
      <c r="D534" s="3">
        <v>24</v>
      </c>
      <c r="E534" s="11" t="s">
        <v>599</v>
      </c>
      <c r="F534" s="14">
        <v>0.32600000000000001</v>
      </c>
      <c r="G534" s="14">
        <f t="shared" si="62"/>
        <v>5.3999999999999992E-2</v>
      </c>
      <c r="H534" s="14">
        <f t="shared" si="56"/>
        <v>0.32666164154103872</v>
      </c>
      <c r="I534" s="14">
        <f t="shared" si="57"/>
        <v>0.71360741478107859</v>
      </c>
      <c r="J534" s="14">
        <f t="shared" si="58"/>
        <v>0.47532109228187902</v>
      </c>
      <c r="K534" s="14">
        <f t="shared" si="59"/>
        <v>0.14549161073825498</v>
      </c>
      <c r="L534" s="12" t="str">
        <f t="shared" si="60"/>
        <v/>
      </c>
      <c r="M534" s="12" t="str">
        <f t="shared" si="61"/>
        <v/>
      </c>
    </row>
    <row r="535" spans="1:13" ht="31.5">
      <c r="A535" s="3">
        <v>528</v>
      </c>
      <c r="B535" s="11" t="s">
        <v>372</v>
      </c>
      <c r="C535" s="3">
        <v>5</v>
      </c>
      <c r="D535" s="3">
        <v>23</v>
      </c>
      <c r="E535" s="11" t="s">
        <v>600</v>
      </c>
      <c r="F535" s="14">
        <v>0.622</v>
      </c>
      <c r="G535" s="14">
        <f t="shared" si="62"/>
        <v>0.29599999999999999</v>
      </c>
      <c r="H535" s="14">
        <f t="shared" si="56"/>
        <v>0.32666164154103872</v>
      </c>
      <c r="I535" s="14">
        <f t="shared" si="57"/>
        <v>0.71360741478107859</v>
      </c>
      <c r="J535" s="14">
        <f t="shared" si="58"/>
        <v>0.47532109228187902</v>
      </c>
      <c r="K535" s="14">
        <f t="shared" si="59"/>
        <v>0.14549161073825498</v>
      </c>
      <c r="L535" s="12" t="str">
        <f t="shared" si="60"/>
        <v/>
      </c>
      <c r="M535" s="12" t="str">
        <f t="shared" si="61"/>
        <v/>
      </c>
    </row>
    <row r="536" spans="1:13" ht="31.5">
      <c r="A536" s="3">
        <v>529</v>
      </c>
      <c r="B536" s="11" t="s">
        <v>372</v>
      </c>
      <c r="C536" s="3">
        <v>5</v>
      </c>
      <c r="D536" s="3">
        <v>22</v>
      </c>
      <c r="E536" s="11" t="s">
        <v>601</v>
      </c>
      <c r="F536" s="14">
        <v>0.373</v>
      </c>
      <c r="G536" s="14">
        <f t="shared" si="62"/>
        <v>0.249</v>
      </c>
      <c r="H536" s="14">
        <f t="shared" si="56"/>
        <v>0.32666164154103872</v>
      </c>
      <c r="I536" s="14">
        <f t="shared" si="57"/>
        <v>0.71360741478107859</v>
      </c>
      <c r="J536" s="14">
        <f t="shared" si="58"/>
        <v>0.47532109228187902</v>
      </c>
      <c r="K536" s="14">
        <f t="shared" si="59"/>
        <v>0.14549161073825498</v>
      </c>
      <c r="L536" s="12" t="str">
        <f t="shared" si="60"/>
        <v/>
      </c>
      <c r="M536" s="12" t="str">
        <f t="shared" si="61"/>
        <v/>
      </c>
    </row>
    <row r="537" spans="1:13" ht="31.5">
      <c r="A537" s="3">
        <v>530</v>
      </c>
      <c r="B537" s="11" t="s">
        <v>372</v>
      </c>
      <c r="C537" s="3">
        <v>5</v>
      </c>
      <c r="D537" s="3">
        <v>21</v>
      </c>
      <c r="E537" s="11" t="s">
        <v>602</v>
      </c>
      <c r="F537" s="14">
        <v>0.40100000000000002</v>
      </c>
      <c r="G537" s="14">
        <f t="shared" si="62"/>
        <v>2.8000000000000025E-2</v>
      </c>
      <c r="H537" s="14">
        <f t="shared" si="56"/>
        <v>0.32666164154103872</v>
      </c>
      <c r="I537" s="14">
        <f t="shared" si="57"/>
        <v>0.71360741478107859</v>
      </c>
      <c r="J537" s="14">
        <f t="shared" si="58"/>
        <v>0.47532109228187902</v>
      </c>
      <c r="K537" s="14">
        <f t="shared" si="59"/>
        <v>0.14549161073825498</v>
      </c>
      <c r="L537" s="12" t="str">
        <f t="shared" si="60"/>
        <v/>
      </c>
      <c r="M537" s="12" t="str">
        <f t="shared" si="61"/>
        <v/>
      </c>
    </row>
    <row r="538" spans="1:13" ht="31.5">
      <c r="A538" s="3">
        <v>531</v>
      </c>
      <c r="B538" s="11" t="s">
        <v>372</v>
      </c>
      <c r="C538" s="3">
        <v>5</v>
      </c>
      <c r="D538" s="3">
        <v>20</v>
      </c>
      <c r="E538" s="11" t="s">
        <v>603</v>
      </c>
      <c r="F538" s="14">
        <v>0.39</v>
      </c>
      <c r="G538" s="14">
        <f t="shared" si="62"/>
        <v>1.100000000000001E-2</v>
      </c>
      <c r="H538" s="14">
        <f t="shared" si="56"/>
        <v>0.32666164154103872</v>
      </c>
      <c r="I538" s="14">
        <f t="shared" si="57"/>
        <v>0.71360741478107859</v>
      </c>
      <c r="J538" s="14">
        <f t="shared" si="58"/>
        <v>0.47532109228187902</v>
      </c>
      <c r="K538" s="14">
        <f t="shared" si="59"/>
        <v>0.14549161073825498</v>
      </c>
      <c r="L538" s="12" t="str">
        <f t="shared" si="60"/>
        <v/>
      </c>
      <c r="M538" s="12" t="str">
        <f t="shared" si="61"/>
        <v/>
      </c>
    </row>
    <row r="539" spans="1:13" ht="31.5">
      <c r="A539" s="3">
        <v>532</v>
      </c>
      <c r="B539" s="11" t="s">
        <v>372</v>
      </c>
      <c r="C539" s="3">
        <v>5</v>
      </c>
      <c r="D539" s="3">
        <v>19</v>
      </c>
      <c r="E539" s="11" t="s">
        <v>604</v>
      </c>
      <c r="F539" s="14">
        <v>0.436</v>
      </c>
      <c r="G539" s="14">
        <f t="shared" si="62"/>
        <v>4.5999999999999985E-2</v>
      </c>
      <c r="H539" s="14">
        <f t="shared" si="56"/>
        <v>0.32666164154103872</v>
      </c>
      <c r="I539" s="14">
        <f t="shared" si="57"/>
        <v>0.71360741478107859</v>
      </c>
      <c r="J539" s="14">
        <f t="shared" si="58"/>
        <v>0.47532109228187902</v>
      </c>
      <c r="K539" s="14">
        <f t="shared" si="59"/>
        <v>0.14549161073825498</v>
      </c>
      <c r="L539" s="12" t="str">
        <f t="shared" si="60"/>
        <v/>
      </c>
      <c r="M539" s="12" t="str">
        <f t="shared" si="61"/>
        <v/>
      </c>
    </row>
    <row r="540" spans="1:13" ht="31.5">
      <c r="A540" s="3">
        <v>533</v>
      </c>
      <c r="B540" s="11" t="s">
        <v>372</v>
      </c>
      <c r="C540" s="3">
        <v>5</v>
      </c>
      <c r="D540" s="3">
        <v>18</v>
      </c>
      <c r="E540" s="11" t="s">
        <v>605</v>
      </c>
      <c r="F540" s="14">
        <v>0.29199999999999998</v>
      </c>
      <c r="G540" s="14">
        <f t="shared" si="62"/>
        <v>0.14400000000000002</v>
      </c>
      <c r="H540" s="14">
        <f t="shared" si="56"/>
        <v>0.32666164154103872</v>
      </c>
      <c r="I540" s="14">
        <f t="shared" si="57"/>
        <v>0.71360741478107859</v>
      </c>
      <c r="J540" s="14">
        <f t="shared" si="58"/>
        <v>0.47532109228187902</v>
      </c>
      <c r="K540" s="14">
        <f t="shared" si="59"/>
        <v>0.14549161073825498</v>
      </c>
      <c r="L540" s="12" t="str">
        <f t="shared" si="60"/>
        <v/>
      </c>
      <c r="M540" s="12" t="str">
        <f t="shared" si="61"/>
        <v/>
      </c>
    </row>
    <row r="541" spans="1:13" ht="31.5">
      <c r="A541" s="3">
        <v>534</v>
      </c>
      <c r="B541" s="11" t="s">
        <v>372</v>
      </c>
      <c r="C541" s="3">
        <v>5</v>
      </c>
      <c r="D541" s="3">
        <v>17</v>
      </c>
      <c r="E541" s="11" t="s">
        <v>606</v>
      </c>
      <c r="F541" s="14">
        <v>0.193</v>
      </c>
      <c r="G541" s="14">
        <f t="shared" si="62"/>
        <v>9.8999999999999977E-2</v>
      </c>
      <c r="H541" s="14">
        <f t="shared" si="56"/>
        <v>0.32666164154103872</v>
      </c>
      <c r="I541" s="14">
        <f t="shared" si="57"/>
        <v>0.71360741478107859</v>
      </c>
      <c r="J541" s="14">
        <f t="shared" si="58"/>
        <v>0.47532109228187902</v>
      </c>
      <c r="K541" s="14">
        <f t="shared" si="59"/>
        <v>0.14549161073825498</v>
      </c>
      <c r="L541" s="12" t="str">
        <f t="shared" si="60"/>
        <v/>
      </c>
      <c r="M541" s="12" t="str">
        <f t="shared" si="61"/>
        <v/>
      </c>
    </row>
    <row r="542" spans="1:13" ht="31.5">
      <c r="A542" s="3">
        <v>535</v>
      </c>
      <c r="B542" s="11" t="s">
        <v>372</v>
      </c>
      <c r="C542" s="3">
        <v>5</v>
      </c>
      <c r="D542" s="3">
        <v>16</v>
      </c>
      <c r="E542" s="11" t="s">
        <v>607</v>
      </c>
      <c r="F542" s="14">
        <v>0.13800000000000001</v>
      </c>
      <c r="G542" s="14">
        <f t="shared" si="62"/>
        <v>5.4999999999999993E-2</v>
      </c>
      <c r="H542" s="14">
        <f t="shared" si="56"/>
        <v>0.32666164154103872</v>
      </c>
      <c r="I542" s="14">
        <f t="shared" si="57"/>
        <v>0.71360741478107859</v>
      </c>
      <c r="J542" s="14">
        <f t="shared" si="58"/>
        <v>0.47532109228187902</v>
      </c>
      <c r="K542" s="14">
        <f t="shared" si="59"/>
        <v>0.14549161073825498</v>
      </c>
      <c r="L542" s="12" t="str">
        <f t="shared" si="60"/>
        <v/>
      </c>
      <c r="M542" s="12" t="str">
        <f t="shared" si="61"/>
        <v/>
      </c>
    </row>
    <row r="543" spans="1:13" ht="31.5">
      <c r="A543" s="3">
        <v>536</v>
      </c>
      <c r="B543" s="11" t="s">
        <v>372</v>
      </c>
      <c r="C543" s="3">
        <v>5</v>
      </c>
      <c r="D543" s="3">
        <v>15</v>
      </c>
      <c r="E543" s="11" t="s">
        <v>608</v>
      </c>
      <c r="F543" s="14">
        <v>0.34399999999999997</v>
      </c>
      <c r="G543" s="14">
        <f t="shared" si="62"/>
        <v>0.20599999999999996</v>
      </c>
      <c r="H543" s="14">
        <f t="shared" si="56"/>
        <v>0.32666164154103872</v>
      </c>
      <c r="I543" s="14">
        <f t="shared" si="57"/>
        <v>0.71360741478107859</v>
      </c>
      <c r="J543" s="14">
        <f t="shared" si="58"/>
        <v>0.47532109228187902</v>
      </c>
      <c r="K543" s="14">
        <f t="shared" si="59"/>
        <v>0.14549161073825498</v>
      </c>
      <c r="L543" s="12" t="str">
        <f t="shared" si="60"/>
        <v/>
      </c>
      <c r="M543" s="12" t="str">
        <f t="shared" si="61"/>
        <v/>
      </c>
    </row>
    <row r="544" spans="1:13" ht="31.5">
      <c r="A544" s="3">
        <v>537</v>
      </c>
      <c r="B544" s="11" t="s">
        <v>372</v>
      </c>
      <c r="C544" s="3">
        <v>5</v>
      </c>
      <c r="D544" s="3">
        <v>14</v>
      </c>
      <c r="E544" s="11" t="s">
        <v>609</v>
      </c>
      <c r="F544" s="14">
        <v>0.187</v>
      </c>
      <c r="G544" s="14">
        <f t="shared" si="62"/>
        <v>0.15699999999999997</v>
      </c>
      <c r="H544" s="14">
        <f t="shared" si="56"/>
        <v>0.32666164154103872</v>
      </c>
      <c r="I544" s="14">
        <f t="shared" si="57"/>
        <v>0.71360741478107859</v>
      </c>
      <c r="J544" s="14">
        <f t="shared" si="58"/>
        <v>0.47532109228187902</v>
      </c>
      <c r="K544" s="14">
        <f t="shared" si="59"/>
        <v>0.14549161073825498</v>
      </c>
      <c r="L544" s="12" t="str">
        <f t="shared" si="60"/>
        <v/>
      </c>
      <c r="M544" s="12" t="str">
        <f t="shared" si="61"/>
        <v/>
      </c>
    </row>
    <row r="545" spans="1:13" ht="31.5">
      <c r="A545" s="3">
        <v>538</v>
      </c>
      <c r="B545" s="11" t="s">
        <v>372</v>
      </c>
      <c r="C545" s="3">
        <v>5</v>
      </c>
      <c r="D545" s="3">
        <v>13</v>
      </c>
      <c r="E545" s="11" t="s">
        <v>610</v>
      </c>
      <c r="F545" s="14">
        <v>0.152</v>
      </c>
      <c r="G545" s="14">
        <f t="shared" si="62"/>
        <v>3.5000000000000003E-2</v>
      </c>
      <c r="H545" s="14">
        <f t="shared" si="56"/>
        <v>0.32666164154103872</v>
      </c>
      <c r="I545" s="14">
        <f t="shared" si="57"/>
        <v>0.71360741478107859</v>
      </c>
      <c r="J545" s="14">
        <f t="shared" si="58"/>
        <v>0.47532109228187902</v>
      </c>
      <c r="K545" s="14">
        <f t="shared" si="59"/>
        <v>0.14549161073825498</v>
      </c>
      <c r="L545" s="12" t="str">
        <f t="shared" si="60"/>
        <v/>
      </c>
      <c r="M545" s="12" t="str">
        <f t="shared" si="61"/>
        <v/>
      </c>
    </row>
    <row r="546" spans="1:13" ht="31.5">
      <c r="A546" s="3">
        <v>539</v>
      </c>
      <c r="B546" s="11" t="s">
        <v>372</v>
      </c>
      <c r="C546" s="3">
        <v>5</v>
      </c>
      <c r="D546" s="3">
        <v>12</v>
      </c>
      <c r="E546" s="11" t="s">
        <v>611</v>
      </c>
      <c r="F546" s="14">
        <v>0.41899999999999998</v>
      </c>
      <c r="G546" s="14">
        <f t="shared" si="62"/>
        <v>0.26700000000000002</v>
      </c>
      <c r="H546" s="14">
        <f t="shared" si="56"/>
        <v>0.32666164154103872</v>
      </c>
      <c r="I546" s="14">
        <f t="shared" si="57"/>
        <v>0.71360741478107859</v>
      </c>
      <c r="J546" s="14">
        <f t="shared" si="58"/>
        <v>0.47532109228187902</v>
      </c>
      <c r="K546" s="14">
        <f t="shared" si="59"/>
        <v>0.14549161073825498</v>
      </c>
      <c r="L546" s="12" t="str">
        <f t="shared" si="60"/>
        <v/>
      </c>
      <c r="M546" s="12" t="str">
        <f t="shared" si="61"/>
        <v/>
      </c>
    </row>
    <row r="547" spans="1:13" ht="31.5">
      <c r="A547" s="3">
        <v>540</v>
      </c>
      <c r="B547" s="11" t="s">
        <v>372</v>
      </c>
      <c r="C547" s="3">
        <v>5</v>
      </c>
      <c r="D547" s="3">
        <v>11</v>
      </c>
      <c r="E547" s="11" t="s">
        <v>612</v>
      </c>
      <c r="F547" s="14">
        <v>0.29799999999999999</v>
      </c>
      <c r="G547" s="14">
        <f t="shared" si="62"/>
        <v>0.121</v>
      </c>
      <c r="H547" s="14">
        <f t="shared" si="56"/>
        <v>0.32666164154103872</v>
      </c>
      <c r="I547" s="14">
        <f t="shared" si="57"/>
        <v>0.71360741478107859</v>
      </c>
      <c r="J547" s="14">
        <f t="shared" si="58"/>
        <v>0.47532109228187902</v>
      </c>
      <c r="K547" s="14">
        <f t="shared" si="59"/>
        <v>0.14549161073825498</v>
      </c>
      <c r="L547" s="12" t="str">
        <f t="shared" si="60"/>
        <v/>
      </c>
      <c r="M547" s="12" t="str">
        <f t="shared" si="61"/>
        <v/>
      </c>
    </row>
    <row r="548" spans="1:13" ht="31.5">
      <c r="A548" s="3">
        <v>541</v>
      </c>
      <c r="B548" s="11" t="s">
        <v>372</v>
      </c>
      <c r="C548" s="3">
        <v>5</v>
      </c>
      <c r="D548" s="3">
        <v>10</v>
      </c>
      <c r="E548" s="11" t="s">
        <v>613</v>
      </c>
      <c r="F548" s="14">
        <v>0.47</v>
      </c>
      <c r="G548" s="14">
        <f t="shared" si="62"/>
        <v>0.17199999999999999</v>
      </c>
      <c r="H548" s="14">
        <f t="shared" si="56"/>
        <v>0.32666164154103872</v>
      </c>
      <c r="I548" s="14">
        <f t="shared" si="57"/>
        <v>0.71360741478107859</v>
      </c>
      <c r="J548" s="14">
        <f t="shared" si="58"/>
        <v>0.47532109228187902</v>
      </c>
      <c r="K548" s="14">
        <f t="shared" si="59"/>
        <v>0.14549161073825498</v>
      </c>
      <c r="L548" s="12" t="str">
        <f t="shared" si="60"/>
        <v/>
      </c>
      <c r="M548" s="12" t="str">
        <f t="shared" si="61"/>
        <v/>
      </c>
    </row>
    <row r="549" spans="1:13" ht="31.5">
      <c r="A549" s="3">
        <v>542</v>
      </c>
      <c r="B549" s="11" t="s">
        <v>372</v>
      </c>
      <c r="C549" s="3">
        <v>5</v>
      </c>
      <c r="D549" s="3">
        <v>9</v>
      </c>
      <c r="E549" s="11" t="s">
        <v>614</v>
      </c>
      <c r="F549" s="14">
        <v>0.40600000000000003</v>
      </c>
      <c r="G549" s="14">
        <f t="shared" si="62"/>
        <v>6.3999999999999946E-2</v>
      </c>
      <c r="H549" s="14">
        <f t="shared" si="56"/>
        <v>0.32666164154103872</v>
      </c>
      <c r="I549" s="14">
        <f t="shared" si="57"/>
        <v>0.71360741478107859</v>
      </c>
      <c r="J549" s="14">
        <f t="shared" si="58"/>
        <v>0.47532109228187902</v>
      </c>
      <c r="K549" s="14">
        <f t="shared" si="59"/>
        <v>0.14549161073825498</v>
      </c>
      <c r="L549" s="12" t="str">
        <f t="shared" si="60"/>
        <v/>
      </c>
      <c r="M549" s="12" t="str">
        <f t="shared" si="61"/>
        <v/>
      </c>
    </row>
    <row r="550" spans="1:13" ht="31.5">
      <c r="A550" s="3">
        <v>543</v>
      </c>
      <c r="B550" s="11" t="s">
        <v>372</v>
      </c>
      <c r="C550" s="3">
        <v>5</v>
      </c>
      <c r="D550" s="3">
        <v>8</v>
      </c>
      <c r="E550" s="11" t="s">
        <v>615</v>
      </c>
      <c r="F550" s="14">
        <v>0.34899999999999998</v>
      </c>
      <c r="G550" s="14">
        <f t="shared" si="62"/>
        <v>5.7000000000000051E-2</v>
      </c>
      <c r="H550" s="14">
        <f t="shared" si="56"/>
        <v>0.32666164154103872</v>
      </c>
      <c r="I550" s="14">
        <f t="shared" si="57"/>
        <v>0.71360741478107859</v>
      </c>
      <c r="J550" s="14">
        <f t="shared" si="58"/>
        <v>0.47532109228187902</v>
      </c>
      <c r="K550" s="14">
        <f t="shared" si="59"/>
        <v>0.14549161073825498</v>
      </c>
      <c r="L550" s="12" t="str">
        <f t="shared" si="60"/>
        <v/>
      </c>
      <c r="M550" s="12" t="str">
        <f t="shared" si="61"/>
        <v/>
      </c>
    </row>
    <row r="551" spans="1:13" ht="31.5">
      <c r="A551" s="3">
        <v>544</v>
      </c>
      <c r="B551" s="11" t="s">
        <v>372</v>
      </c>
      <c r="C551" s="3">
        <v>5</v>
      </c>
      <c r="D551" s="3">
        <v>7</v>
      </c>
      <c r="E551" s="11" t="s">
        <v>616</v>
      </c>
      <c r="F551" s="14">
        <v>9.5000000000000001E-2</v>
      </c>
      <c r="G551" s="14">
        <f t="shared" si="62"/>
        <v>0.254</v>
      </c>
      <c r="H551" s="14">
        <f t="shared" si="56"/>
        <v>0.32666164154103872</v>
      </c>
      <c r="I551" s="14">
        <f t="shared" si="57"/>
        <v>0.71360741478107859</v>
      </c>
      <c r="J551" s="14">
        <f t="shared" si="58"/>
        <v>0.47532109228187902</v>
      </c>
      <c r="K551" s="14">
        <f t="shared" si="59"/>
        <v>0.14549161073825498</v>
      </c>
      <c r="L551" s="12" t="str">
        <f t="shared" si="60"/>
        <v/>
      </c>
      <c r="M551" s="12" t="str">
        <f t="shared" si="61"/>
        <v/>
      </c>
    </row>
    <row r="552" spans="1:13" ht="31.5">
      <c r="A552" s="3">
        <v>545</v>
      </c>
      <c r="B552" s="11" t="s">
        <v>372</v>
      </c>
      <c r="C552" s="3">
        <v>5</v>
      </c>
      <c r="D552" s="3">
        <v>6</v>
      </c>
      <c r="E552" s="11" t="s">
        <v>617</v>
      </c>
      <c r="F552" s="14">
        <v>0.30299999999999999</v>
      </c>
      <c r="G552" s="14">
        <f t="shared" si="62"/>
        <v>0.20799999999999999</v>
      </c>
      <c r="H552" s="14">
        <f t="shared" si="56"/>
        <v>0.32666164154103872</v>
      </c>
      <c r="I552" s="14">
        <f t="shared" si="57"/>
        <v>0.71360741478107859</v>
      </c>
      <c r="J552" s="14">
        <f t="shared" si="58"/>
        <v>0.47532109228187902</v>
      </c>
      <c r="K552" s="14">
        <f t="shared" si="59"/>
        <v>0.14549161073825498</v>
      </c>
      <c r="L552" s="12" t="str">
        <f t="shared" si="60"/>
        <v/>
      </c>
      <c r="M552" s="12" t="str">
        <f t="shared" si="61"/>
        <v/>
      </c>
    </row>
    <row r="553" spans="1:13" ht="31.5">
      <c r="A553" s="3">
        <v>546</v>
      </c>
      <c r="B553" s="11" t="s">
        <v>372</v>
      </c>
      <c r="C553" s="3">
        <v>5</v>
      </c>
      <c r="D553" s="3">
        <v>5</v>
      </c>
      <c r="E553" s="11" t="s">
        <v>618</v>
      </c>
      <c r="F553" s="14">
        <v>0.32700000000000001</v>
      </c>
      <c r="G553" s="14">
        <f t="shared" si="62"/>
        <v>2.4000000000000021E-2</v>
      </c>
      <c r="H553" s="14">
        <f t="shared" si="56"/>
        <v>0.32666164154103872</v>
      </c>
      <c r="I553" s="14">
        <f t="shared" si="57"/>
        <v>0.71360741478107859</v>
      </c>
      <c r="J553" s="14">
        <f t="shared" si="58"/>
        <v>0.47532109228187902</v>
      </c>
      <c r="K553" s="14">
        <f t="shared" si="59"/>
        <v>0.14549161073825498</v>
      </c>
      <c r="L553" s="12" t="str">
        <f t="shared" si="60"/>
        <v/>
      </c>
      <c r="M553" s="12" t="str">
        <f t="shared" si="61"/>
        <v/>
      </c>
    </row>
    <row r="554" spans="1:13" ht="31.5">
      <c r="A554" s="3">
        <v>547</v>
      </c>
      <c r="B554" s="11" t="s">
        <v>372</v>
      </c>
      <c r="C554" s="3">
        <v>5</v>
      </c>
      <c r="D554" s="3">
        <v>4</v>
      </c>
      <c r="E554" s="11" t="s">
        <v>619</v>
      </c>
      <c r="F554" s="14">
        <v>0.53300000000000003</v>
      </c>
      <c r="G554" s="14">
        <f t="shared" si="62"/>
        <v>0.20600000000000002</v>
      </c>
      <c r="H554" s="14">
        <f t="shared" si="56"/>
        <v>0.32666164154103872</v>
      </c>
      <c r="I554" s="14">
        <f t="shared" si="57"/>
        <v>0.71360741478107859</v>
      </c>
      <c r="J554" s="14">
        <f t="shared" si="58"/>
        <v>0.47532109228187902</v>
      </c>
      <c r="K554" s="14">
        <f t="shared" si="59"/>
        <v>0.14549161073825498</v>
      </c>
      <c r="L554" s="12" t="str">
        <f t="shared" si="60"/>
        <v/>
      </c>
      <c r="M554" s="12" t="str">
        <f t="shared" si="61"/>
        <v/>
      </c>
    </row>
    <row r="555" spans="1:13" ht="31.5">
      <c r="A555" s="3">
        <v>548</v>
      </c>
      <c r="B555" s="11" t="s">
        <v>372</v>
      </c>
      <c r="C555" s="3">
        <v>5</v>
      </c>
      <c r="D555" s="3">
        <v>3</v>
      </c>
      <c r="E555" s="11" t="s">
        <v>620</v>
      </c>
      <c r="F555" s="14">
        <v>0.29299999999999998</v>
      </c>
      <c r="G555" s="14">
        <f t="shared" si="62"/>
        <v>0.24000000000000005</v>
      </c>
      <c r="H555" s="14">
        <f t="shared" si="56"/>
        <v>0.32666164154103872</v>
      </c>
      <c r="I555" s="14">
        <f t="shared" si="57"/>
        <v>0.71360741478107859</v>
      </c>
      <c r="J555" s="14">
        <f t="shared" si="58"/>
        <v>0.47532109228187902</v>
      </c>
      <c r="K555" s="14">
        <f t="shared" si="59"/>
        <v>0.14549161073825498</v>
      </c>
      <c r="L555" s="12" t="str">
        <f t="shared" si="60"/>
        <v/>
      </c>
      <c r="M555" s="12" t="str">
        <f t="shared" si="61"/>
        <v/>
      </c>
    </row>
    <row r="556" spans="1:13" ht="31.5">
      <c r="A556" s="3">
        <v>549</v>
      </c>
      <c r="B556" s="11" t="s">
        <v>372</v>
      </c>
      <c r="C556" s="3">
        <v>5</v>
      </c>
      <c r="D556" s="3">
        <v>2</v>
      </c>
      <c r="E556" s="11" t="s">
        <v>621</v>
      </c>
      <c r="F556" s="14">
        <v>0.86099999999999999</v>
      </c>
      <c r="G556" s="14">
        <f t="shared" si="62"/>
        <v>0.56800000000000006</v>
      </c>
      <c r="H556" s="14">
        <f t="shared" si="56"/>
        <v>0.32666164154103872</v>
      </c>
      <c r="I556" s="14">
        <f t="shared" si="57"/>
        <v>0.71360741478107859</v>
      </c>
      <c r="J556" s="14">
        <f t="shared" si="58"/>
        <v>0.47532109228187902</v>
      </c>
      <c r="K556" s="14">
        <f t="shared" si="59"/>
        <v>0.14549161073825498</v>
      </c>
      <c r="L556" s="12" t="str">
        <f t="shared" si="60"/>
        <v>OOC</v>
      </c>
      <c r="M556" s="12" t="str">
        <f t="shared" si="61"/>
        <v/>
      </c>
    </row>
    <row r="557" spans="1:13" ht="31.5">
      <c r="A557" s="3">
        <v>550</v>
      </c>
      <c r="B557" s="11" t="s">
        <v>372</v>
      </c>
      <c r="C557" s="3">
        <v>5</v>
      </c>
      <c r="D557" s="3">
        <v>1</v>
      </c>
      <c r="E557" s="11" t="s">
        <v>622</v>
      </c>
      <c r="F557" s="14">
        <v>0.56100000000000005</v>
      </c>
      <c r="G557" s="14">
        <f t="shared" si="62"/>
        <v>0.29999999999999993</v>
      </c>
      <c r="H557" s="14">
        <f t="shared" si="56"/>
        <v>0.32666164154103872</v>
      </c>
      <c r="I557" s="14">
        <f t="shared" si="57"/>
        <v>0.71360741478107859</v>
      </c>
      <c r="J557" s="14">
        <f t="shared" si="58"/>
        <v>0.47532109228187902</v>
      </c>
      <c r="K557" s="14">
        <f t="shared" si="59"/>
        <v>0.14549161073825498</v>
      </c>
      <c r="L557" s="12" t="str">
        <f t="shared" si="60"/>
        <v/>
      </c>
      <c r="M557" s="12" t="str">
        <f t="shared" si="61"/>
        <v/>
      </c>
    </row>
    <row r="558" spans="1:13" ht="31.5">
      <c r="A558" s="3">
        <v>551</v>
      </c>
      <c r="B558" s="11" t="s">
        <v>372</v>
      </c>
      <c r="C558" s="3">
        <v>6</v>
      </c>
      <c r="D558" s="3">
        <v>25</v>
      </c>
      <c r="E558" s="11" t="s">
        <v>623</v>
      </c>
      <c r="F558" s="14">
        <v>0.13900000000000001</v>
      </c>
      <c r="G558" s="14">
        <f t="shared" si="62"/>
        <v>0.42200000000000004</v>
      </c>
      <c r="H558" s="14">
        <f t="shared" si="56"/>
        <v>0.32666164154103872</v>
      </c>
      <c r="I558" s="14">
        <f t="shared" si="57"/>
        <v>0.71360741478107859</v>
      </c>
      <c r="J558" s="14">
        <f t="shared" si="58"/>
        <v>0.47532109228187902</v>
      </c>
      <c r="K558" s="14">
        <f t="shared" si="59"/>
        <v>0.14549161073825498</v>
      </c>
      <c r="L558" s="12" t="str">
        <f t="shared" si="60"/>
        <v/>
      </c>
      <c r="M558" s="12" t="str">
        <f t="shared" si="61"/>
        <v/>
      </c>
    </row>
    <row r="559" spans="1:13" ht="31.5">
      <c r="A559" s="3">
        <v>552</v>
      </c>
      <c r="B559" s="11" t="s">
        <v>372</v>
      </c>
      <c r="C559" s="3">
        <v>6</v>
      </c>
      <c r="D559" s="3">
        <v>24</v>
      </c>
      <c r="E559" s="11" t="s">
        <v>624</v>
      </c>
      <c r="F559" s="14">
        <v>0.254</v>
      </c>
      <c r="G559" s="14">
        <f t="shared" si="62"/>
        <v>0.11499999999999999</v>
      </c>
      <c r="H559" s="14">
        <f t="shared" si="56"/>
        <v>0.32666164154103872</v>
      </c>
      <c r="I559" s="14">
        <f t="shared" si="57"/>
        <v>0.71360741478107859</v>
      </c>
      <c r="J559" s="14">
        <f t="shared" si="58"/>
        <v>0.47532109228187902</v>
      </c>
      <c r="K559" s="14">
        <f t="shared" si="59"/>
        <v>0.14549161073825498</v>
      </c>
      <c r="L559" s="12" t="str">
        <f t="shared" si="60"/>
        <v/>
      </c>
      <c r="M559" s="12" t="str">
        <f t="shared" si="61"/>
        <v/>
      </c>
    </row>
    <row r="560" spans="1:13" ht="31.5">
      <c r="A560" s="3">
        <v>553</v>
      </c>
      <c r="B560" s="11" t="s">
        <v>372</v>
      </c>
      <c r="C560" s="3">
        <v>6</v>
      </c>
      <c r="D560" s="3">
        <v>23</v>
      </c>
      <c r="E560" s="11" t="s">
        <v>625</v>
      </c>
      <c r="F560" s="14">
        <v>0.48599999999999999</v>
      </c>
      <c r="G560" s="14">
        <f t="shared" si="62"/>
        <v>0.23199999999999998</v>
      </c>
      <c r="H560" s="14">
        <f t="shared" si="56"/>
        <v>0.32666164154103872</v>
      </c>
      <c r="I560" s="14">
        <f t="shared" si="57"/>
        <v>0.71360741478107859</v>
      </c>
      <c r="J560" s="14">
        <f t="shared" si="58"/>
        <v>0.47532109228187902</v>
      </c>
      <c r="K560" s="14">
        <f t="shared" si="59"/>
        <v>0.14549161073825498</v>
      </c>
      <c r="L560" s="12" t="str">
        <f t="shared" si="60"/>
        <v/>
      </c>
      <c r="M560" s="12" t="str">
        <f t="shared" si="61"/>
        <v/>
      </c>
    </row>
    <row r="561" spans="1:13" ht="31.5">
      <c r="A561" s="3">
        <v>554</v>
      </c>
      <c r="B561" s="11" t="s">
        <v>372</v>
      </c>
      <c r="C561" s="3">
        <v>6</v>
      </c>
      <c r="D561" s="3">
        <v>22</v>
      </c>
      <c r="E561" s="11" t="s">
        <v>626</v>
      </c>
      <c r="F561" s="14">
        <v>4.3999999999999997E-2</v>
      </c>
      <c r="G561" s="14">
        <f t="shared" si="62"/>
        <v>0.442</v>
      </c>
      <c r="H561" s="14">
        <f t="shared" si="56"/>
        <v>0.32666164154103872</v>
      </c>
      <c r="I561" s="14">
        <f t="shared" si="57"/>
        <v>0.71360741478107859</v>
      </c>
      <c r="J561" s="14">
        <f t="shared" si="58"/>
        <v>0.47532109228187902</v>
      </c>
      <c r="K561" s="14">
        <f t="shared" si="59"/>
        <v>0.14549161073825498</v>
      </c>
      <c r="L561" s="12" t="str">
        <f t="shared" si="60"/>
        <v/>
      </c>
      <c r="M561" s="12" t="str">
        <f t="shared" si="61"/>
        <v/>
      </c>
    </row>
    <row r="562" spans="1:13" ht="31.5">
      <c r="A562" s="3">
        <v>555</v>
      </c>
      <c r="B562" s="11" t="s">
        <v>372</v>
      </c>
      <c r="C562" s="3">
        <v>6</v>
      </c>
      <c r="D562" s="3">
        <v>21</v>
      </c>
      <c r="E562" s="11" t="s">
        <v>627</v>
      </c>
      <c r="F562" s="14">
        <v>0.308</v>
      </c>
      <c r="G562" s="14">
        <f t="shared" si="62"/>
        <v>0.26400000000000001</v>
      </c>
      <c r="H562" s="14">
        <f t="shared" si="56"/>
        <v>0.32666164154103872</v>
      </c>
      <c r="I562" s="14">
        <f t="shared" si="57"/>
        <v>0.71360741478107859</v>
      </c>
      <c r="J562" s="14">
        <f t="shared" si="58"/>
        <v>0.47532109228187902</v>
      </c>
      <c r="K562" s="14">
        <f t="shared" si="59"/>
        <v>0.14549161073825498</v>
      </c>
      <c r="L562" s="12" t="str">
        <f t="shared" si="60"/>
        <v/>
      </c>
      <c r="M562" s="12" t="str">
        <f t="shared" si="61"/>
        <v/>
      </c>
    </row>
    <row r="563" spans="1:13" ht="31.5">
      <c r="A563" s="3">
        <v>556</v>
      </c>
      <c r="B563" s="11" t="s">
        <v>372</v>
      </c>
      <c r="C563" s="3">
        <v>6</v>
      </c>
      <c r="D563" s="3">
        <v>20</v>
      </c>
      <c r="E563" s="11" t="s">
        <v>628</v>
      </c>
      <c r="F563" s="14">
        <v>0.28899999999999998</v>
      </c>
      <c r="G563" s="14">
        <f t="shared" si="62"/>
        <v>1.9000000000000017E-2</v>
      </c>
      <c r="H563" s="14">
        <f t="shared" si="56"/>
        <v>0.32666164154103872</v>
      </c>
      <c r="I563" s="14">
        <f t="shared" si="57"/>
        <v>0.71360741478107859</v>
      </c>
      <c r="J563" s="14">
        <f t="shared" si="58"/>
        <v>0.47532109228187902</v>
      </c>
      <c r="K563" s="14">
        <f t="shared" si="59"/>
        <v>0.14549161073825498</v>
      </c>
      <c r="L563" s="12" t="str">
        <f t="shared" si="60"/>
        <v/>
      </c>
      <c r="M563" s="12" t="str">
        <f t="shared" si="61"/>
        <v/>
      </c>
    </row>
    <row r="564" spans="1:13" ht="31.5">
      <c r="A564" s="3">
        <v>557</v>
      </c>
      <c r="B564" s="11" t="s">
        <v>372</v>
      </c>
      <c r="C564" s="3">
        <v>6</v>
      </c>
      <c r="D564" s="3">
        <v>19</v>
      </c>
      <c r="E564" s="11" t="s">
        <v>629</v>
      </c>
      <c r="F564" s="14">
        <v>0.23699999999999999</v>
      </c>
      <c r="G564" s="14">
        <f t="shared" si="62"/>
        <v>5.1999999999999991E-2</v>
      </c>
      <c r="H564" s="14">
        <f t="shared" si="56"/>
        <v>0.32666164154103872</v>
      </c>
      <c r="I564" s="14">
        <f t="shared" si="57"/>
        <v>0.71360741478107859</v>
      </c>
      <c r="J564" s="14">
        <f t="shared" si="58"/>
        <v>0.47532109228187902</v>
      </c>
      <c r="K564" s="14">
        <f t="shared" si="59"/>
        <v>0.14549161073825498</v>
      </c>
      <c r="L564" s="12" t="str">
        <f t="shared" si="60"/>
        <v/>
      </c>
      <c r="M564" s="12" t="str">
        <f t="shared" si="61"/>
        <v/>
      </c>
    </row>
    <row r="565" spans="1:13" ht="31.5">
      <c r="A565" s="3">
        <v>558</v>
      </c>
      <c r="B565" s="11" t="s">
        <v>372</v>
      </c>
      <c r="C565" s="3">
        <v>6</v>
      </c>
      <c r="D565" s="3">
        <v>18</v>
      </c>
      <c r="E565" s="11" t="s">
        <v>630</v>
      </c>
      <c r="F565" s="14">
        <v>0.42499999999999999</v>
      </c>
      <c r="G565" s="14">
        <f t="shared" si="62"/>
        <v>0.188</v>
      </c>
      <c r="H565" s="14">
        <f t="shared" si="56"/>
        <v>0.32666164154103872</v>
      </c>
      <c r="I565" s="14">
        <f t="shared" si="57"/>
        <v>0.71360741478107859</v>
      </c>
      <c r="J565" s="14">
        <f t="shared" si="58"/>
        <v>0.47532109228187902</v>
      </c>
      <c r="K565" s="14">
        <f t="shared" si="59"/>
        <v>0.14549161073825498</v>
      </c>
      <c r="L565" s="12" t="str">
        <f t="shared" si="60"/>
        <v/>
      </c>
      <c r="M565" s="12" t="str">
        <f t="shared" si="61"/>
        <v/>
      </c>
    </row>
    <row r="566" spans="1:13" ht="31.5">
      <c r="A566" s="3">
        <v>559</v>
      </c>
      <c r="B566" s="11" t="s">
        <v>372</v>
      </c>
      <c r="C566" s="3">
        <v>6</v>
      </c>
      <c r="D566" s="3">
        <v>17</v>
      </c>
      <c r="E566" s="11" t="s">
        <v>631</v>
      </c>
      <c r="F566" s="14">
        <v>0.38700000000000001</v>
      </c>
      <c r="G566" s="14">
        <f t="shared" si="62"/>
        <v>3.7999999999999978E-2</v>
      </c>
      <c r="H566" s="14">
        <f t="shared" si="56"/>
        <v>0.32666164154103872</v>
      </c>
      <c r="I566" s="14">
        <f t="shared" si="57"/>
        <v>0.71360741478107859</v>
      </c>
      <c r="J566" s="14">
        <f t="shared" si="58"/>
        <v>0.47532109228187902</v>
      </c>
      <c r="K566" s="14">
        <f t="shared" si="59"/>
        <v>0.14549161073825498</v>
      </c>
      <c r="L566" s="12" t="str">
        <f t="shared" si="60"/>
        <v/>
      </c>
      <c r="M566" s="12" t="str">
        <f t="shared" si="61"/>
        <v/>
      </c>
    </row>
    <row r="567" spans="1:13" ht="31.5">
      <c r="A567" s="3">
        <v>560</v>
      </c>
      <c r="B567" s="11" t="s">
        <v>372</v>
      </c>
      <c r="C567" s="3">
        <v>6</v>
      </c>
      <c r="D567" s="3">
        <v>16</v>
      </c>
      <c r="E567" s="11" t="s">
        <v>632</v>
      </c>
      <c r="F567" s="14">
        <v>0.434</v>
      </c>
      <c r="G567" s="14">
        <f t="shared" si="62"/>
        <v>4.6999999999999986E-2</v>
      </c>
      <c r="H567" s="14">
        <f t="shared" si="56"/>
        <v>0.32666164154103872</v>
      </c>
      <c r="I567" s="14">
        <f t="shared" si="57"/>
        <v>0.71360741478107859</v>
      </c>
      <c r="J567" s="14">
        <f t="shared" si="58"/>
        <v>0.47532109228187902</v>
      </c>
      <c r="K567" s="14">
        <f t="shared" si="59"/>
        <v>0.14549161073825498</v>
      </c>
      <c r="L567" s="12" t="str">
        <f t="shared" si="60"/>
        <v/>
      </c>
      <c r="M567" s="12" t="str">
        <f t="shared" si="61"/>
        <v/>
      </c>
    </row>
    <row r="568" spans="1:13" ht="31.5">
      <c r="A568" s="3">
        <v>561</v>
      </c>
      <c r="B568" s="11" t="s">
        <v>372</v>
      </c>
      <c r="C568" s="3">
        <v>6</v>
      </c>
      <c r="D568" s="3">
        <v>15</v>
      </c>
      <c r="E568" s="11" t="s">
        <v>633</v>
      </c>
      <c r="F568" s="14">
        <v>0.183</v>
      </c>
      <c r="G568" s="14">
        <f t="shared" si="62"/>
        <v>0.251</v>
      </c>
      <c r="H568" s="14">
        <f t="shared" si="56"/>
        <v>0.32666164154103872</v>
      </c>
      <c r="I568" s="14">
        <f t="shared" si="57"/>
        <v>0.71360741478107859</v>
      </c>
      <c r="J568" s="14">
        <f t="shared" si="58"/>
        <v>0.47532109228187902</v>
      </c>
      <c r="K568" s="14">
        <f t="shared" si="59"/>
        <v>0.14549161073825498</v>
      </c>
      <c r="L568" s="12" t="str">
        <f t="shared" si="60"/>
        <v/>
      </c>
      <c r="M568" s="12" t="str">
        <f t="shared" si="61"/>
        <v/>
      </c>
    </row>
    <row r="569" spans="1:13" ht="31.5">
      <c r="A569" s="3">
        <v>562</v>
      </c>
      <c r="B569" s="11" t="s">
        <v>372</v>
      </c>
      <c r="C569" s="3">
        <v>6</v>
      </c>
      <c r="D569" s="3">
        <v>14</v>
      </c>
      <c r="E569" s="11" t="s">
        <v>634</v>
      </c>
      <c r="F569" s="14">
        <v>0.44400000000000001</v>
      </c>
      <c r="G569" s="14">
        <f t="shared" si="62"/>
        <v>0.26100000000000001</v>
      </c>
      <c r="H569" s="14">
        <f t="shared" si="56"/>
        <v>0.32666164154103872</v>
      </c>
      <c r="I569" s="14">
        <f t="shared" si="57"/>
        <v>0.71360741478107859</v>
      </c>
      <c r="J569" s="14">
        <f t="shared" si="58"/>
        <v>0.47532109228187902</v>
      </c>
      <c r="K569" s="14">
        <f t="shared" si="59"/>
        <v>0.14549161073825498</v>
      </c>
      <c r="L569" s="12" t="str">
        <f t="shared" si="60"/>
        <v/>
      </c>
      <c r="M569" s="12" t="str">
        <f t="shared" si="61"/>
        <v/>
      </c>
    </row>
    <row r="570" spans="1:13" ht="31.5">
      <c r="A570" s="3">
        <v>563</v>
      </c>
      <c r="B570" s="11" t="s">
        <v>372</v>
      </c>
      <c r="C570" s="3">
        <v>6</v>
      </c>
      <c r="D570" s="3">
        <v>13</v>
      </c>
      <c r="E570" s="11" t="s">
        <v>635</v>
      </c>
      <c r="F570" s="14">
        <v>0.42</v>
      </c>
      <c r="G570" s="14">
        <f t="shared" si="62"/>
        <v>2.4000000000000021E-2</v>
      </c>
      <c r="H570" s="14">
        <f t="shared" si="56"/>
        <v>0.32666164154103872</v>
      </c>
      <c r="I570" s="14">
        <f t="shared" si="57"/>
        <v>0.71360741478107859</v>
      </c>
      <c r="J570" s="14">
        <f t="shared" si="58"/>
        <v>0.47532109228187902</v>
      </c>
      <c r="K570" s="14">
        <f t="shared" si="59"/>
        <v>0.14549161073825498</v>
      </c>
      <c r="L570" s="12" t="str">
        <f t="shared" si="60"/>
        <v/>
      </c>
      <c r="M570" s="12" t="str">
        <f t="shared" si="61"/>
        <v/>
      </c>
    </row>
    <row r="571" spans="1:13" ht="31.5">
      <c r="A571" s="3">
        <v>564</v>
      </c>
      <c r="B571" s="11" t="s">
        <v>372</v>
      </c>
      <c r="C571" s="3">
        <v>6</v>
      </c>
      <c r="D571" s="3">
        <v>12</v>
      </c>
      <c r="E571" s="11" t="s">
        <v>636</v>
      </c>
      <c r="F571" s="14">
        <v>0.71699999999999997</v>
      </c>
      <c r="G571" s="14">
        <f t="shared" si="62"/>
        <v>0.29699999999999999</v>
      </c>
      <c r="H571" s="14">
        <f t="shared" si="56"/>
        <v>0.32666164154103872</v>
      </c>
      <c r="I571" s="14">
        <f t="shared" si="57"/>
        <v>0.71360741478107859</v>
      </c>
      <c r="J571" s="14">
        <f t="shared" si="58"/>
        <v>0.47532109228187902</v>
      </c>
      <c r="K571" s="14">
        <f t="shared" si="59"/>
        <v>0.14549161073825498</v>
      </c>
      <c r="L571" s="12" t="str">
        <f t="shared" si="60"/>
        <v>OOC</v>
      </c>
      <c r="M571" s="12" t="str">
        <f t="shared" si="61"/>
        <v/>
      </c>
    </row>
    <row r="572" spans="1:13" ht="31.5">
      <c r="A572" s="3">
        <v>565</v>
      </c>
      <c r="B572" s="11" t="s">
        <v>372</v>
      </c>
      <c r="C572" s="3">
        <v>6</v>
      </c>
      <c r="D572" s="3">
        <v>11</v>
      </c>
      <c r="E572" s="11" t="s">
        <v>637</v>
      </c>
      <c r="F572" s="14">
        <v>0.52200000000000002</v>
      </c>
      <c r="G572" s="14">
        <f t="shared" si="62"/>
        <v>0.19499999999999995</v>
      </c>
      <c r="H572" s="14">
        <f t="shared" si="56"/>
        <v>0.32666164154103872</v>
      </c>
      <c r="I572" s="14">
        <f t="shared" si="57"/>
        <v>0.71360741478107859</v>
      </c>
      <c r="J572" s="14">
        <f t="shared" si="58"/>
        <v>0.47532109228187902</v>
      </c>
      <c r="K572" s="14">
        <f t="shared" si="59"/>
        <v>0.14549161073825498</v>
      </c>
      <c r="L572" s="12" t="str">
        <f t="shared" si="60"/>
        <v/>
      </c>
      <c r="M572" s="12" t="str">
        <f t="shared" si="61"/>
        <v/>
      </c>
    </row>
    <row r="573" spans="1:13" ht="31.5">
      <c r="A573" s="3">
        <v>566</v>
      </c>
      <c r="B573" s="11" t="s">
        <v>372</v>
      </c>
      <c r="C573" s="3">
        <v>6</v>
      </c>
      <c r="D573" s="3">
        <v>10</v>
      </c>
      <c r="E573" s="11" t="s">
        <v>638</v>
      </c>
      <c r="F573" s="14">
        <v>0.45400000000000001</v>
      </c>
      <c r="G573" s="14">
        <f t="shared" si="62"/>
        <v>6.8000000000000005E-2</v>
      </c>
      <c r="H573" s="14">
        <f t="shared" si="56"/>
        <v>0.32666164154103872</v>
      </c>
      <c r="I573" s="14">
        <f t="shared" si="57"/>
        <v>0.71360741478107859</v>
      </c>
      <c r="J573" s="14">
        <f t="shared" si="58"/>
        <v>0.47532109228187902</v>
      </c>
      <c r="K573" s="14">
        <f t="shared" si="59"/>
        <v>0.14549161073825498</v>
      </c>
      <c r="L573" s="12" t="str">
        <f t="shared" si="60"/>
        <v/>
      </c>
      <c r="M573" s="12" t="str">
        <f t="shared" si="61"/>
        <v/>
      </c>
    </row>
    <row r="574" spans="1:13" ht="31.5">
      <c r="A574" s="3">
        <v>567</v>
      </c>
      <c r="B574" s="11" t="s">
        <v>372</v>
      </c>
      <c r="C574" s="3">
        <v>6</v>
      </c>
      <c r="D574" s="3">
        <v>9</v>
      </c>
      <c r="E574" s="11" t="s">
        <v>639</v>
      </c>
      <c r="F574" s="14">
        <v>0.47599999999999998</v>
      </c>
      <c r="G574" s="14">
        <f t="shared" si="62"/>
        <v>2.1999999999999964E-2</v>
      </c>
      <c r="H574" s="14">
        <f t="shared" si="56"/>
        <v>0.32666164154103872</v>
      </c>
      <c r="I574" s="14">
        <f t="shared" si="57"/>
        <v>0.71360741478107859</v>
      </c>
      <c r="J574" s="14">
        <f t="shared" si="58"/>
        <v>0.47532109228187902</v>
      </c>
      <c r="K574" s="14">
        <f t="shared" si="59"/>
        <v>0.14549161073825498</v>
      </c>
      <c r="L574" s="12" t="str">
        <f t="shared" si="60"/>
        <v/>
      </c>
      <c r="M574" s="12" t="str">
        <f t="shared" si="61"/>
        <v/>
      </c>
    </row>
    <row r="575" spans="1:13" ht="31.5">
      <c r="A575" s="3">
        <v>568</v>
      </c>
      <c r="B575" s="11" t="s">
        <v>372</v>
      </c>
      <c r="C575" s="3">
        <v>6</v>
      </c>
      <c r="D575" s="3">
        <v>8</v>
      </c>
      <c r="E575" s="11" t="s">
        <v>640</v>
      </c>
      <c r="F575" s="14">
        <v>0.57699999999999996</v>
      </c>
      <c r="G575" s="14">
        <f t="shared" si="62"/>
        <v>0.10099999999999998</v>
      </c>
      <c r="H575" s="14">
        <f t="shared" si="56"/>
        <v>0.32666164154103872</v>
      </c>
      <c r="I575" s="14">
        <f t="shared" si="57"/>
        <v>0.71360741478107859</v>
      </c>
      <c r="J575" s="14">
        <f t="shared" si="58"/>
        <v>0.47532109228187902</v>
      </c>
      <c r="K575" s="14">
        <f t="shared" si="59"/>
        <v>0.14549161073825498</v>
      </c>
      <c r="L575" s="12" t="str">
        <f t="shared" si="60"/>
        <v/>
      </c>
      <c r="M575" s="12" t="str">
        <f t="shared" si="61"/>
        <v/>
      </c>
    </row>
    <row r="576" spans="1:13" ht="31.5">
      <c r="A576" s="3">
        <v>569</v>
      </c>
      <c r="B576" s="11" t="s">
        <v>372</v>
      </c>
      <c r="C576" s="3">
        <v>6</v>
      </c>
      <c r="D576" s="3">
        <v>7</v>
      </c>
      <c r="E576" s="11" t="s">
        <v>641</v>
      </c>
      <c r="F576" s="14">
        <v>0.16</v>
      </c>
      <c r="G576" s="14">
        <f t="shared" si="62"/>
        <v>0.41699999999999993</v>
      </c>
      <c r="H576" s="14">
        <f t="shared" si="56"/>
        <v>0.32666164154103872</v>
      </c>
      <c r="I576" s="14">
        <f t="shared" si="57"/>
        <v>0.71360741478107859</v>
      </c>
      <c r="J576" s="14">
        <f t="shared" si="58"/>
        <v>0.47532109228187902</v>
      </c>
      <c r="K576" s="14">
        <f t="shared" si="59"/>
        <v>0.14549161073825498</v>
      </c>
      <c r="L576" s="12" t="str">
        <f t="shared" si="60"/>
        <v/>
      </c>
      <c r="M576" s="12" t="str">
        <f t="shared" si="61"/>
        <v/>
      </c>
    </row>
    <row r="577" spans="1:13" ht="31.5">
      <c r="A577" s="3">
        <v>570</v>
      </c>
      <c r="B577" s="11" t="s">
        <v>372</v>
      </c>
      <c r="C577" s="3">
        <v>6</v>
      </c>
      <c r="D577" s="3">
        <v>6</v>
      </c>
      <c r="E577" s="11" t="s">
        <v>642</v>
      </c>
      <c r="F577" s="14">
        <v>0.25</v>
      </c>
      <c r="G577" s="14">
        <f t="shared" si="62"/>
        <v>0.09</v>
      </c>
      <c r="H577" s="14">
        <f t="shared" si="56"/>
        <v>0.32666164154103872</v>
      </c>
      <c r="I577" s="14">
        <f t="shared" si="57"/>
        <v>0.71360741478107859</v>
      </c>
      <c r="J577" s="14">
        <f t="shared" si="58"/>
        <v>0.47532109228187902</v>
      </c>
      <c r="K577" s="14">
        <f t="shared" si="59"/>
        <v>0.14549161073825498</v>
      </c>
      <c r="L577" s="12" t="str">
        <f t="shared" si="60"/>
        <v/>
      </c>
      <c r="M577" s="12" t="str">
        <f t="shared" si="61"/>
        <v/>
      </c>
    </row>
    <row r="578" spans="1:13" ht="31.5">
      <c r="A578" s="3">
        <v>571</v>
      </c>
      <c r="B578" s="11" t="s">
        <v>372</v>
      </c>
      <c r="C578" s="3">
        <v>6</v>
      </c>
      <c r="D578" s="3">
        <v>5</v>
      </c>
      <c r="E578" s="11" t="s">
        <v>643</v>
      </c>
      <c r="F578" s="14">
        <v>0.17</v>
      </c>
      <c r="G578" s="14">
        <f t="shared" si="62"/>
        <v>7.9999999999999988E-2</v>
      </c>
      <c r="H578" s="14">
        <f t="shared" si="56"/>
        <v>0.32666164154103872</v>
      </c>
      <c r="I578" s="14">
        <f t="shared" si="57"/>
        <v>0.71360741478107859</v>
      </c>
      <c r="J578" s="14">
        <f t="shared" si="58"/>
        <v>0.47532109228187902</v>
      </c>
      <c r="K578" s="14">
        <f t="shared" si="59"/>
        <v>0.14549161073825498</v>
      </c>
      <c r="L578" s="12" t="str">
        <f t="shared" si="60"/>
        <v/>
      </c>
      <c r="M578" s="12" t="str">
        <f t="shared" si="61"/>
        <v/>
      </c>
    </row>
    <row r="579" spans="1:13" ht="31.5">
      <c r="A579" s="3">
        <v>572</v>
      </c>
      <c r="B579" s="11" t="s">
        <v>372</v>
      </c>
      <c r="C579" s="3">
        <v>6</v>
      </c>
      <c r="D579" s="3">
        <v>4</v>
      </c>
      <c r="E579" s="11" t="s">
        <v>644</v>
      </c>
      <c r="F579" s="14">
        <v>0.14000000000000001</v>
      </c>
      <c r="G579" s="14">
        <f t="shared" si="62"/>
        <v>0.03</v>
      </c>
      <c r="H579" s="14">
        <f t="shared" si="56"/>
        <v>0.32666164154103872</v>
      </c>
      <c r="I579" s="14">
        <f t="shared" si="57"/>
        <v>0.71360741478107859</v>
      </c>
      <c r="J579" s="14">
        <f t="shared" si="58"/>
        <v>0.47532109228187902</v>
      </c>
      <c r="K579" s="14">
        <f t="shared" si="59"/>
        <v>0.14549161073825498</v>
      </c>
      <c r="L579" s="12" t="str">
        <f t="shared" si="60"/>
        <v/>
      </c>
      <c r="M579" s="12" t="str">
        <f t="shared" si="61"/>
        <v/>
      </c>
    </row>
    <row r="580" spans="1:13" ht="31.5">
      <c r="A580" s="3">
        <v>573</v>
      </c>
      <c r="B580" s="11" t="s">
        <v>372</v>
      </c>
      <c r="C580" s="3">
        <v>6</v>
      </c>
      <c r="D580" s="3">
        <v>3</v>
      </c>
      <c r="E580" s="11" t="s">
        <v>645</v>
      </c>
      <c r="F580" s="14">
        <v>0.16900000000000001</v>
      </c>
      <c r="G580" s="14">
        <f t="shared" si="62"/>
        <v>2.8999999999999998E-2</v>
      </c>
      <c r="H580" s="14">
        <f t="shared" si="56"/>
        <v>0.32666164154103872</v>
      </c>
      <c r="I580" s="14">
        <f t="shared" si="57"/>
        <v>0.71360741478107859</v>
      </c>
      <c r="J580" s="14">
        <f t="shared" si="58"/>
        <v>0.47532109228187902</v>
      </c>
      <c r="K580" s="14">
        <f t="shared" si="59"/>
        <v>0.14549161073825498</v>
      </c>
      <c r="L580" s="12" t="str">
        <f t="shared" si="60"/>
        <v/>
      </c>
      <c r="M580" s="12" t="str">
        <f t="shared" si="61"/>
        <v/>
      </c>
    </row>
    <row r="581" spans="1:13" ht="31.5">
      <c r="A581" s="3">
        <v>574</v>
      </c>
      <c r="B581" s="11" t="s">
        <v>372</v>
      </c>
      <c r="C581" s="3">
        <v>6</v>
      </c>
      <c r="D581" s="3">
        <v>2</v>
      </c>
      <c r="E581" s="11" t="s">
        <v>646</v>
      </c>
      <c r="F581" s="14">
        <v>0.34100000000000003</v>
      </c>
      <c r="G581" s="14">
        <f t="shared" si="62"/>
        <v>0.17200000000000001</v>
      </c>
      <c r="H581" s="14">
        <f t="shared" si="56"/>
        <v>0.32666164154103872</v>
      </c>
      <c r="I581" s="14">
        <f t="shared" si="57"/>
        <v>0.71360741478107859</v>
      </c>
      <c r="J581" s="14">
        <f t="shared" si="58"/>
        <v>0.47532109228187902</v>
      </c>
      <c r="K581" s="14">
        <f t="shared" si="59"/>
        <v>0.14549161073825498</v>
      </c>
      <c r="L581" s="12" t="str">
        <f t="shared" si="60"/>
        <v/>
      </c>
      <c r="M581" s="12" t="str">
        <f t="shared" si="61"/>
        <v/>
      </c>
    </row>
    <row r="582" spans="1:13" ht="31.5">
      <c r="A582" s="3">
        <v>575</v>
      </c>
      <c r="B582" s="11" t="s">
        <v>372</v>
      </c>
      <c r="C582" s="3">
        <v>6</v>
      </c>
      <c r="D582" s="3">
        <v>1</v>
      </c>
      <c r="E582" s="11" t="s">
        <v>647</v>
      </c>
      <c r="F582" s="14">
        <v>0.193</v>
      </c>
      <c r="G582" s="14">
        <f t="shared" si="62"/>
        <v>0.14800000000000002</v>
      </c>
      <c r="H582" s="14">
        <f t="shared" si="56"/>
        <v>0.32666164154103872</v>
      </c>
      <c r="I582" s="14">
        <f t="shared" si="57"/>
        <v>0.71360741478107859</v>
      </c>
      <c r="J582" s="14">
        <f t="shared" si="58"/>
        <v>0.47532109228187902</v>
      </c>
      <c r="K582" s="14">
        <f t="shared" si="59"/>
        <v>0.14549161073825498</v>
      </c>
      <c r="L582" s="12" t="str">
        <f t="shared" si="60"/>
        <v/>
      </c>
      <c r="M582" s="12" t="str">
        <f t="shared" si="61"/>
        <v/>
      </c>
    </row>
    <row r="583" spans="1:13" ht="31.5">
      <c r="A583" s="3">
        <v>576</v>
      </c>
      <c r="B583" s="11" t="s">
        <v>372</v>
      </c>
      <c r="C583" s="3">
        <v>6</v>
      </c>
      <c r="D583" s="3">
        <v>25</v>
      </c>
      <c r="E583" s="11" t="s">
        <v>648</v>
      </c>
      <c r="F583" s="14">
        <v>0.192</v>
      </c>
      <c r="G583" s="14">
        <f t="shared" si="62"/>
        <v>1.0000000000000009E-3</v>
      </c>
      <c r="H583" s="14">
        <f t="shared" si="56"/>
        <v>0.32666164154103872</v>
      </c>
      <c r="I583" s="14">
        <f t="shared" si="57"/>
        <v>0.71360741478107859</v>
      </c>
      <c r="J583" s="14">
        <f t="shared" si="58"/>
        <v>0.47532109228187902</v>
      </c>
      <c r="K583" s="14">
        <f t="shared" si="59"/>
        <v>0.14549161073825498</v>
      </c>
      <c r="L583" s="12" t="str">
        <f t="shared" si="60"/>
        <v/>
      </c>
      <c r="M583" s="12" t="str">
        <f t="shared" si="61"/>
        <v/>
      </c>
    </row>
    <row r="584" spans="1:13" ht="31.5">
      <c r="A584" s="3">
        <v>577</v>
      </c>
      <c r="B584" s="11" t="s">
        <v>372</v>
      </c>
      <c r="C584" s="3">
        <v>6</v>
      </c>
      <c r="D584" s="3">
        <v>24</v>
      </c>
      <c r="E584" s="11" t="s">
        <v>649</v>
      </c>
      <c r="F584" s="14">
        <v>0.35499999999999998</v>
      </c>
      <c r="G584" s="14">
        <f t="shared" si="62"/>
        <v>0.16299999999999998</v>
      </c>
      <c r="H584" s="14">
        <f t="shared" si="56"/>
        <v>0.32666164154103872</v>
      </c>
      <c r="I584" s="14">
        <f t="shared" si="57"/>
        <v>0.71360741478107859</v>
      </c>
      <c r="J584" s="14">
        <f t="shared" si="58"/>
        <v>0.47532109228187902</v>
      </c>
      <c r="K584" s="14">
        <f t="shared" si="59"/>
        <v>0.14549161073825498</v>
      </c>
      <c r="L584" s="12" t="str">
        <f t="shared" si="60"/>
        <v/>
      </c>
      <c r="M584" s="12" t="str">
        <f t="shared" si="61"/>
        <v/>
      </c>
    </row>
    <row r="585" spans="1:13" ht="31.5">
      <c r="A585" s="3">
        <v>578</v>
      </c>
      <c r="B585" s="11" t="s">
        <v>372</v>
      </c>
      <c r="C585" s="3">
        <v>6</v>
      </c>
      <c r="D585" s="3">
        <v>23</v>
      </c>
      <c r="E585" s="11" t="s">
        <v>650</v>
      </c>
      <c r="F585" s="14">
        <v>0.48899999999999999</v>
      </c>
      <c r="G585" s="14">
        <f t="shared" si="62"/>
        <v>0.13400000000000001</v>
      </c>
      <c r="H585" s="14">
        <f t="shared" si="56"/>
        <v>0.32666164154103872</v>
      </c>
      <c r="I585" s="14">
        <f t="shared" si="57"/>
        <v>0.71360741478107859</v>
      </c>
      <c r="J585" s="14">
        <f t="shared" si="58"/>
        <v>0.47532109228187902</v>
      </c>
      <c r="K585" s="14">
        <f t="shared" si="59"/>
        <v>0.14549161073825498</v>
      </c>
      <c r="L585" s="12" t="str">
        <f t="shared" si="60"/>
        <v/>
      </c>
      <c r="M585" s="12" t="str">
        <f t="shared" si="61"/>
        <v/>
      </c>
    </row>
    <row r="586" spans="1:13" ht="31.5">
      <c r="A586" s="3">
        <v>579</v>
      </c>
      <c r="B586" s="11" t="s">
        <v>372</v>
      </c>
      <c r="C586" s="3">
        <v>6</v>
      </c>
      <c r="D586" s="3">
        <v>22</v>
      </c>
      <c r="E586" s="11" t="s">
        <v>651</v>
      </c>
      <c r="F586" s="14">
        <v>0.40100000000000002</v>
      </c>
      <c r="G586" s="14">
        <f t="shared" si="62"/>
        <v>8.7999999999999967E-2</v>
      </c>
      <c r="H586" s="14">
        <f t="shared" si="56"/>
        <v>0.32666164154103872</v>
      </c>
      <c r="I586" s="14">
        <f t="shared" si="57"/>
        <v>0.71360741478107859</v>
      </c>
      <c r="J586" s="14">
        <f t="shared" si="58"/>
        <v>0.47532109228187902</v>
      </c>
      <c r="K586" s="14">
        <f t="shared" si="59"/>
        <v>0.14549161073825498</v>
      </c>
      <c r="L586" s="12" t="str">
        <f t="shared" si="60"/>
        <v/>
      </c>
      <c r="M586" s="12" t="str">
        <f t="shared" si="61"/>
        <v/>
      </c>
    </row>
    <row r="587" spans="1:13" ht="31.5">
      <c r="A587" s="3">
        <v>580</v>
      </c>
      <c r="B587" s="11" t="s">
        <v>372</v>
      </c>
      <c r="C587" s="3">
        <v>6</v>
      </c>
      <c r="D587" s="3">
        <v>21</v>
      </c>
      <c r="E587" s="11" t="s">
        <v>652</v>
      </c>
      <c r="F587" s="14">
        <v>0.20300000000000001</v>
      </c>
      <c r="G587" s="14">
        <f t="shared" si="62"/>
        <v>0.19800000000000001</v>
      </c>
      <c r="H587" s="14">
        <f t="shared" ref="H587:H607" si="63">$F$4</f>
        <v>0.32666164154103872</v>
      </c>
      <c r="I587" s="14">
        <f t="shared" ref="I587:I607" si="64">$F$7</f>
        <v>0.71360741478107859</v>
      </c>
      <c r="J587" s="14">
        <f t="shared" ref="J587:J607" si="65">$F$8</f>
        <v>0.47532109228187902</v>
      </c>
      <c r="K587" s="14">
        <f t="shared" ref="K587:K607" si="66">$F$5</f>
        <v>0.14549161073825498</v>
      </c>
      <c r="L587" s="12" t="str">
        <f t="shared" ref="L587:L607" si="67">IF(F587&gt;$F$7,"OOC","" )</f>
        <v/>
      </c>
      <c r="M587" s="12" t="str">
        <f t="shared" ref="M587:M607" si="68">IF(F587&gt;$B$4,"OOS","" )</f>
        <v/>
      </c>
    </row>
    <row r="588" spans="1:13" ht="31.5">
      <c r="A588" s="3">
        <v>581</v>
      </c>
      <c r="B588" s="11" t="s">
        <v>372</v>
      </c>
      <c r="C588" s="3">
        <v>6</v>
      </c>
      <c r="D588" s="3">
        <v>20</v>
      </c>
      <c r="E588" s="11" t="s">
        <v>653</v>
      </c>
      <c r="F588" s="14">
        <v>0.32600000000000001</v>
      </c>
      <c r="G588" s="14">
        <f t="shared" ref="G588:G607" si="69">ABS(F588-F587)</f>
        <v>0.123</v>
      </c>
      <c r="H588" s="14">
        <f t="shared" si="63"/>
        <v>0.32666164154103872</v>
      </c>
      <c r="I588" s="14">
        <f t="shared" si="64"/>
        <v>0.71360741478107859</v>
      </c>
      <c r="J588" s="14">
        <f t="shared" si="65"/>
        <v>0.47532109228187902</v>
      </c>
      <c r="K588" s="14">
        <f t="shared" si="66"/>
        <v>0.14549161073825498</v>
      </c>
      <c r="L588" s="12" t="str">
        <f t="shared" si="67"/>
        <v/>
      </c>
      <c r="M588" s="12" t="str">
        <f t="shared" si="68"/>
        <v/>
      </c>
    </row>
    <row r="589" spans="1:13" ht="31.5">
      <c r="A589" s="3">
        <v>582</v>
      </c>
      <c r="B589" s="11" t="s">
        <v>372</v>
      </c>
      <c r="C589" s="3">
        <v>6</v>
      </c>
      <c r="D589" s="3">
        <v>19</v>
      </c>
      <c r="E589" s="11" t="s">
        <v>654</v>
      </c>
      <c r="F589" s="14">
        <v>0.219</v>
      </c>
      <c r="G589" s="14">
        <f t="shared" si="69"/>
        <v>0.10700000000000001</v>
      </c>
      <c r="H589" s="14">
        <f t="shared" si="63"/>
        <v>0.32666164154103872</v>
      </c>
      <c r="I589" s="14">
        <f t="shared" si="64"/>
        <v>0.71360741478107859</v>
      </c>
      <c r="J589" s="14">
        <f t="shared" si="65"/>
        <v>0.47532109228187902</v>
      </c>
      <c r="K589" s="14">
        <f t="shared" si="66"/>
        <v>0.14549161073825498</v>
      </c>
      <c r="L589" s="12" t="str">
        <f t="shared" si="67"/>
        <v/>
      </c>
      <c r="M589" s="12" t="str">
        <f t="shared" si="68"/>
        <v/>
      </c>
    </row>
    <row r="590" spans="1:13" ht="31.5">
      <c r="A590" s="3">
        <v>583</v>
      </c>
      <c r="B590" s="11" t="s">
        <v>372</v>
      </c>
      <c r="C590" s="3">
        <v>6</v>
      </c>
      <c r="D590" s="3">
        <v>18</v>
      </c>
      <c r="E590" s="11" t="s">
        <v>655</v>
      </c>
      <c r="F590" s="14">
        <v>0.17399999999999999</v>
      </c>
      <c r="G590" s="14">
        <f t="shared" si="69"/>
        <v>4.5000000000000012E-2</v>
      </c>
      <c r="H590" s="14">
        <f t="shared" si="63"/>
        <v>0.32666164154103872</v>
      </c>
      <c r="I590" s="14">
        <f t="shared" si="64"/>
        <v>0.71360741478107859</v>
      </c>
      <c r="J590" s="14">
        <f t="shared" si="65"/>
        <v>0.47532109228187902</v>
      </c>
      <c r="K590" s="14">
        <f t="shared" si="66"/>
        <v>0.14549161073825498</v>
      </c>
      <c r="L590" s="12" t="str">
        <f t="shared" si="67"/>
        <v/>
      </c>
      <c r="M590" s="12" t="str">
        <f t="shared" si="68"/>
        <v/>
      </c>
    </row>
    <row r="591" spans="1:13" ht="31.5">
      <c r="A591" s="3">
        <v>584</v>
      </c>
      <c r="B591" s="11" t="s">
        <v>372</v>
      </c>
      <c r="C591" s="3">
        <v>6</v>
      </c>
      <c r="D591" s="3">
        <v>17</v>
      </c>
      <c r="E591" s="11" t="s">
        <v>656</v>
      </c>
      <c r="F591" s="14">
        <v>0.223</v>
      </c>
      <c r="G591" s="14">
        <f t="shared" si="69"/>
        <v>4.9000000000000016E-2</v>
      </c>
      <c r="H591" s="14">
        <f t="shared" si="63"/>
        <v>0.32666164154103872</v>
      </c>
      <c r="I591" s="14">
        <f t="shared" si="64"/>
        <v>0.71360741478107859</v>
      </c>
      <c r="J591" s="14">
        <f t="shared" si="65"/>
        <v>0.47532109228187902</v>
      </c>
      <c r="K591" s="14">
        <f t="shared" si="66"/>
        <v>0.14549161073825498</v>
      </c>
      <c r="L591" s="12" t="str">
        <f t="shared" si="67"/>
        <v/>
      </c>
      <c r="M591" s="12" t="str">
        <f t="shared" si="68"/>
        <v/>
      </c>
    </row>
    <row r="592" spans="1:13" ht="31.5">
      <c r="A592" s="3">
        <v>585</v>
      </c>
      <c r="B592" s="11" t="s">
        <v>372</v>
      </c>
      <c r="C592" s="3">
        <v>6</v>
      </c>
      <c r="D592" s="3">
        <v>16</v>
      </c>
      <c r="E592" s="11" t="s">
        <v>657</v>
      </c>
      <c r="F592" s="14">
        <v>0.29899999999999999</v>
      </c>
      <c r="G592" s="14">
        <f t="shared" si="69"/>
        <v>7.5999999999999984E-2</v>
      </c>
      <c r="H592" s="14">
        <f t="shared" si="63"/>
        <v>0.32666164154103872</v>
      </c>
      <c r="I592" s="14">
        <f t="shared" si="64"/>
        <v>0.71360741478107859</v>
      </c>
      <c r="J592" s="14">
        <f t="shared" si="65"/>
        <v>0.47532109228187902</v>
      </c>
      <c r="K592" s="14">
        <f t="shared" si="66"/>
        <v>0.14549161073825498</v>
      </c>
      <c r="L592" s="12" t="str">
        <f t="shared" si="67"/>
        <v/>
      </c>
      <c r="M592" s="12" t="str">
        <f t="shared" si="68"/>
        <v/>
      </c>
    </row>
    <row r="593" spans="1:13" ht="31.5">
      <c r="A593" s="3">
        <v>586</v>
      </c>
      <c r="B593" s="11" t="s">
        <v>372</v>
      </c>
      <c r="C593" s="3">
        <v>6</v>
      </c>
      <c r="D593" s="3">
        <v>15</v>
      </c>
      <c r="E593" s="11" t="s">
        <v>658</v>
      </c>
      <c r="F593" s="14">
        <v>0.13800000000000001</v>
      </c>
      <c r="G593" s="14">
        <f t="shared" si="69"/>
        <v>0.16099999999999998</v>
      </c>
      <c r="H593" s="14">
        <f t="shared" si="63"/>
        <v>0.32666164154103872</v>
      </c>
      <c r="I593" s="14">
        <f t="shared" si="64"/>
        <v>0.71360741478107859</v>
      </c>
      <c r="J593" s="14">
        <f t="shared" si="65"/>
        <v>0.47532109228187902</v>
      </c>
      <c r="K593" s="14">
        <f t="shared" si="66"/>
        <v>0.14549161073825498</v>
      </c>
      <c r="L593" s="12" t="str">
        <f t="shared" si="67"/>
        <v/>
      </c>
      <c r="M593" s="12" t="str">
        <f t="shared" si="68"/>
        <v/>
      </c>
    </row>
    <row r="594" spans="1:13" ht="31.5">
      <c r="A594" s="3">
        <v>587</v>
      </c>
      <c r="B594" s="11" t="s">
        <v>372</v>
      </c>
      <c r="C594" s="3">
        <v>6</v>
      </c>
      <c r="D594" s="3">
        <v>14</v>
      </c>
      <c r="E594" s="11" t="s">
        <v>659</v>
      </c>
      <c r="F594" s="14">
        <v>0.217</v>
      </c>
      <c r="G594" s="14">
        <f t="shared" si="69"/>
        <v>7.8999999999999987E-2</v>
      </c>
      <c r="H594" s="14">
        <f t="shared" si="63"/>
        <v>0.32666164154103872</v>
      </c>
      <c r="I594" s="14">
        <f t="shared" si="64"/>
        <v>0.71360741478107859</v>
      </c>
      <c r="J594" s="14">
        <f t="shared" si="65"/>
        <v>0.47532109228187902</v>
      </c>
      <c r="K594" s="14">
        <f t="shared" si="66"/>
        <v>0.14549161073825498</v>
      </c>
      <c r="L594" s="12" t="str">
        <f t="shared" si="67"/>
        <v/>
      </c>
      <c r="M594" s="12" t="str">
        <f t="shared" si="68"/>
        <v/>
      </c>
    </row>
    <row r="595" spans="1:13" ht="31.5">
      <c r="A595" s="3">
        <v>588</v>
      </c>
      <c r="B595" s="11" t="s">
        <v>372</v>
      </c>
      <c r="C595" s="3">
        <v>6</v>
      </c>
      <c r="D595" s="3">
        <v>13</v>
      </c>
      <c r="E595" s="11" t="s">
        <v>660</v>
      </c>
      <c r="F595" s="14">
        <v>0.16300000000000001</v>
      </c>
      <c r="G595" s="14">
        <f t="shared" si="69"/>
        <v>5.3999999999999992E-2</v>
      </c>
      <c r="H595" s="14">
        <f t="shared" si="63"/>
        <v>0.32666164154103872</v>
      </c>
      <c r="I595" s="14">
        <f t="shared" si="64"/>
        <v>0.71360741478107859</v>
      </c>
      <c r="J595" s="14">
        <f t="shared" si="65"/>
        <v>0.47532109228187902</v>
      </c>
      <c r="K595" s="14">
        <f t="shared" si="66"/>
        <v>0.14549161073825498</v>
      </c>
      <c r="L595" s="12" t="str">
        <f t="shared" si="67"/>
        <v/>
      </c>
      <c r="M595" s="12" t="str">
        <f t="shared" si="68"/>
        <v/>
      </c>
    </row>
    <row r="596" spans="1:13" ht="31.5">
      <c r="A596" s="3">
        <v>589</v>
      </c>
      <c r="B596" s="11" t="s">
        <v>372</v>
      </c>
      <c r="C596" s="3">
        <v>6</v>
      </c>
      <c r="D596" s="3">
        <v>12</v>
      </c>
      <c r="E596" s="11" t="s">
        <v>661</v>
      </c>
      <c r="F596" s="14">
        <v>8.8999999999999996E-2</v>
      </c>
      <c r="G596" s="14">
        <f t="shared" si="69"/>
        <v>7.400000000000001E-2</v>
      </c>
      <c r="H596" s="14">
        <f t="shared" si="63"/>
        <v>0.32666164154103872</v>
      </c>
      <c r="I596" s="14">
        <f t="shared" si="64"/>
        <v>0.71360741478107859</v>
      </c>
      <c r="J596" s="14">
        <f t="shared" si="65"/>
        <v>0.47532109228187902</v>
      </c>
      <c r="K596" s="14">
        <f t="shared" si="66"/>
        <v>0.14549161073825498</v>
      </c>
      <c r="L596" s="12" t="str">
        <f t="shared" si="67"/>
        <v/>
      </c>
      <c r="M596" s="12" t="str">
        <f t="shared" si="68"/>
        <v/>
      </c>
    </row>
    <row r="597" spans="1:13" ht="31.5">
      <c r="A597" s="3">
        <v>590</v>
      </c>
      <c r="B597" s="11" t="s">
        <v>372</v>
      </c>
      <c r="C597" s="3">
        <v>6</v>
      </c>
      <c r="D597" s="3">
        <v>11</v>
      </c>
      <c r="E597" s="11" t="s">
        <v>662</v>
      </c>
      <c r="F597" s="14">
        <v>0.18</v>
      </c>
      <c r="G597" s="14">
        <f t="shared" si="69"/>
        <v>9.0999999999999998E-2</v>
      </c>
      <c r="H597" s="14">
        <f t="shared" si="63"/>
        <v>0.32666164154103872</v>
      </c>
      <c r="I597" s="14">
        <f t="shared" si="64"/>
        <v>0.71360741478107859</v>
      </c>
      <c r="J597" s="14">
        <f t="shared" si="65"/>
        <v>0.47532109228187902</v>
      </c>
      <c r="K597" s="14">
        <f t="shared" si="66"/>
        <v>0.14549161073825498</v>
      </c>
      <c r="L597" s="12" t="str">
        <f t="shared" si="67"/>
        <v/>
      </c>
      <c r="M597" s="12" t="str">
        <f t="shared" si="68"/>
        <v/>
      </c>
    </row>
    <row r="598" spans="1:13" ht="31.5">
      <c r="A598" s="3">
        <v>591</v>
      </c>
      <c r="B598" s="11" t="s">
        <v>372</v>
      </c>
      <c r="C598" s="3">
        <v>6</v>
      </c>
      <c r="D598" s="3">
        <v>10</v>
      </c>
      <c r="E598" s="11" t="s">
        <v>663</v>
      </c>
      <c r="F598" s="14">
        <v>0.45100000000000001</v>
      </c>
      <c r="G598" s="14">
        <f t="shared" si="69"/>
        <v>0.27100000000000002</v>
      </c>
      <c r="H598" s="14">
        <f t="shared" si="63"/>
        <v>0.32666164154103872</v>
      </c>
      <c r="I598" s="14">
        <f t="shared" si="64"/>
        <v>0.71360741478107859</v>
      </c>
      <c r="J598" s="14">
        <f t="shared" si="65"/>
        <v>0.47532109228187902</v>
      </c>
      <c r="K598" s="14">
        <f t="shared" si="66"/>
        <v>0.14549161073825498</v>
      </c>
      <c r="L598" s="12" t="str">
        <f t="shared" si="67"/>
        <v/>
      </c>
      <c r="M598" s="12" t="str">
        <f t="shared" si="68"/>
        <v/>
      </c>
    </row>
    <row r="599" spans="1:13" ht="31.5">
      <c r="A599" s="3">
        <v>592</v>
      </c>
      <c r="B599" s="11" t="s">
        <v>372</v>
      </c>
      <c r="C599" s="3">
        <v>6</v>
      </c>
      <c r="D599" s="3">
        <v>9</v>
      </c>
      <c r="E599" s="11" t="s">
        <v>664</v>
      </c>
      <c r="F599" s="14">
        <v>0.30399999999999999</v>
      </c>
      <c r="G599" s="14">
        <f t="shared" si="69"/>
        <v>0.14700000000000002</v>
      </c>
      <c r="H599" s="14">
        <f t="shared" si="63"/>
        <v>0.32666164154103872</v>
      </c>
      <c r="I599" s="14">
        <f t="shared" si="64"/>
        <v>0.71360741478107859</v>
      </c>
      <c r="J599" s="14">
        <f t="shared" si="65"/>
        <v>0.47532109228187902</v>
      </c>
      <c r="K599" s="14">
        <f t="shared" si="66"/>
        <v>0.14549161073825498</v>
      </c>
      <c r="L599" s="12" t="str">
        <f t="shared" si="67"/>
        <v/>
      </c>
      <c r="M599" s="12" t="str">
        <f t="shared" si="68"/>
        <v/>
      </c>
    </row>
    <row r="600" spans="1:13" ht="31.5">
      <c r="A600" s="3">
        <v>593</v>
      </c>
      <c r="B600" s="11" t="s">
        <v>372</v>
      </c>
      <c r="C600" s="3">
        <v>6</v>
      </c>
      <c r="D600" s="3">
        <v>8</v>
      </c>
      <c r="E600" s="11" t="s">
        <v>665</v>
      </c>
      <c r="F600" s="14">
        <v>0.39300000000000002</v>
      </c>
      <c r="G600" s="14">
        <f t="shared" si="69"/>
        <v>8.9000000000000024E-2</v>
      </c>
      <c r="H600" s="14">
        <f t="shared" si="63"/>
        <v>0.32666164154103872</v>
      </c>
      <c r="I600" s="14">
        <f t="shared" si="64"/>
        <v>0.71360741478107859</v>
      </c>
      <c r="J600" s="14">
        <f t="shared" si="65"/>
        <v>0.47532109228187902</v>
      </c>
      <c r="K600" s="14">
        <f t="shared" si="66"/>
        <v>0.14549161073825498</v>
      </c>
      <c r="L600" s="12" t="str">
        <f t="shared" si="67"/>
        <v/>
      </c>
      <c r="M600" s="12" t="str">
        <f t="shared" si="68"/>
        <v/>
      </c>
    </row>
    <row r="601" spans="1:13" ht="31.5">
      <c r="A601" s="3">
        <v>594</v>
      </c>
      <c r="B601" s="11" t="s">
        <v>372</v>
      </c>
      <c r="C601" s="3">
        <v>6</v>
      </c>
      <c r="D601" s="3">
        <v>7</v>
      </c>
      <c r="E601" s="11" t="s">
        <v>666</v>
      </c>
      <c r="F601" s="14">
        <v>0.32200000000000001</v>
      </c>
      <c r="G601" s="14">
        <f t="shared" si="69"/>
        <v>7.1000000000000008E-2</v>
      </c>
      <c r="H601" s="14">
        <f t="shared" si="63"/>
        <v>0.32666164154103872</v>
      </c>
      <c r="I601" s="14">
        <f t="shared" si="64"/>
        <v>0.71360741478107859</v>
      </c>
      <c r="J601" s="14">
        <f t="shared" si="65"/>
        <v>0.47532109228187902</v>
      </c>
      <c r="K601" s="14">
        <f t="shared" si="66"/>
        <v>0.14549161073825498</v>
      </c>
      <c r="L601" s="12" t="str">
        <f t="shared" si="67"/>
        <v/>
      </c>
      <c r="M601" s="12" t="str">
        <f t="shared" si="68"/>
        <v/>
      </c>
    </row>
    <row r="602" spans="1:13" ht="31.5">
      <c r="A602" s="3">
        <v>595</v>
      </c>
      <c r="B602" s="11" t="s">
        <v>372</v>
      </c>
      <c r="C602" s="3">
        <v>6</v>
      </c>
      <c r="D602" s="3">
        <v>6</v>
      </c>
      <c r="E602" s="11" t="s">
        <v>667</v>
      </c>
      <c r="F602" s="14">
        <v>0.40200000000000002</v>
      </c>
      <c r="G602" s="14">
        <f t="shared" si="69"/>
        <v>8.0000000000000016E-2</v>
      </c>
      <c r="H602" s="14">
        <f t="shared" si="63"/>
        <v>0.32666164154103872</v>
      </c>
      <c r="I602" s="14">
        <f t="shared" si="64"/>
        <v>0.71360741478107859</v>
      </c>
      <c r="J602" s="14">
        <f t="shared" si="65"/>
        <v>0.47532109228187902</v>
      </c>
      <c r="K602" s="14">
        <f t="shared" si="66"/>
        <v>0.14549161073825498</v>
      </c>
      <c r="L602" s="12" t="str">
        <f t="shared" si="67"/>
        <v/>
      </c>
      <c r="M602" s="12" t="str">
        <f t="shared" si="68"/>
        <v/>
      </c>
    </row>
    <row r="603" spans="1:13" ht="31.5">
      <c r="A603" s="3">
        <v>596</v>
      </c>
      <c r="B603" s="11" t="s">
        <v>372</v>
      </c>
      <c r="C603" s="3">
        <v>6</v>
      </c>
      <c r="D603" s="3">
        <v>5</v>
      </c>
      <c r="E603" s="11" t="s">
        <v>668</v>
      </c>
      <c r="F603" s="14">
        <v>0.44900000000000001</v>
      </c>
      <c r="G603" s="14">
        <f t="shared" si="69"/>
        <v>4.6999999999999986E-2</v>
      </c>
      <c r="H603" s="14">
        <f t="shared" si="63"/>
        <v>0.32666164154103872</v>
      </c>
      <c r="I603" s="14">
        <f t="shared" si="64"/>
        <v>0.71360741478107859</v>
      </c>
      <c r="J603" s="14">
        <f t="shared" si="65"/>
        <v>0.47532109228187902</v>
      </c>
      <c r="K603" s="14">
        <f t="shared" si="66"/>
        <v>0.14549161073825498</v>
      </c>
      <c r="L603" s="12" t="str">
        <f t="shared" si="67"/>
        <v/>
      </c>
      <c r="M603" s="12" t="str">
        <f t="shared" si="68"/>
        <v/>
      </c>
    </row>
    <row r="604" spans="1:13" ht="31.5">
      <c r="A604" s="3">
        <v>597</v>
      </c>
      <c r="B604" s="11" t="s">
        <v>372</v>
      </c>
      <c r="C604" s="3">
        <v>6</v>
      </c>
      <c r="D604" s="3">
        <v>4</v>
      </c>
      <c r="E604" s="11" t="s">
        <v>669</v>
      </c>
      <c r="F604" s="14">
        <v>0.253</v>
      </c>
      <c r="G604" s="14">
        <f t="shared" si="69"/>
        <v>0.19600000000000001</v>
      </c>
      <c r="H604" s="14">
        <f t="shared" si="63"/>
        <v>0.32666164154103872</v>
      </c>
      <c r="I604" s="14">
        <f t="shared" si="64"/>
        <v>0.71360741478107859</v>
      </c>
      <c r="J604" s="14">
        <f t="shared" si="65"/>
        <v>0.47532109228187902</v>
      </c>
      <c r="K604" s="14">
        <f t="shared" si="66"/>
        <v>0.14549161073825498</v>
      </c>
      <c r="L604" s="12" t="str">
        <f t="shared" si="67"/>
        <v/>
      </c>
      <c r="M604" s="12" t="str">
        <f t="shared" si="68"/>
        <v/>
      </c>
    </row>
    <row r="605" spans="1:13" ht="31.5">
      <c r="A605" s="3">
        <v>598</v>
      </c>
      <c r="B605" s="11" t="s">
        <v>372</v>
      </c>
      <c r="C605" s="3">
        <v>6</v>
      </c>
      <c r="D605" s="3">
        <v>3</v>
      </c>
      <c r="E605" s="11" t="s">
        <v>670</v>
      </c>
      <c r="F605" s="14">
        <v>0.34100000000000003</v>
      </c>
      <c r="G605" s="14">
        <f t="shared" si="69"/>
        <v>8.8000000000000023E-2</v>
      </c>
      <c r="H605" s="14">
        <f t="shared" si="63"/>
        <v>0.32666164154103872</v>
      </c>
      <c r="I605" s="14">
        <f t="shared" si="64"/>
        <v>0.71360741478107859</v>
      </c>
      <c r="J605" s="14">
        <f t="shared" si="65"/>
        <v>0.47532109228187902</v>
      </c>
      <c r="K605" s="14">
        <f t="shared" si="66"/>
        <v>0.14549161073825498</v>
      </c>
      <c r="L605" s="12" t="str">
        <f t="shared" si="67"/>
        <v/>
      </c>
      <c r="M605" s="12" t="str">
        <f t="shared" si="68"/>
        <v/>
      </c>
    </row>
    <row r="606" spans="1:13" ht="31.5">
      <c r="A606" s="3">
        <v>599</v>
      </c>
      <c r="B606" s="11" t="s">
        <v>372</v>
      </c>
      <c r="C606" s="3">
        <v>6</v>
      </c>
      <c r="D606" s="3">
        <v>2</v>
      </c>
      <c r="E606" s="11" t="s">
        <v>671</v>
      </c>
      <c r="F606" s="14">
        <v>0.49399999999999999</v>
      </c>
      <c r="G606" s="14">
        <f t="shared" si="69"/>
        <v>0.15299999999999997</v>
      </c>
      <c r="H606" s="14">
        <f t="shared" si="63"/>
        <v>0.32666164154103872</v>
      </c>
      <c r="I606" s="14">
        <f t="shared" si="64"/>
        <v>0.71360741478107859</v>
      </c>
      <c r="J606" s="14">
        <f t="shared" si="65"/>
        <v>0.47532109228187902</v>
      </c>
      <c r="K606" s="14">
        <f t="shared" si="66"/>
        <v>0.14549161073825498</v>
      </c>
      <c r="L606" s="12" t="str">
        <f t="shared" si="67"/>
        <v/>
      </c>
      <c r="M606" s="12" t="str">
        <f t="shared" si="68"/>
        <v/>
      </c>
    </row>
    <row r="607" spans="1:13" ht="31.5">
      <c r="A607" s="3">
        <v>600</v>
      </c>
      <c r="B607" s="11" t="s">
        <v>372</v>
      </c>
      <c r="C607" s="3">
        <v>6</v>
      </c>
      <c r="D607" s="3">
        <v>1</v>
      </c>
      <c r="E607" s="11" t="s">
        <v>672</v>
      </c>
      <c r="F607" s="14">
        <v>0.193</v>
      </c>
      <c r="G607" s="14">
        <f t="shared" si="69"/>
        <v>0.30099999999999999</v>
      </c>
      <c r="H607" s="14">
        <f t="shared" si="63"/>
        <v>0.32666164154103872</v>
      </c>
      <c r="I607" s="14">
        <f t="shared" si="64"/>
        <v>0.71360741478107859</v>
      </c>
      <c r="J607" s="14">
        <f t="shared" si="65"/>
        <v>0.47532109228187902</v>
      </c>
      <c r="K607" s="14">
        <f t="shared" si="66"/>
        <v>0.14549161073825498</v>
      </c>
      <c r="L607" s="12" t="str">
        <f t="shared" si="67"/>
        <v/>
      </c>
      <c r="M607" s="12" t="str">
        <f t="shared" si="68"/>
        <v/>
      </c>
    </row>
  </sheetData>
  <mergeCells count="8">
    <mergeCell ref="E2:G2"/>
    <mergeCell ref="G4:G9"/>
    <mergeCell ref="A2:D2"/>
    <mergeCell ref="B6:D6"/>
    <mergeCell ref="A1:M1"/>
    <mergeCell ref="A3:D3"/>
    <mergeCell ref="B4:D4"/>
    <mergeCell ref="B5:D5"/>
  </mergeCells>
  <phoneticPr fontId="4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8"/>
  <sheetViews>
    <sheetView showGridLines="0" workbookViewId="0">
      <pane ySplit="9" topLeftCell="A10" activePane="bottomLeft" state="frozen"/>
      <selection pane="bottomLeft" activeCell="Q8" sqref="Q8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 customHeight="1">
      <c r="A1" s="71" t="s">
        <v>685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59" t="s">
        <v>47</v>
      </c>
      <c r="Q1" s="69"/>
    </row>
    <row r="2" spans="1:17">
      <c r="A2" s="62" t="s">
        <v>46</v>
      </c>
      <c r="B2" s="63"/>
      <c r="C2" s="63"/>
      <c r="D2" s="63"/>
      <c r="P2" s="16" t="s">
        <v>48</v>
      </c>
      <c r="Q2" s="17">
        <f>COUNT(E10:E308)</f>
        <v>299</v>
      </c>
    </row>
    <row r="3" spans="1:17">
      <c r="A3" s="16" t="s">
        <v>23</v>
      </c>
      <c r="B3" s="70">
        <v>1</v>
      </c>
      <c r="C3" s="63"/>
      <c r="D3" s="63"/>
      <c r="P3" s="16" t="s">
        <v>24</v>
      </c>
      <c r="Q3" s="17">
        <f>AVERAGE(E10:E308)</f>
        <v>0.31705685618729085</v>
      </c>
    </row>
    <row r="4" spans="1:17" ht="31.5">
      <c r="A4" s="16" t="s">
        <v>49</v>
      </c>
      <c r="B4" s="66">
        <v>1.1279999999999999</v>
      </c>
      <c r="C4" s="63"/>
      <c r="D4" s="63"/>
      <c r="P4" s="16" t="s">
        <v>53</v>
      </c>
      <c r="Q4" s="17">
        <f>IFERROR(AVERAGE(F11:F308),0)</f>
        <v>0.13407046979865772</v>
      </c>
    </row>
    <row r="5" spans="1:17" ht="63">
      <c r="A5" s="16" t="s">
        <v>52</v>
      </c>
      <c r="B5" s="66">
        <v>3.2669999999999999</v>
      </c>
      <c r="C5" s="63"/>
      <c r="D5" s="63"/>
      <c r="P5" s="16" t="s">
        <v>679</v>
      </c>
      <c r="Q5" s="17">
        <f>Q4/$B$4</f>
        <v>0.11885679946689516</v>
      </c>
    </row>
    <row r="6" spans="1:17">
      <c r="P6" s="16" t="s">
        <v>680</v>
      </c>
      <c r="Q6" s="17">
        <f>Q3+3*Q5</f>
        <v>0.67362725458797634</v>
      </c>
    </row>
    <row r="7" spans="1:17">
      <c r="P7" s="16" t="s">
        <v>681</v>
      </c>
      <c r="Q7" s="17">
        <f>$B$5*Q4</f>
        <v>0.43800822483221474</v>
      </c>
    </row>
    <row r="8" spans="1:17">
      <c r="P8" s="16" t="s">
        <v>682</v>
      </c>
      <c r="Q8" s="17">
        <f>($B$3-Q3)/(3*Q5)</f>
        <v>1.9153108246671444</v>
      </c>
    </row>
    <row r="9" spans="1:17" ht="31.5">
      <c r="A9" s="18" t="s">
        <v>57</v>
      </c>
      <c r="B9" s="18" t="s">
        <v>59</v>
      </c>
      <c r="C9" s="18" t="s">
        <v>60</v>
      </c>
      <c r="D9" s="18" t="s">
        <v>61</v>
      </c>
      <c r="E9" s="18" t="s">
        <v>62</v>
      </c>
      <c r="F9" s="18" t="s">
        <v>63</v>
      </c>
      <c r="G9" s="18" t="s">
        <v>64</v>
      </c>
      <c r="H9" s="18" t="s">
        <v>65</v>
      </c>
      <c r="I9" s="18" t="s">
        <v>66</v>
      </c>
      <c r="J9" s="18" t="s">
        <v>67</v>
      </c>
      <c r="K9" s="18" t="s">
        <v>68</v>
      </c>
      <c r="L9" s="18" t="s">
        <v>69</v>
      </c>
      <c r="P9" s="16" t="s">
        <v>683</v>
      </c>
      <c r="Q9" s="17">
        <f>($B$3-Q3)/(3*_xlfn.STDEV.S(E10:E308))</f>
        <v>1.6573542438830904</v>
      </c>
    </row>
    <row r="10" spans="1:17">
      <c r="A10" s="17">
        <v>1</v>
      </c>
      <c r="B10" s="17">
        <v>1</v>
      </c>
      <c r="C10" s="17">
        <v>25</v>
      </c>
      <c r="D10" s="20" t="s">
        <v>72</v>
      </c>
      <c r="E10" s="21">
        <v>0.32600000000000001</v>
      </c>
      <c r="F10" s="21"/>
      <c r="G10" s="13">
        <f t="shared" ref="G10:G73" si="0">$Q$3</f>
        <v>0.31705685618729085</v>
      </c>
      <c r="H10" s="13">
        <f t="shared" ref="H10:H73" si="1">$Q$6</f>
        <v>0.67362725458797634</v>
      </c>
      <c r="I10" s="13">
        <f t="shared" ref="I10:I73" si="2">$Q$7</f>
        <v>0.43800822483221474</v>
      </c>
      <c r="J10" s="13">
        <f t="shared" ref="J10:J73" si="3">$Q$4</f>
        <v>0.13407046979865772</v>
      </c>
      <c r="K10" s="17" t="str">
        <f t="shared" ref="K10:K73" si="4">IF(E10&gt;$Q$6,"OOC","" )</f>
        <v/>
      </c>
      <c r="L10" s="17" t="str">
        <f t="shared" ref="L10:L73" si="5">IF(E10&gt;$B$3,"OOS","" )</f>
        <v/>
      </c>
    </row>
    <row r="11" spans="1:17">
      <c r="A11" s="17">
        <v>2</v>
      </c>
      <c r="B11" s="17">
        <v>1</v>
      </c>
      <c r="C11" s="17">
        <v>24</v>
      </c>
      <c r="D11" s="20" t="s">
        <v>73</v>
      </c>
      <c r="E11" s="21">
        <v>0.49299999999999999</v>
      </c>
      <c r="F11" s="21">
        <f t="shared" ref="F11:F74" si="6">ABS(E11-E10)</f>
        <v>0.16699999999999998</v>
      </c>
      <c r="G11" s="13">
        <f t="shared" si="0"/>
        <v>0.31705685618729085</v>
      </c>
      <c r="H11" s="13">
        <f t="shared" si="1"/>
        <v>0.67362725458797634</v>
      </c>
      <c r="I11" s="13">
        <f t="shared" si="2"/>
        <v>0.43800822483221474</v>
      </c>
      <c r="J11" s="13">
        <f t="shared" si="3"/>
        <v>0.13407046979865772</v>
      </c>
      <c r="K11" s="17" t="str">
        <f t="shared" si="4"/>
        <v/>
      </c>
      <c r="L11" s="17" t="str">
        <f t="shared" si="5"/>
        <v/>
      </c>
    </row>
    <row r="12" spans="1:17">
      <c r="A12" s="17">
        <v>3</v>
      </c>
      <c r="B12" s="17">
        <v>1</v>
      </c>
      <c r="C12" s="17">
        <v>23</v>
      </c>
      <c r="D12" s="20" t="s">
        <v>74</v>
      </c>
      <c r="E12" s="21">
        <v>0.27400000000000002</v>
      </c>
      <c r="F12" s="21">
        <f t="shared" si="6"/>
        <v>0.21899999999999997</v>
      </c>
      <c r="G12" s="13">
        <f t="shared" si="0"/>
        <v>0.31705685618729085</v>
      </c>
      <c r="H12" s="13">
        <f t="shared" si="1"/>
        <v>0.67362725458797634</v>
      </c>
      <c r="I12" s="13">
        <f t="shared" si="2"/>
        <v>0.43800822483221474</v>
      </c>
      <c r="J12" s="13">
        <f t="shared" si="3"/>
        <v>0.13407046979865772</v>
      </c>
      <c r="K12" s="17" t="str">
        <f t="shared" si="4"/>
        <v/>
      </c>
      <c r="L12" s="17" t="str">
        <f t="shared" si="5"/>
        <v/>
      </c>
    </row>
    <row r="13" spans="1:17">
      <c r="A13" s="17">
        <v>4</v>
      </c>
      <c r="B13" s="17">
        <v>1</v>
      </c>
      <c r="C13" s="17">
        <v>22</v>
      </c>
      <c r="D13" s="20" t="s">
        <v>75</v>
      </c>
      <c r="E13" s="21">
        <v>0.156</v>
      </c>
      <c r="F13" s="21">
        <f t="shared" si="6"/>
        <v>0.11800000000000002</v>
      </c>
      <c r="G13" s="13">
        <f t="shared" si="0"/>
        <v>0.31705685618729085</v>
      </c>
      <c r="H13" s="13">
        <f t="shared" si="1"/>
        <v>0.67362725458797634</v>
      </c>
      <c r="I13" s="13">
        <f t="shared" si="2"/>
        <v>0.43800822483221474</v>
      </c>
      <c r="J13" s="13">
        <f t="shared" si="3"/>
        <v>0.13407046979865772</v>
      </c>
      <c r="K13" s="17" t="str">
        <f t="shared" si="4"/>
        <v/>
      </c>
      <c r="L13" s="17" t="str">
        <f t="shared" si="5"/>
        <v/>
      </c>
    </row>
    <row r="14" spans="1:17">
      <c r="A14" s="17">
        <v>5</v>
      </c>
      <c r="B14" s="17">
        <v>1</v>
      </c>
      <c r="C14" s="17">
        <v>21</v>
      </c>
      <c r="D14" s="20" t="s">
        <v>76</v>
      </c>
      <c r="E14" s="21">
        <v>0.25800000000000001</v>
      </c>
      <c r="F14" s="21">
        <f t="shared" si="6"/>
        <v>0.10200000000000001</v>
      </c>
      <c r="G14" s="13">
        <f t="shared" si="0"/>
        <v>0.31705685618729085</v>
      </c>
      <c r="H14" s="13">
        <f t="shared" si="1"/>
        <v>0.67362725458797634</v>
      </c>
      <c r="I14" s="13">
        <f t="shared" si="2"/>
        <v>0.43800822483221474</v>
      </c>
      <c r="J14" s="13">
        <f t="shared" si="3"/>
        <v>0.13407046979865772</v>
      </c>
      <c r="K14" s="17" t="str">
        <f t="shared" si="4"/>
        <v/>
      </c>
      <c r="L14" s="17" t="str">
        <f t="shared" si="5"/>
        <v/>
      </c>
    </row>
    <row r="15" spans="1:17">
      <c r="A15" s="17">
        <v>6</v>
      </c>
      <c r="B15" s="17">
        <v>1</v>
      </c>
      <c r="C15" s="17">
        <v>20</v>
      </c>
      <c r="D15" s="20" t="s">
        <v>77</v>
      </c>
      <c r="E15" s="21">
        <v>0.153</v>
      </c>
      <c r="F15" s="21">
        <f t="shared" si="6"/>
        <v>0.10500000000000001</v>
      </c>
      <c r="G15" s="13">
        <f t="shared" si="0"/>
        <v>0.31705685618729085</v>
      </c>
      <c r="H15" s="13">
        <f t="shared" si="1"/>
        <v>0.67362725458797634</v>
      </c>
      <c r="I15" s="13">
        <f t="shared" si="2"/>
        <v>0.43800822483221474</v>
      </c>
      <c r="J15" s="13">
        <f t="shared" si="3"/>
        <v>0.13407046979865772</v>
      </c>
      <c r="K15" s="17" t="str">
        <f t="shared" si="4"/>
        <v/>
      </c>
      <c r="L15" s="17" t="str">
        <f t="shared" si="5"/>
        <v/>
      </c>
    </row>
    <row r="16" spans="1:17">
      <c r="A16" s="17">
        <v>7</v>
      </c>
      <c r="B16" s="17">
        <v>1</v>
      </c>
      <c r="C16" s="17">
        <v>19</v>
      </c>
      <c r="D16" s="20" t="s">
        <v>78</v>
      </c>
      <c r="E16" s="21">
        <v>0.38600000000000001</v>
      </c>
      <c r="F16" s="21">
        <f t="shared" si="6"/>
        <v>0.23300000000000001</v>
      </c>
      <c r="G16" s="13">
        <f t="shared" si="0"/>
        <v>0.31705685618729085</v>
      </c>
      <c r="H16" s="13">
        <f t="shared" si="1"/>
        <v>0.67362725458797634</v>
      </c>
      <c r="I16" s="13">
        <f t="shared" si="2"/>
        <v>0.43800822483221474</v>
      </c>
      <c r="J16" s="13">
        <f t="shared" si="3"/>
        <v>0.13407046979865772</v>
      </c>
      <c r="K16" s="17" t="str">
        <f t="shared" si="4"/>
        <v/>
      </c>
      <c r="L16" s="17" t="str">
        <f t="shared" si="5"/>
        <v/>
      </c>
    </row>
    <row r="17" spans="1:12">
      <c r="A17" s="17">
        <v>8</v>
      </c>
      <c r="B17" s="17">
        <v>1</v>
      </c>
      <c r="C17" s="17">
        <v>18</v>
      </c>
      <c r="D17" s="20" t="s">
        <v>79</v>
      </c>
      <c r="E17" s="21">
        <v>0.36299999999999999</v>
      </c>
      <c r="F17" s="21">
        <f t="shared" si="6"/>
        <v>2.300000000000002E-2</v>
      </c>
      <c r="G17" s="13">
        <f t="shared" si="0"/>
        <v>0.31705685618729085</v>
      </c>
      <c r="H17" s="13">
        <f t="shared" si="1"/>
        <v>0.67362725458797634</v>
      </c>
      <c r="I17" s="13">
        <f t="shared" si="2"/>
        <v>0.43800822483221474</v>
      </c>
      <c r="J17" s="13">
        <f t="shared" si="3"/>
        <v>0.13407046979865772</v>
      </c>
      <c r="K17" s="17" t="str">
        <f t="shared" si="4"/>
        <v/>
      </c>
      <c r="L17" s="17" t="str">
        <f t="shared" si="5"/>
        <v/>
      </c>
    </row>
    <row r="18" spans="1:12">
      <c r="A18" s="17">
        <v>9</v>
      </c>
      <c r="B18" s="17">
        <v>1</v>
      </c>
      <c r="C18" s="17">
        <v>17</v>
      </c>
      <c r="D18" s="20" t="s">
        <v>80</v>
      </c>
      <c r="E18" s="21">
        <v>0.20899999999999999</v>
      </c>
      <c r="F18" s="21">
        <f t="shared" si="6"/>
        <v>0.154</v>
      </c>
      <c r="G18" s="13">
        <f t="shared" si="0"/>
        <v>0.31705685618729085</v>
      </c>
      <c r="H18" s="13">
        <f t="shared" si="1"/>
        <v>0.67362725458797634</v>
      </c>
      <c r="I18" s="13">
        <f t="shared" si="2"/>
        <v>0.43800822483221474</v>
      </c>
      <c r="J18" s="13">
        <f t="shared" si="3"/>
        <v>0.13407046979865772</v>
      </c>
      <c r="K18" s="17" t="str">
        <f t="shared" si="4"/>
        <v/>
      </c>
      <c r="L18" s="17" t="str">
        <f t="shared" si="5"/>
        <v/>
      </c>
    </row>
    <row r="19" spans="1:12">
      <c r="A19" s="17">
        <v>10</v>
      </c>
      <c r="B19" s="17">
        <v>1</v>
      </c>
      <c r="C19" s="17">
        <v>16</v>
      </c>
      <c r="D19" s="20" t="s">
        <v>81</v>
      </c>
      <c r="E19" s="21">
        <v>0.16900000000000001</v>
      </c>
      <c r="F19" s="21">
        <f t="shared" si="6"/>
        <v>3.999999999999998E-2</v>
      </c>
      <c r="G19" s="13">
        <f t="shared" si="0"/>
        <v>0.31705685618729085</v>
      </c>
      <c r="H19" s="13">
        <f t="shared" si="1"/>
        <v>0.67362725458797634</v>
      </c>
      <c r="I19" s="13">
        <f t="shared" si="2"/>
        <v>0.43800822483221474</v>
      </c>
      <c r="J19" s="13">
        <f t="shared" si="3"/>
        <v>0.13407046979865772</v>
      </c>
      <c r="K19" s="17" t="str">
        <f t="shared" si="4"/>
        <v/>
      </c>
      <c r="L19" s="17" t="str">
        <f t="shared" si="5"/>
        <v/>
      </c>
    </row>
    <row r="20" spans="1:12">
      <c r="A20" s="17">
        <v>11</v>
      </c>
      <c r="B20" s="17">
        <v>1</v>
      </c>
      <c r="C20" s="17">
        <v>15</v>
      </c>
      <c r="D20" s="20" t="s">
        <v>82</v>
      </c>
      <c r="E20" s="21">
        <v>0.46</v>
      </c>
      <c r="F20" s="21">
        <f t="shared" si="6"/>
        <v>0.29100000000000004</v>
      </c>
      <c r="G20" s="13">
        <f t="shared" si="0"/>
        <v>0.31705685618729085</v>
      </c>
      <c r="H20" s="13">
        <f t="shared" si="1"/>
        <v>0.67362725458797634</v>
      </c>
      <c r="I20" s="13">
        <f t="shared" si="2"/>
        <v>0.43800822483221474</v>
      </c>
      <c r="J20" s="13">
        <f t="shared" si="3"/>
        <v>0.13407046979865772</v>
      </c>
      <c r="K20" s="17" t="str">
        <f t="shared" si="4"/>
        <v/>
      </c>
      <c r="L20" s="17" t="str">
        <f t="shared" si="5"/>
        <v/>
      </c>
    </row>
    <row r="21" spans="1:12">
      <c r="A21" s="17">
        <v>12</v>
      </c>
      <c r="B21" s="17">
        <v>1</v>
      </c>
      <c r="C21" s="17">
        <v>14</v>
      </c>
      <c r="D21" s="20" t="s">
        <v>83</v>
      </c>
      <c r="E21" s="21">
        <v>0.4</v>
      </c>
      <c r="F21" s="21">
        <f t="shared" si="6"/>
        <v>0.06</v>
      </c>
      <c r="G21" s="13">
        <f t="shared" si="0"/>
        <v>0.31705685618729085</v>
      </c>
      <c r="H21" s="13">
        <f t="shared" si="1"/>
        <v>0.67362725458797634</v>
      </c>
      <c r="I21" s="13">
        <f t="shared" si="2"/>
        <v>0.43800822483221474</v>
      </c>
      <c r="J21" s="13">
        <f t="shared" si="3"/>
        <v>0.13407046979865772</v>
      </c>
      <c r="K21" s="17" t="str">
        <f t="shared" si="4"/>
        <v/>
      </c>
      <c r="L21" s="17" t="str">
        <f t="shared" si="5"/>
        <v/>
      </c>
    </row>
    <row r="22" spans="1:12">
      <c r="A22" s="17">
        <v>13</v>
      </c>
      <c r="B22" s="17">
        <v>1</v>
      </c>
      <c r="C22" s="17">
        <v>13</v>
      </c>
      <c r="D22" s="20" t="s">
        <v>84</v>
      </c>
      <c r="E22" s="21">
        <v>0.33600000000000002</v>
      </c>
      <c r="F22" s="21">
        <f t="shared" si="6"/>
        <v>6.4000000000000001E-2</v>
      </c>
      <c r="G22" s="13">
        <f t="shared" si="0"/>
        <v>0.31705685618729085</v>
      </c>
      <c r="H22" s="13">
        <f t="shared" si="1"/>
        <v>0.67362725458797634</v>
      </c>
      <c r="I22" s="13">
        <f t="shared" si="2"/>
        <v>0.43800822483221474</v>
      </c>
      <c r="J22" s="13">
        <f t="shared" si="3"/>
        <v>0.13407046979865772</v>
      </c>
      <c r="K22" s="17" t="str">
        <f t="shared" si="4"/>
        <v/>
      </c>
      <c r="L22" s="17" t="str">
        <f t="shared" si="5"/>
        <v/>
      </c>
    </row>
    <row r="23" spans="1:12">
      <c r="A23" s="17">
        <v>14</v>
      </c>
      <c r="B23" s="17">
        <v>1</v>
      </c>
      <c r="C23" s="17">
        <v>12</v>
      </c>
      <c r="D23" s="20" t="s">
        <v>85</v>
      </c>
      <c r="E23" s="21">
        <v>0.50800000000000001</v>
      </c>
      <c r="F23" s="21">
        <f t="shared" si="6"/>
        <v>0.17199999999999999</v>
      </c>
      <c r="G23" s="13">
        <f t="shared" si="0"/>
        <v>0.31705685618729085</v>
      </c>
      <c r="H23" s="13">
        <f t="shared" si="1"/>
        <v>0.67362725458797634</v>
      </c>
      <c r="I23" s="13">
        <f t="shared" si="2"/>
        <v>0.43800822483221474</v>
      </c>
      <c r="J23" s="13">
        <f t="shared" si="3"/>
        <v>0.13407046979865772</v>
      </c>
      <c r="K23" s="17" t="str">
        <f t="shared" si="4"/>
        <v/>
      </c>
      <c r="L23" s="17" t="str">
        <f t="shared" si="5"/>
        <v/>
      </c>
    </row>
    <row r="24" spans="1:12">
      <c r="A24" s="17">
        <v>15</v>
      </c>
      <c r="B24" s="17">
        <v>1</v>
      </c>
      <c r="C24" s="17">
        <v>11</v>
      </c>
      <c r="D24" s="20" t="s">
        <v>86</v>
      </c>
      <c r="E24" s="21">
        <v>0.59199999999999997</v>
      </c>
      <c r="F24" s="21">
        <f t="shared" si="6"/>
        <v>8.3999999999999964E-2</v>
      </c>
      <c r="G24" s="13">
        <f t="shared" si="0"/>
        <v>0.31705685618729085</v>
      </c>
      <c r="H24" s="13">
        <f t="shared" si="1"/>
        <v>0.67362725458797634</v>
      </c>
      <c r="I24" s="13">
        <f t="shared" si="2"/>
        <v>0.43800822483221474</v>
      </c>
      <c r="J24" s="13">
        <f t="shared" si="3"/>
        <v>0.13407046979865772</v>
      </c>
      <c r="K24" s="17" t="str">
        <f t="shared" si="4"/>
        <v/>
      </c>
      <c r="L24" s="17" t="str">
        <f t="shared" si="5"/>
        <v/>
      </c>
    </row>
    <row r="25" spans="1:12">
      <c r="A25" s="17">
        <v>16</v>
      </c>
      <c r="B25" s="17">
        <v>1</v>
      </c>
      <c r="C25" s="17">
        <v>10</v>
      </c>
      <c r="D25" s="20" t="s">
        <v>87</v>
      </c>
      <c r="E25" s="21">
        <v>0.32900000000000001</v>
      </c>
      <c r="F25" s="21">
        <f t="shared" si="6"/>
        <v>0.26299999999999996</v>
      </c>
      <c r="G25" s="13">
        <f t="shared" si="0"/>
        <v>0.31705685618729085</v>
      </c>
      <c r="H25" s="13">
        <f t="shared" si="1"/>
        <v>0.67362725458797634</v>
      </c>
      <c r="I25" s="13">
        <f t="shared" si="2"/>
        <v>0.43800822483221474</v>
      </c>
      <c r="J25" s="13">
        <f t="shared" si="3"/>
        <v>0.13407046979865772</v>
      </c>
      <c r="K25" s="17" t="str">
        <f t="shared" si="4"/>
        <v/>
      </c>
      <c r="L25" s="17" t="str">
        <f t="shared" si="5"/>
        <v/>
      </c>
    </row>
    <row r="26" spans="1:12">
      <c r="A26" s="17">
        <v>17</v>
      </c>
      <c r="B26" s="17">
        <v>1</v>
      </c>
      <c r="C26" s="17">
        <v>9</v>
      </c>
      <c r="D26" s="20" t="s">
        <v>88</v>
      </c>
      <c r="E26" s="21">
        <v>0.24</v>
      </c>
      <c r="F26" s="21">
        <f t="shared" si="6"/>
        <v>8.9000000000000024E-2</v>
      </c>
      <c r="G26" s="13">
        <f t="shared" si="0"/>
        <v>0.31705685618729085</v>
      </c>
      <c r="H26" s="13">
        <f t="shared" si="1"/>
        <v>0.67362725458797634</v>
      </c>
      <c r="I26" s="13">
        <f t="shared" si="2"/>
        <v>0.43800822483221474</v>
      </c>
      <c r="J26" s="13">
        <f t="shared" si="3"/>
        <v>0.13407046979865772</v>
      </c>
      <c r="K26" s="17" t="str">
        <f t="shared" si="4"/>
        <v/>
      </c>
      <c r="L26" s="17" t="str">
        <f t="shared" si="5"/>
        <v/>
      </c>
    </row>
    <row r="27" spans="1:12">
      <c r="A27" s="17">
        <v>18</v>
      </c>
      <c r="B27" s="17">
        <v>1</v>
      </c>
      <c r="C27" s="17">
        <v>8</v>
      </c>
      <c r="D27" s="20" t="s">
        <v>89</v>
      </c>
      <c r="E27" s="21">
        <v>7.3999999999999996E-2</v>
      </c>
      <c r="F27" s="21">
        <f t="shared" si="6"/>
        <v>0.16599999999999998</v>
      </c>
      <c r="G27" s="13">
        <f t="shared" si="0"/>
        <v>0.31705685618729085</v>
      </c>
      <c r="H27" s="13">
        <f t="shared" si="1"/>
        <v>0.67362725458797634</v>
      </c>
      <c r="I27" s="13">
        <f t="shared" si="2"/>
        <v>0.43800822483221474</v>
      </c>
      <c r="J27" s="13">
        <f t="shared" si="3"/>
        <v>0.13407046979865772</v>
      </c>
      <c r="K27" s="17" t="str">
        <f t="shared" si="4"/>
        <v/>
      </c>
      <c r="L27" s="17" t="str">
        <f t="shared" si="5"/>
        <v/>
      </c>
    </row>
    <row r="28" spans="1:12">
      <c r="A28" s="17">
        <v>19</v>
      </c>
      <c r="B28" s="17">
        <v>1</v>
      </c>
      <c r="C28" s="17">
        <v>7</v>
      </c>
      <c r="D28" s="20" t="s">
        <v>90</v>
      </c>
      <c r="E28" s="21">
        <v>0.36099999999999999</v>
      </c>
      <c r="F28" s="21">
        <f t="shared" si="6"/>
        <v>0.28699999999999998</v>
      </c>
      <c r="G28" s="13">
        <f t="shared" si="0"/>
        <v>0.31705685618729085</v>
      </c>
      <c r="H28" s="13">
        <f t="shared" si="1"/>
        <v>0.67362725458797634</v>
      </c>
      <c r="I28" s="13">
        <f t="shared" si="2"/>
        <v>0.43800822483221474</v>
      </c>
      <c r="J28" s="13">
        <f t="shared" si="3"/>
        <v>0.13407046979865772</v>
      </c>
      <c r="K28" s="17" t="str">
        <f t="shared" si="4"/>
        <v/>
      </c>
      <c r="L28" s="17" t="str">
        <f t="shared" si="5"/>
        <v/>
      </c>
    </row>
    <row r="29" spans="1:12">
      <c r="A29" s="17">
        <v>20</v>
      </c>
      <c r="B29" s="17">
        <v>1</v>
      </c>
      <c r="C29" s="17">
        <v>5</v>
      </c>
      <c r="D29" s="20" t="s">
        <v>92</v>
      </c>
      <c r="E29" s="21">
        <v>0.312</v>
      </c>
      <c r="F29" s="21">
        <f t="shared" si="6"/>
        <v>4.8999999999999988E-2</v>
      </c>
      <c r="G29" s="13">
        <f t="shared" si="0"/>
        <v>0.31705685618729085</v>
      </c>
      <c r="H29" s="13">
        <f t="shared" si="1"/>
        <v>0.67362725458797634</v>
      </c>
      <c r="I29" s="13">
        <f t="shared" si="2"/>
        <v>0.43800822483221474</v>
      </c>
      <c r="J29" s="13">
        <f t="shared" si="3"/>
        <v>0.13407046979865772</v>
      </c>
      <c r="K29" s="17" t="str">
        <f t="shared" si="4"/>
        <v/>
      </c>
      <c r="L29" s="17" t="str">
        <f t="shared" si="5"/>
        <v/>
      </c>
    </row>
    <row r="30" spans="1:12">
      <c r="A30" s="17">
        <v>21</v>
      </c>
      <c r="B30" s="17">
        <v>1</v>
      </c>
      <c r="C30" s="17">
        <v>4</v>
      </c>
      <c r="D30" s="20" t="s">
        <v>93</v>
      </c>
      <c r="E30" s="21">
        <v>0.36099999999999999</v>
      </c>
      <c r="F30" s="21">
        <f t="shared" si="6"/>
        <v>4.8999999999999988E-2</v>
      </c>
      <c r="G30" s="13">
        <f t="shared" si="0"/>
        <v>0.31705685618729085</v>
      </c>
      <c r="H30" s="13">
        <f t="shared" si="1"/>
        <v>0.67362725458797634</v>
      </c>
      <c r="I30" s="13">
        <f t="shared" si="2"/>
        <v>0.43800822483221474</v>
      </c>
      <c r="J30" s="13">
        <f t="shared" si="3"/>
        <v>0.13407046979865772</v>
      </c>
      <c r="K30" s="17" t="str">
        <f t="shared" si="4"/>
        <v/>
      </c>
      <c r="L30" s="17" t="str">
        <f t="shared" si="5"/>
        <v/>
      </c>
    </row>
    <row r="31" spans="1:12">
      <c r="A31" s="17">
        <v>22</v>
      </c>
      <c r="B31" s="17">
        <v>1</v>
      </c>
      <c r="C31" s="17">
        <v>3</v>
      </c>
      <c r="D31" s="20" t="s">
        <v>94</v>
      </c>
      <c r="E31" s="21">
        <v>0.23</v>
      </c>
      <c r="F31" s="21">
        <f t="shared" si="6"/>
        <v>0.13099999999999998</v>
      </c>
      <c r="G31" s="13">
        <f t="shared" si="0"/>
        <v>0.31705685618729085</v>
      </c>
      <c r="H31" s="13">
        <f t="shared" si="1"/>
        <v>0.67362725458797634</v>
      </c>
      <c r="I31" s="13">
        <f t="shared" si="2"/>
        <v>0.43800822483221474</v>
      </c>
      <c r="J31" s="13">
        <f t="shared" si="3"/>
        <v>0.13407046979865772</v>
      </c>
      <c r="K31" s="17" t="str">
        <f t="shared" si="4"/>
        <v/>
      </c>
      <c r="L31" s="17" t="str">
        <f t="shared" si="5"/>
        <v/>
      </c>
    </row>
    <row r="32" spans="1:12">
      <c r="A32" s="17">
        <v>23</v>
      </c>
      <c r="B32" s="17">
        <v>1</v>
      </c>
      <c r="C32" s="17">
        <v>2</v>
      </c>
      <c r="D32" s="20" t="s">
        <v>95</v>
      </c>
      <c r="E32" s="21">
        <v>0.28199999999999997</v>
      </c>
      <c r="F32" s="21">
        <f t="shared" si="6"/>
        <v>5.1999999999999963E-2</v>
      </c>
      <c r="G32" s="13">
        <f t="shared" si="0"/>
        <v>0.31705685618729085</v>
      </c>
      <c r="H32" s="13">
        <f t="shared" si="1"/>
        <v>0.67362725458797634</v>
      </c>
      <c r="I32" s="13">
        <f t="shared" si="2"/>
        <v>0.43800822483221474</v>
      </c>
      <c r="J32" s="13">
        <f t="shared" si="3"/>
        <v>0.13407046979865772</v>
      </c>
      <c r="K32" s="17" t="str">
        <f t="shared" si="4"/>
        <v/>
      </c>
      <c r="L32" s="17" t="str">
        <f t="shared" si="5"/>
        <v/>
      </c>
    </row>
    <row r="33" spans="1:12">
      <c r="A33" s="17">
        <v>24</v>
      </c>
      <c r="B33" s="17">
        <v>1</v>
      </c>
      <c r="C33" s="17">
        <v>1</v>
      </c>
      <c r="D33" s="20" t="s">
        <v>96</v>
      </c>
      <c r="E33" s="21">
        <v>0.20699999999999999</v>
      </c>
      <c r="F33" s="21">
        <f t="shared" si="6"/>
        <v>7.4999999999999983E-2</v>
      </c>
      <c r="G33" s="13">
        <f t="shared" si="0"/>
        <v>0.31705685618729085</v>
      </c>
      <c r="H33" s="13">
        <f t="shared" si="1"/>
        <v>0.67362725458797634</v>
      </c>
      <c r="I33" s="13">
        <f t="shared" si="2"/>
        <v>0.43800822483221474</v>
      </c>
      <c r="J33" s="13">
        <f t="shared" si="3"/>
        <v>0.13407046979865772</v>
      </c>
      <c r="K33" s="17" t="str">
        <f t="shared" si="4"/>
        <v/>
      </c>
      <c r="L33" s="17" t="str">
        <f t="shared" si="5"/>
        <v/>
      </c>
    </row>
    <row r="34" spans="1:12">
      <c r="A34" s="17">
        <v>25</v>
      </c>
      <c r="B34" s="17">
        <v>1</v>
      </c>
      <c r="C34" s="17">
        <v>25</v>
      </c>
      <c r="D34" s="20" t="s">
        <v>97</v>
      </c>
      <c r="E34" s="21">
        <v>0.34799999999999998</v>
      </c>
      <c r="F34" s="21">
        <f t="shared" si="6"/>
        <v>0.14099999999999999</v>
      </c>
      <c r="G34" s="13">
        <f t="shared" si="0"/>
        <v>0.31705685618729085</v>
      </c>
      <c r="H34" s="13">
        <f t="shared" si="1"/>
        <v>0.67362725458797634</v>
      </c>
      <c r="I34" s="13">
        <f t="shared" si="2"/>
        <v>0.43800822483221474</v>
      </c>
      <c r="J34" s="13">
        <f t="shared" si="3"/>
        <v>0.13407046979865772</v>
      </c>
      <c r="K34" s="17" t="str">
        <f t="shared" si="4"/>
        <v/>
      </c>
      <c r="L34" s="17" t="str">
        <f t="shared" si="5"/>
        <v/>
      </c>
    </row>
    <row r="35" spans="1:12">
      <c r="A35" s="17">
        <v>26</v>
      </c>
      <c r="B35" s="17">
        <v>1</v>
      </c>
      <c r="C35" s="17">
        <v>24</v>
      </c>
      <c r="D35" s="20" t="s">
        <v>98</v>
      </c>
      <c r="E35" s="21">
        <v>0.26700000000000002</v>
      </c>
      <c r="F35" s="21">
        <f t="shared" si="6"/>
        <v>8.0999999999999961E-2</v>
      </c>
      <c r="G35" s="13">
        <f t="shared" si="0"/>
        <v>0.31705685618729085</v>
      </c>
      <c r="H35" s="13">
        <f t="shared" si="1"/>
        <v>0.67362725458797634</v>
      </c>
      <c r="I35" s="13">
        <f t="shared" si="2"/>
        <v>0.43800822483221474</v>
      </c>
      <c r="J35" s="13">
        <f t="shared" si="3"/>
        <v>0.13407046979865772</v>
      </c>
      <c r="K35" s="17" t="str">
        <f t="shared" si="4"/>
        <v/>
      </c>
      <c r="L35" s="17" t="str">
        <f t="shared" si="5"/>
        <v/>
      </c>
    </row>
    <row r="36" spans="1:12">
      <c r="A36" s="17">
        <v>27</v>
      </c>
      <c r="B36" s="17">
        <v>1</v>
      </c>
      <c r="C36" s="17">
        <v>23</v>
      </c>
      <c r="D36" s="20" t="s">
        <v>99</v>
      </c>
      <c r="E36" s="21">
        <v>0.28299999999999997</v>
      </c>
      <c r="F36" s="21">
        <f t="shared" si="6"/>
        <v>1.5999999999999959E-2</v>
      </c>
      <c r="G36" s="13">
        <f t="shared" si="0"/>
        <v>0.31705685618729085</v>
      </c>
      <c r="H36" s="13">
        <f t="shared" si="1"/>
        <v>0.67362725458797634</v>
      </c>
      <c r="I36" s="13">
        <f t="shared" si="2"/>
        <v>0.43800822483221474</v>
      </c>
      <c r="J36" s="13">
        <f t="shared" si="3"/>
        <v>0.13407046979865772</v>
      </c>
      <c r="K36" s="17" t="str">
        <f t="shared" si="4"/>
        <v/>
      </c>
      <c r="L36" s="17" t="str">
        <f t="shared" si="5"/>
        <v/>
      </c>
    </row>
    <row r="37" spans="1:12">
      <c r="A37" s="17">
        <v>28</v>
      </c>
      <c r="B37" s="17">
        <v>1</v>
      </c>
      <c r="C37" s="17">
        <v>22</v>
      </c>
      <c r="D37" s="20" t="s">
        <v>100</v>
      </c>
      <c r="E37" s="21">
        <v>0.19</v>
      </c>
      <c r="F37" s="21">
        <f t="shared" si="6"/>
        <v>9.2999999999999972E-2</v>
      </c>
      <c r="G37" s="13">
        <f t="shared" si="0"/>
        <v>0.31705685618729085</v>
      </c>
      <c r="H37" s="13">
        <f t="shared" si="1"/>
        <v>0.67362725458797634</v>
      </c>
      <c r="I37" s="13">
        <f t="shared" si="2"/>
        <v>0.43800822483221474</v>
      </c>
      <c r="J37" s="13">
        <f t="shared" si="3"/>
        <v>0.13407046979865772</v>
      </c>
      <c r="K37" s="17" t="str">
        <f t="shared" si="4"/>
        <v/>
      </c>
      <c r="L37" s="17" t="str">
        <f t="shared" si="5"/>
        <v/>
      </c>
    </row>
    <row r="38" spans="1:12">
      <c r="A38" s="17">
        <v>29</v>
      </c>
      <c r="B38" s="17">
        <v>1</v>
      </c>
      <c r="C38" s="17">
        <v>21</v>
      </c>
      <c r="D38" s="20" t="s">
        <v>101</v>
      </c>
      <c r="E38" s="21">
        <v>0.19900000000000001</v>
      </c>
      <c r="F38" s="21">
        <f t="shared" si="6"/>
        <v>9.000000000000008E-3</v>
      </c>
      <c r="G38" s="13">
        <f t="shared" si="0"/>
        <v>0.31705685618729085</v>
      </c>
      <c r="H38" s="13">
        <f t="shared" si="1"/>
        <v>0.67362725458797634</v>
      </c>
      <c r="I38" s="13">
        <f t="shared" si="2"/>
        <v>0.43800822483221474</v>
      </c>
      <c r="J38" s="13">
        <f t="shared" si="3"/>
        <v>0.13407046979865772</v>
      </c>
      <c r="K38" s="17" t="str">
        <f t="shared" si="4"/>
        <v/>
      </c>
      <c r="L38" s="17" t="str">
        <f t="shared" si="5"/>
        <v/>
      </c>
    </row>
    <row r="39" spans="1:12">
      <c r="A39" s="17">
        <v>30</v>
      </c>
      <c r="B39" s="17">
        <v>1</v>
      </c>
      <c r="C39" s="17">
        <v>20</v>
      </c>
      <c r="D39" s="20" t="s">
        <v>102</v>
      </c>
      <c r="E39" s="21">
        <v>0.37</v>
      </c>
      <c r="F39" s="21">
        <f t="shared" si="6"/>
        <v>0.17099999999999999</v>
      </c>
      <c r="G39" s="13">
        <f t="shared" si="0"/>
        <v>0.31705685618729085</v>
      </c>
      <c r="H39" s="13">
        <f t="shared" si="1"/>
        <v>0.67362725458797634</v>
      </c>
      <c r="I39" s="13">
        <f t="shared" si="2"/>
        <v>0.43800822483221474</v>
      </c>
      <c r="J39" s="13">
        <f t="shared" si="3"/>
        <v>0.13407046979865772</v>
      </c>
      <c r="K39" s="17" t="str">
        <f t="shared" si="4"/>
        <v/>
      </c>
      <c r="L39" s="17" t="str">
        <f t="shared" si="5"/>
        <v/>
      </c>
    </row>
    <row r="40" spans="1:12">
      <c r="A40" s="17">
        <v>31</v>
      </c>
      <c r="B40" s="17">
        <v>1</v>
      </c>
      <c r="C40" s="17">
        <v>19</v>
      </c>
      <c r="D40" s="20" t="s">
        <v>103</v>
      </c>
      <c r="E40" s="21">
        <v>0.155</v>
      </c>
      <c r="F40" s="21">
        <f t="shared" si="6"/>
        <v>0.215</v>
      </c>
      <c r="G40" s="13">
        <f t="shared" si="0"/>
        <v>0.31705685618729085</v>
      </c>
      <c r="H40" s="13">
        <f t="shared" si="1"/>
        <v>0.67362725458797634</v>
      </c>
      <c r="I40" s="13">
        <f t="shared" si="2"/>
        <v>0.43800822483221474</v>
      </c>
      <c r="J40" s="13">
        <f t="shared" si="3"/>
        <v>0.13407046979865772</v>
      </c>
      <c r="K40" s="17" t="str">
        <f t="shared" si="4"/>
        <v/>
      </c>
      <c r="L40" s="17" t="str">
        <f t="shared" si="5"/>
        <v/>
      </c>
    </row>
    <row r="41" spans="1:12">
      <c r="A41" s="17">
        <v>32</v>
      </c>
      <c r="B41" s="17">
        <v>1</v>
      </c>
      <c r="C41" s="17">
        <v>18</v>
      </c>
      <c r="D41" s="20" t="s">
        <v>104</v>
      </c>
      <c r="E41" s="21">
        <v>0.48199999999999998</v>
      </c>
      <c r="F41" s="21">
        <f t="shared" si="6"/>
        <v>0.32699999999999996</v>
      </c>
      <c r="G41" s="13">
        <f t="shared" si="0"/>
        <v>0.31705685618729085</v>
      </c>
      <c r="H41" s="13">
        <f t="shared" si="1"/>
        <v>0.67362725458797634</v>
      </c>
      <c r="I41" s="13">
        <f t="shared" si="2"/>
        <v>0.43800822483221474</v>
      </c>
      <c r="J41" s="13">
        <f t="shared" si="3"/>
        <v>0.13407046979865772</v>
      </c>
      <c r="K41" s="17" t="str">
        <f t="shared" si="4"/>
        <v/>
      </c>
      <c r="L41" s="17" t="str">
        <f t="shared" si="5"/>
        <v/>
      </c>
    </row>
    <row r="42" spans="1:12">
      <c r="A42" s="17">
        <v>33</v>
      </c>
      <c r="B42" s="17">
        <v>1</v>
      </c>
      <c r="C42" s="17">
        <v>17</v>
      </c>
      <c r="D42" s="20" t="s">
        <v>105</v>
      </c>
      <c r="E42" s="21">
        <v>0.23799999999999999</v>
      </c>
      <c r="F42" s="21">
        <f t="shared" si="6"/>
        <v>0.24399999999999999</v>
      </c>
      <c r="G42" s="13">
        <f t="shared" si="0"/>
        <v>0.31705685618729085</v>
      </c>
      <c r="H42" s="13">
        <f t="shared" si="1"/>
        <v>0.67362725458797634</v>
      </c>
      <c r="I42" s="13">
        <f t="shared" si="2"/>
        <v>0.43800822483221474</v>
      </c>
      <c r="J42" s="13">
        <f t="shared" si="3"/>
        <v>0.13407046979865772</v>
      </c>
      <c r="K42" s="17" t="str">
        <f t="shared" si="4"/>
        <v/>
      </c>
      <c r="L42" s="17" t="str">
        <f t="shared" si="5"/>
        <v/>
      </c>
    </row>
    <row r="43" spans="1:12">
      <c r="A43" s="17">
        <v>34</v>
      </c>
      <c r="B43" s="17">
        <v>1</v>
      </c>
      <c r="C43" s="17">
        <v>16</v>
      </c>
      <c r="D43" s="20" t="s">
        <v>106</v>
      </c>
      <c r="E43" s="21">
        <v>0.20699999999999999</v>
      </c>
      <c r="F43" s="21">
        <f t="shared" si="6"/>
        <v>3.1E-2</v>
      </c>
      <c r="G43" s="13">
        <f t="shared" si="0"/>
        <v>0.31705685618729085</v>
      </c>
      <c r="H43" s="13">
        <f t="shared" si="1"/>
        <v>0.67362725458797634</v>
      </c>
      <c r="I43" s="13">
        <f t="shared" si="2"/>
        <v>0.43800822483221474</v>
      </c>
      <c r="J43" s="13">
        <f t="shared" si="3"/>
        <v>0.13407046979865772</v>
      </c>
      <c r="K43" s="17" t="str">
        <f t="shared" si="4"/>
        <v/>
      </c>
      <c r="L43" s="17" t="str">
        <f t="shared" si="5"/>
        <v/>
      </c>
    </row>
    <row r="44" spans="1:12">
      <c r="A44" s="17">
        <v>35</v>
      </c>
      <c r="B44" s="17">
        <v>1</v>
      </c>
      <c r="C44" s="17">
        <v>15</v>
      </c>
      <c r="D44" s="20" t="s">
        <v>107</v>
      </c>
      <c r="E44" s="21">
        <v>0.247</v>
      </c>
      <c r="F44" s="21">
        <f t="shared" si="6"/>
        <v>4.0000000000000008E-2</v>
      </c>
      <c r="G44" s="13">
        <f t="shared" si="0"/>
        <v>0.31705685618729085</v>
      </c>
      <c r="H44" s="13">
        <f t="shared" si="1"/>
        <v>0.67362725458797634</v>
      </c>
      <c r="I44" s="13">
        <f t="shared" si="2"/>
        <v>0.43800822483221474</v>
      </c>
      <c r="J44" s="13">
        <f t="shared" si="3"/>
        <v>0.13407046979865772</v>
      </c>
      <c r="K44" s="17" t="str">
        <f t="shared" si="4"/>
        <v/>
      </c>
      <c r="L44" s="17" t="str">
        <f t="shared" si="5"/>
        <v/>
      </c>
    </row>
    <row r="45" spans="1:12">
      <c r="A45" s="17">
        <v>36</v>
      </c>
      <c r="B45" s="17">
        <v>1</v>
      </c>
      <c r="C45" s="17">
        <v>14</v>
      </c>
      <c r="D45" s="20" t="s">
        <v>108</v>
      </c>
      <c r="E45" s="21">
        <v>0.30099999999999999</v>
      </c>
      <c r="F45" s="21">
        <f t="shared" si="6"/>
        <v>5.3999999999999992E-2</v>
      </c>
      <c r="G45" s="13">
        <f t="shared" si="0"/>
        <v>0.31705685618729085</v>
      </c>
      <c r="H45" s="13">
        <f t="shared" si="1"/>
        <v>0.67362725458797634</v>
      </c>
      <c r="I45" s="13">
        <f t="shared" si="2"/>
        <v>0.43800822483221474</v>
      </c>
      <c r="J45" s="13">
        <f t="shared" si="3"/>
        <v>0.13407046979865772</v>
      </c>
      <c r="K45" s="17" t="str">
        <f t="shared" si="4"/>
        <v/>
      </c>
      <c r="L45" s="17" t="str">
        <f t="shared" si="5"/>
        <v/>
      </c>
    </row>
    <row r="46" spans="1:12">
      <c r="A46" s="17">
        <v>37</v>
      </c>
      <c r="B46" s="17">
        <v>1</v>
      </c>
      <c r="C46" s="17">
        <v>13</v>
      </c>
      <c r="D46" s="20" t="s">
        <v>109</v>
      </c>
      <c r="E46" s="21">
        <v>0.36899999999999999</v>
      </c>
      <c r="F46" s="21">
        <f t="shared" si="6"/>
        <v>6.8000000000000005E-2</v>
      </c>
      <c r="G46" s="13">
        <f t="shared" si="0"/>
        <v>0.31705685618729085</v>
      </c>
      <c r="H46" s="13">
        <f t="shared" si="1"/>
        <v>0.67362725458797634</v>
      </c>
      <c r="I46" s="13">
        <f t="shared" si="2"/>
        <v>0.43800822483221474</v>
      </c>
      <c r="J46" s="13">
        <f t="shared" si="3"/>
        <v>0.13407046979865772</v>
      </c>
      <c r="K46" s="17" t="str">
        <f t="shared" si="4"/>
        <v/>
      </c>
      <c r="L46" s="17" t="str">
        <f t="shared" si="5"/>
        <v/>
      </c>
    </row>
    <row r="47" spans="1:12">
      <c r="A47" s="17">
        <v>38</v>
      </c>
      <c r="B47" s="17">
        <v>1</v>
      </c>
      <c r="C47" s="17">
        <v>12</v>
      </c>
      <c r="D47" s="20" t="s">
        <v>110</v>
      </c>
      <c r="E47" s="21">
        <v>0.29699999999999999</v>
      </c>
      <c r="F47" s="21">
        <f t="shared" si="6"/>
        <v>7.2000000000000008E-2</v>
      </c>
      <c r="G47" s="13">
        <f t="shared" si="0"/>
        <v>0.31705685618729085</v>
      </c>
      <c r="H47" s="13">
        <f t="shared" si="1"/>
        <v>0.67362725458797634</v>
      </c>
      <c r="I47" s="13">
        <f t="shared" si="2"/>
        <v>0.43800822483221474</v>
      </c>
      <c r="J47" s="13">
        <f t="shared" si="3"/>
        <v>0.13407046979865772</v>
      </c>
      <c r="K47" s="17" t="str">
        <f t="shared" si="4"/>
        <v/>
      </c>
      <c r="L47" s="17" t="str">
        <f t="shared" si="5"/>
        <v/>
      </c>
    </row>
    <row r="48" spans="1:12">
      <c r="A48" s="17">
        <v>39</v>
      </c>
      <c r="B48" s="17">
        <v>1</v>
      </c>
      <c r="C48" s="17">
        <v>11</v>
      </c>
      <c r="D48" s="20" t="s">
        <v>111</v>
      </c>
      <c r="E48" s="21">
        <v>0.33</v>
      </c>
      <c r="F48" s="21">
        <f t="shared" si="6"/>
        <v>3.3000000000000029E-2</v>
      </c>
      <c r="G48" s="13">
        <f t="shared" si="0"/>
        <v>0.31705685618729085</v>
      </c>
      <c r="H48" s="13">
        <f t="shared" si="1"/>
        <v>0.67362725458797634</v>
      </c>
      <c r="I48" s="13">
        <f t="shared" si="2"/>
        <v>0.43800822483221474</v>
      </c>
      <c r="J48" s="13">
        <f t="shared" si="3"/>
        <v>0.13407046979865772</v>
      </c>
      <c r="K48" s="17" t="str">
        <f t="shared" si="4"/>
        <v/>
      </c>
      <c r="L48" s="17" t="str">
        <f t="shared" si="5"/>
        <v/>
      </c>
    </row>
    <row r="49" spans="1:12">
      <c r="A49" s="17">
        <v>40</v>
      </c>
      <c r="B49" s="17">
        <v>1</v>
      </c>
      <c r="C49" s="17">
        <v>10</v>
      </c>
      <c r="D49" s="20" t="s">
        <v>112</v>
      </c>
      <c r="E49" s="21">
        <v>0.39</v>
      </c>
      <c r="F49" s="21">
        <f t="shared" si="6"/>
        <v>0.06</v>
      </c>
      <c r="G49" s="13">
        <f t="shared" si="0"/>
        <v>0.31705685618729085</v>
      </c>
      <c r="H49" s="13">
        <f t="shared" si="1"/>
        <v>0.67362725458797634</v>
      </c>
      <c r="I49" s="13">
        <f t="shared" si="2"/>
        <v>0.43800822483221474</v>
      </c>
      <c r="J49" s="13">
        <f t="shared" si="3"/>
        <v>0.13407046979865772</v>
      </c>
      <c r="K49" s="17" t="str">
        <f t="shared" si="4"/>
        <v/>
      </c>
      <c r="L49" s="17" t="str">
        <f t="shared" si="5"/>
        <v/>
      </c>
    </row>
    <row r="50" spans="1:12">
      <c r="A50" s="17">
        <v>41</v>
      </c>
      <c r="B50" s="17">
        <v>1</v>
      </c>
      <c r="C50" s="17">
        <v>9</v>
      </c>
      <c r="D50" s="20" t="s">
        <v>113</v>
      </c>
      <c r="E50" s="21">
        <v>0.245</v>
      </c>
      <c r="F50" s="21">
        <f t="shared" si="6"/>
        <v>0.14500000000000002</v>
      </c>
      <c r="G50" s="13">
        <f t="shared" si="0"/>
        <v>0.31705685618729085</v>
      </c>
      <c r="H50" s="13">
        <f t="shared" si="1"/>
        <v>0.67362725458797634</v>
      </c>
      <c r="I50" s="13">
        <f t="shared" si="2"/>
        <v>0.43800822483221474</v>
      </c>
      <c r="J50" s="13">
        <f t="shared" si="3"/>
        <v>0.13407046979865772</v>
      </c>
      <c r="K50" s="17" t="str">
        <f t="shared" si="4"/>
        <v/>
      </c>
      <c r="L50" s="17" t="str">
        <f t="shared" si="5"/>
        <v/>
      </c>
    </row>
    <row r="51" spans="1:12">
      <c r="A51" s="17">
        <v>42</v>
      </c>
      <c r="B51" s="17">
        <v>1</v>
      </c>
      <c r="C51" s="17">
        <v>8</v>
      </c>
      <c r="D51" s="20" t="s">
        <v>114</v>
      </c>
      <c r="E51" s="21">
        <v>0.40200000000000002</v>
      </c>
      <c r="F51" s="21">
        <f t="shared" si="6"/>
        <v>0.15700000000000003</v>
      </c>
      <c r="G51" s="13">
        <f t="shared" si="0"/>
        <v>0.31705685618729085</v>
      </c>
      <c r="H51" s="13">
        <f t="shared" si="1"/>
        <v>0.67362725458797634</v>
      </c>
      <c r="I51" s="13">
        <f t="shared" si="2"/>
        <v>0.43800822483221474</v>
      </c>
      <c r="J51" s="13">
        <f t="shared" si="3"/>
        <v>0.13407046979865772</v>
      </c>
      <c r="K51" s="17" t="str">
        <f t="shared" si="4"/>
        <v/>
      </c>
      <c r="L51" s="17" t="str">
        <f t="shared" si="5"/>
        <v/>
      </c>
    </row>
    <row r="52" spans="1:12">
      <c r="A52" s="17">
        <v>43</v>
      </c>
      <c r="B52" s="17">
        <v>1</v>
      </c>
      <c r="C52" s="17">
        <v>7</v>
      </c>
      <c r="D52" s="20" t="s">
        <v>115</v>
      </c>
      <c r="E52" s="21">
        <v>0.251</v>
      </c>
      <c r="F52" s="21">
        <f t="shared" si="6"/>
        <v>0.15100000000000002</v>
      </c>
      <c r="G52" s="13">
        <f t="shared" si="0"/>
        <v>0.31705685618729085</v>
      </c>
      <c r="H52" s="13">
        <f t="shared" si="1"/>
        <v>0.67362725458797634</v>
      </c>
      <c r="I52" s="13">
        <f t="shared" si="2"/>
        <v>0.43800822483221474</v>
      </c>
      <c r="J52" s="13">
        <f t="shared" si="3"/>
        <v>0.13407046979865772</v>
      </c>
      <c r="K52" s="17" t="str">
        <f t="shared" si="4"/>
        <v/>
      </c>
      <c r="L52" s="17" t="str">
        <f t="shared" si="5"/>
        <v/>
      </c>
    </row>
    <row r="53" spans="1:12">
      <c r="A53" s="17">
        <v>44</v>
      </c>
      <c r="B53" s="17">
        <v>1</v>
      </c>
      <c r="C53" s="17">
        <v>6</v>
      </c>
      <c r="D53" s="20" t="s">
        <v>116</v>
      </c>
      <c r="E53" s="21">
        <v>0.32100000000000001</v>
      </c>
      <c r="F53" s="21">
        <f t="shared" si="6"/>
        <v>7.0000000000000007E-2</v>
      </c>
      <c r="G53" s="13">
        <f t="shared" si="0"/>
        <v>0.31705685618729085</v>
      </c>
      <c r="H53" s="13">
        <f t="shared" si="1"/>
        <v>0.67362725458797634</v>
      </c>
      <c r="I53" s="13">
        <f t="shared" si="2"/>
        <v>0.43800822483221474</v>
      </c>
      <c r="J53" s="13">
        <f t="shared" si="3"/>
        <v>0.13407046979865772</v>
      </c>
      <c r="K53" s="17" t="str">
        <f t="shared" si="4"/>
        <v/>
      </c>
      <c r="L53" s="17" t="str">
        <f t="shared" si="5"/>
        <v/>
      </c>
    </row>
    <row r="54" spans="1:12">
      <c r="A54" s="17">
        <v>45</v>
      </c>
      <c r="B54" s="17">
        <v>1</v>
      </c>
      <c r="C54" s="17">
        <v>5</v>
      </c>
      <c r="D54" s="20" t="s">
        <v>117</v>
      </c>
      <c r="E54" s="21">
        <v>0.312</v>
      </c>
      <c r="F54" s="21">
        <f t="shared" si="6"/>
        <v>9.000000000000008E-3</v>
      </c>
      <c r="G54" s="13">
        <f t="shared" si="0"/>
        <v>0.31705685618729085</v>
      </c>
      <c r="H54" s="13">
        <f t="shared" si="1"/>
        <v>0.67362725458797634</v>
      </c>
      <c r="I54" s="13">
        <f t="shared" si="2"/>
        <v>0.43800822483221474</v>
      </c>
      <c r="J54" s="13">
        <f t="shared" si="3"/>
        <v>0.13407046979865772</v>
      </c>
      <c r="K54" s="17" t="str">
        <f t="shared" si="4"/>
        <v/>
      </c>
      <c r="L54" s="17" t="str">
        <f t="shared" si="5"/>
        <v/>
      </c>
    </row>
    <row r="55" spans="1:12">
      <c r="A55" s="17">
        <v>46</v>
      </c>
      <c r="B55" s="17">
        <v>1</v>
      </c>
      <c r="C55" s="17">
        <v>4</v>
      </c>
      <c r="D55" s="20" t="s">
        <v>118</v>
      </c>
      <c r="E55" s="21">
        <v>0.32800000000000001</v>
      </c>
      <c r="F55" s="21">
        <f t="shared" si="6"/>
        <v>1.6000000000000014E-2</v>
      </c>
      <c r="G55" s="13">
        <f t="shared" si="0"/>
        <v>0.31705685618729085</v>
      </c>
      <c r="H55" s="13">
        <f t="shared" si="1"/>
        <v>0.67362725458797634</v>
      </c>
      <c r="I55" s="13">
        <f t="shared" si="2"/>
        <v>0.43800822483221474</v>
      </c>
      <c r="J55" s="13">
        <f t="shared" si="3"/>
        <v>0.13407046979865772</v>
      </c>
      <c r="K55" s="17" t="str">
        <f t="shared" si="4"/>
        <v/>
      </c>
      <c r="L55" s="17" t="str">
        <f t="shared" si="5"/>
        <v/>
      </c>
    </row>
    <row r="56" spans="1:12">
      <c r="A56" s="17">
        <v>47</v>
      </c>
      <c r="B56" s="17">
        <v>1</v>
      </c>
      <c r="C56" s="17">
        <v>3</v>
      </c>
      <c r="D56" s="20" t="s">
        <v>119</v>
      </c>
      <c r="E56" s="21">
        <v>0.33900000000000002</v>
      </c>
      <c r="F56" s="21">
        <f t="shared" si="6"/>
        <v>1.100000000000001E-2</v>
      </c>
      <c r="G56" s="13">
        <f t="shared" si="0"/>
        <v>0.31705685618729085</v>
      </c>
      <c r="H56" s="13">
        <f t="shared" si="1"/>
        <v>0.67362725458797634</v>
      </c>
      <c r="I56" s="13">
        <f t="shared" si="2"/>
        <v>0.43800822483221474</v>
      </c>
      <c r="J56" s="13">
        <f t="shared" si="3"/>
        <v>0.13407046979865772</v>
      </c>
      <c r="K56" s="17" t="str">
        <f t="shared" si="4"/>
        <v/>
      </c>
      <c r="L56" s="17" t="str">
        <f t="shared" si="5"/>
        <v/>
      </c>
    </row>
    <row r="57" spans="1:12">
      <c r="A57" s="17">
        <v>48</v>
      </c>
      <c r="B57" s="17">
        <v>1</v>
      </c>
      <c r="C57" s="17">
        <v>2</v>
      </c>
      <c r="D57" s="20" t="s">
        <v>120</v>
      </c>
      <c r="E57" s="21">
        <v>0.34699999999999998</v>
      </c>
      <c r="F57" s="21">
        <f t="shared" si="6"/>
        <v>7.9999999999999516E-3</v>
      </c>
      <c r="G57" s="13">
        <f t="shared" si="0"/>
        <v>0.31705685618729085</v>
      </c>
      <c r="H57" s="13">
        <f t="shared" si="1"/>
        <v>0.67362725458797634</v>
      </c>
      <c r="I57" s="13">
        <f t="shared" si="2"/>
        <v>0.43800822483221474</v>
      </c>
      <c r="J57" s="13">
        <f t="shared" si="3"/>
        <v>0.13407046979865772</v>
      </c>
      <c r="K57" s="17" t="str">
        <f t="shared" si="4"/>
        <v/>
      </c>
      <c r="L57" s="17" t="str">
        <f t="shared" si="5"/>
        <v/>
      </c>
    </row>
    <row r="58" spans="1:12">
      <c r="A58" s="17">
        <v>49</v>
      </c>
      <c r="B58" s="17">
        <v>1</v>
      </c>
      <c r="C58" s="17">
        <v>1</v>
      </c>
      <c r="D58" s="20" t="s">
        <v>121</v>
      </c>
      <c r="E58" s="21">
        <v>0.23200000000000001</v>
      </c>
      <c r="F58" s="21">
        <f t="shared" si="6"/>
        <v>0.11499999999999996</v>
      </c>
      <c r="G58" s="13">
        <f t="shared" si="0"/>
        <v>0.31705685618729085</v>
      </c>
      <c r="H58" s="13">
        <f t="shared" si="1"/>
        <v>0.67362725458797634</v>
      </c>
      <c r="I58" s="13">
        <f t="shared" si="2"/>
        <v>0.43800822483221474</v>
      </c>
      <c r="J58" s="13">
        <f t="shared" si="3"/>
        <v>0.13407046979865772</v>
      </c>
      <c r="K58" s="17" t="str">
        <f t="shared" si="4"/>
        <v/>
      </c>
      <c r="L58" s="17" t="str">
        <f t="shared" si="5"/>
        <v/>
      </c>
    </row>
    <row r="59" spans="1:12">
      <c r="A59" s="17">
        <v>50</v>
      </c>
      <c r="B59" s="17">
        <v>2</v>
      </c>
      <c r="C59" s="17">
        <v>25</v>
      </c>
      <c r="D59" s="20" t="s">
        <v>122</v>
      </c>
      <c r="E59" s="21">
        <v>0.29499999999999998</v>
      </c>
      <c r="F59" s="21">
        <f t="shared" si="6"/>
        <v>6.2999999999999973E-2</v>
      </c>
      <c r="G59" s="13">
        <f t="shared" si="0"/>
        <v>0.31705685618729085</v>
      </c>
      <c r="H59" s="13">
        <f t="shared" si="1"/>
        <v>0.67362725458797634</v>
      </c>
      <c r="I59" s="13">
        <f t="shared" si="2"/>
        <v>0.43800822483221474</v>
      </c>
      <c r="J59" s="13">
        <f t="shared" si="3"/>
        <v>0.13407046979865772</v>
      </c>
      <c r="K59" s="17" t="str">
        <f t="shared" si="4"/>
        <v/>
      </c>
      <c r="L59" s="17" t="str">
        <f t="shared" si="5"/>
        <v/>
      </c>
    </row>
    <row r="60" spans="1:12">
      <c r="A60" s="17">
        <v>51</v>
      </c>
      <c r="B60" s="17">
        <v>2</v>
      </c>
      <c r="C60" s="17">
        <v>24</v>
      </c>
      <c r="D60" s="20" t="s">
        <v>123</v>
      </c>
      <c r="E60" s="21">
        <v>0.33800000000000002</v>
      </c>
      <c r="F60" s="21">
        <f t="shared" si="6"/>
        <v>4.3000000000000038E-2</v>
      </c>
      <c r="G60" s="13">
        <f t="shared" si="0"/>
        <v>0.31705685618729085</v>
      </c>
      <c r="H60" s="13">
        <f t="shared" si="1"/>
        <v>0.67362725458797634</v>
      </c>
      <c r="I60" s="13">
        <f t="shared" si="2"/>
        <v>0.43800822483221474</v>
      </c>
      <c r="J60" s="13">
        <f t="shared" si="3"/>
        <v>0.13407046979865772</v>
      </c>
      <c r="K60" s="17" t="str">
        <f t="shared" si="4"/>
        <v/>
      </c>
      <c r="L60" s="17" t="str">
        <f t="shared" si="5"/>
        <v/>
      </c>
    </row>
    <row r="61" spans="1:12">
      <c r="A61" s="17">
        <v>52</v>
      </c>
      <c r="B61" s="17">
        <v>2</v>
      </c>
      <c r="C61" s="17">
        <v>23</v>
      </c>
      <c r="D61" s="20" t="s">
        <v>124</v>
      </c>
      <c r="E61" s="21">
        <v>0.29599999999999999</v>
      </c>
      <c r="F61" s="21">
        <f t="shared" si="6"/>
        <v>4.2000000000000037E-2</v>
      </c>
      <c r="G61" s="13">
        <f t="shared" si="0"/>
        <v>0.31705685618729085</v>
      </c>
      <c r="H61" s="13">
        <f t="shared" si="1"/>
        <v>0.67362725458797634</v>
      </c>
      <c r="I61" s="13">
        <f t="shared" si="2"/>
        <v>0.43800822483221474</v>
      </c>
      <c r="J61" s="13">
        <f t="shared" si="3"/>
        <v>0.13407046979865772</v>
      </c>
      <c r="K61" s="17" t="str">
        <f t="shared" si="4"/>
        <v/>
      </c>
      <c r="L61" s="17" t="str">
        <f t="shared" si="5"/>
        <v/>
      </c>
    </row>
    <row r="62" spans="1:12">
      <c r="A62" s="17">
        <v>53</v>
      </c>
      <c r="B62" s="17">
        <v>2</v>
      </c>
      <c r="C62" s="17">
        <v>22</v>
      </c>
      <c r="D62" s="20" t="s">
        <v>125</v>
      </c>
      <c r="E62" s="21">
        <v>0.308</v>
      </c>
      <c r="F62" s="21">
        <f t="shared" si="6"/>
        <v>1.2000000000000011E-2</v>
      </c>
      <c r="G62" s="13">
        <f t="shared" si="0"/>
        <v>0.31705685618729085</v>
      </c>
      <c r="H62" s="13">
        <f t="shared" si="1"/>
        <v>0.67362725458797634</v>
      </c>
      <c r="I62" s="13">
        <f t="shared" si="2"/>
        <v>0.43800822483221474</v>
      </c>
      <c r="J62" s="13">
        <f t="shared" si="3"/>
        <v>0.13407046979865772</v>
      </c>
      <c r="K62" s="17" t="str">
        <f t="shared" si="4"/>
        <v/>
      </c>
      <c r="L62" s="17" t="str">
        <f t="shared" si="5"/>
        <v/>
      </c>
    </row>
    <row r="63" spans="1:12">
      <c r="A63" s="17">
        <v>54</v>
      </c>
      <c r="B63" s="17">
        <v>2</v>
      </c>
      <c r="C63" s="17">
        <v>21</v>
      </c>
      <c r="D63" s="20" t="s">
        <v>126</v>
      </c>
      <c r="E63" s="21">
        <v>0.252</v>
      </c>
      <c r="F63" s="21">
        <f t="shared" si="6"/>
        <v>5.5999999999999994E-2</v>
      </c>
      <c r="G63" s="13">
        <f t="shared" si="0"/>
        <v>0.31705685618729085</v>
      </c>
      <c r="H63" s="13">
        <f t="shared" si="1"/>
        <v>0.67362725458797634</v>
      </c>
      <c r="I63" s="13">
        <f t="shared" si="2"/>
        <v>0.43800822483221474</v>
      </c>
      <c r="J63" s="13">
        <f t="shared" si="3"/>
        <v>0.13407046979865772</v>
      </c>
      <c r="K63" s="17" t="str">
        <f t="shared" si="4"/>
        <v/>
      </c>
      <c r="L63" s="17" t="str">
        <f t="shared" si="5"/>
        <v/>
      </c>
    </row>
    <row r="64" spans="1:12">
      <c r="A64" s="17">
        <v>55</v>
      </c>
      <c r="B64" s="17">
        <v>2</v>
      </c>
      <c r="C64" s="17">
        <v>20</v>
      </c>
      <c r="D64" s="20" t="s">
        <v>127</v>
      </c>
      <c r="E64" s="21">
        <v>0.26400000000000001</v>
      </c>
      <c r="F64" s="21">
        <f t="shared" si="6"/>
        <v>1.2000000000000011E-2</v>
      </c>
      <c r="G64" s="13">
        <f t="shared" si="0"/>
        <v>0.31705685618729085</v>
      </c>
      <c r="H64" s="13">
        <f t="shared" si="1"/>
        <v>0.67362725458797634</v>
      </c>
      <c r="I64" s="13">
        <f t="shared" si="2"/>
        <v>0.43800822483221474</v>
      </c>
      <c r="J64" s="13">
        <f t="shared" si="3"/>
        <v>0.13407046979865772</v>
      </c>
      <c r="K64" s="17" t="str">
        <f t="shared" si="4"/>
        <v/>
      </c>
      <c r="L64" s="17" t="str">
        <f t="shared" si="5"/>
        <v/>
      </c>
    </row>
    <row r="65" spans="1:12">
      <c r="A65" s="17">
        <v>56</v>
      </c>
      <c r="B65" s="17">
        <v>2</v>
      </c>
      <c r="C65" s="17">
        <v>19</v>
      </c>
      <c r="D65" s="20" t="s">
        <v>128</v>
      </c>
      <c r="E65" s="21">
        <v>0.55800000000000005</v>
      </c>
      <c r="F65" s="21">
        <f t="shared" si="6"/>
        <v>0.29400000000000004</v>
      </c>
      <c r="G65" s="13">
        <f t="shared" si="0"/>
        <v>0.31705685618729085</v>
      </c>
      <c r="H65" s="13">
        <f t="shared" si="1"/>
        <v>0.67362725458797634</v>
      </c>
      <c r="I65" s="13">
        <f t="shared" si="2"/>
        <v>0.43800822483221474</v>
      </c>
      <c r="J65" s="13">
        <f t="shared" si="3"/>
        <v>0.13407046979865772</v>
      </c>
      <c r="K65" s="17" t="str">
        <f t="shared" si="4"/>
        <v/>
      </c>
      <c r="L65" s="17" t="str">
        <f t="shared" si="5"/>
        <v/>
      </c>
    </row>
    <row r="66" spans="1:12">
      <c r="A66" s="17">
        <v>57</v>
      </c>
      <c r="B66" s="17">
        <v>2</v>
      </c>
      <c r="C66" s="17">
        <v>18</v>
      </c>
      <c r="D66" s="20" t="s">
        <v>129</v>
      </c>
      <c r="E66" s="21">
        <v>0.29799999999999999</v>
      </c>
      <c r="F66" s="21">
        <f t="shared" si="6"/>
        <v>0.26000000000000006</v>
      </c>
      <c r="G66" s="13">
        <f t="shared" si="0"/>
        <v>0.31705685618729085</v>
      </c>
      <c r="H66" s="13">
        <f t="shared" si="1"/>
        <v>0.67362725458797634</v>
      </c>
      <c r="I66" s="13">
        <f t="shared" si="2"/>
        <v>0.43800822483221474</v>
      </c>
      <c r="J66" s="13">
        <f t="shared" si="3"/>
        <v>0.13407046979865772</v>
      </c>
      <c r="K66" s="17" t="str">
        <f t="shared" si="4"/>
        <v/>
      </c>
      <c r="L66" s="17" t="str">
        <f t="shared" si="5"/>
        <v/>
      </c>
    </row>
    <row r="67" spans="1:12">
      <c r="A67" s="17">
        <v>58</v>
      </c>
      <c r="B67" s="17">
        <v>2</v>
      </c>
      <c r="C67" s="17">
        <v>17</v>
      </c>
      <c r="D67" s="20" t="s">
        <v>130</v>
      </c>
      <c r="E67" s="21">
        <v>0.23699999999999999</v>
      </c>
      <c r="F67" s="21">
        <f t="shared" si="6"/>
        <v>6.0999999999999999E-2</v>
      </c>
      <c r="G67" s="13">
        <f t="shared" si="0"/>
        <v>0.31705685618729085</v>
      </c>
      <c r="H67" s="13">
        <f t="shared" si="1"/>
        <v>0.67362725458797634</v>
      </c>
      <c r="I67" s="13">
        <f t="shared" si="2"/>
        <v>0.43800822483221474</v>
      </c>
      <c r="J67" s="13">
        <f t="shared" si="3"/>
        <v>0.13407046979865772</v>
      </c>
      <c r="K67" s="17" t="str">
        <f t="shared" si="4"/>
        <v/>
      </c>
      <c r="L67" s="17" t="str">
        <f t="shared" si="5"/>
        <v/>
      </c>
    </row>
    <row r="68" spans="1:12">
      <c r="A68" s="17">
        <v>59</v>
      </c>
      <c r="B68" s="17">
        <v>2</v>
      </c>
      <c r="C68" s="17">
        <v>16</v>
      </c>
      <c r="D68" s="20" t="s">
        <v>131</v>
      </c>
      <c r="E68" s="21">
        <v>0.29499999999999998</v>
      </c>
      <c r="F68" s="21">
        <f t="shared" si="6"/>
        <v>5.7999999999999996E-2</v>
      </c>
      <c r="G68" s="13">
        <f t="shared" si="0"/>
        <v>0.31705685618729085</v>
      </c>
      <c r="H68" s="13">
        <f t="shared" si="1"/>
        <v>0.67362725458797634</v>
      </c>
      <c r="I68" s="13">
        <f t="shared" si="2"/>
        <v>0.43800822483221474</v>
      </c>
      <c r="J68" s="13">
        <f t="shared" si="3"/>
        <v>0.13407046979865772</v>
      </c>
      <c r="K68" s="17" t="str">
        <f t="shared" si="4"/>
        <v/>
      </c>
      <c r="L68" s="17" t="str">
        <f t="shared" si="5"/>
        <v/>
      </c>
    </row>
    <row r="69" spans="1:12">
      <c r="A69" s="17">
        <v>60</v>
      </c>
      <c r="B69" s="17">
        <v>2</v>
      </c>
      <c r="C69" s="17">
        <v>15</v>
      </c>
      <c r="D69" s="20" t="s">
        <v>132</v>
      </c>
      <c r="E69" s="21">
        <v>0.59099999999999997</v>
      </c>
      <c r="F69" s="21">
        <f t="shared" si="6"/>
        <v>0.29599999999999999</v>
      </c>
      <c r="G69" s="13">
        <f t="shared" si="0"/>
        <v>0.31705685618729085</v>
      </c>
      <c r="H69" s="13">
        <f t="shared" si="1"/>
        <v>0.67362725458797634</v>
      </c>
      <c r="I69" s="13">
        <f t="shared" si="2"/>
        <v>0.43800822483221474</v>
      </c>
      <c r="J69" s="13">
        <f t="shared" si="3"/>
        <v>0.13407046979865772</v>
      </c>
      <c r="K69" s="17" t="str">
        <f t="shared" si="4"/>
        <v/>
      </c>
      <c r="L69" s="17" t="str">
        <f t="shared" si="5"/>
        <v/>
      </c>
    </row>
    <row r="70" spans="1:12">
      <c r="A70" s="17">
        <v>61</v>
      </c>
      <c r="B70" s="17">
        <v>2</v>
      </c>
      <c r="C70" s="17">
        <v>14</v>
      </c>
      <c r="D70" s="20" t="s">
        <v>133</v>
      </c>
      <c r="E70" s="21">
        <v>0.54700000000000004</v>
      </c>
      <c r="F70" s="21">
        <f t="shared" si="6"/>
        <v>4.3999999999999928E-2</v>
      </c>
      <c r="G70" s="13">
        <f t="shared" si="0"/>
        <v>0.31705685618729085</v>
      </c>
      <c r="H70" s="13">
        <f t="shared" si="1"/>
        <v>0.67362725458797634</v>
      </c>
      <c r="I70" s="13">
        <f t="shared" si="2"/>
        <v>0.43800822483221474</v>
      </c>
      <c r="J70" s="13">
        <f t="shared" si="3"/>
        <v>0.13407046979865772</v>
      </c>
      <c r="K70" s="17" t="str">
        <f t="shared" si="4"/>
        <v/>
      </c>
      <c r="L70" s="17" t="str">
        <f t="shared" si="5"/>
        <v/>
      </c>
    </row>
    <row r="71" spans="1:12">
      <c r="A71" s="17">
        <v>62</v>
      </c>
      <c r="B71" s="17">
        <v>2</v>
      </c>
      <c r="C71" s="17">
        <v>13</v>
      </c>
      <c r="D71" s="20" t="s">
        <v>134</v>
      </c>
      <c r="E71" s="21">
        <v>0.44900000000000001</v>
      </c>
      <c r="F71" s="21">
        <f t="shared" si="6"/>
        <v>9.8000000000000032E-2</v>
      </c>
      <c r="G71" s="13">
        <f t="shared" si="0"/>
        <v>0.31705685618729085</v>
      </c>
      <c r="H71" s="13">
        <f t="shared" si="1"/>
        <v>0.67362725458797634</v>
      </c>
      <c r="I71" s="13">
        <f t="shared" si="2"/>
        <v>0.43800822483221474</v>
      </c>
      <c r="J71" s="13">
        <f t="shared" si="3"/>
        <v>0.13407046979865772</v>
      </c>
      <c r="K71" s="17" t="str">
        <f t="shared" si="4"/>
        <v/>
      </c>
      <c r="L71" s="17" t="str">
        <f t="shared" si="5"/>
        <v/>
      </c>
    </row>
    <row r="72" spans="1:12">
      <c r="A72" s="17">
        <v>63</v>
      </c>
      <c r="B72" s="17">
        <v>2</v>
      </c>
      <c r="C72" s="17">
        <v>12</v>
      </c>
      <c r="D72" s="20" t="s">
        <v>135</v>
      </c>
      <c r="E72" s="21">
        <v>0.22</v>
      </c>
      <c r="F72" s="21">
        <f t="shared" si="6"/>
        <v>0.22900000000000001</v>
      </c>
      <c r="G72" s="13">
        <f t="shared" si="0"/>
        <v>0.31705685618729085</v>
      </c>
      <c r="H72" s="13">
        <f t="shared" si="1"/>
        <v>0.67362725458797634</v>
      </c>
      <c r="I72" s="13">
        <f t="shared" si="2"/>
        <v>0.43800822483221474</v>
      </c>
      <c r="J72" s="13">
        <f t="shared" si="3"/>
        <v>0.13407046979865772</v>
      </c>
      <c r="K72" s="17" t="str">
        <f t="shared" si="4"/>
        <v/>
      </c>
      <c r="L72" s="17" t="str">
        <f t="shared" si="5"/>
        <v/>
      </c>
    </row>
    <row r="73" spans="1:12">
      <c r="A73" s="17">
        <v>64</v>
      </c>
      <c r="B73" s="17">
        <v>2</v>
      </c>
      <c r="C73" s="17">
        <v>11</v>
      </c>
      <c r="D73" s="20" t="s">
        <v>136</v>
      </c>
      <c r="E73" s="21">
        <v>0.28299999999999997</v>
      </c>
      <c r="F73" s="21">
        <f t="shared" si="6"/>
        <v>6.2999999999999973E-2</v>
      </c>
      <c r="G73" s="13">
        <f t="shared" si="0"/>
        <v>0.31705685618729085</v>
      </c>
      <c r="H73" s="13">
        <f t="shared" si="1"/>
        <v>0.67362725458797634</v>
      </c>
      <c r="I73" s="13">
        <f t="shared" si="2"/>
        <v>0.43800822483221474</v>
      </c>
      <c r="J73" s="13">
        <f t="shared" si="3"/>
        <v>0.13407046979865772</v>
      </c>
      <c r="K73" s="17" t="str">
        <f t="shared" si="4"/>
        <v/>
      </c>
      <c r="L73" s="17" t="str">
        <f t="shared" si="5"/>
        <v/>
      </c>
    </row>
    <row r="74" spans="1:12">
      <c r="A74" s="17">
        <v>65</v>
      </c>
      <c r="B74" s="17">
        <v>2</v>
      </c>
      <c r="C74" s="17">
        <v>10</v>
      </c>
      <c r="D74" s="20" t="s">
        <v>137</v>
      </c>
      <c r="E74" s="21">
        <v>0.23899999999999999</v>
      </c>
      <c r="F74" s="21">
        <f t="shared" si="6"/>
        <v>4.3999999999999984E-2</v>
      </c>
      <c r="G74" s="13">
        <f t="shared" ref="G74:G137" si="7">$Q$3</f>
        <v>0.31705685618729085</v>
      </c>
      <c r="H74" s="13">
        <f t="shared" ref="H74:H137" si="8">$Q$6</f>
        <v>0.67362725458797634</v>
      </c>
      <c r="I74" s="13">
        <f t="shared" ref="I74:I137" si="9">$Q$7</f>
        <v>0.43800822483221474</v>
      </c>
      <c r="J74" s="13">
        <f t="shared" ref="J74:J137" si="10">$Q$4</f>
        <v>0.13407046979865772</v>
      </c>
      <c r="K74" s="17" t="str">
        <f t="shared" ref="K74:K137" si="11">IF(E74&gt;$Q$6,"OOC","" )</f>
        <v/>
      </c>
      <c r="L74" s="17" t="str">
        <f t="shared" ref="L74:L137" si="12">IF(E74&gt;$B$3,"OOS","" )</f>
        <v/>
      </c>
    </row>
    <row r="75" spans="1:12">
      <c r="A75" s="17">
        <v>66</v>
      </c>
      <c r="B75" s="17">
        <v>2</v>
      </c>
      <c r="C75" s="17">
        <v>9</v>
      </c>
      <c r="D75" s="20" t="s">
        <v>138</v>
      </c>
      <c r="E75" s="21">
        <v>0.18099999999999999</v>
      </c>
      <c r="F75" s="21">
        <f t="shared" ref="F75:F138" si="13">ABS(E75-E74)</f>
        <v>5.7999999999999996E-2</v>
      </c>
      <c r="G75" s="13">
        <f t="shared" si="7"/>
        <v>0.31705685618729085</v>
      </c>
      <c r="H75" s="13">
        <f t="shared" si="8"/>
        <v>0.67362725458797634</v>
      </c>
      <c r="I75" s="13">
        <f t="shared" si="9"/>
        <v>0.43800822483221474</v>
      </c>
      <c r="J75" s="13">
        <f t="shared" si="10"/>
        <v>0.13407046979865772</v>
      </c>
      <c r="K75" s="17" t="str">
        <f t="shared" si="11"/>
        <v/>
      </c>
      <c r="L75" s="17" t="str">
        <f t="shared" si="12"/>
        <v/>
      </c>
    </row>
    <row r="76" spans="1:12">
      <c r="A76" s="17">
        <v>67</v>
      </c>
      <c r="B76" s="17">
        <v>2</v>
      </c>
      <c r="C76" s="17">
        <v>8</v>
      </c>
      <c r="D76" s="20" t="s">
        <v>139</v>
      </c>
      <c r="E76" s="21">
        <v>0.191</v>
      </c>
      <c r="F76" s="21">
        <f t="shared" si="13"/>
        <v>1.0000000000000009E-2</v>
      </c>
      <c r="G76" s="13">
        <f t="shared" si="7"/>
        <v>0.31705685618729085</v>
      </c>
      <c r="H76" s="13">
        <f t="shared" si="8"/>
        <v>0.67362725458797634</v>
      </c>
      <c r="I76" s="13">
        <f t="shared" si="9"/>
        <v>0.43800822483221474</v>
      </c>
      <c r="J76" s="13">
        <f t="shared" si="10"/>
        <v>0.13407046979865772</v>
      </c>
      <c r="K76" s="17" t="str">
        <f t="shared" si="11"/>
        <v/>
      </c>
      <c r="L76" s="17" t="str">
        <f t="shared" si="12"/>
        <v/>
      </c>
    </row>
    <row r="77" spans="1:12">
      <c r="A77" s="17">
        <v>68</v>
      </c>
      <c r="B77" s="17">
        <v>2</v>
      </c>
      <c r="C77" s="17">
        <v>7</v>
      </c>
      <c r="D77" s="20" t="s">
        <v>140</v>
      </c>
      <c r="E77" s="21">
        <v>9.4E-2</v>
      </c>
      <c r="F77" s="21">
        <f t="shared" si="13"/>
        <v>9.7000000000000003E-2</v>
      </c>
      <c r="G77" s="13">
        <f t="shared" si="7"/>
        <v>0.31705685618729085</v>
      </c>
      <c r="H77" s="13">
        <f t="shared" si="8"/>
        <v>0.67362725458797634</v>
      </c>
      <c r="I77" s="13">
        <f t="shared" si="9"/>
        <v>0.43800822483221474</v>
      </c>
      <c r="J77" s="13">
        <f t="shared" si="10"/>
        <v>0.13407046979865772</v>
      </c>
      <c r="K77" s="17" t="str">
        <f t="shared" si="11"/>
        <v/>
      </c>
      <c r="L77" s="17" t="str">
        <f t="shared" si="12"/>
        <v/>
      </c>
    </row>
    <row r="78" spans="1:12">
      <c r="A78" s="17">
        <v>69</v>
      </c>
      <c r="B78" s="17">
        <v>2</v>
      </c>
      <c r="C78" s="17">
        <v>6</v>
      </c>
      <c r="D78" s="20" t="s">
        <v>141</v>
      </c>
      <c r="E78" s="21">
        <v>0.13100000000000001</v>
      </c>
      <c r="F78" s="21">
        <f t="shared" si="13"/>
        <v>3.7000000000000005E-2</v>
      </c>
      <c r="G78" s="13">
        <f t="shared" si="7"/>
        <v>0.31705685618729085</v>
      </c>
      <c r="H78" s="13">
        <f t="shared" si="8"/>
        <v>0.67362725458797634</v>
      </c>
      <c r="I78" s="13">
        <f t="shared" si="9"/>
        <v>0.43800822483221474</v>
      </c>
      <c r="J78" s="13">
        <f t="shared" si="10"/>
        <v>0.13407046979865772</v>
      </c>
      <c r="K78" s="17" t="str">
        <f t="shared" si="11"/>
        <v/>
      </c>
      <c r="L78" s="17" t="str">
        <f t="shared" si="12"/>
        <v/>
      </c>
    </row>
    <row r="79" spans="1:12">
      <c r="A79" s="17">
        <v>70</v>
      </c>
      <c r="B79" s="17">
        <v>2</v>
      </c>
      <c r="C79" s="17">
        <v>5</v>
      </c>
      <c r="D79" s="20" t="s">
        <v>142</v>
      </c>
      <c r="E79" s="21">
        <v>0.2</v>
      </c>
      <c r="F79" s="21">
        <f t="shared" si="13"/>
        <v>6.9000000000000006E-2</v>
      </c>
      <c r="G79" s="13">
        <f t="shared" si="7"/>
        <v>0.31705685618729085</v>
      </c>
      <c r="H79" s="13">
        <f t="shared" si="8"/>
        <v>0.67362725458797634</v>
      </c>
      <c r="I79" s="13">
        <f t="shared" si="9"/>
        <v>0.43800822483221474</v>
      </c>
      <c r="J79" s="13">
        <f t="shared" si="10"/>
        <v>0.13407046979865772</v>
      </c>
      <c r="K79" s="17" t="str">
        <f t="shared" si="11"/>
        <v/>
      </c>
      <c r="L79" s="17" t="str">
        <f t="shared" si="12"/>
        <v/>
      </c>
    </row>
    <row r="80" spans="1:12">
      <c r="A80" s="17">
        <v>71</v>
      </c>
      <c r="B80" s="17">
        <v>2</v>
      </c>
      <c r="C80" s="17">
        <v>4</v>
      </c>
      <c r="D80" s="20" t="s">
        <v>143</v>
      </c>
      <c r="E80" s="21">
        <v>0.30399999999999999</v>
      </c>
      <c r="F80" s="21">
        <f t="shared" si="13"/>
        <v>0.10399999999999998</v>
      </c>
      <c r="G80" s="13">
        <f t="shared" si="7"/>
        <v>0.31705685618729085</v>
      </c>
      <c r="H80" s="13">
        <f t="shared" si="8"/>
        <v>0.67362725458797634</v>
      </c>
      <c r="I80" s="13">
        <f t="shared" si="9"/>
        <v>0.43800822483221474</v>
      </c>
      <c r="J80" s="13">
        <f t="shared" si="10"/>
        <v>0.13407046979865772</v>
      </c>
      <c r="K80" s="17" t="str">
        <f t="shared" si="11"/>
        <v/>
      </c>
      <c r="L80" s="17" t="str">
        <f t="shared" si="12"/>
        <v/>
      </c>
    </row>
    <row r="81" spans="1:12">
      <c r="A81" s="17">
        <v>72</v>
      </c>
      <c r="B81" s="17">
        <v>2</v>
      </c>
      <c r="C81" s="17">
        <v>3</v>
      </c>
      <c r="D81" s="20" t="s">
        <v>144</v>
      </c>
      <c r="E81" s="21">
        <v>0.36699999999999999</v>
      </c>
      <c r="F81" s="21">
        <f t="shared" si="13"/>
        <v>6.3E-2</v>
      </c>
      <c r="G81" s="13">
        <f t="shared" si="7"/>
        <v>0.31705685618729085</v>
      </c>
      <c r="H81" s="13">
        <f t="shared" si="8"/>
        <v>0.67362725458797634</v>
      </c>
      <c r="I81" s="13">
        <f t="shared" si="9"/>
        <v>0.43800822483221474</v>
      </c>
      <c r="J81" s="13">
        <f t="shared" si="10"/>
        <v>0.13407046979865772</v>
      </c>
      <c r="K81" s="17" t="str">
        <f t="shared" si="11"/>
        <v/>
      </c>
      <c r="L81" s="17" t="str">
        <f t="shared" si="12"/>
        <v/>
      </c>
    </row>
    <row r="82" spans="1:12">
      <c r="A82" s="17">
        <v>73</v>
      </c>
      <c r="B82" s="17">
        <v>2</v>
      </c>
      <c r="C82" s="17">
        <v>2</v>
      </c>
      <c r="D82" s="20" t="s">
        <v>145</v>
      </c>
      <c r="E82" s="21">
        <v>0.29899999999999999</v>
      </c>
      <c r="F82" s="21">
        <f t="shared" si="13"/>
        <v>6.8000000000000005E-2</v>
      </c>
      <c r="G82" s="13">
        <f t="shared" si="7"/>
        <v>0.31705685618729085</v>
      </c>
      <c r="H82" s="13">
        <f t="shared" si="8"/>
        <v>0.67362725458797634</v>
      </c>
      <c r="I82" s="13">
        <f t="shared" si="9"/>
        <v>0.43800822483221474</v>
      </c>
      <c r="J82" s="13">
        <f t="shared" si="10"/>
        <v>0.13407046979865772</v>
      </c>
      <c r="K82" s="17" t="str">
        <f t="shared" si="11"/>
        <v/>
      </c>
      <c r="L82" s="17" t="str">
        <f t="shared" si="12"/>
        <v/>
      </c>
    </row>
    <row r="83" spans="1:12">
      <c r="A83" s="17">
        <v>74</v>
      </c>
      <c r="B83" s="17">
        <v>2</v>
      </c>
      <c r="C83" s="17">
        <v>1</v>
      </c>
      <c r="D83" s="20" t="s">
        <v>146</v>
      </c>
      <c r="E83" s="21">
        <v>0.23400000000000001</v>
      </c>
      <c r="F83" s="21">
        <f t="shared" si="13"/>
        <v>6.4999999999999974E-2</v>
      </c>
      <c r="G83" s="13">
        <f t="shared" si="7"/>
        <v>0.31705685618729085</v>
      </c>
      <c r="H83" s="13">
        <f t="shared" si="8"/>
        <v>0.67362725458797634</v>
      </c>
      <c r="I83" s="13">
        <f t="shared" si="9"/>
        <v>0.43800822483221474</v>
      </c>
      <c r="J83" s="13">
        <f t="shared" si="10"/>
        <v>0.13407046979865772</v>
      </c>
      <c r="K83" s="17" t="str">
        <f t="shared" si="11"/>
        <v/>
      </c>
      <c r="L83" s="17" t="str">
        <f t="shared" si="12"/>
        <v/>
      </c>
    </row>
    <row r="84" spans="1:12">
      <c r="A84" s="17">
        <v>75</v>
      </c>
      <c r="B84" s="17">
        <v>2</v>
      </c>
      <c r="C84" s="17">
        <v>25</v>
      </c>
      <c r="D84" s="20" t="s">
        <v>147</v>
      </c>
      <c r="E84" s="21">
        <v>0.54200000000000004</v>
      </c>
      <c r="F84" s="21">
        <f t="shared" si="13"/>
        <v>0.30800000000000005</v>
      </c>
      <c r="G84" s="13">
        <f t="shared" si="7"/>
        <v>0.31705685618729085</v>
      </c>
      <c r="H84" s="13">
        <f t="shared" si="8"/>
        <v>0.67362725458797634</v>
      </c>
      <c r="I84" s="13">
        <f t="shared" si="9"/>
        <v>0.43800822483221474</v>
      </c>
      <c r="J84" s="13">
        <f t="shared" si="10"/>
        <v>0.13407046979865772</v>
      </c>
      <c r="K84" s="17" t="str">
        <f t="shared" si="11"/>
        <v/>
      </c>
      <c r="L84" s="17" t="str">
        <f t="shared" si="12"/>
        <v/>
      </c>
    </row>
    <row r="85" spans="1:12">
      <c r="A85" s="17">
        <v>76</v>
      </c>
      <c r="B85" s="17">
        <v>2</v>
      </c>
      <c r="C85" s="17">
        <v>24</v>
      </c>
      <c r="D85" s="20" t="s">
        <v>148</v>
      </c>
      <c r="E85" s="21">
        <v>0.42</v>
      </c>
      <c r="F85" s="21">
        <f t="shared" si="13"/>
        <v>0.12200000000000005</v>
      </c>
      <c r="G85" s="13">
        <f t="shared" si="7"/>
        <v>0.31705685618729085</v>
      </c>
      <c r="H85" s="13">
        <f t="shared" si="8"/>
        <v>0.67362725458797634</v>
      </c>
      <c r="I85" s="13">
        <f t="shared" si="9"/>
        <v>0.43800822483221474</v>
      </c>
      <c r="J85" s="13">
        <f t="shared" si="10"/>
        <v>0.13407046979865772</v>
      </c>
      <c r="K85" s="17" t="str">
        <f t="shared" si="11"/>
        <v/>
      </c>
      <c r="L85" s="17" t="str">
        <f t="shared" si="12"/>
        <v/>
      </c>
    </row>
    <row r="86" spans="1:12">
      <c r="A86" s="17">
        <v>77</v>
      </c>
      <c r="B86" s="17">
        <v>2</v>
      </c>
      <c r="C86" s="17">
        <v>23</v>
      </c>
      <c r="D86" s="20" t="s">
        <v>149</v>
      </c>
      <c r="E86" s="21">
        <v>0.41599999999999998</v>
      </c>
      <c r="F86" s="21">
        <f t="shared" si="13"/>
        <v>4.0000000000000036E-3</v>
      </c>
      <c r="G86" s="13">
        <f t="shared" si="7"/>
        <v>0.31705685618729085</v>
      </c>
      <c r="H86" s="13">
        <f t="shared" si="8"/>
        <v>0.67362725458797634</v>
      </c>
      <c r="I86" s="13">
        <f t="shared" si="9"/>
        <v>0.43800822483221474</v>
      </c>
      <c r="J86" s="13">
        <f t="shared" si="10"/>
        <v>0.13407046979865772</v>
      </c>
      <c r="K86" s="17" t="str">
        <f t="shared" si="11"/>
        <v/>
      </c>
      <c r="L86" s="17" t="str">
        <f t="shared" si="12"/>
        <v/>
      </c>
    </row>
    <row r="87" spans="1:12">
      <c r="A87" s="17">
        <v>78</v>
      </c>
      <c r="B87" s="17">
        <v>2</v>
      </c>
      <c r="C87" s="17">
        <v>22</v>
      </c>
      <c r="D87" s="20" t="s">
        <v>150</v>
      </c>
      <c r="E87" s="21">
        <v>0.38100000000000001</v>
      </c>
      <c r="F87" s="21">
        <f t="shared" si="13"/>
        <v>3.4999999999999976E-2</v>
      </c>
      <c r="G87" s="13">
        <f t="shared" si="7"/>
        <v>0.31705685618729085</v>
      </c>
      <c r="H87" s="13">
        <f t="shared" si="8"/>
        <v>0.67362725458797634</v>
      </c>
      <c r="I87" s="13">
        <f t="shared" si="9"/>
        <v>0.43800822483221474</v>
      </c>
      <c r="J87" s="13">
        <f t="shared" si="10"/>
        <v>0.13407046979865772</v>
      </c>
      <c r="K87" s="17" t="str">
        <f t="shared" si="11"/>
        <v/>
      </c>
      <c r="L87" s="17" t="str">
        <f t="shared" si="12"/>
        <v/>
      </c>
    </row>
    <row r="88" spans="1:12">
      <c r="A88" s="17">
        <v>79</v>
      </c>
      <c r="B88" s="17">
        <v>2</v>
      </c>
      <c r="C88" s="17">
        <v>21</v>
      </c>
      <c r="D88" s="20" t="s">
        <v>151</v>
      </c>
      <c r="E88" s="21">
        <v>0.16500000000000001</v>
      </c>
      <c r="F88" s="21">
        <f t="shared" si="13"/>
        <v>0.216</v>
      </c>
      <c r="G88" s="13">
        <f t="shared" si="7"/>
        <v>0.31705685618729085</v>
      </c>
      <c r="H88" s="13">
        <f t="shared" si="8"/>
        <v>0.67362725458797634</v>
      </c>
      <c r="I88" s="13">
        <f t="shared" si="9"/>
        <v>0.43800822483221474</v>
      </c>
      <c r="J88" s="13">
        <f t="shared" si="10"/>
        <v>0.13407046979865772</v>
      </c>
      <c r="K88" s="17" t="str">
        <f t="shared" si="11"/>
        <v/>
      </c>
      <c r="L88" s="17" t="str">
        <f t="shared" si="12"/>
        <v/>
      </c>
    </row>
    <row r="89" spans="1:12">
      <c r="A89" s="17">
        <v>80</v>
      </c>
      <c r="B89" s="17">
        <v>2</v>
      </c>
      <c r="C89" s="17">
        <v>20</v>
      </c>
      <c r="D89" s="20" t="s">
        <v>152</v>
      </c>
      <c r="E89" s="21">
        <v>0.189</v>
      </c>
      <c r="F89" s="21">
        <f t="shared" si="13"/>
        <v>2.3999999999999994E-2</v>
      </c>
      <c r="G89" s="13">
        <f t="shared" si="7"/>
        <v>0.31705685618729085</v>
      </c>
      <c r="H89" s="13">
        <f t="shared" si="8"/>
        <v>0.67362725458797634</v>
      </c>
      <c r="I89" s="13">
        <f t="shared" si="9"/>
        <v>0.43800822483221474</v>
      </c>
      <c r="J89" s="13">
        <f t="shared" si="10"/>
        <v>0.13407046979865772</v>
      </c>
      <c r="K89" s="17" t="str">
        <f t="shared" si="11"/>
        <v/>
      </c>
      <c r="L89" s="17" t="str">
        <f t="shared" si="12"/>
        <v/>
      </c>
    </row>
    <row r="90" spans="1:12">
      <c r="A90" s="17">
        <v>81</v>
      </c>
      <c r="B90" s="17">
        <v>2</v>
      </c>
      <c r="C90" s="17">
        <v>19</v>
      </c>
      <c r="D90" s="20" t="s">
        <v>153</v>
      </c>
      <c r="E90" s="21">
        <v>0.504</v>
      </c>
      <c r="F90" s="21">
        <f t="shared" si="13"/>
        <v>0.315</v>
      </c>
      <c r="G90" s="13">
        <f t="shared" si="7"/>
        <v>0.31705685618729085</v>
      </c>
      <c r="H90" s="13">
        <f t="shared" si="8"/>
        <v>0.67362725458797634</v>
      </c>
      <c r="I90" s="13">
        <f t="shared" si="9"/>
        <v>0.43800822483221474</v>
      </c>
      <c r="J90" s="13">
        <f t="shared" si="10"/>
        <v>0.13407046979865772</v>
      </c>
      <c r="K90" s="17" t="str">
        <f t="shared" si="11"/>
        <v/>
      </c>
      <c r="L90" s="17" t="str">
        <f t="shared" si="12"/>
        <v/>
      </c>
    </row>
    <row r="91" spans="1:12">
      <c r="A91" s="17">
        <v>82</v>
      </c>
      <c r="B91" s="17">
        <v>2</v>
      </c>
      <c r="C91" s="17">
        <v>18</v>
      </c>
      <c r="D91" s="20" t="s">
        <v>154</v>
      </c>
      <c r="E91" s="21">
        <v>0.439</v>
      </c>
      <c r="F91" s="21">
        <f t="shared" si="13"/>
        <v>6.5000000000000002E-2</v>
      </c>
      <c r="G91" s="13">
        <f t="shared" si="7"/>
        <v>0.31705685618729085</v>
      </c>
      <c r="H91" s="13">
        <f t="shared" si="8"/>
        <v>0.67362725458797634</v>
      </c>
      <c r="I91" s="13">
        <f t="shared" si="9"/>
        <v>0.43800822483221474</v>
      </c>
      <c r="J91" s="13">
        <f t="shared" si="10"/>
        <v>0.13407046979865772</v>
      </c>
      <c r="K91" s="17" t="str">
        <f t="shared" si="11"/>
        <v/>
      </c>
      <c r="L91" s="17" t="str">
        <f t="shared" si="12"/>
        <v/>
      </c>
    </row>
    <row r="92" spans="1:12">
      <c r="A92" s="17">
        <v>83</v>
      </c>
      <c r="B92" s="17">
        <v>2</v>
      </c>
      <c r="C92" s="17">
        <v>17</v>
      </c>
      <c r="D92" s="20" t="s">
        <v>155</v>
      </c>
      <c r="E92" s="21">
        <v>0.16400000000000001</v>
      </c>
      <c r="F92" s="21">
        <f t="shared" si="13"/>
        <v>0.27500000000000002</v>
      </c>
      <c r="G92" s="13">
        <f t="shared" si="7"/>
        <v>0.31705685618729085</v>
      </c>
      <c r="H92" s="13">
        <f t="shared" si="8"/>
        <v>0.67362725458797634</v>
      </c>
      <c r="I92" s="13">
        <f t="shared" si="9"/>
        <v>0.43800822483221474</v>
      </c>
      <c r="J92" s="13">
        <f t="shared" si="10"/>
        <v>0.13407046979865772</v>
      </c>
      <c r="K92" s="17" t="str">
        <f t="shared" si="11"/>
        <v/>
      </c>
      <c r="L92" s="17" t="str">
        <f t="shared" si="12"/>
        <v/>
      </c>
    </row>
    <row r="93" spans="1:12">
      <c r="A93" s="17">
        <v>84</v>
      </c>
      <c r="B93" s="17">
        <v>2</v>
      </c>
      <c r="C93" s="17">
        <v>16</v>
      </c>
      <c r="D93" s="20" t="s">
        <v>156</v>
      </c>
      <c r="E93" s="21">
        <v>0.35699999999999998</v>
      </c>
      <c r="F93" s="21">
        <f t="shared" si="13"/>
        <v>0.19299999999999998</v>
      </c>
      <c r="G93" s="13">
        <f t="shared" si="7"/>
        <v>0.31705685618729085</v>
      </c>
      <c r="H93" s="13">
        <f t="shared" si="8"/>
        <v>0.67362725458797634</v>
      </c>
      <c r="I93" s="13">
        <f t="shared" si="9"/>
        <v>0.43800822483221474</v>
      </c>
      <c r="J93" s="13">
        <f t="shared" si="10"/>
        <v>0.13407046979865772</v>
      </c>
      <c r="K93" s="17" t="str">
        <f t="shared" si="11"/>
        <v/>
      </c>
      <c r="L93" s="17" t="str">
        <f t="shared" si="12"/>
        <v/>
      </c>
    </row>
    <row r="94" spans="1:12">
      <c r="A94" s="17">
        <v>85</v>
      </c>
      <c r="B94" s="17">
        <v>2</v>
      </c>
      <c r="C94" s="17">
        <v>15</v>
      </c>
      <c r="D94" s="20" t="s">
        <v>157</v>
      </c>
      <c r="E94" s="21">
        <v>0.188</v>
      </c>
      <c r="F94" s="21">
        <f t="shared" si="13"/>
        <v>0.16899999999999998</v>
      </c>
      <c r="G94" s="13">
        <f t="shared" si="7"/>
        <v>0.31705685618729085</v>
      </c>
      <c r="H94" s="13">
        <f t="shared" si="8"/>
        <v>0.67362725458797634</v>
      </c>
      <c r="I94" s="13">
        <f t="shared" si="9"/>
        <v>0.43800822483221474</v>
      </c>
      <c r="J94" s="13">
        <f t="shared" si="10"/>
        <v>0.13407046979865772</v>
      </c>
      <c r="K94" s="17" t="str">
        <f t="shared" si="11"/>
        <v/>
      </c>
      <c r="L94" s="17" t="str">
        <f t="shared" si="12"/>
        <v/>
      </c>
    </row>
    <row r="95" spans="1:12">
      <c r="A95" s="17">
        <v>86</v>
      </c>
      <c r="B95" s="17">
        <v>2</v>
      </c>
      <c r="C95" s="17">
        <v>14</v>
      </c>
      <c r="D95" s="20" t="s">
        <v>158</v>
      </c>
      <c r="E95" s="21">
        <v>0.441</v>
      </c>
      <c r="F95" s="21">
        <f t="shared" si="13"/>
        <v>0.253</v>
      </c>
      <c r="G95" s="13">
        <f t="shared" si="7"/>
        <v>0.31705685618729085</v>
      </c>
      <c r="H95" s="13">
        <f t="shared" si="8"/>
        <v>0.67362725458797634</v>
      </c>
      <c r="I95" s="13">
        <f t="shared" si="9"/>
        <v>0.43800822483221474</v>
      </c>
      <c r="J95" s="13">
        <f t="shared" si="10"/>
        <v>0.13407046979865772</v>
      </c>
      <c r="K95" s="17" t="str">
        <f t="shared" si="11"/>
        <v/>
      </c>
      <c r="L95" s="17" t="str">
        <f t="shared" si="12"/>
        <v/>
      </c>
    </row>
    <row r="96" spans="1:12">
      <c r="A96" s="17">
        <v>87</v>
      </c>
      <c r="B96" s="17">
        <v>2</v>
      </c>
      <c r="C96" s="17">
        <v>13</v>
      </c>
      <c r="D96" s="20" t="s">
        <v>159</v>
      </c>
      <c r="E96" s="21">
        <v>0.36899999999999999</v>
      </c>
      <c r="F96" s="21">
        <f t="shared" si="13"/>
        <v>7.2000000000000008E-2</v>
      </c>
      <c r="G96" s="13">
        <f t="shared" si="7"/>
        <v>0.31705685618729085</v>
      </c>
      <c r="H96" s="13">
        <f t="shared" si="8"/>
        <v>0.67362725458797634</v>
      </c>
      <c r="I96" s="13">
        <f t="shared" si="9"/>
        <v>0.43800822483221474</v>
      </c>
      <c r="J96" s="13">
        <f t="shared" si="10"/>
        <v>0.13407046979865772</v>
      </c>
      <c r="K96" s="17" t="str">
        <f t="shared" si="11"/>
        <v/>
      </c>
      <c r="L96" s="17" t="str">
        <f t="shared" si="12"/>
        <v/>
      </c>
    </row>
    <row r="97" spans="1:12">
      <c r="A97" s="17">
        <v>88</v>
      </c>
      <c r="B97" s="17">
        <v>2</v>
      </c>
      <c r="C97" s="17">
        <v>12</v>
      </c>
      <c r="D97" s="20" t="s">
        <v>160</v>
      </c>
      <c r="E97" s="21">
        <v>0.35</v>
      </c>
      <c r="F97" s="21">
        <f t="shared" si="13"/>
        <v>1.9000000000000017E-2</v>
      </c>
      <c r="G97" s="13">
        <f t="shared" si="7"/>
        <v>0.31705685618729085</v>
      </c>
      <c r="H97" s="13">
        <f t="shared" si="8"/>
        <v>0.67362725458797634</v>
      </c>
      <c r="I97" s="13">
        <f t="shared" si="9"/>
        <v>0.43800822483221474</v>
      </c>
      <c r="J97" s="13">
        <f t="shared" si="10"/>
        <v>0.13407046979865772</v>
      </c>
      <c r="K97" s="17" t="str">
        <f t="shared" si="11"/>
        <v/>
      </c>
      <c r="L97" s="17" t="str">
        <f t="shared" si="12"/>
        <v/>
      </c>
    </row>
    <row r="98" spans="1:12">
      <c r="A98" s="17">
        <v>89</v>
      </c>
      <c r="B98" s="17">
        <v>2</v>
      </c>
      <c r="C98" s="17">
        <v>11</v>
      </c>
      <c r="D98" s="20" t="s">
        <v>161</v>
      </c>
      <c r="E98" s="21">
        <v>0.245</v>
      </c>
      <c r="F98" s="21">
        <f t="shared" si="13"/>
        <v>0.10499999999999998</v>
      </c>
      <c r="G98" s="13">
        <f t="shared" si="7"/>
        <v>0.31705685618729085</v>
      </c>
      <c r="H98" s="13">
        <f t="shared" si="8"/>
        <v>0.67362725458797634</v>
      </c>
      <c r="I98" s="13">
        <f t="shared" si="9"/>
        <v>0.43800822483221474</v>
      </c>
      <c r="J98" s="13">
        <f t="shared" si="10"/>
        <v>0.13407046979865772</v>
      </c>
      <c r="K98" s="17" t="str">
        <f t="shared" si="11"/>
        <v/>
      </c>
      <c r="L98" s="17" t="str">
        <f t="shared" si="12"/>
        <v/>
      </c>
    </row>
    <row r="99" spans="1:12">
      <c r="A99" s="17">
        <v>90</v>
      </c>
      <c r="B99" s="17">
        <v>2</v>
      </c>
      <c r="C99" s="17">
        <v>10</v>
      </c>
      <c r="D99" s="20" t="s">
        <v>162</v>
      </c>
      <c r="E99" s="21">
        <v>0.17399999999999999</v>
      </c>
      <c r="F99" s="21">
        <f t="shared" si="13"/>
        <v>7.1000000000000008E-2</v>
      </c>
      <c r="G99" s="13">
        <f t="shared" si="7"/>
        <v>0.31705685618729085</v>
      </c>
      <c r="H99" s="13">
        <f t="shared" si="8"/>
        <v>0.67362725458797634</v>
      </c>
      <c r="I99" s="13">
        <f t="shared" si="9"/>
        <v>0.43800822483221474</v>
      </c>
      <c r="J99" s="13">
        <f t="shared" si="10"/>
        <v>0.13407046979865772</v>
      </c>
      <c r="K99" s="17" t="str">
        <f t="shared" si="11"/>
        <v/>
      </c>
      <c r="L99" s="17" t="str">
        <f t="shared" si="12"/>
        <v/>
      </c>
    </row>
    <row r="100" spans="1:12">
      <c r="A100" s="17">
        <v>91</v>
      </c>
      <c r="B100" s="17">
        <v>2</v>
      </c>
      <c r="C100" s="17">
        <v>9</v>
      </c>
      <c r="D100" s="20" t="s">
        <v>163</v>
      </c>
      <c r="E100" s="21">
        <v>0.24</v>
      </c>
      <c r="F100" s="21">
        <f t="shared" si="13"/>
        <v>6.6000000000000003E-2</v>
      </c>
      <c r="G100" s="13">
        <f t="shared" si="7"/>
        <v>0.31705685618729085</v>
      </c>
      <c r="H100" s="13">
        <f t="shared" si="8"/>
        <v>0.67362725458797634</v>
      </c>
      <c r="I100" s="13">
        <f t="shared" si="9"/>
        <v>0.43800822483221474</v>
      </c>
      <c r="J100" s="13">
        <f t="shared" si="10"/>
        <v>0.13407046979865772</v>
      </c>
      <c r="K100" s="17" t="str">
        <f t="shared" si="11"/>
        <v/>
      </c>
      <c r="L100" s="17" t="str">
        <f t="shared" si="12"/>
        <v/>
      </c>
    </row>
    <row r="101" spans="1:12">
      <c r="A101" s="17">
        <v>92</v>
      </c>
      <c r="B101" s="17">
        <v>2</v>
      </c>
      <c r="C101" s="17">
        <v>8</v>
      </c>
      <c r="D101" s="20" t="s">
        <v>164</v>
      </c>
      <c r="E101" s="21">
        <v>0.17599999999999999</v>
      </c>
      <c r="F101" s="21">
        <f t="shared" si="13"/>
        <v>6.4000000000000001E-2</v>
      </c>
      <c r="G101" s="13">
        <f t="shared" si="7"/>
        <v>0.31705685618729085</v>
      </c>
      <c r="H101" s="13">
        <f t="shared" si="8"/>
        <v>0.67362725458797634</v>
      </c>
      <c r="I101" s="13">
        <f t="shared" si="9"/>
        <v>0.43800822483221474</v>
      </c>
      <c r="J101" s="13">
        <f t="shared" si="10"/>
        <v>0.13407046979865772</v>
      </c>
      <c r="K101" s="17" t="str">
        <f t="shared" si="11"/>
        <v/>
      </c>
      <c r="L101" s="17" t="str">
        <f t="shared" si="12"/>
        <v/>
      </c>
    </row>
    <row r="102" spans="1:12">
      <c r="A102" s="17">
        <v>93</v>
      </c>
      <c r="B102" s="17">
        <v>2</v>
      </c>
      <c r="C102" s="17">
        <v>7</v>
      </c>
      <c r="D102" s="20" t="s">
        <v>165</v>
      </c>
      <c r="E102" s="21">
        <v>8.5999999999999993E-2</v>
      </c>
      <c r="F102" s="21">
        <f t="shared" si="13"/>
        <v>0.09</v>
      </c>
      <c r="G102" s="13">
        <f t="shared" si="7"/>
        <v>0.31705685618729085</v>
      </c>
      <c r="H102" s="13">
        <f t="shared" si="8"/>
        <v>0.67362725458797634</v>
      </c>
      <c r="I102" s="13">
        <f t="shared" si="9"/>
        <v>0.43800822483221474</v>
      </c>
      <c r="J102" s="13">
        <f t="shared" si="10"/>
        <v>0.13407046979865772</v>
      </c>
      <c r="K102" s="17" t="str">
        <f t="shared" si="11"/>
        <v/>
      </c>
      <c r="L102" s="17" t="str">
        <f t="shared" si="12"/>
        <v/>
      </c>
    </row>
    <row r="103" spans="1:12">
      <c r="A103" s="17">
        <v>94</v>
      </c>
      <c r="B103" s="17">
        <v>2</v>
      </c>
      <c r="C103" s="17">
        <v>6</v>
      </c>
      <c r="D103" s="20" t="s">
        <v>166</v>
      </c>
      <c r="E103" s="21">
        <v>0.20699999999999999</v>
      </c>
      <c r="F103" s="21">
        <f t="shared" si="13"/>
        <v>0.121</v>
      </c>
      <c r="G103" s="13">
        <f t="shared" si="7"/>
        <v>0.31705685618729085</v>
      </c>
      <c r="H103" s="13">
        <f t="shared" si="8"/>
        <v>0.67362725458797634</v>
      </c>
      <c r="I103" s="13">
        <f t="shared" si="9"/>
        <v>0.43800822483221474</v>
      </c>
      <c r="J103" s="13">
        <f t="shared" si="10"/>
        <v>0.13407046979865772</v>
      </c>
      <c r="K103" s="17" t="str">
        <f t="shared" si="11"/>
        <v/>
      </c>
      <c r="L103" s="17" t="str">
        <f t="shared" si="12"/>
        <v/>
      </c>
    </row>
    <row r="104" spans="1:12">
      <c r="A104" s="17">
        <v>95</v>
      </c>
      <c r="B104" s="17">
        <v>2</v>
      </c>
      <c r="C104" s="17">
        <v>5</v>
      </c>
      <c r="D104" s="20" t="s">
        <v>167</v>
      </c>
      <c r="E104" s="21">
        <v>0.21099999999999999</v>
      </c>
      <c r="F104" s="21">
        <f t="shared" si="13"/>
        <v>4.0000000000000036E-3</v>
      </c>
      <c r="G104" s="13">
        <f t="shared" si="7"/>
        <v>0.31705685618729085</v>
      </c>
      <c r="H104" s="13">
        <f t="shared" si="8"/>
        <v>0.67362725458797634</v>
      </c>
      <c r="I104" s="13">
        <f t="shared" si="9"/>
        <v>0.43800822483221474</v>
      </c>
      <c r="J104" s="13">
        <f t="shared" si="10"/>
        <v>0.13407046979865772</v>
      </c>
      <c r="K104" s="17" t="str">
        <f t="shared" si="11"/>
        <v/>
      </c>
      <c r="L104" s="17" t="str">
        <f t="shared" si="12"/>
        <v/>
      </c>
    </row>
    <row r="105" spans="1:12">
      <c r="A105" s="17">
        <v>96</v>
      </c>
      <c r="B105" s="17">
        <v>2</v>
      </c>
      <c r="C105" s="17">
        <v>4</v>
      </c>
      <c r="D105" s="20" t="s">
        <v>168</v>
      </c>
      <c r="E105" s="21">
        <v>0.38300000000000001</v>
      </c>
      <c r="F105" s="21">
        <f t="shared" si="13"/>
        <v>0.17200000000000001</v>
      </c>
      <c r="G105" s="13">
        <f t="shared" si="7"/>
        <v>0.31705685618729085</v>
      </c>
      <c r="H105" s="13">
        <f t="shared" si="8"/>
        <v>0.67362725458797634</v>
      </c>
      <c r="I105" s="13">
        <f t="shared" si="9"/>
        <v>0.43800822483221474</v>
      </c>
      <c r="J105" s="13">
        <f t="shared" si="10"/>
        <v>0.13407046979865772</v>
      </c>
      <c r="K105" s="17" t="str">
        <f t="shared" si="11"/>
        <v/>
      </c>
      <c r="L105" s="17" t="str">
        <f t="shared" si="12"/>
        <v/>
      </c>
    </row>
    <row r="106" spans="1:12">
      <c r="A106" s="17">
        <v>97</v>
      </c>
      <c r="B106" s="17">
        <v>2</v>
      </c>
      <c r="C106" s="17">
        <v>3</v>
      </c>
      <c r="D106" s="20" t="s">
        <v>169</v>
      </c>
      <c r="E106" s="21">
        <v>0.40200000000000002</v>
      </c>
      <c r="F106" s="21">
        <f t="shared" si="13"/>
        <v>1.9000000000000017E-2</v>
      </c>
      <c r="G106" s="13">
        <f t="shared" si="7"/>
        <v>0.31705685618729085</v>
      </c>
      <c r="H106" s="13">
        <f t="shared" si="8"/>
        <v>0.67362725458797634</v>
      </c>
      <c r="I106" s="13">
        <f t="shared" si="9"/>
        <v>0.43800822483221474</v>
      </c>
      <c r="J106" s="13">
        <f t="shared" si="10"/>
        <v>0.13407046979865772</v>
      </c>
      <c r="K106" s="17" t="str">
        <f t="shared" si="11"/>
        <v/>
      </c>
      <c r="L106" s="17" t="str">
        <f t="shared" si="12"/>
        <v/>
      </c>
    </row>
    <row r="107" spans="1:12">
      <c r="A107" s="17">
        <v>98</v>
      </c>
      <c r="B107" s="17">
        <v>2</v>
      </c>
      <c r="C107" s="17">
        <v>2</v>
      </c>
      <c r="D107" s="20" t="s">
        <v>170</v>
      </c>
      <c r="E107" s="21">
        <v>0.57999999999999996</v>
      </c>
      <c r="F107" s="21">
        <f t="shared" si="13"/>
        <v>0.17799999999999994</v>
      </c>
      <c r="G107" s="13">
        <f t="shared" si="7"/>
        <v>0.31705685618729085</v>
      </c>
      <c r="H107" s="13">
        <f t="shared" si="8"/>
        <v>0.67362725458797634</v>
      </c>
      <c r="I107" s="13">
        <f t="shared" si="9"/>
        <v>0.43800822483221474</v>
      </c>
      <c r="J107" s="13">
        <f t="shared" si="10"/>
        <v>0.13407046979865772</v>
      </c>
      <c r="K107" s="17" t="str">
        <f t="shared" si="11"/>
        <v/>
      </c>
      <c r="L107" s="17" t="str">
        <f t="shared" si="12"/>
        <v/>
      </c>
    </row>
    <row r="108" spans="1:12">
      <c r="A108" s="17">
        <v>99</v>
      </c>
      <c r="B108" s="17">
        <v>2</v>
      </c>
      <c r="C108" s="17">
        <v>1</v>
      </c>
      <c r="D108" s="20" t="s">
        <v>171</v>
      </c>
      <c r="E108" s="21">
        <v>0.35199999999999998</v>
      </c>
      <c r="F108" s="21">
        <f t="shared" si="13"/>
        <v>0.22799999999999998</v>
      </c>
      <c r="G108" s="13">
        <f t="shared" si="7"/>
        <v>0.31705685618729085</v>
      </c>
      <c r="H108" s="13">
        <f t="shared" si="8"/>
        <v>0.67362725458797634</v>
      </c>
      <c r="I108" s="13">
        <f t="shared" si="9"/>
        <v>0.43800822483221474</v>
      </c>
      <c r="J108" s="13">
        <f t="shared" si="10"/>
        <v>0.13407046979865772</v>
      </c>
      <c r="K108" s="17" t="str">
        <f t="shared" si="11"/>
        <v/>
      </c>
      <c r="L108" s="17" t="str">
        <f t="shared" si="12"/>
        <v/>
      </c>
    </row>
    <row r="109" spans="1:12">
      <c r="A109" s="17">
        <v>100</v>
      </c>
      <c r="B109" s="17">
        <v>3</v>
      </c>
      <c r="C109" s="17">
        <v>25</v>
      </c>
      <c r="D109" s="20" t="s">
        <v>172</v>
      </c>
      <c r="E109" s="21">
        <v>0.28299999999999997</v>
      </c>
      <c r="F109" s="21">
        <f t="shared" si="13"/>
        <v>6.9000000000000006E-2</v>
      </c>
      <c r="G109" s="13">
        <f t="shared" si="7"/>
        <v>0.31705685618729085</v>
      </c>
      <c r="H109" s="13">
        <f t="shared" si="8"/>
        <v>0.67362725458797634</v>
      </c>
      <c r="I109" s="13">
        <f t="shared" si="9"/>
        <v>0.43800822483221474</v>
      </c>
      <c r="J109" s="13">
        <f t="shared" si="10"/>
        <v>0.13407046979865772</v>
      </c>
      <c r="K109" s="17" t="str">
        <f t="shared" si="11"/>
        <v/>
      </c>
      <c r="L109" s="17" t="str">
        <f t="shared" si="12"/>
        <v/>
      </c>
    </row>
    <row r="110" spans="1:12">
      <c r="A110" s="17">
        <v>101</v>
      </c>
      <c r="B110" s="17">
        <v>3</v>
      </c>
      <c r="C110" s="17">
        <v>24</v>
      </c>
      <c r="D110" s="20" t="s">
        <v>173</v>
      </c>
      <c r="E110" s="21">
        <v>0.20899999999999999</v>
      </c>
      <c r="F110" s="21">
        <f t="shared" si="13"/>
        <v>7.3999999999999982E-2</v>
      </c>
      <c r="G110" s="13">
        <f t="shared" si="7"/>
        <v>0.31705685618729085</v>
      </c>
      <c r="H110" s="13">
        <f t="shared" si="8"/>
        <v>0.67362725458797634</v>
      </c>
      <c r="I110" s="13">
        <f t="shared" si="9"/>
        <v>0.43800822483221474</v>
      </c>
      <c r="J110" s="13">
        <f t="shared" si="10"/>
        <v>0.13407046979865772</v>
      </c>
      <c r="K110" s="17" t="str">
        <f t="shared" si="11"/>
        <v/>
      </c>
      <c r="L110" s="17" t="str">
        <f t="shared" si="12"/>
        <v/>
      </c>
    </row>
    <row r="111" spans="1:12">
      <c r="A111" s="17">
        <v>102</v>
      </c>
      <c r="B111" s="17">
        <v>3</v>
      </c>
      <c r="C111" s="17">
        <v>23</v>
      </c>
      <c r="D111" s="20" t="s">
        <v>174</v>
      </c>
      <c r="E111" s="21">
        <v>0.27</v>
      </c>
      <c r="F111" s="21">
        <f t="shared" si="13"/>
        <v>6.1000000000000026E-2</v>
      </c>
      <c r="G111" s="13">
        <f t="shared" si="7"/>
        <v>0.31705685618729085</v>
      </c>
      <c r="H111" s="13">
        <f t="shared" si="8"/>
        <v>0.67362725458797634</v>
      </c>
      <c r="I111" s="13">
        <f t="shared" si="9"/>
        <v>0.43800822483221474</v>
      </c>
      <c r="J111" s="13">
        <f t="shared" si="10"/>
        <v>0.13407046979865772</v>
      </c>
      <c r="K111" s="17" t="str">
        <f t="shared" si="11"/>
        <v/>
      </c>
      <c r="L111" s="17" t="str">
        <f t="shared" si="12"/>
        <v/>
      </c>
    </row>
    <row r="112" spans="1:12">
      <c r="A112" s="17">
        <v>103</v>
      </c>
      <c r="B112" s="17">
        <v>3</v>
      </c>
      <c r="C112" s="17">
        <v>22</v>
      </c>
      <c r="D112" s="20" t="s">
        <v>175</v>
      </c>
      <c r="E112" s="21">
        <v>0.22</v>
      </c>
      <c r="F112" s="21">
        <f t="shared" si="13"/>
        <v>5.0000000000000017E-2</v>
      </c>
      <c r="G112" s="13">
        <f t="shared" si="7"/>
        <v>0.31705685618729085</v>
      </c>
      <c r="H112" s="13">
        <f t="shared" si="8"/>
        <v>0.67362725458797634</v>
      </c>
      <c r="I112" s="13">
        <f t="shared" si="9"/>
        <v>0.43800822483221474</v>
      </c>
      <c r="J112" s="13">
        <f t="shared" si="10"/>
        <v>0.13407046979865772</v>
      </c>
      <c r="K112" s="17" t="str">
        <f t="shared" si="11"/>
        <v/>
      </c>
      <c r="L112" s="17" t="str">
        <f t="shared" si="12"/>
        <v/>
      </c>
    </row>
    <row r="113" spans="1:12">
      <c r="A113" s="17">
        <v>104</v>
      </c>
      <c r="B113" s="17">
        <v>3</v>
      </c>
      <c r="C113" s="17">
        <v>21</v>
      </c>
      <c r="D113" s="20" t="s">
        <v>176</v>
      </c>
      <c r="E113" s="21">
        <v>0.502</v>
      </c>
      <c r="F113" s="21">
        <f t="shared" si="13"/>
        <v>0.28200000000000003</v>
      </c>
      <c r="G113" s="13">
        <f t="shared" si="7"/>
        <v>0.31705685618729085</v>
      </c>
      <c r="H113" s="13">
        <f t="shared" si="8"/>
        <v>0.67362725458797634</v>
      </c>
      <c r="I113" s="13">
        <f t="shared" si="9"/>
        <v>0.43800822483221474</v>
      </c>
      <c r="J113" s="13">
        <f t="shared" si="10"/>
        <v>0.13407046979865772</v>
      </c>
      <c r="K113" s="17" t="str">
        <f t="shared" si="11"/>
        <v/>
      </c>
      <c r="L113" s="17" t="str">
        <f t="shared" si="12"/>
        <v/>
      </c>
    </row>
    <row r="114" spans="1:12">
      <c r="A114" s="17">
        <v>105</v>
      </c>
      <c r="B114" s="17">
        <v>3</v>
      </c>
      <c r="C114" s="17">
        <v>20</v>
      </c>
      <c r="D114" s="20" t="s">
        <v>177</v>
      </c>
      <c r="E114" s="21">
        <v>0.20499999999999999</v>
      </c>
      <c r="F114" s="21">
        <f t="shared" si="13"/>
        <v>0.29700000000000004</v>
      </c>
      <c r="G114" s="13">
        <f t="shared" si="7"/>
        <v>0.31705685618729085</v>
      </c>
      <c r="H114" s="13">
        <f t="shared" si="8"/>
        <v>0.67362725458797634</v>
      </c>
      <c r="I114" s="13">
        <f t="shared" si="9"/>
        <v>0.43800822483221474</v>
      </c>
      <c r="J114" s="13">
        <f t="shared" si="10"/>
        <v>0.13407046979865772</v>
      </c>
      <c r="K114" s="17" t="str">
        <f t="shared" si="11"/>
        <v/>
      </c>
      <c r="L114" s="17" t="str">
        <f t="shared" si="12"/>
        <v/>
      </c>
    </row>
    <row r="115" spans="1:12">
      <c r="A115" s="17">
        <v>106</v>
      </c>
      <c r="B115" s="17">
        <v>3</v>
      </c>
      <c r="C115" s="17">
        <v>19</v>
      </c>
      <c r="D115" s="20" t="s">
        <v>178</v>
      </c>
      <c r="E115" s="21">
        <v>8.1000000000000003E-2</v>
      </c>
      <c r="F115" s="21">
        <f t="shared" si="13"/>
        <v>0.12399999999999999</v>
      </c>
      <c r="G115" s="13">
        <f t="shared" si="7"/>
        <v>0.31705685618729085</v>
      </c>
      <c r="H115" s="13">
        <f t="shared" si="8"/>
        <v>0.67362725458797634</v>
      </c>
      <c r="I115" s="13">
        <f t="shared" si="9"/>
        <v>0.43800822483221474</v>
      </c>
      <c r="J115" s="13">
        <f t="shared" si="10"/>
        <v>0.13407046979865772</v>
      </c>
      <c r="K115" s="17" t="str">
        <f t="shared" si="11"/>
        <v/>
      </c>
      <c r="L115" s="17" t="str">
        <f t="shared" si="12"/>
        <v/>
      </c>
    </row>
    <row r="116" spans="1:12">
      <c r="A116" s="17">
        <v>107</v>
      </c>
      <c r="B116" s="17">
        <v>3</v>
      </c>
      <c r="C116" s="17">
        <v>18</v>
      </c>
      <c r="D116" s="20" t="s">
        <v>179</v>
      </c>
      <c r="E116" s="21">
        <v>0.308</v>
      </c>
      <c r="F116" s="21">
        <f t="shared" si="13"/>
        <v>0.22699999999999998</v>
      </c>
      <c r="G116" s="13">
        <f t="shared" si="7"/>
        <v>0.31705685618729085</v>
      </c>
      <c r="H116" s="13">
        <f t="shared" si="8"/>
        <v>0.67362725458797634</v>
      </c>
      <c r="I116" s="13">
        <f t="shared" si="9"/>
        <v>0.43800822483221474</v>
      </c>
      <c r="J116" s="13">
        <f t="shared" si="10"/>
        <v>0.13407046979865772</v>
      </c>
      <c r="K116" s="17" t="str">
        <f t="shared" si="11"/>
        <v/>
      </c>
      <c r="L116" s="17" t="str">
        <f t="shared" si="12"/>
        <v/>
      </c>
    </row>
    <row r="117" spans="1:12">
      <c r="A117" s="17">
        <v>108</v>
      </c>
      <c r="B117" s="17">
        <v>3</v>
      </c>
      <c r="C117" s="17">
        <v>17</v>
      </c>
      <c r="D117" s="20" t="s">
        <v>180</v>
      </c>
      <c r="E117" s="21">
        <v>0.41199999999999998</v>
      </c>
      <c r="F117" s="21">
        <f t="shared" si="13"/>
        <v>0.10399999999999998</v>
      </c>
      <c r="G117" s="13">
        <f t="shared" si="7"/>
        <v>0.31705685618729085</v>
      </c>
      <c r="H117" s="13">
        <f t="shared" si="8"/>
        <v>0.67362725458797634</v>
      </c>
      <c r="I117" s="13">
        <f t="shared" si="9"/>
        <v>0.43800822483221474</v>
      </c>
      <c r="J117" s="13">
        <f t="shared" si="10"/>
        <v>0.13407046979865772</v>
      </c>
      <c r="K117" s="17" t="str">
        <f t="shared" si="11"/>
        <v/>
      </c>
      <c r="L117" s="17" t="str">
        <f t="shared" si="12"/>
        <v/>
      </c>
    </row>
    <row r="118" spans="1:12">
      <c r="A118" s="17">
        <v>109</v>
      </c>
      <c r="B118" s="17">
        <v>3</v>
      </c>
      <c r="C118" s="17">
        <v>16</v>
      </c>
      <c r="D118" s="20" t="s">
        <v>181</v>
      </c>
      <c r="E118" s="21">
        <v>0.57899999999999996</v>
      </c>
      <c r="F118" s="21">
        <f t="shared" si="13"/>
        <v>0.16699999999999998</v>
      </c>
      <c r="G118" s="13">
        <f t="shared" si="7"/>
        <v>0.31705685618729085</v>
      </c>
      <c r="H118" s="13">
        <f t="shared" si="8"/>
        <v>0.67362725458797634</v>
      </c>
      <c r="I118" s="13">
        <f t="shared" si="9"/>
        <v>0.43800822483221474</v>
      </c>
      <c r="J118" s="13">
        <f t="shared" si="10"/>
        <v>0.13407046979865772</v>
      </c>
      <c r="K118" s="17" t="str">
        <f t="shared" si="11"/>
        <v/>
      </c>
      <c r="L118" s="17" t="str">
        <f t="shared" si="12"/>
        <v/>
      </c>
    </row>
    <row r="119" spans="1:12">
      <c r="A119" s="17">
        <v>110</v>
      </c>
      <c r="B119" s="17">
        <v>3</v>
      </c>
      <c r="C119" s="17">
        <v>15</v>
      </c>
      <c r="D119" s="20" t="s">
        <v>182</v>
      </c>
      <c r="E119" s="21">
        <v>0.497</v>
      </c>
      <c r="F119" s="21">
        <f t="shared" si="13"/>
        <v>8.1999999999999962E-2</v>
      </c>
      <c r="G119" s="13">
        <f t="shared" si="7"/>
        <v>0.31705685618729085</v>
      </c>
      <c r="H119" s="13">
        <f t="shared" si="8"/>
        <v>0.67362725458797634</v>
      </c>
      <c r="I119" s="13">
        <f t="shared" si="9"/>
        <v>0.43800822483221474</v>
      </c>
      <c r="J119" s="13">
        <f t="shared" si="10"/>
        <v>0.13407046979865772</v>
      </c>
      <c r="K119" s="17" t="str">
        <f t="shared" si="11"/>
        <v/>
      </c>
      <c r="L119" s="17" t="str">
        <f t="shared" si="12"/>
        <v/>
      </c>
    </row>
    <row r="120" spans="1:12">
      <c r="A120" s="17">
        <v>111</v>
      </c>
      <c r="B120" s="17">
        <v>3</v>
      </c>
      <c r="C120" s="17">
        <v>14</v>
      </c>
      <c r="D120" s="20" t="s">
        <v>183</v>
      </c>
      <c r="E120" s="21">
        <v>0.373</v>
      </c>
      <c r="F120" s="21">
        <f t="shared" si="13"/>
        <v>0.124</v>
      </c>
      <c r="G120" s="13">
        <f t="shared" si="7"/>
        <v>0.31705685618729085</v>
      </c>
      <c r="H120" s="13">
        <f t="shared" si="8"/>
        <v>0.67362725458797634</v>
      </c>
      <c r="I120" s="13">
        <f t="shared" si="9"/>
        <v>0.43800822483221474</v>
      </c>
      <c r="J120" s="13">
        <f t="shared" si="10"/>
        <v>0.13407046979865772</v>
      </c>
      <c r="K120" s="17" t="str">
        <f t="shared" si="11"/>
        <v/>
      </c>
      <c r="L120" s="17" t="str">
        <f t="shared" si="12"/>
        <v/>
      </c>
    </row>
    <row r="121" spans="1:12">
      <c r="A121" s="17">
        <v>112</v>
      </c>
      <c r="B121" s="17">
        <v>3</v>
      </c>
      <c r="C121" s="17">
        <v>13</v>
      </c>
      <c r="D121" s="20" t="s">
        <v>184</v>
      </c>
      <c r="E121" s="21">
        <v>0.20699999999999999</v>
      </c>
      <c r="F121" s="21">
        <f t="shared" si="13"/>
        <v>0.16600000000000001</v>
      </c>
      <c r="G121" s="13">
        <f t="shared" si="7"/>
        <v>0.31705685618729085</v>
      </c>
      <c r="H121" s="13">
        <f t="shared" si="8"/>
        <v>0.67362725458797634</v>
      </c>
      <c r="I121" s="13">
        <f t="shared" si="9"/>
        <v>0.43800822483221474</v>
      </c>
      <c r="J121" s="13">
        <f t="shared" si="10"/>
        <v>0.13407046979865772</v>
      </c>
      <c r="K121" s="17" t="str">
        <f t="shared" si="11"/>
        <v/>
      </c>
      <c r="L121" s="17" t="str">
        <f t="shared" si="12"/>
        <v/>
      </c>
    </row>
    <row r="122" spans="1:12">
      <c r="A122" s="17">
        <v>113</v>
      </c>
      <c r="B122" s="17">
        <v>3</v>
      </c>
      <c r="C122" s="17">
        <v>12</v>
      </c>
      <c r="D122" s="20" t="s">
        <v>185</v>
      </c>
      <c r="E122" s="21">
        <v>0.46500000000000002</v>
      </c>
      <c r="F122" s="21">
        <f t="shared" si="13"/>
        <v>0.25800000000000001</v>
      </c>
      <c r="G122" s="13">
        <f t="shared" si="7"/>
        <v>0.31705685618729085</v>
      </c>
      <c r="H122" s="13">
        <f t="shared" si="8"/>
        <v>0.67362725458797634</v>
      </c>
      <c r="I122" s="13">
        <f t="shared" si="9"/>
        <v>0.43800822483221474</v>
      </c>
      <c r="J122" s="13">
        <f t="shared" si="10"/>
        <v>0.13407046979865772</v>
      </c>
      <c r="K122" s="17" t="str">
        <f t="shared" si="11"/>
        <v/>
      </c>
      <c r="L122" s="17" t="str">
        <f t="shared" si="12"/>
        <v/>
      </c>
    </row>
    <row r="123" spans="1:12">
      <c r="A123" s="17">
        <v>114</v>
      </c>
      <c r="B123" s="17">
        <v>3</v>
      </c>
      <c r="C123" s="17">
        <v>11</v>
      </c>
      <c r="D123" s="20" t="s">
        <v>186</v>
      </c>
      <c r="E123" s="21">
        <v>0.379</v>
      </c>
      <c r="F123" s="21">
        <f t="shared" si="13"/>
        <v>8.6000000000000021E-2</v>
      </c>
      <c r="G123" s="13">
        <f t="shared" si="7"/>
        <v>0.31705685618729085</v>
      </c>
      <c r="H123" s="13">
        <f t="shared" si="8"/>
        <v>0.67362725458797634</v>
      </c>
      <c r="I123" s="13">
        <f t="shared" si="9"/>
        <v>0.43800822483221474</v>
      </c>
      <c r="J123" s="13">
        <f t="shared" si="10"/>
        <v>0.13407046979865772</v>
      </c>
      <c r="K123" s="17" t="str">
        <f t="shared" si="11"/>
        <v/>
      </c>
      <c r="L123" s="17" t="str">
        <f t="shared" si="12"/>
        <v/>
      </c>
    </row>
    <row r="124" spans="1:12">
      <c r="A124" s="17">
        <v>115</v>
      </c>
      <c r="B124" s="17">
        <v>3</v>
      </c>
      <c r="C124" s="17">
        <v>10</v>
      </c>
      <c r="D124" s="20" t="s">
        <v>187</v>
      </c>
      <c r="E124" s="21">
        <v>0.317</v>
      </c>
      <c r="F124" s="21">
        <f t="shared" si="13"/>
        <v>6.2E-2</v>
      </c>
      <c r="G124" s="13">
        <f t="shared" si="7"/>
        <v>0.31705685618729085</v>
      </c>
      <c r="H124" s="13">
        <f t="shared" si="8"/>
        <v>0.67362725458797634</v>
      </c>
      <c r="I124" s="13">
        <f t="shared" si="9"/>
        <v>0.43800822483221474</v>
      </c>
      <c r="J124" s="13">
        <f t="shared" si="10"/>
        <v>0.13407046979865772</v>
      </c>
      <c r="K124" s="17" t="str">
        <f t="shared" si="11"/>
        <v/>
      </c>
      <c r="L124" s="17" t="str">
        <f t="shared" si="12"/>
        <v/>
      </c>
    </row>
    <row r="125" spans="1:12">
      <c r="A125" s="17">
        <v>116</v>
      </c>
      <c r="B125" s="17">
        <v>3</v>
      </c>
      <c r="C125" s="17">
        <v>9</v>
      </c>
      <c r="D125" s="20" t="s">
        <v>188</v>
      </c>
      <c r="E125" s="21">
        <v>0.57399999999999995</v>
      </c>
      <c r="F125" s="21">
        <f t="shared" si="13"/>
        <v>0.25699999999999995</v>
      </c>
      <c r="G125" s="13">
        <f t="shared" si="7"/>
        <v>0.31705685618729085</v>
      </c>
      <c r="H125" s="13">
        <f t="shared" si="8"/>
        <v>0.67362725458797634</v>
      </c>
      <c r="I125" s="13">
        <f t="shared" si="9"/>
        <v>0.43800822483221474</v>
      </c>
      <c r="J125" s="13">
        <f t="shared" si="10"/>
        <v>0.13407046979865772</v>
      </c>
      <c r="K125" s="17" t="str">
        <f t="shared" si="11"/>
        <v/>
      </c>
      <c r="L125" s="17" t="str">
        <f t="shared" si="12"/>
        <v/>
      </c>
    </row>
    <row r="126" spans="1:12">
      <c r="A126" s="17">
        <v>117</v>
      </c>
      <c r="B126" s="17">
        <v>3</v>
      </c>
      <c r="C126" s="17">
        <v>8</v>
      </c>
      <c r="D126" s="20" t="s">
        <v>189</v>
      </c>
      <c r="E126" s="21">
        <v>0.51100000000000001</v>
      </c>
      <c r="F126" s="21">
        <f t="shared" si="13"/>
        <v>6.2999999999999945E-2</v>
      </c>
      <c r="G126" s="13">
        <f t="shared" si="7"/>
        <v>0.31705685618729085</v>
      </c>
      <c r="H126" s="13">
        <f t="shared" si="8"/>
        <v>0.67362725458797634</v>
      </c>
      <c r="I126" s="13">
        <f t="shared" si="9"/>
        <v>0.43800822483221474</v>
      </c>
      <c r="J126" s="13">
        <f t="shared" si="10"/>
        <v>0.13407046979865772</v>
      </c>
      <c r="K126" s="17" t="str">
        <f t="shared" si="11"/>
        <v/>
      </c>
      <c r="L126" s="17" t="str">
        <f t="shared" si="12"/>
        <v/>
      </c>
    </row>
    <row r="127" spans="1:12">
      <c r="A127" s="17">
        <v>118</v>
      </c>
      <c r="B127" s="17">
        <v>3</v>
      </c>
      <c r="C127" s="17">
        <v>7</v>
      </c>
      <c r="D127" s="20" t="s">
        <v>190</v>
      </c>
      <c r="E127" s="21">
        <v>0.25800000000000001</v>
      </c>
      <c r="F127" s="21">
        <f t="shared" si="13"/>
        <v>0.253</v>
      </c>
      <c r="G127" s="13">
        <f t="shared" si="7"/>
        <v>0.31705685618729085</v>
      </c>
      <c r="H127" s="13">
        <f t="shared" si="8"/>
        <v>0.67362725458797634</v>
      </c>
      <c r="I127" s="13">
        <f t="shared" si="9"/>
        <v>0.43800822483221474</v>
      </c>
      <c r="J127" s="13">
        <f t="shared" si="10"/>
        <v>0.13407046979865772</v>
      </c>
      <c r="K127" s="17" t="str">
        <f t="shared" si="11"/>
        <v/>
      </c>
      <c r="L127" s="17" t="str">
        <f t="shared" si="12"/>
        <v/>
      </c>
    </row>
    <row r="128" spans="1:12">
      <c r="A128" s="17">
        <v>119</v>
      </c>
      <c r="B128" s="17">
        <v>3</v>
      </c>
      <c r="C128" s="17">
        <v>6</v>
      </c>
      <c r="D128" s="20" t="s">
        <v>191</v>
      </c>
      <c r="E128" s="21">
        <v>0.49299999999999999</v>
      </c>
      <c r="F128" s="21">
        <f t="shared" si="13"/>
        <v>0.23499999999999999</v>
      </c>
      <c r="G128" s="13">
        <f t="shared" si="7"/>
        <v>0.31705685618729085</v>
      </c>
      <c r="H128" s="13">
        <f t="shared" si="8"/>
        <v>0.67362725458797634</v>
      </c>
      <c r="I128" s="13">
        <f t="shared" si="9"/>
        <v>0.43800822483221474</v>
      </c>
      <c r="J128" s="13">
        <f t="shared" si="10"/>
        <v>0.13407046979865772</v>
      </c>
      <c r="K128" s="17" t="str">
        <f t="shared" si="11"/>
        <v/>
      </c>
      <c r="L128" s="17" t="str">
        <f t="shared" si="12"/>
        <v/>
      </c>
    </row>
    <row r="129" spans="1:12">
      <c r="A129" s="17">
        <v>120</v>
      </c>
      <c r="B129" s="17">
        <v>3</v>
      </c>
      <c r="C129" s="17">
        <v>5</v>
      </c>
      <c r="D129" s="20" t="s">
        <v>192</v>
      </c>
      <c r="E129" s="21">
        <v>0.61599999999999999</v>
      </c>
      <c r="F129" s="21">
        <f t="shared" si="13"/>
        <v>0.123</v>
      </c>
      <c r="G129" s="13">
        <f t="shared" si="7"/>
        <v>0.31705685618729085</v>
      </c>
      <c r="H129" s="13">
        <f t="shared" si="8"/>
        <v>0.67362725458797634</v>
      </c>
      <c r="I129" s="13">
        <f t="shared" si="9"/>
        <v>0.43800822483221474</v>
      </c>
      <c r="J129" s="13">
        <f t="shared" si="10"/>
        <v>0.13407046979865772</v>
      </c>
      <c r="K129" s="17" t="str">
        <f t="shared" si="11"/>
        <v/>
      </c>
      <c r="L129" s="17" t="str">
        <f t="shared" si="12"/>
        <v/>
      </c>
    </row>
    <row r="130" spans="1:12">
      <c r="A130" s="17">
        <v>121</v>
      </c>
      <c r="B130" s="17">
        <v>3</v>
      </c>
      <c r="C130" s="17">
        <v>4</v>
      </c>
      <c r="D130" s="20" t="s">
        <v>193</v>
      </c>
      <c r="E130" s="21">
        <v>0.23100000000000001</v>
      </c>
      <c r="F130" s="21">
        <f t="shared" si="13"/>
        <v>0.38500000000000001</v>
      </c>
      <c r="G130" s="13">
        <f t="shared" si="7"/>
        <v>0.31705685618729085</v>
      </c>
      <c r="H130" s="13">
        <f t="shared" si="8"/>
        <v>0.67362725458797634</v>
      </c>
      <c r="I130" s="13">
        <f t="shared" si="9"/>
        <v>0.43800822483221474</v>
      </c>
      <c r="J130" s="13">
        <f t="shared" si="10"/>
        <v>0.13407046979865772</v>
      </c>
      <c r="K130" s="17" t="str">
        <f t="shared" si="11"/>
        <v/>
      </c>
      <c r="L130" s="17" t="str">
        <f t="shared" si="12"/>
        <v/>
      </c>
    </row>
    <row r="131" spans="1:12">
      <c r="A131" s="17">
        <v>122</v>
      </c>
      <c r="B131" s="17">
        <v>3</v>
      </c>
      <c r="C131" s="17">
        <v>3</v>
      </c>
      <c r="D131" s="20" t="s">
        <v>194</v>
      </c>
      <c r="E131" s="21">
        <v>0.216</v>
      </c>
      <c r="F131" s="21">
        <f t="shared" si="13"/>
        <v>1.5000000000000013E-2</v>
      </c>
      <c r="G131" s="13">
        <f t="shared" si="7"/>
        <v>0.31705685618729085</v>
      </c>
      <c r="H131" s="13">
        <f t="shared" si="8"/>
        <v>0.67362725458797634</v>
      </c>
      <c r="I131" s="13">
        <f t="shared" si="9"/>
        <v>0.43800822483221474</v>
      </c>
      <c r="J131" s="13">
        <f t="shared" si="10"/>
        <v>0.13407046979865772</v>
      </c>
      <c r="K131" s="17" t="str">
        <f t="shared" si="11"/>
        <v/>
      </c>
      <c r="L131" s="17" t="str">
        <f t="shared" si="12"/>
        <v/>
      </c>
    </row>
    <row r="132" spans="1:12">
      <c r="A132" s="17">
        <v>123</v>
      </c>
      <c r="B132" s="17">
        <v>3</v>
      </c>
      <c r="C132" s="17">
        <v>2</v>
      </c>
      <c r="D132" s="20" t="s">
        <v>195</v>
      </c>
      <c r="E132" s="21">
        <v>0.34</v>
      </c>
      <c r="F132" s="21">
        <f t="shared" si="13"/>
        <v>0.12400000000000003</v>
      </c>
      <c r="G132" s="13">
        <f t="shared" si="7"/>
        <v>0.31705685618729085</v>
      </c>
      <c r="H132" s="13">
        <f t="shared" si="8"/>
        <v>0.67362725458797634</v>
      </c>
      <c r="I132" s="13">
        <f t="shared" si="9"/>
        <v>0.43800822483221474</v>
      </c>
      <c r="J132" s="13">
        <f t="shared" si="10"/>
        <v>0.13407046979865772</v>
      </c>
      <c r="K132" s="17" t="str">
        <f t="shared" si="11"/>
        <v/>
      </c>
      <c r="L132" s="17" t="str">
        <f t="shared" si="12"/>
        <v/>
      </c>
    </row>
    <row r="133" spans="1:12">
      <c r="A133" s="17">
        <v>124</v>
      </c>
      <c r="B133" s="17">
        <v>3</v>
      </c>
      <c r="C133" s="17">
        <v>1</v>
      </c>
      <c r="D133" s="20" t="s">
        <v>196</v>
      </c>
      <c r="E133" s="21">
        <v>0.25600000000000001</v>
      </c>
      <c r="F133" s="21">
        <f t="shared" si="13"/>
        <v>8.4000000000000019E-2</v>
      </c>
      <c r="G133" s="13">
        <f t="shared" si="7"/>
        <v>0.31705685618729085</v>
      </c>
      <c r="H133" s="13">
        <f t="shared" si="8"/>
        <v>0.67362725458797634</v>
      </c>
      <c r="I133" s="13">
        <f t="shared" si="9"/>
        <v>0.43800822483221474</v>
      </c>
      <c r="J133" s="13">
        <f t="shared" si="10"/>
        <v>0.13407046979865772</v>
      </c>
      <c r="K133" s="17" t="str">
        <f t="shared" si="11"/>
        <v/>
      </c>
      <c r="L133" s="17" t="str">
        <f t="shared" si="12"/>
        <v/>
      </c>
    </row>
    <row r="134" spans="1:12">
      <c r="A134" s="17">
        <v>125</v>
      </c>
      <c r="B134" s="17">
        <v>3</v>
      </c>
      <c r="C134" s="17">
        <v>25</v>
      </c>
      <c r="D134" s="20" t="s">
        <v>197</v>
      </c>
      <c r="E134" s="21">
        <v>0.48</v>
      </c>
      <c r="F134" s="21">
        <f t="shared" si="13"/>
        <v>0.22399999999999998</v>
      </c>
      <c r="G134" s="13">
        <f t="shared" si="7"/>
        <v>0.31705685618729085</v>
      </c>
      <c r="H134" s="13">
        <f t="shared" si="8"/>
        <v>0.67362725458797634</v>
      </c>
      <c r="I134" s="13">
        <f t="shared" si="9"/>
        <v>0.43800822483221474</v>
      </c>
      <c r="J134" s="13">
        <f t="shared" si="10"/>
        <v>0.13407046979865772</v>
      </c>
      <c r="K134" s="17" t="str">
        <f t="shared" si="11"/>
        <v/>
      </c>
      <c r="L134" s="17" t="str">
        <f t="shared" si="12"/>
        <v/>
      </c>
    </row>
    <row r="135" spans="1:12">
      <c r="A135" s="17">
        <v>126</v>
      </c>
      <c r="B135" s="17">
        <v>3</v>
      </c>
      <c r="C135" s="17">
        <v>24</v>
      </c>
      <c r="D135" s="20" t="s">
        <v>198</v>
      </c>
      <c r="E135" s="21">
        <v>0.56699999999999995</v>
      </c>
      <c r="F135" s="21">
        <f t="shared" si="13"/>
        <v>8.6999999999999966E-2</v>
      </c>
      <c r="G135" s="13">
        <f t="shared" si="7"/>
        <v>0.31705685618729085</v>
      </c>
      <c r="H135" s="13">
        <f t="shared" si="8"/>
        <v>0.67362725458797634</v>
      </c>
      <c r="I135" s="13">
        <f t="shared" si="9"/>
        <v>0.43800822483221474</v>
      </c>
      <c r="J135" s="13">
        <f t="shared" si="10"/>
        <v>0.13407046979865772</v>
      </c>
      <c r="K135" s="17" t="str">
        <f t="shared" si="11"/>
        <v/>
      </c>
      <c r="L135" s="17" t="str">
        <f t="shared" si="12"/>
        <v/>
      </c>
    </row>
    <row r="136" spans="1:12">
      <c r="A136" s="17">
        <v>127</v>
      </c>
      <c r="B136" s="17">
        <v>3</v>
      </c>
      <c r="C136" s="17">
        <v>23</v>
      </c>
      <c r="D136" s="20" t="s">
        <v>199</v>
      </c>
      <c r="E136" s="21">
        <v>0.21299999999999999</v>
      </c>
      <c r="F136" s="21">
        <f t="shared" si="13"/>
        <v>0.35399999999999998</v>
      </c>
      <c r="G136" s="13">
        <f t="shared" si="7"/>
        <v>0.31705685618729085</v>
      </c>
      <c r="H136" s="13">
        <f t="shared" si="8"/>
        <v>0.67362725458797634</v>
      </c>
      <c r="I136" s="13">
        <f t="shared" si="9"/>
        <v>0.43800822483221474</v>
      </c>
      <c r="J136" s="13">
        <f t="shared" si="10"/>
        <v>0.13407046979865772</v>
      </c>
      <c r="K136" s="17" t="str">
        <f t="shared" si="11"/>
        <v/>
      </c>
      <c r="L136" s="17" t="str">
        <f t="shared" si="12"/>
        <v/>
      </c>
    </row>
    <row r="137" spans="1:12">
      <c r="A137" s="17">
        <v>128</v>
      </c>
      <c r="B137" s="17">
        <v>3</v>
      </c>
      <c r="C137" s="17">
        <v>22</v>
      </c>
      <c r="D137" s="20" t="s">
        <v>200</v>
      </c>
      <c r="E137" s="21">
        <v>0.14199999999999999</v>
      </c>
      <c r="F137" s="21">
        <f t="shared" si="13"/>
        <v>7.1000000000000008E-2</v>
      </c>
      <c r="G137" s="13">
        <f t="shared" si="7"/>
        <v>0.31705685618729085</v>
      </c>
      <c r="H137" s="13">
        <f t="shared" si="8"/>
        <v>0.67362725458797634</v>
      </c>
      <c r="I137" s="13">
        <f t="shared" si="9"/>
        <v>0.43800822483221474</v>
      </c>
      <c r="J137" s="13">
        <f t="shared" si="10"/>
        <v>0.13407046979865772</v>
      </c>
      <c r="K137" s="17" t="str">
        <f t="shared" si="11"/>
        <v/>
      </c>
      <c r="L137" s="17" t="str">
        <f t="shared" si="12"/>
        <v/>
      </c>
    </row>
    <row r="138" spans="1:12">
      <c r="A138" s="17">
        <v>129</v>
      </c>
      <c r="B138" s="17">
        <v>3</v>
      </c>
      <c r="C138" s="17">
        <v>21</v>
      </c>
      <c r="D138" s="20" t="s">
        <v>201</v>
      </c>
      <c r="E138" s="21">
        <v>0.17899999999999999</v>
      </c>
      <c r="F138" s="21">
        <f t="shared" si="13"/>
        <v>3.7000000000000005E-2</v>
      </c>
      <c r="G138" s="13">
        <f t="shared" ref="G138:G201" si="14">$Q$3</f>
        <v>0.31705685618729085</v>
      </c>
      <c r="H138" s="13">
        <f t="shared" ref="H138:H201" si="15">$Q$6</f>
        <v>0.67362725458797634</v>
      </c>
      <c r="I138" s="13">
        <f t="shared" ref="I138:I201" si="16">$Q$7</f>
        <v>0.43800822483221474</v>
      </c>
      <c r="J138" s="13">
        <f t="shared" ref="J138:J201" si="17">$Q$4</f>
        <v>0.13407046979865772</v>
      </c>
      <c r="K138" s="17" t="str">
        <f t="shared" ref="K138:K201" si="18">IF(E138&gt;$Q$6,"OOC","" )</f>
        <v/>
      </c>
      <c r="L138" s="17" t="str">
        <f t="shared" ref="L138:L201" si="19">IF(E138&gt;$B$3,"OOS","" )</f>
        <v/>
      </c>
    </row>
    <row r="139" spans="1:12">
      <c r="A139" s="17">
        <v>130</v>
      </c>
      <c r="B139" s="17">
        <v>3</v>
      </c>
      <c r="C139" s="17">
        <v>20</v>
      </c>
      <c r="D139" s="20" t="s">
        <v>202</v>
      </c>
      <c r="E139" s="21">
        <v>0.41799999999999998</v>
      </c>
      <c r="F139" s="21">
        <f t="shared" ref="F139:F202" si="20">ABS(E139-E138)</f>
        <v>0.23899999999999999</v>
      </c>
      <c r="G139" s="13">
        <f t="shared" si="14"/>
        <v>0.31705685618729085</v>
      </c>
      <c r="H139" s="13">
        <f t="shared" si="15"/>
        <v>0.67362725458797634</v>
      </c>
      <c r="I139" s="13">
        <f t="shared" si="16"/>
        <v>0.43800822483221474</v>
      </c>
      <c r="J139" s="13">
        <f t="shared" si="17"/>
        <v>0.13407046979865772</v>
      </c>
      <c r="K139" s="17" t="str">
        <f t="shared" si="18"/>
        <v/>
      </c>
      <c r="L139" s="17" t="str">
        <f t="shared" si="19"/>
        <v/>
      </c>
    </row>
    <row r="140" spans="1:12">
      <c r="A140" s="17">
        <v>131</v>
      </c>
      <c r="B140" s="17">
        <v>3</v>
      </c>
      <c r="C140" s="17">
        <v>19</v>
      </c>
      <c r="D140" s="20" t="s">
        <v>203</v>
      </c>
      <c r="E140" s="21">
        <v>0.26</v>
      </c>
      <c r="F140" s="21">
        <f t="shared" si="20"/>
        <v>0.15799999999999997</v>
      </c>
      <c r="G140" s="13">
        <f t="shared" si="14"/>
        <v>0.31705685618729085</v>
      </c>
      <c r="H140" s="13">
        <f t="shared" si="15"/>
        <v>0.67362725458797634</v>
      </c>
      <c r="I140" s="13">
        <f t="shared" si="16"/>
        <v>0.43800822483221474</v>
      </c>
      <c r="J140" s="13">
        <f t="shared" si="17"/>
        <v>0.13407046979865772</v>
      </c>
      <c r="K140" s="17" t="str">
        <f t="shared" si="18"/>
        <v/>
      </c>
      <c r="L140" s="17" t="str">
        <f t="shared" si="19"/>
        <v/>
      </c>
    </row>
    <row r="141" spans="1:12">
      <c r="A141" s="17">
        <v>132</v>
      </c>
      <c r="B141" s="17">
        <v>3</v>
      </c>
      <c r="C141" s="17">
        <v>18</v>
      </c>
      <c r="D141" s="20" t="s">
        <v>204</v>
      </c>
      <c r="E141" s="21">
        <v>0.17299999999999999</v>
      </c>
      <c r="F141" s="21">
        <f t="shared" si="20"/>
        <v>8.7000000000000022E-2</v>
      </c>
      <c r="G141" s="13">
        <f t="shared" si="14"/>
        <v>0.31705685618729085</v>
      </c>
      <c r="H141" s="13">
        <f t="shared" si="15"/>
        <v>0.67362725458797634</v>
      </c>
      <c r="I141" s="13">
        <f t="shared" si="16"/>
        <v>0.43800822483221474</v>
      </c>
      <c r="J141" s="13">
        <f t="shared" si="17"/>
        <v>0.13407046979865772</v>
      </c>
      <c r="K141" s="17" t="str">
        <f t="shared" si="18"/>
        <v/>
      </c>
      <c r="L141" s="17" t="str">
        <f t="shared" si="19"/>
        <v/>
      </c>
    </row>
    <row r="142" spans="1:12">
      <c r="A142" s="17">
        <v>133</v>
      </c>
      <c r="B142" s="17">
        <v>3</v>
      </c>
      <c r="C142" s="17">
        <v>17</v>
      </c>
      <c r="D142" s="20" t="s">
        <v>205</v>
      </c>
      <c r="E142" s="21">
        <v>0.221</v>
      </c>
      <c r="F142" s="21">
        <f t="shared" si="20"/>
        <v>4.8000000000000015E-2</v>
      </c>
      <c r="G142" s="13">
        <f t="shared" si="14"/>
        <v>0.31705685618729085</v>
      </c>
      <c r="H142" s="13">
        <f t="shared" si="15"/>
        <v>0.67362725458797634</v>
      </c>
      <c r="I142" s="13">
        <f t="shared" si="16"/>
        <v>0.43800822483221474</v>
      </c>
      <c r="J142" s="13">
        <f t="shared" si="17"/>
        <v>0.13407046979865772</v>
      </c>
      <c r="K142" s="17" t="str">
        <f t="shared" si="18"/>
        <v/>
      </c>
      <c r="L142" s="17" t="str">
        <f t="shared" si="19"/>
        <v/>
      </c>
    </row>
    <row r="143" spans="1:12">
      <c r="A143" s="17">
        <v>134</v>
      </c>
      <c r="B143" s="17">
        <v>3</v>
      </c>
      <c r="C143" s="17">
        <v>16</v>
      </c>
      <c r="D143" s="20" t="s">
        <v>206</v>
      </c>
      <c r="E143" s="21">
        <v>0.35699999999999998</v>
      </c>
      <c r="F143" s="21">
        <f t="shared" si="20"/>
        <v>0.13599999999999998</v>
      </c>
      <c r="G143" s="13">
        <f t="shared" si="14"/>
        <v>0.31705685618729085</v>
      </c>
      <c r="H143" s="13">
        <f t="shared" si="15"/>
        <v>0.67362725458797634</v>
      </c>
      <c r="I143" s="13">
        <f t="shared" si="16"/>
        <v>0.43800822483221474</v>
      </c>
      <c r="J143" s="13">
        <f t="shared" si="17"/>
        <v>0.13407046979865772</v>
      </c>
      <c r="K143" s="17" t="str">
        <f t="shared" si="18"/>
        <v/>
      </c>
      <c r="L143" s="17" t="str">
        <f t="shared" si="19"/>
        <v/>
      </c>
    </row>
    <row r="144" spans="1:12">
      <c r="A144" s="17">
        <v>135</v>
      </c>
      <c r="B144" s="17">
        <v>3</v>
      </c>
      <c r="C144" s="17">
        <v>15</v>
      </c>
      <c r="D144" s="20" t="s">
        <v>207</v>
      </c>
      <c r="E144" s="21">
        <v>0.38</v>
      </c>
      <c r="F144" s="21">
        <f t="shared" si="20"/>
        <v>2.300000000000002E-2</v>
      </c>
      <c r="G144" s="13">
        <f t="shared" si="14"/>
        <v>0.31705685618729085</v>
      </c>
      <c r="H144" s="13">
        <f t="shared" si="15"/>
        <v>0.67362725458797634</v>
      </c>
      <c r="I144" s="13">
        <f t="shared" si="16"/>
        <v>0.43800822483221474</v>
      </c>
      <c r="J144" s="13">
        <f t="shared" si="17"/>
        <v>0.13407046979865772</v>
      </c>
      <c r="K144" s="17" t="str">
        <f t="shared" si="18"/>
        <v/>
      </c>
      <c r="L144" s="17" t="str">
        <f t="shared" si="19"/>
        <v/>
      </c>
    </row>
    <row r="145" spans="1:12">
      <c r="A145" s="17">
        <v>136</v>
      </c>
      <c r="B145" s="17">
        <v>3</v>
      </c>
      <c r="C145" s="17">
        <v>14</v>
      </c>
      <c r="D145" s="20" t="s">
        <v>208</v>
      </c>
      <c r="E145" s="21">
        <v>0.33400000000000002</v>
      </c>
      <c r="F145" s="21">
        <f t="shared" si="20"/>
        <v>4.5999999999999985E-2</v>
      </c>
      <c r="G145" s="13">
        <f t="shared" si="14"/>
        <v>0.31705685618729085</v>
      </c>
      <c r="H145" s="13">
        <f t="shared" si="15"/>
        <v>0.67362725458797634</v>
      </c>
      <c r="I145" s="13">
        <f t="shared" si="16"/>
        <v>0.43800822483221474</v>
      </c>
      <c r="J145" s="13">
        <f t="shared" si="17"/>
        <v>0.13407046979865772</v>
      </c>
      <c r="K145" s="17" t="str">
        <f t="shared" si="18"/>
        <v/>
      </c>
      <c r="L145" s="17" t="str">
        <f t="shared" si="19"/>
        <v/>
      </c>
    </row>
    <row r="146" spans="1:12">
      <c r="A146" s="17">
        <v>137</v>
      </c>
      <c r="B146" s="17">
        <v>3</v>
      </c>
      <c r="C146" s="17">
        <v>13</v>
      </c>
      <c r="D146" s="20" t="s">
        <v>209</v>
      </c>
      <c r="E146" s="21">
        <v>0.27</v>
      </c>
      <c r="F146" s="21">
        <f t="shared" si="20"/>
        <v>6.4000000000000001E-2</v>
      </c>
      <c r="G146" s="13">
        <f t="shared" si="14"/>
        <v>0.31705685618729085</v>
      </c>
      <c r="H146" s="13">
        <f t="shared" si="15"/>
        <v>0.67362725458797634</v>
      </c>
      <c r="I146" s="13">
        <f t="shared" si="16"/>
        <v>0.43800822483221474</v>
      </c>
      <c r="J146" s="13">
        <f t="shared" si="17"/>
        <v>0.13407046979865772</v>
      </c>
      <c r="K146" s="17" t="str">
        <f t="shared" si="18"/>
        <v/>
      </c>
      <c r="L146" s="17" t="str">
        <f t="shared" si="19"/>
        <v/>
      </c>
    </row>
    <row r="147" spans="1:12">
      <c r="A147" s="17">
        <v>138</v>
      </c>
      <c r="B147" s="17">
        <v>3</v>
      </c>
      <c r="C147" s="17">
        <v>12</v>
      </c>
      <c r="D147" s="20" t="s">
        <v>210</v>
      </c>
      <c r="E147" s="21">
        <v>0.378</v>
      </c>
      <c r="F147" s="21">
        <f t="shared" si="20"/>
        <v>0.10799999999999998</v>
      </c>
      <c r="G147" s="13">
        <f t="shared" si="14"/>
        <v>0.31705685618729085</v>
      </c>
      <c r="H147" s="13">
        <f t="shared" si="15"/>
        <v>0.67362725458797634</v>
      </c>
      <c r="I147" s="13">
        <f t="shared" si="16"/>
        <v>0.43800822483221474</v>
      </c>
      <c r="J147" s="13">
        <f t="shared" si="17"/>
        <v>0.13407046979865772</v>
      </c>
      <c r="K147" s="17" t="str">
        <f t="shared" si="18"/>
        <v/>
      </c>
      <c r="L147" s="17" t="str">
        <f t="shared" si="19"/>
        <v/>
      </c>
    </row>
    <row r="148" spans="1:12">
      <c r="A148" s="17">
        <v>139</v>
      </c>
      <c r="B148" s="17">
        <v>3</v>
      </c>
      <c r="C148" s="17">
        <v>11</v>
      </c>
      <c r="D148" s="20" t="s">
        <v>211</v>
      </c>
      <c r="E148" s="21">
        <v>0.39600000000000002</v>
      </c>
      <c r="F148" s="21">
        <f t="shared" si="20"/>
        <v>1.8000000000000016E-2</v>
      </c>
      <c r="G148" s="13">
        <f t="shared" si="14"/>
        <v>0.31705685618729085</v>
      </c>
      <c r="H148" s="13">
        <f t="shared" si="15"/>
        <v>0.67362725458797634</v>
      </c>
      <c r="I148" s="13">
        <f t="shared" si="16"/>
        <v>0.43800822483221474</v>
      </c>
      <c r="J148" s="13">
        <f t="shared" si="17"/>
        <v>0.13407046979865772</v>
      </c>
      <c r="K148" s="17" t="str">
        <f t="shared" si="18"/>
        <v/>
      </c>
      <c r="L148" s="17" t="str">
        <f t="shared" si="19"/>
        <v/>
      </c>
    </row>
    <row r="149" spans="1:12">
      <c r="A149" s="17">
        <v>140</v>
      </c>
      <c r="B149" s="17">
        <v>3</v>
      </c>
      <c r="C149" s="17">
        <v>10</v>
      </c>
      <c r="D149" s="20" t="s">
        <v>212</v>
      </c>
      <c r="E149" s="21">
        <v>8.7999999999999995E-2</v>
      </c>
      <c r="F149" s="21">
        <f t="shared" si="20"/>
        <v>0.30800000000000005</v>
      </c>
      <c r="G149" s="13">
        <f t="shared" si="14"/>
        <v>0.31705685618729085</v>
      </c>
      <c r="H149" s="13">
        <f t="shared" si="15"/>
        <v>0.67362725458797634</v>
      </c>
      <c r="I149" s="13">
        <f t="shared" si="16"/>
        <v>0.43800822483221474</v>
      </c>
      <c r="J149" s="13">
        <f t="shared" si="17"/>
        <v>0.13407046979865772</v>
      </c>
      <c r="K149" s="17" t="str">
        <f t="shared" si="18"/>
        <v/>
      </c>
      <c r="L149" s="17" t="str">
        <f t="shared" si="19"/>
        <v/>
      </c>
    </row>
    <row r="150" spans="1:12">
      <c r="A150" s="17">
        <v>141</v>
      </c>
      <c r="B150" s="17">
        <v>3</v>
      </c>
      <c r="C150" s="17">
        <v>9</v>
      </c>
      <c r="D150" s="20" t="s">
        <v>213</v>
      </c>
      <c r="E150" s="21">
        <v>0.435</v>
      </c>
      <c r="F150" s="21">
        <f t="shared" si="20"/>
        <v>0.34699999999999998</v>
      </c>
      <c r="G150" s="13">
        <f t="shared" si="14"/>
        <v>0.31705685618729085</v>
      </c>
      <c r="H150" s="13">
        <f t="shared" si="15"/>
        <v>0.67362725458797634</v>
      </c>
      <c r="I150" s="13">
        <f t="shared" si="16"/>
        <v>0.43800822483221474</v>
      </c>
      <c r="J150" s="13">
        <f t="shared" si="17"/>
        <v>0.13407046979865772</v>
      </c>
      <c r="K150" s="17" t="str">
        <f t="shared" si="18"/>
        <v/>
      </c>
      <c r="L150" s="17" t="str">
        <f t="shared" si="19"/>
        <v/>
      </c>
    </row>
    <row r="151" spans="1:12">
      <c r="A151" s="17">
        <v>142</v>
      </c>
      <c r="B151" s="17">
        <v>3</v>
      </c>
      <c r="C151" s="17">
        <v>8</v>
      </c>
      <c r="D151" s="20" t="s">
        <v>214</v>
      </c>
      <c r="E151" s="21">
        <v>0.39500000000000002</v>
      </c>
      <c r="F151" s="21">
        <f t="shared" si="20"/>
        <v>3.999999999999998E-2</v>
      </c>
      <c r="G151" s="13">
        <f t="shared" si="14"/>
        <v>0.31705685618729085</v>
      </c>
      <c r="H151" s="13">
        <f t="shared" si="15"/>
        <v>0.67362725458797634</v>
      </c>
      <c r="I151" s="13">
        <f t="shared" si="16"/>
        <v>0.43800822483221474</v>
      </c>
      <c r="J151" s="13">
        <f t="shared" si="17"/>
        <v>0.13407046979865772</v>
      </c>
      <c r="K151" s="17" t="str">
        <f t="shared" si="18"/>
        <v/>
      </c>
      <c r="L151" s="17" t="str">
        <f t="shared" si="19"/>
        <v/>
      </c>
    </row>
    <row r="152" spans="1:12">
      <c r="A152" s="17">
        <v>143</v>
      </c>
      <c r="B152" s="17">
        <v>3</v>
      </c>
      <c r="C152" s="17">
        <v>7</v>
      </c>
      <c r="D152" s="20" t="s">
        <v>215</v>
      </c>
      <c r="E152" s="21">
        <v>0.23400000000000001</v>
      </c>
      <c r="F152" s="21">
        <f t="shared" si="20"/>
        <v>0.161</v>
      </c>
      <c r="G152" s="13">
        <f t="shared" si="14"/>
        <v>0.31705685618729085</v>
      </c>
      <c r="H152" s="13">
        <f t="shared" si="15"/>
        <v>0.67362725458797634</v>
      </c>
      <c r="I152" s="13">
        <f t="shared" si="16"/>
        <v>0.43800822483221474</v>
      </c>
      <c r="J152" s="13">
        <f t="shared" si="17"/>
        <v>0.13407046979865772</v>
      </c>
      <c r="K152" s="17" t="str">
        <f t="shared" si="18"/>
        <v/>
      </c>
      <c r="L152" s="17" t="str">
        <f t="shared" si="19"/>
        <v/>
      </c>
    </row>
    <row r="153" spans="1:12">
      <c r="A153" s="17">
        <v>144</v>
      </c>
      <c r="B153" s="17">
        <v>3</v>
      </c>
      <c r="C153" s="17">
        <v>6</v>
      </c>
      <c r="D153" s="20" t="s">
        <v>216</v>
      </c>
      <c r="E153" s="21">
        <v>0.311</v>
      </c>
      <c r="F153" s="21">
        <f t="shared" si="20"/>
        <v>7.6999999999999985E-2</v>
      </c>
      <c r="G153" s="13">
        <f t="shared" si="14"/>
        <v>0.31705685618729085</v>
      </c>
      <c r="H153" s="13">
        <f t="shared" si="15"/>
        <v>0.67362725458797634</v>
      </c>
      <c r="I153" s="13">
        <f t="shared" si="16"/>
        <v>0.43800822483221474</v>
      </c>
      <c r="J153" s="13">
        <f t="shared" si="17"/>
        <v>0.13407046979865772</v>
      </c>
      <c r="K153" s="17" t="str">
        <f t="shared" si="18"/>
        <v/>
      </c>
      <c r="L153" s="17" t="str">
        <f t="shared" si="19"/>
        <v/>
      </c>
    </row>
    <row r="154" spans="1:12">
      <c r="A154" s="17">
        <v>145</v>
      </c>
      <c r="B154" s="17">
        <v>3</v>
      </c>
      <c r="C154" s="17">
        <v>5</v>
      </c>
      <c r="D154" s="20" t="s">
        <v>217</v>
      </c>
      <c r="E154" s="21">
        <v>0.123</v>
      </c>
      <c r="F154" s="21">
        <f t="shared" si="20"/>
        <v>0.188</v>
      </c>
      <c r="G154" s="13">
        <f t="shared" si="14"/>
        <v>0.31705685618729085</v>
      </c>
      <c r="H154" s="13">
        <f t="shared" si="15"/>
        <v>0.67362725458797634</v>
      </c>
      <c r="I154" s="13">
        <f t="shared" si="16"/>
        <v>0.43800822483221474</v>
      </c>
      <c r="J154" s="13">
        <f t="shared" si="17"/>
        <v>0.13407046979865772</v>
      </c>
      <c r="K154" s="17" t="str">
        <f t="shared" si="18"/>
        <v/>
      </c>
      <c r="L154" s="17" t="str">
        <f t="shared" si="19"/>
        <v/>
      </c>
    </row>
    <row r="155" spans="1:12">
      <c r="A155" s="17">
        <v>146</v>
      </c>
      <c r="B155" s="17">
        <v>3</v>
      </c>
      <c r="C155" s="17">
        <v>4</v>
      </c>
      <c r="D155" s="20" t="s">
        <v>218</v>
      </c>
      <c r="E155" s="21">
        <v>0.222</v>
      </c>
      <c r="F155" s="21">
        <f t="shared" si="20"/>
        <v>9.9000000000000005E-2</v>
      </c>
      <c r="G155" s="13">
        <f t="shared" si="14"/>
        <v>0.31705685618729085</v>
      </c>
      <c r="H155" s="13">
        <f t="shared" si="15"/>
        <v>0.67362725458797634</v>
      </c>
      <c r="I155" s="13">
        <f t="shared" si="16"/>
        <v>0.43800822483221474</v>
      </c>
      <c r="J155" s="13">
        <f t="shared" si="17"/>
        <v>0.13407046979865772</v>
      </c>
      <c r="K155" s="17" t="str">
        <f t="shared" si="18"/>
        <v/>
      </c>
      <c r="L155" s="17" t="str">
        <f t="shared" si="19"/>
        <v/>
      </c>
    </row>
    <row r="156" spans="1:12">
      <c r="A156" s="17">
        <v>147</v>
      </c>
      <c r="B156" s="17">
        <v>3</v>
      </c>
      <c r="C156" s="17">
        <v>3</v>
      </c>
      <c r="D156" s="20" t="s">
        <v>219</v>
      </c>
      <c r="E156" s="21">
        <v>0.51200000000000001</v>
      </c>
      <c r="F156" s="21">
        <f t="shared" si="20"/>
        <v>0.29000000000000004</v>
      </c>
      <c r="G156" s="13">
        <f t="shared" si="14"/>
        <v>0.31705685618729085</v>
      </c>
      <c r="H156" s="13">
        <f t="shared" si="15"/>
        <v>0.67362725458797634</v>
      </c>
      <c r="I156" s="13">
        <f t="shared" si="16"/>
        <v>0.43800822483221474</v>
      </c>
      <c r="J156" s="13">
        <f t="shared" si="17"/>
        <v>0.13407046979865772</v>
      </c>
      <c r="K156" s="17" t="str">
        <f t="shared" si="18"/>
        <v/>
      </c>
      <c r="L156" s="17" t="str">
        <f t="shared" si="19"/>
        <v/>
      </c>
    </row>
    <row r="157" spans="1:12">
      <c r="A157" s="17">
        <v>148</v>
      </c>
      <c r="B157" s="17">
        <v>3</v>
      </c>
      <c r="C157" s="17">
        <v>2</v>
      </c>
      <c r="D157" s="20" t="s">
        <v>220</v>
      </c>
      <c r="E157" s="21">
        <v>0.34</v>
      </c>
      <c r="F157" s="21">
        <f t="shared" si="20"/>
        <v>0.17199999999999999</v>
      </c>
      <c r="G157" s="13">
        <f t="shared" si="14"/>
        <v>0.31705685618729085</v>
      </c>
      <c r="H157" s="13">
        <f t="shared" si="15"/>
        <v>0.67362725458797634</v>
      </c>
      <c r="I157" s="13">
        <f t="shared" si="16"/>
        <v>0.43800822483221474</v>
      </c>
      <c r="J157" s="13">
        <f t="shared" si="17"/>
        <v>0.13407046979865772</v>
      </c>
      <c r="K157" s="17" t="str">
        <f t="shared" si="18"/>
        <v/>
      </c>
      <c r="L157" s="17" t="str">
        <f t="shared" si="19"/>
        <v/>
      </c>
    </row>
    <row r="158" spans="1:12">
      <c r="A158" s="17">
        <v>149</v>
      </c>
      <c r="B158" s="17">
        <v>3</v>
      </c>
      <c r="C158" s="17">
        <v>1</v>
      </c>
      <c r="D158" s="20" t="s">
        <v>221</v>
      </c>
      <c r="E158" s="21">
        <v>0.219</v>
      </c>
      <c r="F158" s="21">
        <f t="shared" si="20"/>
        <v>0.12100000000000002</v>
      </c>
      <c r="G158" s="13">
        <f t="shared" si="14"/>
        <v>0.31705685618729085</v>
      </c>
      <c r="H158" s="13">
        <f t="shared" si="15"/>
        <v>0.67362725458797634</v>
      </c>
      <c r="I158" s="13">
        <f t="shared" si="16"/>
        <v>0.43800822483221474</v>
      </c>
      <c r="J158" s="13">
        <f t="shared" si="17"/>
        <v>0.13407046979865772</v>
      </c>
      <c r="K158" s="17" t="str">
        <f t="shared" si="18"/>
        <v/>
      </c>
      <c r="L158" s="17" t="str">
        <f t="shared" si="19"/>
        <v/>
      </c>
    </row>
    <row r="159" spans="1:12">
      <c r="A159" s="17">
        <v>150</v>
      </c>
      <c r="B159" s="17">
        <v>4</v>
      </c>
      <c r="C159" s="17">
        <v>25</v>
      </c>
      <c r="D159" s="20" t="s">
        <v>222</v>
      </c>
      <c r="E159" s="21">
        <v>0.318</v>
      </c>
      <c r="F159" s="21">
        <f t="shared" si="20"/>
        <v>9.9000000000000005E-2</v>
      </c>
      <c r="G159" s="13">
        <f t="shared" si="14"/>
        <v>0.31705685618729085</v>
      </c>
      <c r="H159" s="13">
        <f t="shared" si="15"/>
        <v>0.67362725458797634</v>
      </c>
      <c r="I159" s="13">
        <f t="shared" si="16"/>
        <v>0.43800822483221474</v>
      </c>
      <c r="J159" s="13">
        <f t="shared" si="17"/>
        <v>0.13407046979865772</v>
      </c>
      <c r="K159" s="17" t="str">
        <f t="shared" si="18"/>
        <v/>
      </c>
      <c r="L159" s="17" t="str">
        <f t="shared" si="19"/>
        <v/>
      </c>
    </row>
    <row r="160" spans="1:12">
      <c r="A160" s="17">
        <v>151</v>
      </c>
      <c r="B160" s="17">
        <v>4</v>
      </c>
      <c r="C160" s="17">
        <v>24</v>
      </c>
      <c r="D160" s="20" t="s">
        <v>223</v>
      </c>
      <c r="E160" s="21">
        <v>0.25900000000000001</v>
      </c>
      <c r="F160" s="21">
        <f t="shared" si="20"/>
        <v>5.8999999999999997E-2</v>
      </c>
      <c r="G160" s="13">
        <f t="shared" si="14"/>
        <v>0.31705685618729085</v>
      </c>
      <c r="H160" s="13">
        <f t="shared" si="15"/>
        <v>0.67362725458797634</v>
      </c>
      <c r="I160" s="13">
        <f t="shared" si="16"/>
        <v>0.43800822483221474</v>
      </c>
      <c r="J160" s="13">
        <f t="shared" si="17"/>
        <v>0.13407046979865772</v>
      </c>
      <c r="K160" s="17" t="str">
        <f t="shared" si="18"/>
        <v/>
      </c>
      <c r="L160" s="17" t="str">
        <f t="shared" si="19"/>
        <v/>
      </c>
    </row>
    <row r="161" spans="1:12">
      <c r="A161" s="17">
        <v>152</v>
      </c>
      <c r="B161" s="17">
        <v>4</v>
      </c>
      <c r="C161" s="17">
        <v>23</v>
      </c>
      <c r="D161" s="20" t="s">
        <v>224</v>
      </c>
      <c r="E161" s="21">
        <v>0.254</v>
      </c>
      <c r="F161" s="21">
        <f t="shared" si="20"/>
        <v>5.0000000000000044E-3</v>
      </c>
      <c r="G161" s="13">
        <f t="shared" si="14"/>
        <v>0.31705685618729085</v>
      </c>
      <c r="H161" s="13">
        <f t="shared" si="15"/>
        <v>0.67362725458797634</v>
      </c>
      <c r="I161" s="13">
        <f t="shared" si="16"/>
        <v>0.43800822483221474</v>
      </c>
      <c r="J161" s="13">
        <f t="shared" si="17"/>
        <v>0.13407046979865772</v>
      </c>
      <c r="K161" s="17" t="str">
        <f t="shared" si="18"/>
        <v/>
      </c>
      <c r="L161" s="17" t="str">
        <f t="shared" si="19"/>
        <v/>
      </c>
    </row>
    <row r="162" spans="1:12">
      <c r="A162" s="17">
        <v>153</v>
      </c>
      <c r="B162" s="17">
        <v>4</v>
      </c>
      <c r="C162" s="17">
        <v>22</v>
      </c>
      <c r="D162" s="20" t="s">
        <v>225</v>
      </c>
      <c r="E162" s="21">
        <v>0.49199999999999999</v>
      </c>
      <c r="F162" s="21">
        <f t="shared" si="20"/>
        <v>0.23799999999999999</v>
      </c>
      <c r="G162" s="13">
        <f t="shared" si="14"/>
        <v>0.31705685618729085</v>
      </c>
      <c r="H162" s="13">
        <f t="shared" si="15"/>
        <v>0.67362725458797634</v>
      </c>
      <c r="I162" s="13">
        <f t="shared" si="16"/>
        <v>0.43800822483221474</v>
      </c>
      <c r="J162" s="13">
        <f t="shared" si="17"/>
        <v>0.13407046979865772</v>
      </c>
      <c r="K162" s="17" t="str">
        <f t="shared" si="18"/>
        <v/>
      </c>
      <c r="L162" s="17" t="str">
        <f t="shared" si="19"/>
        <v/>
      </c>
    </row>
    <row r="163" spans="1:12">
      <c r="A163" s="17">
        <v>154</v>
      </c>
      <c r="B163" s="17">
        <v>4</v>
      </c>
      <c r="C163" s="17">
        <v>21</v>
      </c>
      <c r="D163" s="20" t="s">
        <v>226</v>
      </c>
      <c r="E163" s="21">
        <v>0.13700000000000001</v>
      </c>
      <c r="F163" s="21">
        <f t="shared" si="20"/>
        <v>0.35499999999999998</v>
      </c>
      <c r="G163" s="13">
        <f t="shared" si="14"/>
        <v>0.31705685618729085</v>
      </c>
      <c r="H163" s="13">
        <f t="shared" si="15"/>
        <v>0.67362725458797634</v>
      </c>
      <c r="I163" s="13">
        <f t="shared" si="16"/>
        <v>0.43800822483221474</v>
      </c>
      <c r="J163" s="13">
        <f t="shared" si="17"/>
        <v>0.13407046979865772</v>
      </c>
      <c r="K163" s="17" t="str">
        <f t="shared" si="18"/>
        <v/>
      </c>
      <c r="L163" s="17" t="str">
        <f t="shared" si="19"/>
        <v/>
      </c>
    </row>
    <row r="164" spans="1:12">
      <c r="A164" s="17">
        <v>155</v>
      </c>
      <c r="B164" s="17">
        <v>4</v>
      </c>
      <c r="C164" s="17">
        <v>20</v>
      </c>
      <c r="D164" s="20" t="s">
        <v>227</v>
      </c>
      <c r="E164" s="21">
        <v>0.23300000000000001</v>
      </c>
      <c r="F164" s="21">
        <f t="shared" si="20"/>
        <v>9.6000000000000002E-2</v>
      </c>
      <c r="G164" s="13">
        <f t="shared" si="14"/>
        <v>0.31705685618729085</v>
      </c>
      <c r="H164" s="13">
        <f t="shared" si="15"/>
        <v>0.67362725458797634</v>
      </c>
      <c r="I164" s="13">
        <f t="shared" si="16"/>
        <v>0.43800822483221474</v>
      </c>
      <c r="J164" s="13">
        <f t="shared" si="17"/>
        <v>0.13407046979865772</v>
      </c>
      <c r="K164" s="17" t="str">
        <f t="shared" si="18"/>
        <v/>
      </c>
      <c r="L164" s="17" t="str">
        <f t="shared" si="19"/>
        <v/>
      </c>
    </row>
    <row r="165" spans="1:12">
      <c r="A165" s="17">
        <v>156</v>
      </c>
      <c r="B165" s="17">
        <v>4</v>
      </c>
      <c r="C165" s="17">
        <v>19</v>
      </c>
      <c r="D165" s="20" t="s">
        <v>228</v>
      </c>
      <c r="E165" s="21">
        <v>0.29899999999999999</v>
      </c>
      <c r="F165" s="21">
        <f t="shared" si="20"/>
        <v>6.5999999999999975E-2</v>
      </c>
      <c r="G165" s="13">
        <f t="shared" si="14"/>
        <v>0.31705685618729085</v>
      </c>
      <c r="H165" s="13">
        <f t="shared" si="15"/>
        <v>0.67362725458797634</v>
      </c>
      <c r="I165" s="13">
        <f t="shared" si="16"/>
        <v>0.43800822483221474</v>
      </c>
      <c r="J165" s="13">
        <f t="shared" si="17"/>
        <v>0.13407046979865772</v>
      </c>
      <c r="K165" s="17" t="str">
        <f t="shared" si="18"/>
        <v/>
      </c>
      <c r="L165" s="17" t="str">
        <f t="shared" si="19"/>
        <v/>
      </c>
    </row>
    <row r="166" spans="1:12">
      <c r="A166" s="17">
        <v>157</v>
      </c>
      <c r="B166" s="17">
        <v>4</v>
      </c>
      <c r="C166" s="17">
        <v>18</v>
      </c>
      <c r="D166" s="20" t="s">
        <v>229</v>
      </c>
      <c r="E166" s="21">
        <v>0.10299999999999999</v>
      </c>
      <c r="F166" s="21">
        <f t="shared" si="20"/>
        <v>0.19600000000000001</v>
      </c>
      <c r="G166" s="13">
        <f t="shared" si="14"/>
        <v>0.31705685618729085</v>
      </c>
      <c r="H166" s="13">
        <f t="shared" si="15"/>
        <v>0.67362725458797634</v>
      </c>
      <c r="I166" s="13">
        <f t="shared" si="16"/>
        <v>0.43800822483221474</v>
      </c>
      <c r="J166" s="13">
        <f t="shared" si="17"/>
        <v>0.13407046979865772</v>
      </c>
      <c r="K166" s="17" t="str">
        <f t="shared" si="18"/>
        <v/>
      </c>
      <c r="L166" s="17" t="str">
        <f t="shared" si="19"/>
        <v/>
      </c>
    </row>
    <row r="167" spans="1:12">
      <c r="A167" s="17">
        <v>158</v>
      </c>
      <c r="B167" s="17">
        <v>4</v>
      </c>
      <c r="C167" s="17">
        <v>17</v>
      </c>
      <c r="D167" s="20" t="s">
        <v>230</v>
      </c>
      <c r="E167" s="21">
        <v>0.14499999999999999</v>
      </c>
      <c r="F167" s="21">
        <f t="shared" si="20"/>
        <v>4.1999999999999996E-2</v>
      </c>
      <c r="G167" s="13">
        <f t="shared" si="14"/>
        <v>0.31705685618729085</v>
      </c>
      <c r="H167" s="13">
        <f t="shared" si="15"/>
        <v>0.67362725458797634</v>
      </c>
      <c r="I167" s="13">
        <f t="shared" si="16"/>
        <v>0.43800822483221474</v>
      </c>
      <c r="J167" s="13">
        <f t="shared" si="17"/>
        <v>0.13407046979865772</v>
      </c>
      <c r="K167" s="17" t="str">
        <f t="shared" si="18"/>
        <v/>
      </c>
      <c r="L167" s="17" t="str">
        <f t="shared" si="19"/>
        <v/>
      </c>
    </row>
    <row r="168" spans="1:12">
      <c r="A168" s="17">
        <v>159</v>
      </c>
      <c r="B168" s="17">
        <v>4</v>
      </c>
      <c r="C168" s="17">
        <v>16</v>
      </c>
      <c r="D168" s="20" t="s">
        <v>231</v>
      </c>
      <c r="E168" s="21">
        <v>0.40500000000000003</v>
      </c>
      <c r="F168" s="21">
        <f t="shared" si="20"/>
        <v>0.26</v>
      </c>
      <c r="G168" s="13">
        <f t="shared" si="14"/>
        <v>0.31705685618729085</v>
      </c>
      <c r="H168" s="13">
        <f t="shared" si="15"/>
        <v>0.67362725458797634</v>
      </c>
      <c r="I168" s="13">
        <f t="shared" si="16"/>
        <v>0.43800822483221474</v>
      </c>
      <c r="J168" s="13">
        <f t="shared" si="17"/>
        <v>0.13407046979865772</v>
      </c>
      <c r="K168" s="17" t="str">
        <f t="shared" si="18"/>
        <v/>
      </c>
      <c r="L168" s="17" t="str">
        <f t="shared" si="19"/>
        <v/>
      </c>
    </row>
    <row r="169" spans="1:12">
      <c r="A169" s="17">
        <v>160</v>
      </c>
      <c r="B169" s="17">
        <v>4</v>
      </c>
      <c r="C169" s="17">
        <v>15</v>
      </c>
      <c r="D169" s="20" t="s">
        <v>232</v>
      </c>
      <c r="E169" s="21">
        <v>0.40799999999999997</v>
      </c>
      <c r="F169" s="21">
        <f t="shared" si="20"/>
        <v>2.9999999999999472E-3</v>
      </c>
      <c r="G169" s="13">
        <f t="shared" si="14"/>
        <v>0.31705685618729085</v>
      </c>
      <c r="H169" s="13">
        <f t="shared" si="15"/>
        <v>0.67362725458797634</v>
      </c>
      <c r="I169" s="13">
        <f t="shared" si="16"/>
        <v>0.43800822483221474</v>
      </c>
      <c r="J169" s="13">
        <f t="shared" si="17"/>
        <v>0.13407046979865772</v>
      </c>
      <c r="K169" s="17" t="str">
        <f t="shared" si="18"/>
        <v/>
      </c>
      <c r="L169" s="17" t="str">
        <f t="shared" si="19"/>
        <v/>
      </c>
    </row>
    <row r="170" spans="1:12">
      <c r="A170" s="17">
        <v>161</v>
      </c>
      <c r="B170" s="17">
        <v>4</v>
      </c>
      <c r="C170" s="17">
        <v>14</v>
      </c>
      <c r="D170" s="20" t="s">
        <v>233</v>
      </c>
      <c r="E170" s="21">
        <v>0.16200000000000001</v>
      </c>
      <c r="F170" s="21">
        <f t="shared" si="20"/>
        <v>0.24599999999999997</v>
      </c>
      <c r="G170" s="13">
        <f t="shared" si="14"/>
        <v>0.31705685618729085</v>
      </c>
      <c r="H170" s="13">
        <f t="shared" si="15"/>
        <v>0.67362725458797634</v>
      </c>
      <c r="I170" s="13">
        <f t="shared" si="16"/>
        <v>0.43800822483221474</v>
      </c>
      <c r="J170" s="13">
        <f t="shared" si="17"/>
        <v>0.13407046979865772</v>
      </c>
      <c r="K170" s="17" t="str">
        <f t="shared" si="18"/>
        <v/>
      </c>
      <c r="L170" s="17" t="str">
        <f t="shared" si="19"/>
        <v/>
      </c>
    </row>
    <row r="171" spans="1:12">
      <c r="A171" s="17">
        <v>162</v>
      </c>
      <c r="B171" s="17">
        <v>4</v>
      </c>
      <c r="C171" s="17">
        <v>13</v>
      </c>
      <c r="D171" s="20" t="s">
        <v>234</v>
      </c>
      <c r="E171" s="21">
        <v>0.15</v>
      </c>
      <c r="F171" s="21">
        <f t="shared" si="20"/>
        <v>1.2000000000000011E-2</v>
      </c>
      <c r="G171" s="13">
        <f t="shared" si="14"/>
        <v>0.31705685618729085</v>
      </c>
      <c r="H171" s="13">
        <f t="shared" si="15"/>
        <v>0.67362725458797634</v>
      </c>
      <c r="I171" s="13">
        <f t="shared" si="16"/>
        <v>0.43800822483221474</v>
      </c>
      <c r="J171" s="13">
        <f t="shared" si="17"/>
        <v>0.13407046979865772</v>
      </c>
      <c r="K171" s="17" t="str">
        <f t="shared" si="18"/>
        <v/>
      </c>
      <c r="L171" s="17" t="str">
        <f t="shared" si="19"/>
        <v/>
      </c>
    </row>
    <row r="172" spans="1:12">
      <c r="A172" s="17">
        <v>163</v>
      </c>
      <c r="B172" s="17">
        <v>4</v>
      </c>
      <c r="C172" s="17">
        <v>12</v>
      </c>
      <c r="D172" s="20" t="s">
        <v>235</v>
      </c>
      <c r="E172" s="21">
        <v>0.55100000000000005</v>
      </c>
      <c r="F172" s="21">
        <f t="shared" si="20"/>
        <v>0.40100000000000002</v>
      </c>
      <c r="G172" s="13">
        <f t="shared" si="14"/>
        <v>0.31705685618729085</v>
      </c>
      <c r="H172" s="13">
        <f t="shared" si="15"/>
        <v>0.67362725458797634</v>
      </c>
      <c r="I172" s="13">
        <f t="shared" si="16"/>
        <v>0.43800822483221474</v>
      </c>
      <c r="J172" s="13">
        <f t="shared" si="17"/>
        <v>0.13407046979865772</v>
      </c>
      <c r="K172" s="17" t="str">
        <f t="shared" si="18"/>
        <v/>
      </c>
      <c r="L172" s="17" t="str">
        <f t="shared" si="19"/>
        <v/>
      </c>
    </row>
    <row r="173" spans="1:12">
      <c r="A173" s="17">
        <v>164</v>
      </c>
      <c r="B173" s="17">
        <v>4</v>
      </c>
      <c r="C173" s="17">
        <v>11</v>
      </c>
      <c r="D173" s="20" t="s">
        <v>236</v>
      </c>
      <c r="E173" s="21">
        <v>0.246</v>
      </c>
      <c r="F173" s="21">
        <f t="shared" si="20"/>
        <v>0.30500000000000005</v>
      </c>
      <c r="G173" s="13">
        <f t="shared" si="14"/>
        <v>0.31705685618729085</v>
      </c>
      <c r="H173" s="13">
        <f t="shared" si="15"/>
        <v>0.67362725458797634</v>
      </c>
      <c r="I173" s="13">
        <f t="shared" si="16"/>
        <v>0.43800822483221474</v>
      </c>
      <c r="J173" s="13">
        <f t="shared" si="17"/>
        <v>0.13407046979865772</v>
      </c>
      <c r="K173" s="17" t="str">
        <f t="shared" si="18"/>
        <v/>
      </c>
      <c r="L173" s="17" t="str">
        <f t="shared" si="19"/>
        <v/>
      </c>
    </row>
    <row r="174" spans="1:12">
      <c r="A174" s="17">
        <v>165</v>
      </c>
      <c r="B174" s="17">
        <v>4</v>
      </c>
      <c r="C174" s="17">
        <v>10</v>
      </c>
      <c r="D174" s="20" t="s">
        <v>237</v>
      </c>
      <c r="E174" s="21">
        <v>0.46600000000000003</v>
      </c>
      <c r="F174" s="21">
        <f t="shared" si="20"/>
        <v>0.22000000000000003</v>
      </c>
      <c r="G174" s="13">
        <f t="shared" si="14"/>
        <v>0.31705685618729085</v>
      </c>
      <c r="H174" s="13">
        <f t="shared" si="15"/>
        <v>0.67362725458797634</v>
      </c>
      <c r="I174" s="13">
        <f t="shared" si="16"/>
        <v>0.43800822483221474</v>
      </c>
      <c r="J174" s="13">
        <f t="shared" si="17"/>
        <v>0.13407046979865772</v>
      </c>
      <c r="K174" s="17" t="str">
        <f t="shared" si="18"/>
        <v/>
      </c>
      <c r="L174" s="17" t="str">
        <f t="shared" si="19"/>
        <v/>
      </c>
    </row>
    <row r="175" spans="1:12">
      <c r="A175" s="17">
        <v>166</v>
      </c>
      <c r="B175" s="17">
        <v>4</v>
      </c>
      <c r="C175" s="17">
        <v>9</v>
      </c>
      <c r="D175" s="20" t="s">
        <v>238</v>
      </c>
      <c r="E175" s="21">
        <v>0.42299999999999999</v>
      </c>
      <c r="F175" s="21">
        <f t="shared" si="20"/>
        <v>4.3000000000000038E-2</v>
      </c>
      <c r="G175" s="13">
        <f t="shared" si="14"/>
        <v>0.31705685618729085</v>
      </c>
      <c r="H175" s="13">
        <f t="shared" si="15"/>
        <v>0.67362725458797634</v>
      </c>
      <c r="I175" s="13">
        <f t="shared" si="16"/>
        <v>0.43800822483221474</v>
      </c>
      <c r="J175" s="13">
        <f t="shared" si="17"/>
        <v>0.13407046979865772</v>
      </c>
      <c r="K175" s="17" t="str">
        <f t="shared" si="18"/>
        <v/>
      </c>
      <c r="L175" s="17" t="str">
        <f t="shared" si="19"/>
        <v/>
      </c>
    </row>
    <row r="176" spans="1:12">
      <c r="A176" s="17">
        <v>167</v>
      </c>
      <c r="B176" s="17">
        <v>4</v>
      </c>
      <c r="C176" s="17">
        <v>8</v>
      </c>
      <c r="D176" s="20" t="s">
        <v>239</v>
      </c>
      <c r="E176" s="21">
        <v>0.33500000000000002</v>
      </c>
      <c r="F176" s="21">
        <f t="shared" si="20"/>
        <v>8.7999999999999967E-2</v>
      </c>
      <c r="G176" s="13">
        <f t="shared" si="14"/>
        <v>0.31705685618729085</v>
      </c>
      <c r="H176" s="13">
        <f t="shared" si="15"/>
        <v>0.67362725458797634</v>
      </c>
      <c r="I176" s="13">
        <f t="shared" si="16"/>
        <v>0.43800822483221474</v>
      </c>
      <c r="J176" s="13">
        <f t="shared" si="17"/>
        <v>0.13407046979865772</v>
      </c>
      <c r="K176" s="17" t="str">
        <f t="shared" si="18"/>
        <v/>
      </c>
      <c r="L176" s="17" t="str">
        <f t="shared" si="19"/>
        <v/>
      </c>
    </row>
    <row r="177" spans="1:12">
      <c r="A177" s="17">
        <v>168</v>
      </c>
      <c r="B177" s="17">
        <v>4</v>
      </c>
      <c r="C177" s="17">
        <v>7</v>
      </c>
      <c r="D177" s="20" t="s">
        <v>240</v>
      </c>
      <c r="E177" s="21">
        <v>1.1080000000000001</v>
      </c>
      <c r="F177" s="21">
        <f t="shared" si="20"/>
        <v>0.77300000000000013</v>
      </c>
      <c r="G177" s="13">
        <f t="shared" si="14"/>
        <v>0.31705685618729085</v>
      </c>
      <c r="H177" s="13">
        <f t="shared" si="15"/>
        <v>0.67362725458797634</v>
      </c>
      <c r="I177" s="13">
        <f t="shared" si="16"/>
        <v>0.43800822483221474</v>
      </c>
      <c r="J177" s="13">
        <f t="shared" si="17"/>
        <v>0.13407046979865772</v>
      </c>
      <c r="K177" s="17" t="str">
        <f t="shared" si="18"/>
        <v>OOC</v>
      </c>
      <c r="L177" s="17" t="str">
        <f t="shared" si="19"/>
        <v>OOS</v>
      </c>
    </row>
    <row r="178" spans="1:12">
      <c r="A178" s="17">
        <v>169</v>
      </c>
      <c r="B178" s="17">
        <v>4</v>
      </c>
      <c r="C178" s="17">
        <v>6</v>
      </c>
      <c r="D178" s="20" t="s">
        <v>241</v>
      </c>
      <c r="E178" s="21">
        <v>0.36099999999999999</v>
      </c>
      <c r="F178" s="21">
        <f t="shared" si="20"/>
        <v>0.74700000000000011</v>
      </c>
      <c r="G178" s="13">
        <f t="shared" si="14"/>
        <v>0.31705685618729085</v>
      </c>
      <c r="H178" s="13">
        <f t="shared" si="15"/>
        <v>0.67362725458797634</v>
      </c>
      <c r="I178" s="13">
        <f t="shared" si="16"/>
        <v>0.43800822483221474</v>
      </c>
      <c r="J178" s="13">
        <f t="shared" si="17"/>
        <v>0.13407046979865772</v>
      </c>
      <c r="K178" s="17" t="str">
        <f t="shared" si="18"/>
        <v/>
      </c>
      <c r="L178" s="17" t="str">
        <f t="shared" si="19"/>
        <v/>
      </c>
    </row>
    <row r="179" spans="1:12">
      <c r="A179" s="17">
        <v>170</v>
      </c>
      <c r="B179" s="17">
        <v>4</v>
      </c>
      <c r="C179" s="17">
        <v>5</v>
      </c>
      <c r="D179" s="20" t="s">
        <v>242</v>
      </c>
      <c r="E179" s="21">
        <v>0.13700000000000001</v>
      </c>
      <c r="F179" s="21">
        <f t="shared" si="20"/>
        <v>0.22399999999999998</v>
      </c>
      <c r="G179" s="13">
        <f t="shared" si="14"/>
        <v>0.31705685618729085</v>
      </c>
      <c r="H179" s="13">
        <f t="shared" si="15"/>
        <v>0.67362725458797634</v>
      </c>
      <c r="I179" s="13">
        <f t="shared" si="16"/>
        <v>0.43800822483221474</v>
      </c>
      <c r="J179" s="13">
        <f t="shared" si="17"/>
        <v>0.13407046979865772</v>
      </c>
      <c r="K179" s="17" t="str">
        <f t="shared" si="18"/>
        <v/>
      </c>
      <c r="L179" s="17" t="str">
        <f t="shared" si="19"/>
        <v/>
      </c>
    </row>
    <row r="180" spans="1:12">
      <c r="A180" s="17">
        <v>171</v>
      </c>
      <c r="B180" s="17">
        <v>4</v>
      </c>
      <c r="C180" s="17">
        <v>4</v>
      </c>
      <c r="D180" s="20" t="s">
        <v>243</v>
      </c>
      <c r="E180" s="21">
        <v>0.47499999999999998</v>
      </c>
      <c r="F180" s="21">
        <f t="shared" si="20"/>
        <v>0.33799999999999997</v>
      </c>
      <c r="G180" s="13">
        <f t="shared" si="14"/>
        <v>0.31705685618729085</v>
      </c>
      <c r="H180" s="13">
        <f t="shared" si="15"/>
        <v>0.67362725458797634</v>
      </c>
      <c r="I180" s="13">
        <f t="shared" si="16"/>
        <v>0.43800822483221474</v>
      </c>
      <c r="J180" s="13">
        <f t="shared" si="17"/>
        <v>0.13407046979865772</v>
      </c>
      <c r="K180" s="17" t="str">
        <f t="shared" si="18"/>
        <v/>
      </c>
      <c r="L180" s="17" t="str">
        <f t="shared" si="19"/>
        <v/>
      </c>
    </row>
    <row r="181" spans="1:12">
      <c r="A181" s="17">
        <v>172</v>
      </c>
      <c r="B181" s="17">
        <v>4</v>
      </c>
      <c r="C181" s="17">
        <v>3</v>
      </c>
      <c r="D181" s="20" t="s">
        <v>244</v>
      </c>
      <c r="E181" s="21">
        <v>0.41799999999999998</v>
      </c>
      <c r="F181" s="21">
        <f t="shared" si="20"/>
        <v>5.6999999999999995E-2</v>
      </c>
      <c r="G181" s="13">
        <f t="shared" si="14"/>
        <v>0.31705685618729085</v>
      </c>
      <c r="H181" s="13">
        <f t="shared" si="15"/>
        <v>0.67362725458797634</v>
      </c>
      <c r="I181" s="13">
        <f t="shared" si="16"/>
        <v>0.43800822483221474</v>
      </c>
      <c r="J181" s="13">
        <f t="shared" si="17"/>
        <v>0.13407046979865772</v>
      </c>
      <c r="K181" s="17" t="str">
        <f t="shared" si="18"/>
        <v/>
      </c>
      <c r="L181" s="17" t="str">
        <f t="shared" si="19"/>
        <v/>
      </c>
    </row>
    <row r="182" spans="1:12">
      <c r="A182" s="17">
        <v>173</v>
      </c>
      <c r="B182" s="17">
        <v>4</v>
      </c>
      <c r="C182" s="17">
        <v>2</v>
      </c>
      <c r="D182" s="20" t="s">
        <v>245</v>
      </c>
      <c r="E182" s="21">
        <v>0.114</v>
      </c>
      <c r="F182" s="21">
        <f t="shared" si="20"/>
        <v>0.30399999999999999</v>
      </c>
      <c r="G182" s="13">
        <f t="shared" si="14"/>
        <v>0.31705685618729085</v>
      </c>
      <c r="H182" s="13">
        <f t="shared" si="15"/>
        <v>0.67362725458797634</v>
      </c>
      <c r="I182" s="13">
        <f t="shared" si="16"/>
        <v>0.43800822483221474</v>
      </c>
      <c r="J182" s="13">
        <f t="shared" si="17"/>
        <v>0.13407046979865772</v>
      </c>
      <c r="K182" s="17" t="str">
        <f t="shared" si="18"/>
        <v/>
      </c>
      <c r="L182" s="17" t="str">
        <f t="shared" si="19"/>
        <v/>
      </c>
    </row>
    <row r="183" spans="1:12">
      <c r="A183" s="17">
        <v>174</v>
      </c>
      <c r="B183" s="17">
        <v>4</v>
      </c>
      <c r="C183" s="17">
        <v>1</v>
      </c>
      <c r="D183" s="20" t="s">
        <v>246</v>
      </c>
      <c r="E183" s="21">
        <v>0.23499999999999999</v>
      </c>
      <c r="F183" s="21">
        <f t="shared" si="20"/>
        <v>0.12099999999999998</v>
      </c>
      <c r="G183" s="13">
        <f t="shared" si="14"/>
        <v>0.31705685618729085</v>
      </c>
      <c r="H183" s="13">
        <f t="shared" si="15"/>
        <v>0.67362725458797634</v>
      </c>
      <c r="I183" s="13">
        <f t="shared" si="16"/>
        <v>0.43800822483221474</v>
      </c>
      <c r="J183" s="13">
        <f t="shared" si="17"/>
        <v>0.13407046979865772</v>
      </c>
      <c r="K183" s="17" t="str">
        <f t="shared" si="18"/>
        <v/>
      </c>
      <c r="L183" s="17" t="str">
        <f t="shared" si="19"/>
        <v/>
      </c>
    </row>
    <row r="184" spans="1:12">
      <c r="A184" s="17">
        <v>175</v>
      </c>
      <c r="B184" s="17">
        <v>4</v>
      </c>
      <c r="C184" s="17">
        <v>25</v>
      </c>
      <c r="D184" s="20" t="s">
        <v>247</v>
      </c>
      <c r="E184" s="21">
        <v>0.497</v>
      </c>
      <c r="F184" s="21">
        <f t="shared" si="20"/>
        <v>0.26200000000000001</v>
      </c>
      <c r="G184" s="13">
        <f t="shared" si="14"/>
        <v>0.31705685618729085</v>
      </c>
      <c r="H184" s="13">
        <f t="shared" si="15"/>
        <v>0.67362725458797634</v>
      </c>
      <c r="I184" s="13">
        <f t="shared" si="16"/>
        <v>0.43800822483221474</v>
      </c>
      <c r="J184" s="13">
        <f t="shared" si="17"/>
        <v>0.13407046979865772</v>
      </c>
      <c r="K184" s="17" t="str">
        <f t="shared" si="18"/>
        <v/>
      </c>
      <c r="L184" s="17" t="str">
        <f t="shared" si="19"/>
        <v/>
      </c>
    </row>
    <row r="185" spans="1:12">
      <c r="A185" s="17">
        <v>176</v>
      </c>
      <c r="B185" s="17">
        <v>4</v>
      </c>
      <c r="C185" s="17">
        <v>24</v>
      </c>
      <c r="D185" s="20" t="s">
        <v>248</v>
      </c>
      <c r="E185" s="21">
        <v>0.27200000000000002</v>
      </c>
      <c r="F185" s="21">
        <f t="shared" si="20"/>
        <v>0.22499999999999998</v>
      </c>
      <c r="G185" s="13">
        <f t="shared" si="14"/>
        <v>0.31705685618729085</v>
      </c>
      <c r="H185" s="13">
        <f t="shared" si="15"/>
        <v>0.67362725458797634</v>
      </c>
      <c r="I185" s="13">
        <f t="shared" si="16"/>
        <v>0.43800822483221474</v>
      </c>
      <c r="J185" s="13">
        <f t="shared" si="17"/>
        <v>0.13407046979865772</v>
      </c>
      <c r="K185" s="17" t="str">
        <f t="shared" si="18"/>
        <v/>
      </c>
      <c r="L185" s="17" t="str">
        <f t="shared" si="19"/>
        <v/>
      </c>
    </row>
    <row r="186" spans="1:12">
      <c r="A186" s="17">
        <v>177</v>
      </c>
      <c r="B186" s="17">
        <v>4</v>
      </c>
      <c r="C186" s="17">
        <v>23</v>
      </c>
      <c r="D186" s="20" t="s">
        <v>249</v>
      </c>
      <c r="E186" s="21">
        <v>0.19800000000000001</v>
      </c>
      <c r="F186" s="21">
        <f t="shared" si="20"/>
        <v>7.400000000000001E-2</v>
      </c>
      <c r="G186" s="13">
        <f t="shared" si="14"/>
        <v>0.31705685618729085</v>
      </c>
      <c r="H186" s="13">
        <f t="shared" si="15"/>
        <v>0.67362725458797634</v>
      </c>
      <c r="I186" s="13">
        <f t="shared" si="16"/>
        <v>0.43800822483221474</v>
      </c>
      <c r="J186" s="13">
        <f t="shared" si="17"/>
        <v>0.13407046979865772</v>
      </c>
      <c r="K186" s="17" t="str">
        <f t="shared" si="18"/>
        <v/>
      </c>
      <c r="L186" s="17" t="str">
        <f t="shared" si="19"/>
        <v/>
      </c>
    </row>
    <row r="187" spans="1:12">
      <c r="A187" s="17">
        <v>178</v>
      </c>
      <c r="B187" s="17">
        <v>4</v>
      </c>
      <c r="C187" s="17">
        <v>22</v>
      </c>
      <c r="D187" s="20" t="s">
        <v>250</v>
      </c>
      <c r="E187" s="21">
        <v>0.20899999999999999</v>
      </c>
      <c r="F187" s="21">
        <f t="shared" si="20"/>
        <v>1.0999999999999982E-2</v>
      </c>
      <c r="G187" s="13">
        <f t="shared" si="14"/>
        <v>0.31705685618729085</v>
      </c>
      <c r="H187" s="13">
        <f t="shared" si="15"/>
        <v>0.67362725458797634</v>
      </c>
      <c r="I187" s="13">
        <f t="shared" si="16"/>
        <v>0.43800822483221474</v>
      </c>
      <c r="J187" s="13">
        <f t="shared" si="17"/>
        <v>0.13407046979865772</v>
      </c>
      <c r="K187" s="17" t="str">
        <f t="shared" si="18"/>
        <v/>
      </c>
      <c r="L187" s="17" t="str">
        <f t="shared" si="19"/>
        <v/>
      </c>
    </row>
    <row r="188" spans="1:12">
      <c r="A188" s="17">
        <v>179</v>
      </c>
      <c r="B188" s="17">
        <v>4</v>
      </c>
      <c r="C188" s="17">
        <v>21</v>
      </c>
      <c r="D188" s="20" t="s">
        <v>251</v>
      </c>
      <c r="E188" s="21">
        <v>0.44</v>
      </c>
      <c r="F188" s="21">
        <f t="shared" si="20"/>
        <v>0.23100000000000001</v>
      </c>
      <c r="G188" s="13">
        <f t="shared" si="14"/>
        <v>0.31705685618729085</v>
      </c>
      <c r="H188" s="13">
        <f t="shared" si="15"/>
        <v>0.67362725458797634</v>
      </c>
      <c r="I188" s="13">
        <f t="shared" si="16"/>
        <v>0.43800822483221474</v>
      </c>
      <c r="J188" s="13">
        <f t="shared" si="17"/>
        <v>0.13407046979865772</v>
      </c>
      <c r="K188" s="17" t="str">
        <f t="shared" si="18"/>
        <v/>
      </c>
      <c r="L188" s="17" t="str">
        <f t="shared" si="19"/>
        <v/>
      </c>
    </row>
    <row r="189" spans="1:12">
      <c r="A189" s="17">
        <v>180</v>
      </c>
      <c r="B189" s="17">
        <v>4</v>
      </c>
      <c r="C189" s="17">
        <v>20</v>
      </c>
      <c r="D189" s="20" t="s">
        <v>252</v>
      </c>
      <c r="E189" s="21">
        <v>0.35199999999999998</v>
      </c>
      <c r="F189" s="21">
        <f t="shared" si="20"/>
        <v>8.8000000000000023E-2</v>
      </c>
      <c r="G189" s="13">
        <f t="shared" si="14"/>
        <v>0.31705685618729085</v>
      </c>
      <c r="H189" s="13">
        <f t="shared" si="15"/>
        <v>0.67362725458797634</v>
      </c>
      <c r="I189" s="13">
        <f t="shared" si="16"/>
        <v>0.43800822483221474</v>
      </c>
      <c r="J189" s="13">
        <f t="shared" si="17"/>
        <v>0.13407046979865772</v>
      </c>
      <c r="K189" s="17" t="str">
        <f t="shared" si="18"/>
        <v/>
      </c>
      <c r="L189" s="17" t="str">
        <f t="shared" si="19"/>
        <v/>
      </c>
    </row>
    <row r="190" spans="1:12">
      <c r="A190" s="17">
        <v>181</v>
      </c>
      <c r="B190" s="17">
        <v>4</v>
      </c>
      <c r="C190" s="17">
        <v>19</v>
      </c>
      <c r="D190" s="20" t="s">
        <v>253</v>
      </c>
      <c r="E190" s="21">
        <v>0.35099999999999998</v>
      </c>
      <c r="F190" s="21">
        <f t="shared" si="20"/>
        <v>1.0000000000000009E-3</v>
      </c>
      <c r="G190" s="13">
        <f t="shared" si="14"/>
        <v>0.31705685618729085</v>
      </c>
      <c r="H190" s="13">
        <f t="shared" si="15"/>
        <v>0.67362725458797634</v>
      </c>
      <c r="I190" s="13">
        <f t="shared" si="16"/>
        <v>0.43800822483221474</v>
      </c>
      <c r="J190" s="13">
        <f t="shared" si="17"/>
        <v>0.13407046979865772</v>
      </c>
      <c r="K190" s="17" t="str">
        <f t="shared" si="18"/>
        <v/>
      </c>
      <c r="L190" s="17" t="str">
        <f t="shared" si="19"/>
        <v/>
      </c>
    </row>
    <row r="191" spans="1:12">
      <c r="A191" s="17">
        <v>182</v>
      </c>
      <c r="B191" s="17">
        <v>4</v>
      </c>
      <c r="C191" s="17">
        <v>18</v>
      </c>
      <c r="D191" s="20" t="s">
        <v>254</v>
      </c>
      <c r="E191" s="21">
        <v>0.50600000000000001</v>
      </c>
      <c r="F191" s="21">
        <f t="shared" si="20"/>
        <v>0.15500000000000003</v>
      </c>
      <c r="G191" s="13">
        <f t="shared" si="14"/>
        <v>0.31705685618729085</v>
      </c>
      <c r="H191" s="13">
        <f t="shared" si="15"/>
        <v>0.67362725458797634</v>
      </c>
      <c r="I191" s="13">
        <f t="shared" si="16"/>
        <v>0.43800822483221474</v>
      </c>
      <c r="J191" s="13">
        <f t="shared" si="17"/>
        <v>0.13407046979865772</v>
      </c>
      <c r="K191" s="17" t="str">
        <f t="shared" si="18"/>
        <v/>
      </c>
      <c r="L191" s="17" t="str">
        <f t="shared" si="19"/>
        <v/>
      </c>
    </row>
    <row r="192" spans="1:12">
      <c r="A192" s="17">
        <v>183</v>
      </c>
      <c r="B192" s="17">
        <v>4</v>
      </c>
      <c r="C192" s="17">
        <v>17</v>
      </c>
      <c r="D192" s="20" t="s">
        <v>255</v>
      </c>
      <c r="E192" s="21">
        <v>0.27600000000000002</v>
      </c>
      <c r="F192" s="21">
        <f t="shared" si="20"/>
        <v>0.22999999999999998</v>
      </c>
      <c r="G192" s="13">
        <f t="shared" si="14"/>
        <v>0.31705685618729085</v>
      </c>
      <c r="H192" s="13">
        <f t="shared" si="15"/>
        <v>0.67362725458797634</v>
      </c>
      <c r="I192" s="13">
        <f t="shared" si="16"/>
        <v>0.43800822483221474</v>
      </c>
      <c r="J192" s="13">
        <f t="shared" si="17"/>
        <v>0.13407046979865772</v>
      </c>
      <c r="K192" s="17" t="str">
        <f t="shared" si="18"/>
        <v/>
      </c>
      <c r="L192" s="17" t="str">
        <f t="shared" si="19"/>
        <v/>
      </c>
    </row>
    <row r="193" spans="1:12">
      <c r="A193" s="17">
        <v>184</v>
      </c>
      <c r="B193" s="17">
        <v>4</v>
      </c>
      <c r="C193" s="17">
        <v>16</v>
      </c>
      <c r="D193" s="20" t="s">
        <v>256</v>
      </c>
      <c r="E193" s="21">
        <v>0.26500000000000001</v>
      </c>
      <c r="F193" s="21">
        <f t="shared" si="20"/>
        <v>1.100000000000001E-2</v>
      </c>
      <c r="G193" s="13">
        <f t="shared" si="14"/>
        <v>0.31705685618729085</v>
      </c>
      <c r="H193" s="13">
        <f t="shared" si="15"/>
        <v>0.67362725458797634</v>
      </c>
      <c r="I193" s="13">
        <f t="shared" si="16"/>
        <v>0.43800822483221474</v>
      </c>
      <c r="J193" s="13">
        <f t="shared" si="17"/>
        <v>0.13407046979865772</v>
      </c>
      <c r="K193" s="17" t="str">
        <f t="shared" si="18"/>
        <v/>
      </c>
      <c r="L193" s="17" t="str">
        <f t="shared" si="19"/>
        <v/>
      </c>
    </row>
    <row r="194" spans="1:12">
      <c r="A194" s="17">
        <v>185</v>
      </c>
      <c r="B194" s="17">
        <v>4</v>
      </c>
      <c r="C194" s="17">
        <v>15</v>
      </c>
      <c r="D194" s="20" t="s">
        <v>257</v>
      </c>
      <c r="E194" s="21">
        <v>8.8999999999999996E-2</v>
      </c>
      <c r="F194" s="21">
        <f t="shared" si="20"/>
        <v>0.17600000000000002</v>
      </c>
      <c r="G194" s="13">
        <f t="shared" si="14"/>
        <v>0.31705685618729085</v>
      </c>
      <c r="H194" s="13">
        <f t="shared" si="15"/>
        <v>0.67362725458797634</v>
      </c>
      <c r="I194" s="13">
        <f t="shared" si="16"/>
        <v>0.43800822483221474</v>
      </c>
      <c r="J194" s="13">
        <f t="shared" si="17"/>
        <v>0.13407046979865772</v>
      </c>
      <c r="K194" s="17" t="str">
        <f t="shared" si="18"/>
        <v/>
      </c>
      <c r="L194" s="17" t="str">
        <f t="shared" si="19"/>
        <v/>
      </c>
    </row>
    <row r="195" spans="1:12">
      <c r="A195" s="17">
        <v>186</v>
      </c>
      <c r="B195" s="17">
        <v>4</v>
      </c>
      <c r="C195" s="17">
        <v>14</v>
      </c>
      <c r="D195" s="20" t="s">
        <v>258</v>
      </c>
      <c r="E195" s="21">
        <v>0.307</v>
      </c>
      <c r="F195" s="21">
        <f t="shared" si="20"/>
        <v>0.218</v>
      </c>
      <c r="G195" s="13">
        <f t="shared" si="14"/>
        <v>0.31705685618729085</v>
      </c>
      <c r="H195" s="13">
        <f t="shared" si="15"/>
        <v>0.67362725458797634</v>
      </c>
      <c r="I195" s="13">
        <f t="shared" si="16"/>
        <v>0.43800822483221474</v>
      </c>
      <c r="J195" s="13">
        <f t="shared" si="17"/>
        <v>0.13407046979865772</v>
      </c>
      <c r="K195" s="17" t="str">
        <f t="shared" si="18"/>
        <v/>
      </c>
      <c r="L195" s="17" t="str">
        <f t="shared" si="19"/>
        <v/>
      </c>
    </row>
    <row r="196" spans="1:12">
      <c r="A196" s="17">
        <v>187</v>
      </c>
      <c r="B196" s="17">
        <v>4</v>
      </c>
      <c r="C196" s="17">
        <v>13</v>
      </c>
      <c r="D196" s="20" t="s">
        <v>259</v>
      </c>
      <c r="E196" s="21">
        <v>0.34300000000000003</v>
      </c>
      <c r="F196" s="21">
        <f t="shared" si="20"/>
        <v>3.6000000000000032E-2</v>
      </c>
      <c r="G196" s="13">
        <f t="shared" si="14"/>
        <v>0.31705685618729085</v>
      </c>
      <c r="H196" s="13">
        <f t="shared" si="15"/>
        <v>0.67362725458797634</v>
      </c>
      <c r="I196" s="13">
        <f t="shared" si="16"/>
        <v>0.43800822483221474</v>
      </c>
      <c r="J196" s="13">
        <f t="shared" si="17"/>
        <v>0.13407046979865772</v>
      </c>
      <c r="K196" s="17" t="str">
        <f t="shared" si="18"/>
        <v/>
      </c>
      <c r="L196" s="17" t="str">
        <f t="shared" si="19"/>
        <v/>
      </c>
    </row>
    <row r="197" spans="1:12">
      <c r="A197" s="17">
        <v>188</v>
      </c>
      <c r="B197" s="17">
        <v>4</v>
      </c>
      <c r="C197" s="17">
        <v>12</v>
      </c>
      <c r="D197" s="20" t="s">
        <v>260</v>
      </c>
      <c r="E197" s="21">
        <v>0.184</v>
      </c>
      <c r="F197" s="21">
        <f t="shared" si="20"/>
        <v>0.15900000000000003</v>
      </c>
      <c r="G197" s="13">
        <f t="shared" si="14"/>
        <v>0.31705685618729085</v>
      </c>
      <c r="H197" s="13">
        <f t="shared" si="15"/>
        <v>0.67362725458797634</v>
      </c>
      <c r="I197" s="13">
        <f t="shared" si="16"/>
        <v>0.43800822483221474</v>
      </c>
      <c r="J197" s="13">
        <f t="shared" si="17"/>
        <v>0.13407046979865772</v>
      </c>
      <c r="K197" s="17" t="str">
        <f t="shared" si="18"/>
        <v/>
      </c>
      <c r="L197" s="17" t="str">
        <f t="shared" si="19"/>
        <v/>
      </c>
    </row>
    <row r="198" spans="1:12">
      <c r="A198" s="17">
        <v>189</v>
      </c>
      <c r="B198" s="17">
        <v>4</v>
      </c>
      <c r="C198" s="17">
        <v>11</v>
      </c>
      <c r="D198" s="20" t="s">
        <v>261</v>
      </c>
      <c r="E198" s="21">
        <v>0.36699999999999999</v>
      </c>
      <c r="F198" s="21">
        <f t="shared" si="20"/>
        <v>0.183</v>
      </c>
      <c r="G198" s="13">
        <f t="shared" si="14"/>
        <v>0.31705685618729085</v>
      </c>
      <c r="H198" s="13">
        <f t="shared" si="15"/>
        <v>0.67362725458797634</v>
      </c>
      <c r="I198" s="13">
        <f t="shared" si="16"/>
        <v>0.43800822483221474</v>
      </c>
      <c r="J198" s="13">
        <f t="shared" si="17"/>
        <v>0.13407046979865772</v>
      </c>
      <c r="K198" s="17" t="str">
        <f t="shared" si="18"/>
        <v/>
      </c>
      <c r="L198" s="17" t="str">
        <f t="shared" si="19"/>
        <v/>
      </c>
    </row>
    <row r="199" spans="1:12">
      <c r="A199" s="17">
        <v>190</v>
      </c>
      <c r="B199" s="17">
        <v>4</v>
      </c>
      <c r="C199" s="17">
        <v>10</v>
      </c>
      <c r="D199" s="20" t="s">
        <v>262</v>
      </c>
      <c r="E199" s="21">
        <v>0.35099999999999998</v>
      </c>
      <c r="F199" s="21">
        <f t="shared" si="20"/>
        <v>1.6000000000000014E-2</v>
      </c>
      <c r="G199" s="13">
        <f t="shared" si="14"/>
        <v>0.31705685618729085</v>
      </c>
      <c r="H199" s="13">
        <f t="shared" si="15"/>
        <v>0.67362725458797634</v>
      </c>
      <c r="I199" s="13">
        <f t="shared" si="16"/>
        <v>0.43800822483221474</v>
      </c>
      <c r="J199" s="13">
        <f t="shared" si="17"/>
        <v>0.13407046979865772</v>
      </c>
      <c r="K199" s="17" t="str">
        <f t="shared" si="18"/>
        <v/>
      </c>
      <c r="L199" s="17" t="str">
        <f t="shared" si="19"/>
        <v/>
      </c>
    </row>
    <row r="200" spans="1:12">
      <c r="A200" s="17">
        <v>191</v>
      </c>
      <c r="B200" s="17">
        <v>4</v>
      </c>
      <c r="C200" s="17">
        <v>9</v>
      </c>
      <c r="D200" s="20" t="s">
        <v>263</v>
      </c>
      <c r="E200" s="21">
        <v>0.34699999999999998</v>
      </c>
      <c r="F200" s="21">
        <f t="shared" si="20"/>
        <v>4.0000000000000036E-3</v>
      </c>
      <c r="G200" s="13">
        <f t="shared" si="14"/>
        <v>0.31705685618729085</v>
      </c>
      <c r="H200" s="13">
        <f t="shared" si="15"/>
        <v>0.67362725458797634</v>
      </c>
      <c r="I200" s="13">
        <f t="shared" si="16"/>
        <v>0.43800822483221474</v>
      </c>
      <c r="J200" s="13">
        <f t="shared" si="17"/>
        <v>0.13407046979865772</v>
      </c>
      <c r="K200" s="17" t="str">
        <f t="shared" si="18"/>
        <v/>
      </c>
      <c r="L200" s="17" t="str">
        <f t="shared" si="19"/>
        <v/>
      </c>
    </row>
    <row r="201" spans="1:12">
      <c r="A201" s="17">
        <v>192</v>
      </c>
      <c r="B201" s="17">
        <v>4</v>
      </c>
      <c r="C201" s="17">
        <v>8</v>
      </c>
      <c r="D201" s="20" t="s">
        <v>264</v>
      </c>
      <c r="E201" s="21">
        <v>0.28799999999999998</v>
      </c>
      <c r="F201" s="21">
        <f t="shared" si="20"/>
        <v>5.8999999999999997E-2</v>
      </c>
      <c r="G201" s="13">
        <f t="shared" si="14"/>
        <v>0.31705685618729085</v>
      </c>
      <c r="H201" s="13">
        <f t="shared" si="15"/>
        <v>0.67362725458797634</v>
      </c>
      <c r="I201" s="13">
        <f t="shared" si="16"/>
        <v>0.43800822483221474</v>
      </c>
      <c r="J201" s="13">
        <f t="shared" si="17"/>
        <v>0.13407046979865772</v>
      </c>
      <c r="K201" s="17" t="str">
        <f t="shared" si="18"/>
        <v/>
      </c>
      <c r="L201" s="17" t="str">
        <f t="shared" si="19"/>
        <v/>
      </c>
    </row>
    <row r="202" spans="1:12">
      <c r="A202" s="17">
        <v>193</v>
      </c>
      <c r="B202" s="17">
        <v>4</v>
      </c>
      <c r="C202" s="17">
        <v>7</v>
      </c>
      <c r="D202" s="20" t="s">
        <v>265</v>
      </c>
      <c r="E202" s="21">
        <v>0.502</v>
      </c>
      <c r="F202" s="21">
        <f t="shared" si="20"/>
        <v>0.21400000000000002</v>
      </c>
      <c r="G202" s="13">
        <f t="shared" ref="G202:G265" si="21">$Q$3</f>
        <v>0.31705685618729085</v>
      </c>
      <c r="H202" s="13">
        <f t="shared" ref="H202:H265" si="22">$Q$6</f>
        <v>0.67362725458797634</v>
      </c>
      <c r="I202" s="13">
        <f t="shared" ref="I202:I265" si="23">$Q$7</f>
        <v>0.43800822483221474</v>
      </c>
      <c r="J202" s="13">
        <f t="shared" ref="J202:J265" si="24">$Q$4</f>
        <v>0.13407046979865772</v>
      </c>
      <c r="K202" s="17" t="str">
        <f t="shared" ref="K202:K265" si="25">IF(E202&gt;$Q$6,"OOC","" )</f>
        <v/>
      </c>
      <c r="L202" s="17" t="str">
        <f t="shared" ref="L202:L265" si="26">IF(E202&gt;$B$3,"OOS","" )</f>
        <v/>
      </c>
    </row>
    <row r="203" spans="1:12">
      <c r="A203" s="17">
        <v>194</v>
      </c>
      <c r="B203" s="17">
        <v>4</v>
      </c>
      <c r="C203" s="17">
        <v>6</v>
      </c>
      <c r="D203" s="20" t="s">
        <v>266</v>
      </c>
      <c r="E203" s="21">
        <v>0.219</v>
      </c>
      <c r="F203" s="21">
        <f t="shared" ref="F203:F266" si="27">ABS(E203-E202)</f>
        <v>0.28300000000000003</v>
      </c>
      <c r="G203" s="13">
        <f t="shared" si="21"/>
        <v>0.31705685618729085</v>
      </c>
      <c r="H203" s="13">
        <f t="shared" si="22"/>
        <v>0.67362725458797634</v>
      </c>
      <c r="I203" s="13">
        <f t="shared" si="23"/>
        <v>0.43800822483221474</v>
      </c>
      <c r="J203" s="13">
        <f t="shared" si="24"/>
        <v>0.13407046979865772</v>
      </c>
      <c r="K203" s="17" t="str">
        <f t="shared" si="25"/>
        <v/>
      </c>
      <c r="L203" s="17" t="str">
        <f t="shared" si="26"/>
        <v/>
      </c>
    </row>
    <row r="204" spans="1:12">
      <c r="A204" s="17">
        <v>195</v>
      </c>
      <c r="B204" s="17">
        <v>4</v>
      </c>
      <c r="C204" s="17">
        <v>5</v>
      </c>
      <c r="D204" s="20" t="s">
        <v>267</v>
      </c>
      <c r="E204" s="21">
        <v>0.35599999999999998</v>
      </c>
      <c r="F204" s="21">
        <f t="shared" si="27"/>
        <v>0.13699999999999998</v>
      </c>
      <c r="G204" s="13">
        <f t="shared" si="21"/>
        <v>0.31705685618729085</v>
      </c>
      <c r="H204" s="13">
        <f t="shared" si="22"/>
        <v>0.67362725458797634</v>
      </c>
      <c r="I204" s="13">
        <f t="shared" si="23"/>
        <v>0.43800822483221474</v>
      </c>
      <c r="J204" s="13">
        <f t="shared" si="24"/>
        <v>0.13407046979865772</v>
      </c>
      <c r="K204" s="17" t="str">
        <f t="shared" si="25"/>
        <v/>
      </c>
      <c r="L204" s="17" t="str">
        <f t="shared" si="26"/>
        <v/>
      </c>
    </row>
    <row r="205" spans="1:12">
      <c r="A205" s="17">
        <v>196</v>
      </c>
      <c r="B205" s="17">
        <v>4</v>
      </c>
      <c r="C205" s="17">
        <v>4</v>
      </c>
      <c r="D205" s="20" t="s">
        <v>268</v>
      </c>
      <c r="E205" s="21">
        <v>0.16800000000000001</v>
      </c>
      <c r="F205" s="21">
        <f t="shared" si="27"/>
        <v>0.18799999999999997</v>
      </c>
      <c r="G205" s="13">
        <f t="shared" si="21"/>
        <v>0.31705685618729085</v>
      </c>
      <c r="H205" s="13">
        <f t="shared" si="22"/>
        <v>0.67362725458797634</v>
      </c>
      <c r="I205" s="13">
        <f t="shared" si="23"/>
        <v>0.43800822483221474</v>
      </c>
      <c r="J205" s="13">
        <f t="shared" si="24"/>
        <v>0.13407046979865772</v>
      </c>
      <c r="K205" s="17" t="str">
        <f t="shared" si="25"/>
        <v/>
      </c>
      <c r="L205" s="17" t="str">
        <f t="shared" si="26"/>
        <v/>
      </c>
    </row>
    <row r="206" spans="1:12">
      <c r="A206" s="17">
        <v>197</v>
      </c>
      <c r="B206" s="17">
        <v>4</v>
      </c>
      <c r="C206" s="17">
        <v>3</v>
      </c>
      <c r="D206" s="20" t="s">
        <v>269</v>
      </c>
      <c r="E206" s="21">
        <v>0.61699999999999999</v>
      </c>
      <c r="F206" s="21">
        <f t="shared" si="27"/>
        <v>0.44899999999999995</v>
      </c>
      <c r="G206" s="13">
        <f t="shared" si="21"/>
        <v>0.31705685618729085</v>
      </c>
      <c r="H206" s="13">
        <f t="shared" si="22"/>
        <v>0.67362725458797634</v>
      </c>
      <c r="I206" s="13">
        <f t="shared" si="23"/>
        <v>0.43800822483221474</v>
      </c>
      <c r="J206" s="13">
        <f t="shared" si="24"/>
        <v>0.13407046979865772</v>
      </c>
      <c r="K206" s="17" t="str">
        <f t="shared" si="25"/>
        <v/>
      </c>
      <c r="L206" s="17" t="str">
        <f t="shared" si="26"/>
        <v/>
      </c>
    </row>
    <row r="207" spans="1:12">
      <c r="A207" s="17">
        <v>198</v>
      </c>
      <c r="B207" s="17">
        <v>4</v>
      </c>
      <c r="C207" s="17">
        <v>2</v>
      </c>
      <c r="D207" s="20" t="s">
        <v>270</v>
      </c>
      <c r="E207" s="21">
        <v>0.65200000000000002</v>
      </c>
      <c r="F207" s="21">
        <f t="shared" si="27"/>
        <v>3.5000000000000031E-2</v>
      </c>
      <c r="G207" s="13">
        <f t="shared" si="21"/>
        <v>0.31705685618729085</v>
      </c>
      <c r="H207" s="13">
        <f t="shared" si="22"/>
        <v>0.67362725458797634</v>
      </c>
      <c r="I207" s="13">
        <f t="shared" si="23"/>
        <v>0.43800822483221474</v>
      </c>
      <c r="J207" s="13">
        <f t="shared" si="24"/>
        <v>0.13407046979865772</v>
      </c>
      <c r="K207" s="17" t="str">
        <f t="shared" si="25"/>
        <v/>
      </c>
      <c r="L207" s="17" t="str">
        <f t="shared" si="26"/>
        <v/>
      </c>
    </row>
    <row r="208" spans="1:12">
      <c r="A208" s="17">
        <v>199</v>
      </c>
      <c r="B208" s="17">
        <v>4</v>
      </c>
      <c r="C208" s="17">
        <v>1</v>
      </c>
      <c r="D208" s="20" t="s">
        <v>271</v>
      </c>
      <c r="E208" s="21">
        <v>0.60499999999999998</v>
      </c>
      <c r="F208" s="21">
        <f t="shared" si="27"/>
        <v>4.7000000000000042E-2</v>
      </c>
      <c r="G208" s="13">
        <f t="shared" si="21"/>
        <v>0.31705685618729085</v>
      </c>
      <c r="H208" s="13">
        <f t="shared" si="22"/>
        <v>0.67362725458797634</v>
      </c>
      <c r="I208" s="13">
        <f t="shared" si="23"/>
        <v>0.43800822483221474</v>
      </c>
      <c r="J208" s="13">
        <f t="shared" si="24"/>
        <v>0.13407046979865772</v>
      </c>
      <c r="K208" s="17" t="str">
        <f t="shared" si="25"/>
        <v/>
      </c>
      <c r="L208" s="17" t="str">
        <f t="shared" si="26"/>
        <v/>
      </c>
    </row>
    <row r="209" spans="1:12">
      <c r="A209" s="17">
        <v>200</v>
      </c>
      <c r="B209" s="17">
        <v>5</v>
      </c>
      <c r="C209" s="17">
        <v>25</v>
      </c>
      <c r="D209" s="20" t="s">
        <v>272</v>
      </c>
      <c r="E209" s="21">
        <v>0.16700000000000001</v>
      </c>
      <c r="F209" s="21">
        <f t="shared" si="27"/>
        <v>0.43799999999999994</v>
      </c>
      <c r="G209" s="13">
        <f t="shared" si="21"/>
        <v>0.31705685618729085</v>
      </c>
      <c r="H209" s="13">
        <f t="shared" si="22"/>
        <v>0.67362725458797634</v>
      </c>
      <c r="I209" s="13">
        <f t="shared" si="23"/>
        <v>0.43800822483221474</v>
      </c>
      <c r="J209" s="13">
        <f t="shared" si="24"/>
        <v>0.13407046979865772</v>
      </c>
      <c r="K209" s="17" t="str">
        <f t="shared" si="25"/>
        <v/>
      </c>
      <c r="L209" s="17" t="str">
        <f t="shared" si="26"/>
        <v/>
      </c>
    </row>
    <row r="210" spans="1:12">
      <c r="A210" s="17">
        <v>201</v>
      </c>
      <c r="B210" s="17">
        <v>5</v>
      </c>
      <c r="C210" s="17">
        <v>24</v>
      </c>
      <c r="D210" s="20" t="s">
        <v>273</v>
      </c>
      <c r="E210" s="21">
        <v>0.317</v>
      </c>
      <c r="F210" s="21">
        <f t="shared" si="27"/>
        <v>0.15</v>
      </c>
      <c r="G210" s="13">
        <f t="shared" si="21"/>
        <v>0.31705685618729085</v>
      </c>
      <c r="H210" s="13">
        <f t="shared" si="22"/>
        <v>0.67362725458797634</v>
      </c>
      <c r="I210" s="13">
        <f t="shared" si="23"/>
        <v>0.43800822483221474</v>
      </c>
      <c r="J210" s="13">
        <f t="shared" si="24"/>
        <v>0.13407046979865772</v>
      </c>
      <c r="K210" s="17" t="str">
        <f t="shared" si="25"/>
        <v/>
      </c>
      <c r="L210" s="17" t="str">
        <f t="shared" si="26"/>
        <v/>
      </c>
    </row>
    <row r="211" spans="1:12">
      <c r="A211" s="17">
        <v>202</v>
      </c>
      <c r="B211" s="17">
        <v>5</v>
      </c>
      <c r="C211" s="17">
        <v>23</v>
      </c>
      <c r="D211" s="20" t="s">
        <v>274</v>
      </c>
      <c r="E211" s="21">
        <v>0.27400000000000002</v>
      </c>
      <c r="F211" s="21">
        <f t="shared" si="27"/>
        <v>4.2999999999999983E-2</v>
      </c>
      <c r="G211" s="13">
        <f t="shared" si="21"/>
        <v>0.31705685618729085</v>
      </c>
      <c r="H211" s="13">
        <f t="shared" si="22"/>
        <v>0.67362725458797634</v>
      </c>
      <c r="I211" s="13">
        <f t="shared" si="23"/>
        <v>0.43800822483221474</v>
      </c>
      <c r="J211" s="13">
        <f t="shared" si="24"/>
        <v>0.13407046979865772</v>
      </c>
      <c r="K211" s="17" t="str">
        <f t="shared" si="25"/>
        <v/>
      </c>
      <c r="L211" s="17" t="str">
        <f t="shared" si="26"/>
        <v/>
      </c>
    </row>
    <row r="212" spans="1:12">
      <c r="A212" s="17">
        <v>203</v>
      </c>
      <c r="B212" s="17">
        <v>5</v>
      </c>
      <c r="C212" s="17">
        <v>22</v>
      </c>
      <c r="D212" s="20" t="s">
        <v>275</v>
      </c>
      <c r="E212" s="21">
        <v>0.442</v>
      </c>
      <c r="F212" s="21">
        <f t="shared" si="27"/>
        <v>0.16799999999999998</v>
      </c>
      <c r="G212" s="13">
        <f t="shared" si="21"/>
        <v>0.31705685618729085</v>
      </c>
      <c r="H212" s="13">
        <f t="shared" si="22"/>
        <v>0.67362725458797634</v>
      </c>
      <c r="I212" s="13">
        <f t="shared" si="23"/>
        <v>0.43800822483221474</v>
      </c>
      <c r="J212" s="13">
        <f t="shared" si="24"/>
        <v>0.13407046979865772</v>
      </c>
      <c r="K212" s="17" t="str">
        <f t="shared" si="25"/>
        <v/>
      </c>
      <c r="L212" s="17" t="str">
        <f t="shared" si="26"/>
        <v/>
      </c>
    </row>
    <row r="213" spans="1:12">
      <c r="A213" s="17">
        <v>204</v>
      </c>
      <c r="B213" s="17">
        <v>5</v>
      </c>
      <c r="C213" s="17">
        <v>21</v>
      </c>
      <c r="D213" s="20" t="s">
        <v>276</v>
      </c>
      <c r="E213" s="21">
        <v>0.34300000000000003</v>
      </c>
      <c r="F213" s="21">
        <f t="shared" si="27"/>
        <v>9.8999999999999977E-2</v>
      </c>
      <c r="G213" s="13">
        <f t="shared" si="21"/>
        <v>0.31705685618729085</v>
      </c>
      <c r="H213" s="13">
        <f t="shared" si="22"/>
        <v>0.67362725458797634</v>
      </c>
      <c r="I213" s="13">
        <f t="shared" si="23"/>
        <v>0.43800822483221474</v>
      </c>
      <c r="J213" s="13">
        <f t="shared" si="24"/>
        <v>0.13407046979865772</v>
      </c>
      <c r="K213" s="17" t="str">
        <f t="shared" si="25"/>
        <v/>
      </c>
      <c r="L213" s="17" t="str">
        <f t="shared" si="26"/>
        <v/>
      </c>
    </row>
    <row r="214" spans="1:12">
      <c r="A214" s="17">
        <v>205</v>
      </c>
      <c r="B214" s="17">
        <v>5</v>
      </c>
      <c r="C214" s="17">
        <v>20</v>
      </c>
      <c r="D214" s="20" t="s">
        <v>277</v>
      </c>
      <c r="E214" s="21">
        <v>0.33400000000000002</v>
      </c>
      <c r="F214" s="21">
        <f t="shared" si="27"/>
        <v>9.000000000000008E-3</v>
      </c>
      <c r="G214" s="13">
        <f t="shared" si="21"/>
        <v>0.31705685618729085</v>
      </c>
      <c r="H214" s="13">
        <f t="shared" si="22"/>
        <v>0.67362725458797634</v>
      </c>
      <c r="I214" s="13">
        <f t="shared" si="23"/>
        <v>0.43800822483221474</v>
      </c>
      <c r="J214" s="13">
        <f t="shared" si="24"/>
        <v>0.13407046979865772</v>
      </c>
      <c r="K214" s="17" t="str">
        <f t="shared" si="25"/>
        <v/>
      </c>
      <c r="L214" s="17" t="str">
        <f t="shared" si="26"/>
        <v/>
      </c>
    </row>
    <row r="215" spans="1:12">
      <c r="A215" s="17">
        <v>206</v>
      </c>
      <c r="B215" s="17">
        <v>5</v>
      </c>
      <c r="C215" s="17">
        <v>19</v>
      </c>
      <c r="D215" s="20" t="s">
        <v>278</v>
      </c>
      <c r="E215" s="21">
        <v>0.44400000000000001</v>
      </c>
      <c r="F215" s="21">
        <f t="shared" si="27"/>
        <v>0.10999999999999999</v>
      </c>
      <c r="G215" s="13">
        <f t="shared" si="21"/>
        <v>0.31705685618729085</v>
      </c>
      <c r="H215" s="13">
        <f t="shared" si="22"/>
        <v>0.67362725458797634</v>
      </c>
      <c r="I215" s="13">
        <f t="shared" si="23"/>
        <v>0.43800822483221474</v>
      </c>
      <c r="J215" s="13">
        <f t="shared" si="24"/>
        <v>0.13407046979865772</v>
      </c>
      <c r="K215" s="17" t="str">
        <f t="shared" si="25"/>
        <v/>
      </c>
      <c r="L215" s="17" t="str">
        <f t="shared" si="26"/>
        <v/>
      </c>
    </row>
    <row r="216" spans="1:12">
      <c r="A216" s="17">
        <v>207</v>
      </c>
      <c r="B216" s="17">
        <v>5</v>
      </c>
      <c r="C216" s="17">
        <v>18</v>
      </c>
      <c r="D216" s="20" t="s">
        <v>279</v>
      </c>
      <c r="E216" s="21">
        <v>0.30299999999999999</v>
      </c>
      <c r="F216" s="21">
        <f t="shared" si="27"/>
        <v>0.14100000000000001</v>
      </c>
      <c r="G216" s="13">
        <f t="shared" si="21"/>
        <v>0.31705685618729085</v>
      </c>
      <c r="H216" s="13">
        <f t="shared" si="22"/>
        <v>0.67362725458797634</v>
      </c>
      <c r="I216" s="13">
        <f t="shared" si="23"/>
        <v>0.43800822483221474</v>
      </c>
      <c r="J216" s="13">
        <f t="shared" si="24"/>
        <v>0.13407046979865772</v>
      </c>
      <c r="K216" s="17" t="str">
        <f t="shared" si="25"/>
        <v/>
      </c>
      <c r="L216" s="17" t="str">
        <f t="shared" si="26"/>
        <v/>
      </c>
    </row>
    <row r="217" spans="1:12">
      <c r="A217" s="17">
        <v>208</v>
      </c>
      <c r="B217" s="17">
        <v>5</v>
      </c>
      <c r="C217" s="17">
        <v>17</v>
      </c>
      <c r="D217" s="20" t="s">
        <v>280</v>
      </c>
      <c r="E217" s="21">
        <v>0.34200000000000003</v>
      </c>
      <c r="F217" s="21">
        <f t="shared" si="27"/>
        <v>3.9000000000000035E-2</v>
      </c>
      <c r="G217" s="13">
        <f t="shared" si="21"/>
        <v>0.31705685618729085</v>
      </c>
      <c r="H217" s="13">
        <f t="shared" si="22"/>
        <v>0.67362725458797634</v>
      </c>
      <c r="I217" s="13">
        <f t="shared" si="23"/>
        <v>0.43800822483221474</v>
      </c>
      <c r="J217" s="13">
        <f t="shared" si="24"/>
        <v>0.13407046979865772</v>
      </c>
      <c r="K217" s="17" t="str">
        <f t="shared" si="25"/>
        <v/>
      </c>
      <c r="L217" s="17" t="str">
        <f t="shared" si="26"/>
        <v/>
      </c>
    </row>
    <row r="218" spans="1:12">
      <c r="A218" s="17">
        <v>209</v>
      </c>
      <c r="B218" s="17">
        <v>5</v>
      </c>
      <c r="C218" s="17">
        <v>16</v>
      </c>
      <c r="D218" s="20" t="s">
        <v>281</v>
      </c>
      <c r="E218" s="21">
        <v>0.29499999999999998</v>
      </c>
      <c r="F218" s="21">
        <f t="shared" si="27"/>
        <v>4.7000000000000042E-2</v>
      </c>
      <c r="G218" s="13">
        <f t="shared" si="21"/>
        <v>0.31705685618729085</v>
      </c>
      <c r="H218" s="13">
        <f t="shared" si="22"/>
        <v>0.67362725458797634</v>
      </c>
      <c r="I218" s="13">
        <f t="shared" si="23"/>
        <v>0.43800822483221474</v>
      </c>
      <c r="J218" s="13">
        <f t="shared" si="24"/>
        <v>0.13407046979865772</v>
      </c>
      <c r="K218" s="17" t="str">
        <f t="shared" si="25"/>
        <v/>
      </c>
      <c r="L218" s="17" t="str">
        <f t="shared" si="26"/>
        <v/>
      </c>
    </row>
    <row r="219" spans="1:12">
      <c r="A219" s="17">
        <v>210</v>
      </c>
      <c r="B219" s="17">
        <v>5</v>
      </c>
      <c r="C219" s="17">
        <v>15</v>
      </c>
      <c r="D219" s="20" t="s">
        <v>282</v>
      </c>
      <c r="E219" s="21">
        <v>0.29099999999999998</v>
      </c>
      <c r="F219" s="21">
        <f t="shared" si="27"/>
        <v>4.0000000000000036E-3</v>
      </c>
      <c r="G219" s="13">
        <f t="shared" si="21"/>
        <v>0.31705685618729085</v>
      </c>
      <c r="H219" s="13">
        <f t="shared" si="22"/>
        <v>0.67362725458797634</v>
      </c>
      <c r="I219" s="13">
        <f t="shared" si="23"/>
        <v>0.43800822483221474</v>
      </c>
      <c r="J219" s="13">
        <f t="shared" si="24"/>
        <v>0.13407046979865772</v>
      </c>
      <c r="K219" s="17" t="str">
        <f t="shared" si="25"/>
        <v/>
      </c>
      <c r="L219" s="17" t="str">
        <f t="shared" si="26"/>
        <v/>
      </c>
    </row>
    <row r="220" spans="1:12">
      <c r="A220" s="17">
        <v>211</v>
      </c>
      <c r="B220" s="17">
        <v>5</v>
      </c>
      <c r="C220" s="17">
        <v>14</v>
      </c>
      <c r="D220" s="20" t="s">
        <v>283</v>
      </c>
      <c r="E220" s="21">
        <v>0.43</v>
      </c>
      <c r="F220" s="21">
        <f t="shared" si="27"/>
        <v>0.13900000000000001</v>
      </c>
      <c r="G220" s="13">
        <f t="shared" si="21"/>
        <v>0.31705685618729085</v>
      </c>
      <c r="H220" s="13">
        <f t="shared" si="22"/>
        <v>0.67362725458797634</v>
      </c>
      <c r="I220" s="13">
        <f t="shared" si="23"/>
        <v>0.43800822483221474</v>
      </c>
      <c r="J220" s="13">
        <f t="shared" si="24"/>
        <v>0.13407046979865772</v>
      </c>
      <c r="K220" s="17" t="str">
        <f t="shared" si="25"/>
        <v/>
      </c>
      <c r="L220" s="17" t="str">
        <f t="shared" si="26"/>
        <v/>
      </c>
    </row>
    <row r="221" spans="1:12">
      <c r="A221" s="17">
        <v>212</v>
      </c>
      <c r="B221" s="17">
        <v>5</v>
      </c>
      <c r="C221" s="17">
        <v>13</v>
      </c>
      <c r="D221" s="20" t="s">
        <v>284</v>
      </c>
      <c r="E221" s="21">
        <v>0.33200000000000002</v>
      </c>
      <c r="F221" s="21">
        <f t="shared" si="27"/>
        <v>9.7999999999999976E-2</v>
      </c>
      <c r="G221" s="13">
        <f t="shared" si="21"/>
        <v>0.31705685618729085</v>
      </c>
      <c r="H221" s="13">
        <f t="shared" si="22"/>
        <v>0.67362725458797634</v>
      </c>
      <c r="I221" s="13">
        <f t="shared" si="23"/>
        <v>0.43800822483221474</v>
      </c>
      <c r="J221" s="13">
        <f t="shared" si="24"/>
        <v>0.13407046979865772</v>
      </c>
      <c r="K221" s="17" t="str">
        <f t="shared" si="25"/>
        <v/>
      </c>
      <c r="L221" s="17" t="str">
        <f t="shared" si="26"/>
        <v/>
      </c>
    </row>
    <row r="222" spans="1:12">
      <c r="A222" s="17">
        <v>213</v>
      </c>
      <c r="B222" s="17">
        <v>5</v>
      </c>
      <c r="C222" s="17">
        <v>12</v>
      </c>
      <c r="D222" s="20" t="s">
        <v>285</v>
      </c>
      <c r="E222" s="21">
        <v>0.26</v>
      </c>
      <c r="F222" s="21">
        <f t="shared" si="27"/>
        <v>7.2000000000000008E-2</v>
      </c>
      <c r="G222" s="13">
        <f t="shared" si="21"/>
        <v>0.31705685618729085</v>
      </c>
      <c r="H222" s="13">
        <f t="shared" si="22"/>
        <v>0.67362725458797634</v>
      </c>
      <c r="I222" s="13">
        <f t="shared" si="23"/>
        <v>0.43800822483221474</v>
      </c>
      <c r="J222" s="13">
        <f t="shared" si="24"/>
        <v>0.13407046979865772</v>
      </c>
      <c r="K222" s="17" t="str">
        <f t="shared" si="25"/>
        <v/>
      </c>
      <c r="L222" s="17" t="str">
        <f t="shared" si="26"/>
        <v/>
      </c>
    </row>
    <row r="223" spans="1:12">
      <c r="A223" s="17">
        <v>214</v>
      </c>
      <c r="B223" s="17">
        <v>5</v>
      </c>
      <c r="C223" s="17">
        <v>11</v>
      </c>
      <c r="D223" s="20" t="s">
        <v>286</v>
      </c>
      <c r="E223" s="21">
        <v>0.371</v>
      </c>
      <c r="F223" s="21">
        <f t="shared" si="27"/>
        <v>0.11099999999999999</v>
      </c>
      <c r="G223" s="13">
        <f t="shared" si="21"/>
        <v>0.31705685618729085</v>
      </c>
      <c r="H223" s="13">
        <f t="shared" si="22"/>
        <v>0.67362725458797634</v>
      </c>
      <c r="I223" s="13">
        <f t="shared" si="23"/>
        <v>0.43800822483221474</v>
      </c>
      <c r="J223" s="13">
        <f t="shared" si="24"/>
        <v>0.13407046979865772</v>
      </c>
      <c r="K223" s="17" t="str">
        <f t="shared" si="25"/>
        <v/>
      </c>
      <c r="L223" s="17" t="str">
        <f t="shared" si="26"/>
        <v/>
      </c>
    </row>
    <row r="224" spans="1:12">
      <c r="A224" s="17">
        <v>215</v>
      </c>
      <c r="B224" s="17">
        <v>5</v>
      </c>
      <c r="C224" s="17">
        <v>10</v>
      </c>
      <c r="D224" s="20" t="s">
        <v>287</v>
      </c>
      <c r="E224" s="21">
        <v>0.154</v>
      </c>
      <c r="F224" s="21">
        <f t="shared" si="27"/>
        <v>0.217</v>
      </c>
      <c r="G224" s="13">
        <f t="shared" si="21"/>
        <v>0.31705685618729085</v>
      </c>
      <c r="H224" s="13">
        <f t="shared" si="22"/>
        <v>0.67362725458797634</v>
      </c>
      <c r="I224" s="13">
        <f t="shared" si="23"/>
        <v>0.43800822483221474</v>
      </c>
      <c r="J224" s="13">
        <f t="shared" si="24"/>
        <v>0.13407046979865772</v>
      </c>
      <c r="K224" s="17" t="str">
        <f t="shared" si="25"/>
        <v/>
      </c>
      <c r="L224" s="17" t="str">
        <f t="shared" si="26"/>
        <v/>
      </c>
    </row>
    <row r="225" spans="1:12">
      <c r="A225" s="17">
        <v>216</v>
      </c>
      <c r="B225" s="17">
        <v>5</v>
      </c>
      <c r="C225" s="17">
        <v>9</v>
      </c>
      <c r="D225" s="20" t="s">
        <v>288</v>
      </c>
      <c r="E225" s="21">
        <v>0.11799999999999999</v>
      </c>
      <c r="F225" s="21">
        <f t="shared" si="27"/>
        <v>3.6000000000000004E-2</v>
      </c>
      <c r="G225" s="13">
        <f t="shared" si="21"/>
        <v>0.31705685618729085</v>
      </c>
      <c r="H225" s="13">
        <f t="shared" si="22"/>
        <v>0.67362725458797634</v>
      </c>
      <c r="I225" s="13">
        <f t="shared" si="23"/>
        <v>0.43800822483221474</v>
      </c>
      <c r="J225" s="13">
        <f t="shared" si="24"/>
        <v>0.13407046979865772</v>
      </c>
      <c r="K225" s="17" t="str">
        <f t="shared" si="25"/>
        <v/>
      </c>
      <c r="L225" s="17" t="str">
        <f t="shared" si="26"/>
        <v/>
      </c>
    </row>
    <row r="226" spans="1:12">
      <c r="A226" s="17">
        <v>217</v>
      </c>
      <c r="B226" s="17">
        <v>5</v>
      </c>
      <c r="C226" s="17">
        <v>8</v>
      </c>
      <c r="D226" s="20" t="s">
        <v>289</v>
      </c>
      <c r="E226" s="21">
        <v>0.25600000000000001</v>
      </c>
      <c r="F226" s="21">
        <f t="shared" si="27"/>
        <v>0.13800000000000001</v>
      </c>
      <c r="G226" s="13">
        <f t="shared" si="21"/>
        <v>0.31705685618729085</v>
      </c>
      <c r="H226" s="13">
        <f t="shared" si="22"/>
        <v>0.67362725458797634</v>
      </c>
      <c r="I226" s="13">
        <f t="shared" si="23"/>
        <v>0.43800822483221474</v>
      </c>
      <c r="J226" s="13">
        <f t="shared" si="24"/>
        <v>0.13407046979865772</v>
      </c>
      <c r="K226" s="17" t="str">
        <f t="shared" si="25"/>
        <v/>
      </c>
      <c r="L226" s="17" t="str">
        <f t="shared" si="26"/>
        <v/>
      </c>
    </row>
    <row r="227" spans="1:12">
      <c r="A227" s="17">
        <v>218</v>
      </c>
      <c r="B227" s="17">
        <v>5</v>
      </c>
      <c r="C227" s="17">
        <v>7</v>
      </c>
      <c r="D227" s="20" t="s">
        <v>290</v>
      </c>
      <c r="E227" s="21">
        <v>0.23699999999999999</v>
      </c>
      <c r="F227" s="21">
        <f t="shared" si="27"/>
        <v>1.9000000000000017E-2</v>
      </c>
      <c r="G227" s="13">
        <f t="shared" si="21"/>
        <v>0.31705685618729085</v>
      </c>
      <c r="H227" s="13">
        <f t="shared" si="22"/>
        <v>0.67362725458797634</v>
      </c>
      <c r="I227" s="13">
        <f t="shared" si="23"/>
        <v>0.43800822483221474</v>
      </c>
      <c r="J227" s="13">
        <f t="shared" si="24"/>
        <v>0.13407046979865772</v>
      </c>
      <c r="K227" s="17" t="str">
        <f t="shared" si="25"/>
        <v/>
      </c>
      <c r="L227" s="17" t="str">
        <f t="shared" si="26"/>
        <v/>
      </c>
    </row>
    <row r="228" spans="1:12">
      <c r="A228" s="17">
        <v>219</v>
      </c>
      <c r="B228" s="17">
        <v>5</v>
      </c>
      <c r="C228" s="17">
        <v>6</v>
      </c>
      <c r="D228" s="20" t="s">
        <v>291</v>
      </c>
      <c r="E228" s="21">
        <v>0.17899999999999999</v>
      </c>
      <c r="F228" s="21">
        <f t="shared" si="27"/>
        <v>5.7999999999999996E-2</v>
      </c>
      <c r="G228" s="13">
        <f t="shared" si="21"/>
        <v>0.31705685618729085</v>
      </c>
      <c r="H228" s="13">
        <f t="shared" si="22"/>
        <v>0.67362725458797634</v>
      </c>
      <c r="I228" s="13">
        <f t="shared" si="23"/>
        <v>0.43800822483221474</v>
      </c>
      <c r="J228" s="13">
        <f t="shared" si="24"/>
        <v>0.13407046979865772</v>
      </c>
      <c r="K228" s="17" t="str">
        <f t="shared" si="25"/>
        <v/>
      </c>
      <c r="L228" s="17" t="str">
        <f t="shared" si="26"/>
        <v/>
      </c>
    </row>
    <row r="229" spans="1:12">
      <c r="A229" s="17">
        <v>220</v>
      </c>
      <c r="B229" s="17">
        <v>5</v>
      </c>
      <c r="C229" s="17">
        <v>5</v>
      </c>
      <c r="D229" s="20" t="s">
        <v>292</v>
      </c>
      <c r="E229" s="21">
        <v>0.19500000000000001</v>
      </c>
      <c r="F229" s="21">
        <f t="shared" si="27"/>
        <v>1.6000000000000014E-2</v>
      </c>
      <c r="G229" s="13">
        <f t="shared" si="21"/>
        <v>0.31705685618729085</v>
      </c>
      <c r="H229" s="13">
        <f t="shared" si="22"/>
        <v>0.67362725458797634</v>
      </c>
      <c r="I229" s="13">
        <f t="shared" si="23"/>
        <v>0.43800822483221474</v>
      </c>
      <c r="J229" s="13">
        <f t="shared" si="24"/>
        <v>0.13407046979865772</v>
      </c>
      <c r="K229" s="17" t="str">
        <f t="shared" si="25"/>
        <v/>
      </c>
      <c r="L229" s="17" t="str">
        <f t="shared" si="26"/>
        <v/>
      </c>
    </row>
    <row r="230" spans="1:12">
      <c r="A230" s="17">
        <v>221</v>
      </c>
      <c r="B230" s="17">
        <v>5</v>
      </c>
      <c r="C230" s="17">
        <v>4</v>
      </c>
      <c r="D230" s="20" t="s">
        <v>293</v>
      </c>
      <c r="E230" s="21">
        <v>0.24399999999999999</v>
      </c>
      <c r="F230" s="21">
        <f t="shared" si="27"/>
        <v>4.8999999999999988E-2</v>
      </c>
      <c r="G230" s="13">
        <f t="shared" si="21"/>
        <v>0.31705685618729085</v>
      </c>
      <c r="H230" s="13">
        <f t="shared" si="22"/>
        <v>0.67362725458797634</v>
      </c>
      <c r="I230" s="13">
        <f t="shared" si="23"/>
        <v>0.43800822483221474</v>
      </c>
      <c r="J230" s="13">
        <f t="shared" si="24"/>
        <v>0.13407046979865772</v>
      </c>
      <c r="K230" s="17" t="str">
        <f t="shared" si="25"/>
        <v/>
      </c>
      <c r="L230" s="17" t="str">
        <f t="shared" si="26"/>
        <v/>
      </c>
    </row>
    <row r="231" spans="1:12">
      <c r="A231" s="17">
        <v>222</v>
      </c>
      <c r="B231" s="17">
        <v>5</v>
      </c>
      <c r="C231" s="17">
        <v>3</v>
      </c>
      <c r="D231" s="20" t="s">
        <v>294</v>
      </c>
      <c r="E231" s="21">
        <v>0.246</v>
      </c>
      <c r="F231" s="21">
        <f t="shared" si="27"/>
        <v>2.0000000000000018E-3</v>
      </c>
      <c r="G231" s="13">
        <f t="shared" si="21"/>
        <v>0.31705685618729085</v>
      </c>
      <c r="H231" s="13">
        <f t="shared" si="22"/>
        <v>0.67362725458797634</v>
      </c>
      <c r="I231" s="13">
        <f t="shared" si="23"/>
        <v>0.43800822483221474</v>
      </c>
      <c r="J231" s="13">
        <f t="shared" si="24"/>
        <v>0.13407046979865772</v>
      </c>
      <c r="K231" s="17" t="str">
        <f t="shared" si="25"/>
        <v/>
      </c>
      <c r="L231" s="17" t="str">
        <f t="shared" si="26"/>
        <v/>
      </c>
    </row>
    <row r="232" spans="1:12">
      <c r="A232" s="17">
        <v>223</v>
      </c>
      <c r="B232" s="17">
        <v>5</v>
      </c>
      <c r="C232" s="17">
        <v>2</v>
      </c>
      <c r="D232" s="20" t="s">
        <v>295</v>
      </c>
      <c r="E232" s="21">
        <v>0.218</v>
      </c>
      <c r="F232" s="21">
        <f t="shared" si="27"/>
        <v>2.7999999999999997E-2</v>
      </c>
      <c r="G232" s="13">
        <f t="shared" si="21"/>
        <v>0.31705685618729085</v>
      </c>
      <c r="H232" s="13">
        <f t="shared" si="22"/>
        <v>0.67362725458797634</v>
      </c>
      <c r="I232" s="13">
        <f t="shared" si="23"/>
        <v>0.43800822483221474</v>
      </c>
      <c r="J232" s="13">
        <f t="shared" si="24"/>
        <v>0.13407046979865772</v>
      </c>
      <c r="K232" s="17" t="str">
        <f t="shared" si="25"/>
        <v/>
      </c>
      <c r="L232" s="17" t="str">
        <f t="shared" si="26"/>
        <v/>
      </c>
    </row>
    <row r="233" spans="1:12">
      <c r="A233" s="17">
        <v>224</v>
      </c>
      <c r="B233" s="17">
        <v>5</v>
      </c>
      <c r="C233" s="17">
        <v>1</v>
      </c>
      <c r="D233" s="20" t="s">
        <v>296</v>
      </c>
      <c r="E233" s="21">
        <v>0.19</v>
      </c>
      <c r="F233" s="21">
        <f t="shared" si="27"/>
        <v>2.7999999999999997E-2</v>
      </c>
      <c r="G233" s="13">
        <f t="shared" si="21"/>
        <v>0.31705685618729085</v>
      </c>
      <c r="H233" s="13">
        <f t="shared" si="22"/>
        <v>0.67362725458797634</v>
      </c>
      <c r="I233" s="13">
        <f t="shared" si="23"/>
        <v>0.43800822483221474</v>
      </c>
      <c r="J233" s="13">
        <f t="shared" si="24"/>
        <v>0.13407046979865772</v>
      </c>
      <c r="K233" s="17" t="str">
        <f t="shared" si="25"/>
        <v/>
      </c>
      <c r="L233" s="17" t="str">
        <f t="shared" si="26"/>
        <v/>
      </c>
    </row>
    <row r="234" spans="1:12">
      <c r="A234" s="17">
        <v>225</v>
      </c>
      <c r="B234" s="17">
        <v>5</v>
      </c>
      <c r="C234" s="17">
        <v>25</v>
      </c>
      <c r="D234" s="20" t="s">
        <v>297</v>
      </c>
      <c r="E234" s="21">
        <v>0.29899999999999999</v>
      </c>
      <c r="F234" s="21">
        <f t="shared" si="27"/>
        <v>0.10899999999999999</v>
      </c>
      <c r="G234" s="13">
        <f t="shared" si="21"/>
        <v>0.31705685618729085</v>
      </c>
      <c r="H234" s="13">
        <f t="shared" si="22"/>
        <v>0.67362725458797634</v>
      </c>
      <c r="I234" s="13">
        <f t="shared" si="23"/>
        <v>0.43800822483221474</v>
      </c>
      <c r="J234" s="13">
        <f t="shared" si="24"/>
        <v>0.13407046979865772</v>
      </c>
      <c r="K234" s="17" t="str">
        <f t="shared" si="25"/>
        <v/>
      </c>
      <c r="L234" s="17" t="str">
        <f t="shared" si="26"/>
        <v/>
      </c>
    </row>
    <row r="235" spans="1:12">
      <c r="A235" s="17">
        <v>226</v>
      </c>
      <c r="B235" s="17">
        <v>5</v>
      </c>
      <c r="C235" s="17">
        <v>24</v>
      </c>
      <c r="D235" s="20" t="s">
        <v>298</v>
      </c>
      <c r="E235" s="21">
        <v>0.44400000000000001</v>
      </c>
      <c r="F235" s="21">
        <f t="shared" si="27"/>
        <v>0.14500000000000002</v>
      </c>
      <c r="G235" s="13">
        <f t="shared" si="21"/>
        <v>0.31705685618729085</v>
      </c>
      <c r="H235" s="13">
        <f t="shared" si="22"/>
        <v>0.67362725458797634</v>
      </c>
      <c r="I235" s="13">
        <f t="shared" si="23"/>
        <v>0.43800822483221474</v>
      </c>
      <c r="J235" s="13">
        <f t="shared" si="24"/>
        <v>0.13407046979865772</v>
      </c>
      <c r="K235" s="17" t="str">
        <f t="shared" si="25"/>
        <v/>
      </c>
      <c r="L235" s="17" t="str">
        <f t="shared" si="26"/>
        <v/>
      </c>
    </row>
    <row r="236" spans="1:12">
      <c r="A236" s="17">
        <v>227</v>
      </c>
      <c r="B236" s="17">
        <v>5</v>
      </c>
      <c r="C236" s="17">
        <v>23</v>
      </c>
      <c r="D236" s="20" t="s">
        <v>299</v>
      </c>
      <c r="E236" s="21">
        <v>0.252</v>
      </c>
      <c r="F236" s="21">
        <f t="shared" si="27"/>
        <v>0.192</v>
      </c>
      <c r="G236" s="13">
        <f t="shared" si="21"/>
        <v>0.31705685618729085</v>
      </c>
      <c r="H236" s="13">
        <f t="shared" si="22"/>
        <v>0.67362725458797634</v>
      </c>
      <c r="I236" s="13">
        <f t="shared" si="23"/>
        <v>0.43800822483221474</v>
      </c>
      <c r="J236" s="13">
        <f t="shared" si="24"/>
        <v>0.13407046979865772</v>
      </c>
      <c r="K236" s="17" t="str">
        <f t="shared" si="25"/>
        <v/>
      </c>
      <c r="L236" s="17" t="str">
        <f t="shared" si="26"/>
        <v/>
      </c>
    </row>
    <row r="237" spans="1:12">
      <c r="A237" s="17">
        <v>228</v>
      </c>
      <c r="B237" s="17">
        <v>5</v>
      </c>
      <c r="C237" s="17">
        <v>22</v>
      </c>
      <c r="D237" s="20" t="s">
        <v>300</v>
      </c>
      <c r="E237" s="21">
        <v>0.48699999999999999</v>
      </c>
      <c r="F237" s="21">
        <f t="shared" si="27"/>
        <v>0.23499999999999999</v>
      </c>
      <c r="G237" s="13">
        <f t="shared" si="21"/>
        <v>0.31705685618729085</v>
      </c>
      <c r="H237" s="13">
        <f t="shared" si="22"/>
        <v>0.67362725458797634</v>
      </c>
      <c r="I237" s="13">
        <f t="shared" si="23"/>
        <v>0.43800822483221474</v>
      </c>
      <c r="J237" s="13">
        <f t="shared" si="24"/>
        <v>0.13407046979865772</v>
      </c>
      <c r="K237" s="17" t="str">
        <f t="shared" si="25"/>
        <v/>
      </c>
      <c r="L237" s="17" t="str">
        <f t="shared" si="26"/>
        <v/>
      </c>
    </row>
    <row r="238" spans="1:12">
      <c r="A238" s="17">
        <v>229</v>
      </c>
      <c r="B238" s="17">
        <v>5</v>
      </c>
      <c r="C238" s="17">
        <v>21</v>
      </c>
      <c r="D238" s="20" t="s">
        <v>301</v>
      </c>
      <c r="E238" s="21">
        <v>0.28899999999999998</v>
      </c>
      <c r="F238" s="21">
        <f t="shared" si="27"/>
        <v>0.19800000000000001</v>
      </c>
      <c r="G238" s="13">
        <f t="shared" si="21"/>
        <v>0.31705685618729085</v>
      </c>
      <c r="H238" s="13">
        <f t="shared" si="22"/>
        <v>0.67362725458797634</v>
      </c>
      <c r="I238" s="13">
        <f t="shared" si="23"/>
        <v>0.43800822483221474</v>
      </c>
      <c r="J238" s="13">
        <f t="shared" si="24"/>
        <v>0.13407046979865772</v>
      </c>
      <c r="K238" s="17" t="str">
        <f t="shared" si="25"/>
        <v/>
      </c>
      <c r="L238" s="17" t="str">
        <f t="shared" si="26"/>
        <v/>
      </c>
    </row>
    <row r="239" spans="1:12">
      <c r="A239" s="17">
        <v>230</v>
      </c>
      <c r="B239" s="17">
        <v>5</v>
      </c>
      <c r="C239" s="17">
        <v>20</v>
      </c>
      <c r="D239" s="20" t="s">
        <v>302</v>
      </c>
      <c r="E239" s="21">
        <v>0.34300000000000003</v>
      </c>
      <c r="F239" s="21">
        <f t="shared" si="27"/>
        <v>5.4000000000000048E-2</v>
      </c>
      <c r="G239" s="13">
        <f t="shared" si="21"/>
        <v>0.31705685618729085</v>
      </c>
      <c r="H239" s="13">
        <f t="shared" si="22"/>
        <v>0.67362725458797634</v>
      </c>
      <c r="I239" s="13">
        <f t="shared" si="23"/>
        <v>0.43800822483221474</v>
      </c>
      <c r="J239" s="13">
        <f t="shared" si="24"/>
        <v>0.13407046979865772</v>
      </c>
      <c r="K239" s="17" t="str">
        <f t="shared" si="25"/>
        <v/>
      </c>
      <c r="L239" s="17" t="str">
        <f t="shared" si="26"/>
        <v/>
      </c>
    </row>
    <row r="240" spans="1:12">
      <c r="A240" s="17">
        <v>231</v>
      </c>
      <c r="B240" s="17">
        <v>5</v>
      </c>
      <c r="C240" s="17">
        <v>19</v>
      </c>
      <c r="D240" s="20" t="s">
        <v>303</v>
      </c>
      <c r="E240" s="21">
        <v>0.19700000000000001</v>
      </c>
      <c r="F240" s="21">
        <f t="shared" si="27"/>
        <v>0.14600000000000002</v>
      </c>
      <c r="G240" s="13">
        <f t="shared" si="21"/>
        <v>0.31705685618729085</v>
      </c>
      <c r="H240" s="13">
        <f t="shared" si="22"/>
        <v>0.67362725458797634</v>
      </c>
      <c r="I240" s="13">
        <f t="shared" si="23"/>
        <v>0.43800822483221474</v>
      </c>
      <c r="J240" s="13">
        <f t="shared" si="24"/>
        <v>0.13407046979865772</v>
      </c>
      <c r="K240" s="17" t="str">
        <f t="shared" si="25"/>
        <v/>
      </c>
      <c r="L240" s="17" t="str">
        <f t="shared" si="26"/>
        <v/>
      </c>
    </row>
    <row r="241" spans="1:12">
      <c r="A241" s="17">
        <v>232</v>
      </c>
      <c r="B241" s="17">
        <v>5</v>
      </c>
      <c r="C241" s="17">
        <v>18</v>
      </c>
      <c r="D241" s="20" t="s">
        <v>304</v>
      </c>
      <c r="E241" s="21">
        <v>0.47499999999999998</v>
      </c>
      <c r="F241" s="21">
        <f t="shared" si="27"/>
        <v>0.27799999999999997</v>
      </c>
      <c r="G241" s="13">
        <f t="shared" si="21"/>
        <v>0.31705685618729085</v>
      </c>
      <c r="H241" s="13">
        <f t="shared" si="22"/>
        <v>0.67362725458797634</v>
      </c>
      <c r="I241" s="13">
        <f t="shared" si="23"/>
        <v>0.43800822483221474</v>
      </c>
      <c r="J241" s="13">
        <f t="shared" si="24"/>
        <v>0.13407046979865772</v>
      </c>
      <c r="K241" s="17" t="str">
        <f t="shared" si="25"/>
        <v/>
      </c>
      <c r="L241" s="17" t="str">
        <f t="shared" si="26"/>
        <v/>
      </c>
    </row>
    <row r="242" spans="1:12">
      <c r="A242" s="17">
        <v>233</v>
      </c>
      <c r="B242" s="17">
        <v>5</v>
      </c>
      <c r="C242" s="17">
        <v>17</v>
      </c>
      <c r="D242" s="20" t="s">
        <v>305</v>
      </c>
      <c r="E242" s="21">
        <v>0.48699999999999999</v>
      </c>
      <c r="F242" s="21">
        <f t="shared" si="27"/>
        <v>1.2000000000000011E-2</v>
      </c>
      <c r="G242" s="13">
        <f t="shared" si="21"/>
        <v>0.31705685618729085</v>
      </c>
      <c r="H242" s="13">
        <f t="shared" si="22"/>
        <v>0.67362725458797634</v>
      </c>
      <c r="I242" s="13">
        <f t="shared" si="23"/>
        <v>0.43800822483221474</v>
      </c>
      <c r="J242" s="13">
        <f t="shared" si="24"/>
        <v>0.13407046979865772</v>
      </c>
      <c r="K242" s="17" t="str">
        <f t="shared" si="25"/>
        <v/>
      </c>
      <c r="L242" s="17" t="str">
        <f t="shared" si="26"/>
        <v/>
      </c>
    </row>
    <row r="243" spans="1:12">
      <c r="A243" s="17">
        <v>234</v>
      </c>
      <c r="B243" s="17">
        <v>5</v>
      </c>
      <c r="C243" s="17">
        <v>16</v>
      </c>
      <c r="D243" s="20" t="s">
        <v>306</v>
      </c>
      <c r="E243" s="21">
        <v>0.39500000000000002</v>
      </c>
      <c r="F243" s="21">
        <f t="shared" si="27"/>
        <v>9.1999999999999971E-2</v>
      </c>
      <c r="G243" s="13">
        <f t="shared" si="21"/>
        <v>0.31705685618729085</v>
      </c>
      <c r="H243" s="13">
        <f t="shared" si="22"/>
        <v>0.67362725458797634</v>
      </c>
      <c r="I243" s="13">
        <f t="shared" si="23"/>
        <v>0.43800822483221474</v>
      </c>
      <c r="J243" s="13">
        <f t="shared" si="24"/>
        <v>0.13407046979865772</v>
      </c>
      <c r="K243" s="17" t="str">
        <f t="shared" si="25"/>
        <v/>
      </c>
      <c r="L243" s="17" t="str">
        <f t="shared" si="26"/>
        <v/>
      </c>
    </row>
    <row r="244" spans="1:12">
      <c r="A244" s="17">
        <v>235</v>
      </c>
      <c r="B244" s="17">
        <v>5</v>
      </c>
      <c r="C244" s="17">
        <v>15</v>
      </c>
      <c r="D244" s="20" t="s">
        <v>307</v>
      </c>
      <c r="E244" s="21">
        <v>0.56499999999999995</v>
      </c>
      <c r="F244" s="21">
        <f t="shared" si="27"/>
        <v>0.16999999999999993</v>
      </c>
      <c r="G244" s="13">
        <f t="shared" si="21"/>
        <v>0.31705685618729085</v>
      </c>
      <c r="H244" s="13">
        <f t="shared" si="22"/>
        <v>0.67362725458797634</v>
      </c>
      <c r="I244" s="13">
        <f t="shared" si="23"/>
        <v>0.43800822483221474</v>
      </c>
      <c r="J244" s="13">
        <f t="shared" si="24"/>
        <v>0.13407046979865772</v>
      </c>
      <c r="K244" s="17" t="str">
        <f t="shared" si="25"/>
        <v/>
      </c>
      <c r="L244" s="17" t="str">
        <f t="shared" si="26"/>
        <v/>
      </c>
    </row>
    <row r="245" spans="1:12">
      <c r="A245" s="17">
        <v>236</v>
      </c>
      <c r="B245" s="17">
        <v>5</v>
      </c>
      <c r="C245" s="17">
        <v>14</v>
      </c>
      <c r="D245" s="20" t="s">
        <v>308</v>
      </c>
      <c r="E245" s="21">
        <v>0.182</v>
      </c>
      <c r="F245" s="21">
        <f t="shared" si="27"/>
        <v>0.38299999999999995</v>
      </c>
      <c r="G245" s="13">
        <f t="shared" si="21"/>
        <v>0.31705685618729085</v>
      </c>
      <c r="H245" s="13">
        <f t="shared" si="22"/>
        <v>0.67362725458797634</v>
      </c>
      <c r="I245" s="13">
        <f t="shared" si="23"/>
        <v>0.43800822483221474</v>
      </c>
      <c r="J245" s="13">
        <f t="shared" si="24"/>
        <v>0.13407046979865772</v>
      </c>
      <c r="K245" s="17" t="str">
        <f t="shared" si="25"/>
        <v/>
      </c>
      <c r="L245" s="17" t="str">
        <f t="shared" si="26"/>
        <v/>
      </c>
    </row>
    <row r="246" spans="1:12">
      <c r="A246" s="17">
        <v>237</v>
      </c>
      <c r="B246" s="17">
        <v>5</v>
      </c>
      <c r="C246" s="17">
        <v>13</v>
      </c>
      <c r="D246" s="20" t="s">
        <v>309</v>
      </c>
      <c r="E246" s="21">
        <v>0.44</v>
      </c>
      <c r="F246" s="21">
        <f t="shared" si="27"/>
        <v>0.25800000000000001</v>
      </c>
      <c r="G246" s="13">
        <f t="shared" si="21"/>
        <v>0.31705685618729085</v>
      </c>
      <c r="H246" s="13">
        <f t="shared" si="22"/>
        <v>0.67362725458797634</v>
      </c>
      <c r="I246" s="13">
        <f t="shared" si="23"/>
        <v>0.43800822483221474</v>
      </c>
      <c r="J246" s="13">
        <f t="shared" si="24"/>
        <v>0.13407046979865772</v>
      </c>
      <c r="K246" s="17" t="str">
        <f t="shared" si="25"/>
        <v/>
      </c>
      <c r="L246" s="17" t="str">
        <f t="shared" si="26"/>
        <v/>
      </c>
    </row>
    <row r="247" spans="1:12">
      <c r="A247" s="17">
        <v>238</v>
      </c>
      <c r="B247" s="17">
        <v>5</v>
      </c>
      <c r="C247" s="17">
        <v>12</v>
      </c>
      <c r="D247" s="20" t="s">
        <v>310</v>
      </c>
      <c r="E247" s="21">
        <v>0.309</v>
      </c>
      <c r="F247" s="21">
        <f t="shared" si="27"/>
        <v>0.13100000000000001</v>
      </c>
      <c r="G247" s="13">
        <f t="shared" si="21"/>
        <v>0.31705685618729085</v>
      </c>
      <c r="H247" s="13">
        <f t="shared" si="22"/>
        <v>0.67362725458797634</v>
      </c>
      <c r="I247" s="13">
        <f t="shared" si="23"/>
        <v>0.43800822483221474</v>
      </c>
      <c r="J247" s="13">
        <f t="shared" si="24"/>
        <v>0.13407046979865772</v>
      </c>
      <c r="K247" s="17" t="str">
        <f t="shared" si="25"/>
        <v/>
      </c>
      <c r="L247" s="17" t="str">
        <f t="shared" si="26"/>
        <v/>
      </c>
    </row>
    <row r="248" spans="1:12">
      <c r="A248" s="17">
        <v>239</v>
      </c>
      <c r="B248" s="17">
        <v>5</v>
      </c>
      <c r="C248" s="17">
        <v>11</v>
      </c>
      <c r="D248" s="20" t="s">
        <v>311</v>
      </c>
      <c r="E248" s="21">
        <v>0.29199999999999998</v>
      </c>
      <c r="F248" s="21">
        <f t="shared" si="27"/>
        <v>1.7000000000000015E-2</v>
      </c>
      <c r="G248" s="13">
        <f t="shared" si="21"/>
        <v>0.31705685618729085</v>
      </c>
      <c r="H248" s="13">
        <f t="shared" si="22"/>
        <v>0.67362725458797634</v>
      </c>
      <c r="I248" s="13">
        <f t="shared" si="23"/>
        <v>0.43800822483221474</v>
      </c>
      <c r="J248" s="13">
        <f t="shared" si="24"/>
        <v>0.13407046979865772</v>
      </c>
      <c r="K248" s="17" t="str">
        <f t="shared" si="25"/>
        <v/>
      </c>
      <c r="L248" s="17" t="str">
        <f t="shared" si="26"/>
        <v/>
      </c>
    </row>
    <row r="249" spans="1:12">
      <c r="A249" s="17">
        <v>240</v>
      </c>
      <c r="B249" s="17">
        <v>5</v>
      </c>
      <c r="C249" s="17">
        <v>10</v>
      </c>
      <c r="D249" s="20" t="s">
        <v>312</v>
      </c>
      <c r="E249" s="21">
        <v>0.14399999999999999</v>
      </c>
      <c r="F249" s="21">
        <f t="shared" si="27"/>
        <v>0.14799999999999999</v>
      </c>
      <c r="G249" s="13">
        <f t="shared" si="21"/>
        <v>0.31705685618729085</v>
      </c>
      <c r="H249" s="13">
        <f t="shared" si="22"/>
        <v>0.67362725458797634</v>
      </c>
      <c r="I249" s="13">
        <f t="shared" si="23"/>
        <v>0.43800822483221474</v>
      </c>
      <c r="J249" s="13">
        <f t="shared" si="24"/>
        <v>0.13407046979865772</v>
      </c>
      <c r="K249" s="17" t="str">
        <f t="shared" si="25"/>
        <v/>
      </c>
      <c r="L249" s="17" t="str">
        <f t="shared" si="26"/>
        <v/>
      </c>
    </row>
    <row r="250" spans="1:12">
      <c r="A250" s="17">
        <v>241</v>
      </c>
      <c r="B250" s="17">
        <v>5</v>
      </c>
      <c r="C250" s="17">
        <v>9</v>
      </c>
      <c r="D250" s="20" t="s">
        <v>313</v>
      </c>
      <c r="E250" s="21">
        <v>0.32900000000000001</v>
      </c>
      <c r="F250" s="21">
        <f t="shared" si="27"/>
        <v>0.18500000000000003</v>
      </c>
      <c r="G250" s="13">
        <f t="shared" si="21"/>
        <v>0.31705685618729085</v>
      </c>
      <c r="H250" s="13">
        <f t="shared" si="22"/>
        <v>0.67362725458797634</v>
      </c>
      <c r="I250" s="13">
        <f t="shared" si="23"/>
        <v>0.43800822483221474</v>
      </c>
      <c r="J250" s="13">
        <f t="shared" si="24"/>
        <v>0.13407046979865772</v>
      </c>
      <c r="K250" s="17" t="str">
        <f t="shared" si="25"/>
        <v/>
      </c>
      <c r="L250" s="17" t="str">
        <f t="shared" si="26"/>
        <v/>
      </c>
    </row>
    <row r="251" spans="1:12">
      <c r="A251" s="17">
        <v>242</v>
      </c>
      <c r="B251" s="17">
        <v>5</v>
      </c>
      <c r="C251" s="17">
        <v>8</v>
      </c>
      <c r="D251" s="20" t="s">
        <v>314</v>
      </c>
      <c r="E251" s="21">
        <v>0.22600000000000001</v>
      </c>
      <c r="F251" s="21">
        <f t="shared" si="27"/>
        <v>0.10300000000000001</v>
      </c>
      <c r="G251" s="13">
        <f t="shared" si="21"/>
        <v>0.31705685618729085</v>
      </c>
      <c r="H251" s="13">
        <f t="shared" si="22"/>
        <v>0.67362725458797634</v>
      </c>
      <c r="I251" s="13">
        <f t="shared" si="23"/>
        <v>0.43800822483221474</v>
      </c>
      <c r="J251" s="13">
        <f t="shared" si="24"/>
        <v>0.13407046979865772</v>
      </c>
      <c r="K251" s="17" t="str">
        <f t="shared" si="25"/>
        <v/>
      </c>
      <c r="L251" s="17" t="str">
        <f t="shared" si="26"/>
        <v/>
      </c>
    </row>
    <row r="252" spans="1:12">
      <c r="A252" s="17">
        <v>243</v>
      </c>
      <c r="B252" s="17">
        <v>5</v>
      </c>
      <c r="C252" s="17">
        <v>7</v>
      </c>
      <c r="D252" s="20" t="s">
        <v>315</v>
      </c>
      <c r="E252" s="21">
        <v>0.30099999999999999</v>
      </c>
      <c r="F252" s="21">
        <f t="shared" si="27"/>
        <v>7.4999999999999983E-2</v>
      </c>
      <c r="G252" s="13">
        <f t="shared" si="21"/>
        <v>0.31705685618729085</v>
      </c>
      <c r="H252" s="13">
        <f t="shared" si="22"/>
        <v>0.67362725458797634</v>
      </c>
      <c r="I252" s="13">
        <f t="shared" si="23"/>
        <v>0.43800822483221474</v>
      </c>
      <c r="J252" s="13">
        <f t="shared" si="24"/>
        <v>0.13407046979865772</v>
      </c>
      <c r="K252" s="17" t="str">
        <f t="shared" si="25"/>
        <v/>
      </c>
      <c r="L252" s="17" t="str">
        <f t="shared" si="26"/>
        <v/>
      </c>
    </row>
    <row r="253" spans="1:12">
      <c r="A253" s="17">
        <v>244</v>
      </c>
      <c r="B253" s="17">
        <v>5</v>
      </c>
      <c r="C253" s="17">
        <v>6</v>
      </c>
      <c r="D253" s="20" t="s">
        <v>316</v>
      </c>
      <c r="E253" s="21">
        <v>0.245</v>
      </c>
      <c r="F253" s="21">
        <f t="shared" si="27"/>
        <v>5.5999999999999994E-2</v>
      </c>
      <c r="G253" s="13">
        <f t="shared" si="21"/>
        <v>0.31705685618729085</v>
      </c>
      <c r="H253" s="13">
        <f t="shared" si="22"/>
        <v>0.67362725458797634</v>
      </c>
      <c r="I253" s="13">
        <f t="shared" si="23"/>
        <v>0.43800822483221474</v>
      </c>
      <c r="J253" s="13">
        <f t="shared" si="24"/>
        <v>0.13407046979865772</v>
      </c>
      <c r="K253" s="17" t="str">
        <f t="shared" si="25"/>
        <v/>
      </c>
      <c r="L253" s="17" t="str">
        <f t="shared" si="26"/>
        <v/>
      </c>
    </row>
    <row r="254" spans="1:12">
      <c r="A254" s="17">
        <v>245</v>
      </c>
      <c r="B254" s="17">
        <v>5</v>
      </c>
      <c r="C254" s="17">
        <v>5</v>
      </c>
      <c r="D254" s="20" t="s">
        <v>317</v>
      </c>
      <c r="E254" s="21">
        <v>0.17499999999999999</v>
      </c>
      <c r="F254" s="21">
        <f t="shared" si="27"/>
        <v>7.0000000000000007E-2</v>
      </c>
      <c r="G254" s="13">
        <f t="shared" si="21"/>
        <v>0.31705685618729085</v>
      </c>
      <c r="H254" s="13">
        <f t="shared" si="22"/>
        <v>0.67362725458797634</v>
      </c>
      <c r="I254" s="13">
        <f t="shared" si="23"/>
        <v>0.43800822483221474</v>
      </c>
      <c r="J254" s="13">
        <f t="shared" si="24"/>
        <v>0.13407046979865772</v>
      </c>
      <c r="K254" s="17" t="str">
        <f t="shared" si="25"/>
        <v/>
      </c>
      <c r="L254" s="17" t="str">
        <f t="shared" si="26"/>
        <v/>
      </c>
    </row>
    <row r="255" spans="1:12">
      <c r="A255" s="17">
        <v>246</v>
      </c>
      <c r="B255" s="17">
        <v>5</v>
      </c>
      <c r="C255" s="17">
        <v>4</v>
      </c>
      <c r="D255" s="20" t="s">
        <v>318</v>
      </c>
      <c r="E255" s="21">
        <v>0.16500000000000001</v>
      </c>
      <c r="F255" s="21">
        <f t="shared" si="27"/>
        <v>9.9999999999999811E-3</v>
      </c>
      <c r="G255" s="13">
        <f t="shared" si="21"/>
        <v>0.31705685618729085</v>
      </c>
      <c r="H255" s="13">
        <f t="shared" si="22"/>
        <v>0.67362725458797634</v>
      </c>
      <c r="I255" s="13">
        <f t="shared" si="23"/>
        <v>0.43800822483221474</v>
      </c>
      <c r="J255" s="13">
        <f t="shared" si="24"/>
        <v>0.13407046979865772</v>
      </c>
      <c r="K255" s="17" t="str">
        <f t="shared" si="25"/>
        <v/>
      </c>
      <c r="L255" s="17" t="str">
        <f t="shared" si="26"/>
        <v/>
      </c>
    </row>
    <row r="256" spans="1:12">
      <c r="A256" s="17">
        <v>247</v>
      </c>
      <c r="B256" s="17">
        <v>5</v>
      </c>
      <c r="C256" s="17">
        <v>3</v>
      </c>
      <c r="D256" s="20" t="s">
        <v>319</v>
      </c>
      <c r="E256" s="21">
        <v>0.14899999999999999</v>
      </c>
      <c r="F256" s="21">
        <f t="shared" si="27"/>
        <v>1.6000000000000014E-2</v>
      </c>
      <c r="G256" s="13">
        <f t="shared" si="21"/>
        <v>0.31705685618729085</v>
      </c>
      <c r="H256" s="13">
        <f t="shared" si="22"/>
        <v>0.67362725458797634</v>
      </c>
      <c r="I256" s="13">
        <f t="shared" si="23"/>
        <v>0.43800822483221474</v>
      </c>
      <c r="J256" s="13">
        <f t="shared" si="24"/>
        <v>0.13407046979865772</v>
      </c>
      <c r="K256" s="17" t="str">
        <f t="shared" si="25"/>
        <v/>
      </c>
      <c r="L256" s="17" t="str">
        <f t="shared" si="26"/>
        <v/>
      </c>
    </row>
    <row r="257" spans="1:12">
      <c r="A257" s="17">
        <v>248</v>
      </c>
      <c r="B257" s="17">
        <v>5</v>
      </c>
      <c r="C257" s="17">
        <v>2</v>
      </c>
      <c r="D257" s="20" t="s">
        <v>320</v>
      </c>
      <c r="E257" s="21">
        <v>0.33500000000000002</v>
      </c>
      <c r="F257" s="21">
        <f t="shared" si="27"/>
        <v>0.18600000000000003</v>
      </c>
      <c r="G257" s="13">
        <f t="shared" si="21"/>
        <v>0.31705685618729085</v>
      </c>
      <c r="H257" s="13">
        <f t="shared" si="22"/>
        <v>0.67362725458797634</v>
      </c>
      <c r="I257" s="13">
        <f t="shared" si="23"/>
        <v>0.43800822483221474</v>
      </c>
      <c r="J257" s="13">
        <f t="shared" si="24"/>
        <v>0.13407046979865772</v>
      </c>
      <c r="K257" s="17" t="str">
        <f t="shared" si="25"/>
        <v/>
      </c>
      <c r="L257" s="17" t="str">
        <f t="shared" si="26"/>
        <v/>
      </c>
    </row>
    <row r="258" spans="1:12">
      <c r="A258" s="17">
        <v>249</v>
      </c>
      <c r="B258" s="17">
        <v>5</v>
      </c>
      <c r="C258" s="17">
        <v>1</v>
      </c>
      <c r="D258" s="20" t="s">
        <v>321</v>
      </c>
      <c r="E258" s="21">
        <v>0.27400000000000002</v>
      </c>
      <c r="F258" s="21">
        <f t="shared" si="27"/>
        <v>6.0999999999999999E-2</v>
      </c>
      <c r="G258" s="13">
        <f t="shared" si="21"/>
        <v>0.31705685618729085</v>
      </c>
      <c r="H258" s="13">
        <f t="shared" si="22"/>
        <v>0.67362725458797634</v>
      </c>
      <c r="I258" s="13">
        <f t="shared" si="23"/>
        <v>0.43800822483221474</v>
      </c>
      <c r="J258" s="13">
        <f t="shared" si="24"/>
        <v>0.13407046979865772</v>
      </c>
      <c r="K258" s="17" t="str">
        <f t="shared" si="25"/>
        <v/>
      </c>
      <c r="L258" s="17" t="str">
        <f t="shared" si="26"/>
        <v/>
      </c>
    </row>
    <row r="259" spans="1:12">
      <c r="A259" s="17">
        <v>250</v>
      </c>
      <c r="B259" s="17">
        <v>6</v>
      </c>
      <c r="C259" s="17">
        <v>25</v>
      </c>
      <c r="D259" s="20" t="s">
        <v>322</v>
      </c>
      <c r="E259" s="21">
        <v>0.188</v>
      </c>
      <c r="F259" s="21">
        <f t="shared" si="27"/>
        <v>8.6000000000000021E-2</v>
      </c>
      <c r="G259" s="13">
        <f t="shared" si="21"/>
        <v>0.31705685618729085</v>
      </c>
      <c r="H259" s="13">
        <f t="shared" si="22"/>
        <v>0.67362725458797634</v>
      </c>
      <c r="I259" s="13">
        <f t="shared" si="23"/>
        <v>0.43800822483221474</v>
      </c>
      <c r="J259" s="13">
        <f t="shared" si="24"/>
        <v>0.13407046979865772</v>
      </c>
      <c r="K259" s="17" t="str">
        <f t="shared" si="25"/>
        <v/>
      </c>
      <c r="L259" s="17" t="str">
        <f t="shared" si="26"/>
        <v/>
      </c>
    </row>
    <row r="260" spans="1:12">
      <c r="A260" s="17">
        <v>251</v>
      </c>
      <c r="B260" s="17">
        <v>6</v>
      </c>
      <c r="C260" s="17">
        <v>24</v>
      </c>
      <c r="D260" s="20" t="s">
        <v>323</v>
      </c>
      <c r="E260" s="21">
        <v>0.19600000000000001</v>
      </c>
      <c r="F260" s="21">
        <f t="shared" si="27"/>
        <v>8.0000000000000071E-3</v>
      </c>
      <c r="G260" s="13">
        <f t="shared" si="21"/>
        <v>0.31705685618729085</v>
      </c>
      <c r="H260" s="13">
        <f t="shared" si="22"/>
        <v>0.67362725458797634</v>
      </c>
      <c r="I260" s="13">
        <f t="shared" si="23"/>
        <v>0.43800822483221474</v>
      </c>
      <c r="J260" s="13">
        <f t="shared" si="24"/>
        <v>0.13407046979865772</v>
      </c>
      <c r="K260" s="17" t="str">
        <f t="shared" si="25"/>
        <v/>
      </c>
      <c r="L260" s="17" t="str">
        <f t="shared" si="26"/>
        <v/>
      </c>
    </row>
    <row r="261" spans="1:12">
      <c r="A261" s="17">
        <v>252</v>
      </c>
      <c r="B261" s="17">
        <v>6</v>
      </c>
      <c r="C261" s="17">
        <v>23</v>
      </c>
      <c r="D261" s="20" t="s">
        <v>324</v>
      </c>
      <c r="E261" s="21">
        <v>0.312</v>
      </c>
      <c r="F261" s="21">
        <f t="shared" si="27"/>
        <v>0.11599999999999999</v>
      </c>
      <c r="G261" s="13">
        <f t="shared" si="21"/>
        <v>0.31705685618729085</v>
      </c>
      <c r="H261" s="13">
        <f t="shared" si="22"/>
        <v>0.67362725458797634</v>
      </c>
      <c r="I261" s="13">
        <f t="shared" si="23"/>
        <v>0.43800822483221474</v>
      </c>
      <c r="J261" s="13">
        <f t="shared" si="24"/>
        <v>0.13407046979865772</v>
      </c>
      <c r="K261" s="17" t="str">
        <f t="shared" si="25"/>
        <v/>
      </c>
      <c r="L261" s="17" t="str">
        <f t="shared" si="26"/>
        <v/>
      </c>
    </row>
    <row r="262" spans="1:12">
      <c r="A262" s="17">
        <v>253</v>
      </c>
      <c r="B262" s="17">
        <v>6</v>
      </c>
      <c r="C262" s="17">
        <v>22</v>
      </c>
      <c r="D262" s="20" t="s">
        <v>325</v>
      </c>
      <c r="E262" s="21">
        <v>0.45800000000000002</v>
      </c>
      <c r="F262" s="21">
        <f t="shared" si="27"/>
        <v>0.14600000000000002</v>
      </c>
      <c r="G262" s="13">
        <f t="shared" si="21"/>
        <v>0.31705685618729085</v>
      </c>
      <c r="H262" s="13">
        <f t="shared" si="22"/>
        <v>0.67362725458797634</v>
      </c>
      <c r="I262" s="13">
        <f t="shared" si="23"/>
        <v>0.43800822483221474</v>
      </c>
      <c r="J262" s="13">
        <f t="shared" si="24"/>
        <v>0.13407046979865772</v>
      </c>
      <c r="K262" s="17" t="str">
        <f t="shared" si="25"/>
        <v/>
      </c>
      <c r="L262" s="17" t="str">
        <f t="shared" si="26"/>
        <v/>
      </c>
    </row>
    <row r="263" spans="1:12">
      <c r="A263" s="17">
        <v>254</v>
      </c>
      <c r="B263" s="17">
        <v>6</v>
      </c>
      <c r="C263" s="17">
        <v>21</v>
      </c>
      <c r="D263" s="20" t="s">
        <v>326</v>
      </c>
      <c r="E263" s="21">
        <v>0.27400000000000002</v>
      </c>
      <c r="F263" s="21">
        <f t="shared" si="27"/>
        <v>0.184</v>
      </c>
      <c r="G263" s="13">
        <f t="shared" si="21"/>
        <v>0.31705685618729085</v>
      </c>
      <c r="H263" s="13">
        <f t="shared" si="22"/>
        <v>0.67362725458797634</v>
      </c>
      <c r="I263" s="13">
        <f t="shared" si="23"/>
        <v>0.43800822483221474</v>
      </c>
      <c r="J263" s="13">
        <f t="shared" si="24"/>
        <v>0.13407046979865772</v>
      </c>
      <c r="K263" s="17" t="str">
        <f t="shared" si="25"/>
        <v/>
      </c>
      <c r="L263" s="17" t="str">
        <f t="shared" si="26"/>
        <v/>
      </c>
    </row>
    <row r="264" spans="1:12">
      <c r="A264" s="17">
        <v>255</v>
      </c>
      <c r="B264" s="17">
        <v>6</v>
      </c>
      <c r="C264" s="17">
        <v>20</v>
      </c>
      <c r="D264" s="20" t="s">
        <v>327</v>
      </c>
      <c r="E264" s="21">
        <v>0.89200000000000002</v>
      </c>
      <c r="F264" s="21">
        <f t="shared" si="27"/>
        <v>0.61799999999999999</v>
      </c>
      <c r="G264" s="13">
        <f t="shared" si="21"/>
        <v>0.31705685618729085</v>
      </c>
      <c r="H264" s="13">
        <f t="shared" si="22"/>
        <v>0.67362725458797634</v>
      </c>
      <c r="I264" s="13">
        <f t="shared" si="23"/>
        <v>0.43800822483221474</v>
      </c>
      <c r="J264" s="13">
        <f t="shared" si="24"/>
        <v>0.13407046979865772</v>
      </c>
      <c r="K264" s="17" t="str">
        <f t="shared" si="25"/>
        <v>OOC</v>
      </c>
      <c r="L264" s="17" t="str">
        <f t="shared" si="26"/>
        <v/>
      </c>
    </row>
    <row r="265" spans="1:12">
      <c r="A265" s="17">
        <v>256</v>
      </c>
      <c r="B265" s="17">
        <v>6</v>
      </c>
      <c r="C265" s="17">
        <v>19</v>
      </c>
      <c r="D265" s="20" t="s">
        <v>328</v>
      </c>
      <c r="E265" s="21">
        <v>0.495</v>
      </c>
      <c r="F265" s="21">
        <f t="shared" si="27"/>
        <v>0.39700000000000002</v>
      </c>
      <c r="G265" s="13">
        <f t="shared" si="21"/>
        <v>0.31705685618729085</v>
      </c>
      <c r="H265" s="13">
        <f t="shared" si="22"/>
        <v>0.67362725458797634</v>
      </c>
      <c r="I265" s="13">
        <f t="shared" si="23"/>
        <v>0.43800822483221474</v>
      </c>
      <c r="J265" s="13">
        <f t="shared" si="24"/>
        <v>0.13407046979865772</v>
      </c>
      <c r="K265" s="17" t="str">
        <f t="shared" si="25"/>
        <v/>
      </c>
      <c r="L265" s="17" t="str">
        <f t="shared" si="26"/>
        <v/>
      </c>
    </row>
    <row r="266" spans="1:12">
      <c r="A266" s="17">
        <v>257</v>
      </c>
      <c r="B266" s="17">
        <v>6</v>
      </c>
      <c r="C266" s="17">
        <v>18</v>
      </c>
      <c r="D266" s="20" t="s">
        <v>329</v>
      </c>
      <c r="E266" s="21">
        <v>0.17699999999999999</v>
      </c>
      <c r="F266" s="21">
        <f t="shared" si="27"/>
        <v>0.318</v>
      </c>
      <c r="G266" s="13">
        <f t="shared" ref="G266:G308" si="28">$Q$3</f>
        <v>0.31705685618729085</v>
      </c>
      <c r="H266" s="13">
        <f t="shared" ref="H266:H308" si="29">$Q$6</f>
        <v>0.67362725458797634</v>
      </c>
      <c r="I266" s="13">
        <f t="shared" ref="I266:I308" si="30">$Q$7</f>
        <v>0.43800822483221474</v>
      </c>
      <c r="J266" s="13">
        <f t="shared" ref="J266:J308" si="31">$Q$4</f>
        <v>0.13407046979865772</v>
      </c>
      <c r="K266" s="17" t="str">
        <f t="shared" ref="K266:K308" si="32">IF(E266&gt;$Q$6,"OOC","" )</f>
        <v/>
      </c>
      <c r="L266" s="17" t="str">
        <f t="shared" ref="L266:L308" si="33">IF(E266&gt;$B$3,"OOS","" )</f>
        <v/>
      </c>
    </row>
    <row r="267" spans="1:12">
      <c r="A267" s="17">
        <v>258</v>
      </c>
      <c r="B267" s="17">
        <v>6</v>
      </c>
      <c r="C267" s="17">
        <v>17</v>
      </c>
      <c r="D267" s="20" t="s">
        <v>330</v>
      </c>
      <c r="E267" s="21">
        <v>0.35599999999999998</v>
      </c>
      <c r="F267" s="21">
        <f t="shared" ref="F267:F308" si="34">ABS(E267-E266)</f>
        <v>0.17899999999999999</v>
      </c>
      <c r="G267" s="13">
        <f t="shared" si="28"/>
        <v>0.31705685618729085</v>
      </c>
      <c r="H267" s="13">
        <f t="shared" si="29"/>
        <v>0.67362725458797634</v>
      </c>
      <c r="I267" s="13">
        <f t="shared" si="30"/>
        <v>0.43800822483221474</v>
      </c>
      <c r="J267" s="13">
        <f t="shared" si="31"/>
        <v>0.13407046979865772</v>
      </c>
      <c r="K267" s="17" t="str">
        <f t="shared" si="32"/>
        <v/>
      </c>
      <c r="L267" s="17" t="str">
        <f t="shared" si="33"/>
        <v/>
      </c>
    </row>
    <row r="268" spans="1:12">
      <c r="A268" s="17">
        <v>259</v>
      </c>
      <c r="B268" s="17">
        <v>6</v>
      </c>
      <c r="C268" s="17">
        <v>16</v>
      </c>
      <c r="D268" s="20" t="s">
        <v>331</v>
      </c>
      <c r="E268" s="21">
        <v>0.19600000000000001</v>
      </c>
      <c r="F268" s="21">
        <f t="shared" si="34"/>
        <v>0.15999999999999998</v>
      </c>
      <c r="G268" s="13">
        <f t="shared" si="28"/>
        <v>0.31705685618729085</v>
      </c>
      <c r="H268" s="13">
        <f t="shared" si="29"/>
        <v>0.67362725458797634</v>
      </c>
      <c r="I268" s="13">
        <f t="shared" si="30"/>
        <v>0.43800822483221474</v>
      </c>
      <c r="J268" s="13">
        <f t="shared" si="31"/>
        <v>0.13407046979865772</v>
      </c>
      <c r="K268" s="17" t="str">
        <f t="shared" si="32"/>
        <v/>
      </c>
      <c r="L268" s="17" t="str">
        <f t="shared" si="33"/>
        <v/>
      </c>
    </row>
    <row r="269" spans="1:12">
      <c r="A269" s="17">
        <v>260</v>
      </c>
      <c r="B269" s="17">
        <v>6</v>
      </c>
      <c r="C269" s="17">
        <v>15</v>
      </c>
      <c r="D269" s="20" t="s">
        <v>332</v>
      </c>
      <c r="E269" s="21">
        <v>0.47499999999999998</v>
      </c>
      <c r="F269" s="21">
        <f t="shared" si="34"/>
        <v>0.27899999999999997</v>
      </c>
      <c r="G269" s="13">
        <f t="shared" si="28"/>
        <v>0.31705685618729085</v>
      </c>
      <c r="H269" s="13">
        <f t="shared" si="29"/>
        <v>0.67362725458797634</v>
      </c>
      <c r="I269" s="13">
        <f t="shared" si="30"/>
        <v>0.43800822483221474</v>
      </c>
      <c r="J269" s="13">
        <f t="shared" si="31"/>
        <v>0.13407046979865772</v>
      </c>
      <c r="K269" s="17" t="str">
        <f t="shared" si="32"/>
        <v/>
      </c>
      <c r="L269" s="17" t="str">
        <f t="shared" si="33"/>
        <v/>
      </c>
    </row>
    <row r="270" spans="1:12">
      <c r="A270" s="17">
        <v>261</v>
      </c>
      <c r="B270" s="17">
        <v>6</v>
      </c>
      <c r="C270" s="17">
        <v>14</v>
      </c>
      <c r="D270" s="20" t="s">
        <v>333</v>
      </c>
      <c r="E270" s="21">
        <v>0.188</v>
      </c>
      <c r="F270" s="21">
        <f t="shared" si="34"/>
        <v>0.28699999999999998</v>
      </c>
      <c r="G270" s="13">
        <f t="shared" si="28"/>
        <v>0.31705685618729085</v>
      </c>
      <c r="H270" s="13">
        <f t="shared" si="29"/>
        <v>0.67362725458797634</v>
      </c>
      <c r="I270" s="13">
        <f t="shared" si="30"/>
        <v>0.43800822483221474</v>
      </c>
      <c r="J270" s="13">
        <f t="shared" si="31"/>
        <v>0.13407046979865772</v>
      </c>
      <c r="K270" s="17" t="str">
        <f t="shared" si="32"/>
        <v/>
      </c>
      <c r="L270" s="17" t="str">
        <f t="shared" si="33"/>
        <v/>
      </c>
    </row>
    <row r="271" spans="1:12">
      <c r="A271" s="17">
        <v>262</v>
      </c>
      <c r="B271" s="17">
        <v>6</v>
      </c>
      <c r="C271" s="17">
        <v>13</v>
      </c>
      <c r="D271" s="20" t="s">
        <v>334</v>
      </c>
      <c r="E271" s="21">
        <v>0.124</v>
      </c>
      <c r="F271" s="21">
        <f t="shared" si="34"/>
        <v>6.4000000000000001E-2</v>
      </c>
      <c r="G271" s="13">
        <f t="shared" si="28"/>
        <v>0.31705685618729085</v>
      </c>
      <c r="H271" s="13">
        <f t="shared" si="29"/>
        <v>0.67362725458797634</v>
      </c>
      <c r="I271" s="13">
        <f t="shared" si="30"/>
        <v>0.43800822483221474</v>
      </c>
      <c r="J271" s="13">
        <f t="shared" si="31"/>
        <v>0.13407046979865772</v>
      </c>
      <c r="K271" s="17" t="str">
        <f t="shared" si="32"/>
        <v/>
      </c>
      <c r="L271" s="17" t="str">
        <f t="shared" si="33"/>
        <v/>
      </c>
    </row>
    <row r="272" spans="1:12">
      <c r="A272" s="17">
        <v>263</v>
      </c>
      <c r="B272" s="17">
        <v>6</v>
      </c>
      <c r="C272" s="17">
        <v>12</v>
      </c>
      <c r="D272" s="20" t="s">
        <v>335</v>
      </c>
      <c r="E272" s="21">
        <v>0.40300000000000002</v>
      </c>
      <c r="F272" s="21">
        <f t="shared" si="34"/>
        <v>0.27900000000000003</v>
      </c>
      <c r="G272" s="13">
        <f t="shared" si="28"/>
        <v>0.31705685618729085</v>
      </c>
      <c r="H272" s="13">
        <f t="shared" si="29"/>
        <v>0.67362725458797634</v>
      </c>
      <c r="I272" s="13">
        <f t="shared" si="30"/>
        <v>0.43800822483221474</v>
      </c>
      <c r="J272" s="13">
        <f t="shared" si="31"/>
        <v>0.13407046979865772</v>
      </c>
      <c r="K272" s="17" t="str">
        <f t="shared" si="32"/>
        <v/>
      </c>
      <c r="L272" s="17" t="str">
        <f t="shared" si="33"/>
        <v/>
      </c>
    </row>
    <row r="273" spans="1:12">
      <c r="A273" s="17">
        <v>264</v>
      </c>
      <c r="B273" s="17">
        <v>6</v>
      </c>
      <c r="C273" s="17">
        <v>11</v>
      </c>
      <c r="D273" s="20" t="s">
        <v>336</v>
      </c>
      <c r="E273" s="21">
        <v>0.34799999999999998</v>
      </c>
      <c r="F273" s="21">
        <f t="shared" si="34"/>
        <v>5.5000000000000049E-2</v>
      </c>
      <c r="G273" s="13">
        <f t="shared" si="28"/>
        <v>0.31705685618729085</v>
      </c>
      <c r="H273" s="13">
        <f t="shared" si="29"/>
        <v>0.67362725458797634</v>
      </c>
      <c r="I273" s="13">
        <f t="shared" si="30"/>
        <v>0.43800822483221474</v>
      </c>
      <c r="J273" s="13">
        <f t="shared" si="31"/>
        <v>0.13407046979865772</v>
      </c>
      <c r="K273" s="17" t="str">
        <f t="shared" si="32"/>
        <v/>
      </c>
      <c r="L273" s="17" t="str">
        <f t="shared" si="33"/>
        <v/>
      </c>
    </row>
    <row r="274" spans="1:12">
      <c r="A274" s="17">
        <v>265</v>
      </c>
      <c r="B274" s="17">
        <v>6</v>
      </c>
      <c r="C274" s="17">
        <v>10</v>
      </c>
      <c r="D274" s="20" t="s">
        <v>337</v>
      </c>
      <c r="E274" s="21">
        <v>0.26200000000000001</v>
      </c>
      <c r="F274" s="21">
        <f t="shared" si="34"/>
        <v>8.5999999999999965E-2</v>
      </c>
      <c r="G274" s="13">
        <f t="shared" si="28"/>
        <v>0.31705685618729085</v>
      </c>
      <c r="H274" s="13">
        <f t="shared" si="29"/>
        <v>0.67362725458797634</v>
      </c>
      <c r="I274" s="13">
        <f t="shared" si="30"/>
        <v>0.43800822483221474</v>
      </c>
      <c r="J274" s="13">
        <f t="shared" si="31"/>
        <v>0.13407046979865772</v>
      </c>
      <c r="K274" s="17" t="str">
        <f t="shared" si="32"/>
        <v/>
      </c>
      <c r="L274" s="17" t="str">
        <f t="shared" si="33"/>
        <v/>
      </c>
    </row>
    <row r="275" spans="1:12">
      <c r="A275" s="17">
        <v>266</v>
      </c>
      <c r="B275" s="17">
        <v>6</v>
      </c>
      <c r="C275" s="17">
        <v>9</v>
      </c>
      <c r="D275" s="20" t="s">
        <v>338</v>
      </c>
      <c r="E275" s="21">
        <v>0.24</v>
      </c>
      <c r="F275" s="21">
        <f t="shared" si="34"/>
        <v>2.200000000000002E-2</v>
      </c>
      <c r="G275" s="13">
        <f t="shared" si="28"/>
        <v>0.31705685618729085</v>
      </c>
      <c r="H275" s="13">
        <f t="shared" si="29"/>
        <v>0.67362725458797634</v>
      </c>
      <c r="I275" s="13">
        <f t="shared" si="30"/>
        <v>0.43800822483221474</v>
      </c>
      <c r="J275" s="13">
        <f t="shared" si="31"/>
        <v>0.13407046979865772</v>
      </c>
      <c r="K275" s="17" t="str">
        <f t="shared" si="32"/>
        <v/>
      </c>
      <c r="L275" s="17" t="str">
        <f t="shared" si="33"/>
        <v/>
      </c>
    </row>
    <row r="276" spans="1:12">
      <c r="A276" s="17">
        <v>267</v>
      </c>
      <c r="B276" s="17">
        <v>6</v>
      </c>
      <c r="C276" s="17">
        <v>8</v>
      </c>
      <c r="D276" s="20" t="s">
        <v>339</v>
      </c>
      <c r="E276" s="21">
        <v>3.5999999999999997E-2</v>
      </c>
      <c r="F276" s="21">
        <f t="shared" si="34"/>
        <v>0.20399999999999999</v>
      </c>
      <c r="G276" s="13">
        <f t="shared" si="28"/>
        <v>0.31705685618729085</v>
      </c>
      <c r="H276" s="13">
        <f t="shared" si="29"/>
        <v>0.67362725458797634</v>
      </c>
      <c r="I276" s="13">
        <f t="shared" si="30"/>
        <v>0.43800822483221474</v>
      </c>
      <c r="J276" s="13">
        <f t="shared" si="31"/>
        <v>0.13407046979865772</v>
      </c>
      <c r="K276" s="17" t="str">
        <f t="shared" si="32"/>
        <v/>
      </c>
      <c r="L276" s="17" t="str">
        <f t="shared" si="33"/>
        <v/>
      </c>
    </row>
    <row r="277" spans="1:12">
      <c r="A277" s="17">
        <v>268</v>
      </c>
      <c r="B277" s="17">
        <v>6</v>
      </c>
      <c r="C277" s="17">
        <v>7</v>
      </c>
      <c r="D277" s="20" t="s">
        <v>340</v>
      </c>
      <c r="E277" s="21">
        <v>0.65500000000000003</v>
      </c>
      <c r="F277" s="21">
        <f t="shared" si="34"/>
        <v>0.61899999999999999</v>
      </c>
      <c r="G277" s="13">
        <f t="shared" si="28"/>
        <v>0.31705685618729085</v>
      </c>
      <c r="H277" s="13">
        <f t="shared" si="29"/>
        <v>0.67362725458797634</v>
      </c>
      <c r="I277" s="13">
        <f t="shared" si="30"/>
        <v>0.43800822483221474</v>
      </c>
      <c r="J277" s="13">
        <f t="shared" si="31"/>
        <v>0.13407046979865772</v>
      </c>
      <c r="K277" s="17" t="str">
        <f t="shared" si="32"/>
        <v/>
      </c>
      <c r="L277" s="17" t="str">
        <f t="shared" si="33"/>
        <v/>
      </c>
    </row>
    <row r="278" spans="1:12">
      <c r="A278" s="17">
        <v>269</v>
      </c>
      <c r="B278" s="17">
        <v>6</v>
      </c>
      <c r="C278" s="17">
        <v>6</v>
      </c>
      <c r="D278" s="20" t="s">
        <v>341</v>
      </c>
      <c r="E278" s="21">
        <v>0.193</v>
      </c>
      <c r="F278" s="21">
        <f t="shared" si="34"/>
        <v>0.46200000000000002</v>
      </c>
      <c r="G278" s="13">
        <f t="shared" si="28"/>
        <v>0.31705685618729085</v>
      </c>
      <c r="H278" s="13">
        <f t="shared" si="29"/>
        <v>0.67362725458797634</v>
      </c>
      <c r="I278" s="13">
        <f t="shared" si="30"/>
        <v>0.43800822483221474</v>
      </c>
      <c r="J278" s="13">
        <f t="shared" si="31"/>
        <v>0.13407046979865772</v>
      </c>
      <c r="K278" s="17" t="str">
        <f t="shared" si="32"/>
        <v/>
      </c>
      <c r="L278" s="17" t="str">
        <f t="shared" si="33"/>
        <v/>
      </c>
    </row>
    <row r="279" spans="1:12">
      <c r="A279" s="17">
        <v>270</v>
      </c>
      <c r="B279" s="17">
        <v>6</v>
      </c>
      <c r="C279" s="17">
        <v>5</v>
      </c>
      <c r="D279" s="20" t="s">
        <v>342</v>
      </c>
      <c r="E279" s="21">
        <v>0.376</v>
      </c>
      <c r="F279" s="21">
        <f t="shared" si="34"/>
        <v>0.183</v>
      </c>
      <c r="G279" s="13">
        <f t="shared" si="28"/>
        <v>0.31705685618729085</v>
      </c>
      <c r="H279" s="13">
        <f t="shared" si="29"/>
        <v>0.67362725458797634</v>
      </c>
      <c r="I279" s="13">
        <f t="shared" si="30"/>
        <v>0.43800822483221474</v>
      </c>
      <c r="J279" s="13">
        <f t="shared" si="31"/>
        <v>0.13407046979865772</v>
      </c>
      <c r="K279" s="17" t="str">
        <f t="shared" si="32"/>
        <v/>
      </c>
      <c r="L279" s="17" t="str">
        <f t="shared" si="33"/>
        <v/>
      </c>
    </row>
    <row r="280" spans="1:12">
      <c r="A280" s="17">
        <v>271</v>
      </c>
      <c r="B280" s="17">
        <v>6</v>
      </c>
      <c r="C280" s="17">
        <v>4</v>
      </c>
      <c r="D280" s="20" t="s">
        <v>343</v>
      </c>
      <c r="E280" s="21">
        <v>0.438</v>
      </c>
      <c r="F280" s="21">
        <f t="shared" si="34"/>
        <v>6.2E-2</v>
      </c>
      <c r="G280" s="13">
        <f t="shared" si="28"/>
        <v>0.31705685618729085</v>
      </c>
      <c r="H280" s="13">
        <f t="shared" si="29"/>
        <v>0.67362725458797634</v>
      </c>
      <c r="I280" s="13">
        <f t="shared" si="30"/>
        <v>0.43800822483221474</v>
      </c>
      <c r="J280" s="13">
        <f t="shared" si="31"/>
        <v>0.13407046979865772</v>
      </c>
      <c r="K280" s="17" t="str">
        <f t="shared" si="32"/>
        <v/>
      </c>
      <c r="L280" s="17" t="str">
        <f t="shared" si="33"/>
        <v/>
      </c>
    </row>
    <row r="281" spans="1:12">
      <c r="A281" s="17">
        <v>272</v>
      </c>
      <c r="B281" s="17">
        <v>6</v>
      </c>
      <c r="C281" s="17">
        <v>3</v>
      </c>
      <c r="D281" s="20" t="s">
        <v>344</v>
      </c>
      <c r="E281" s="21">
        <v>0.32300000000000001</v>
      </c>
      <c r="F281" s="21">
        <f t="shared" si="34"/>
        <v>0.11499999999999999</v>
      </c>
      <c r="G281" s="13">
        <f t="shared" si="28"/>
        <v>0.31705685618729085</v>
      </c>
      <c r="H281" s="13">
        <f t="shared" si="29"/>
        <v>0.67362725458797634</v>
      </c>
      <c r="I281" s="13">
        <f t="shared" si="30"/>
        <v>0.43800822483221474</v>
      </c>
      <c r="J281" s="13">
        <f t="shared" si="31"/>
        <v>0.13407046979865772</v>
      </c>
      <c r="K281" s="17" t="str">
        <f t="shared" si="32"/>
        <v/>
      </c>
      <c r="L281" s="17" t="str">
        <f t="shared" si="33"/>
        <v/>
      </c>
    </row>
    <row r="282" spans="1:12">
      <c r="A282" s="17">
        <v>273</v>
      </c>
      <c r="B282" s="17">
        <v>6</v>
      </c>
      <c r="C282" s="17">
        <v>2</v>
      </c>
      <c r="D282" s="20" t="s">
        <v>345</v>
      </c>
      <c r="E282" s="21">
        <v>0.24099999999999999</v>
      </c>
      <c r="F282" s="21">
        <f t="shared" si="34"/>
        <v>8.2000000000000017E-2</v>
      </c>
      <c r="G282" s="13">
        <f t="shared" si="28"/>
        <v>0.31705685618729085</v>
      </c>
      <c r="H282" s="13">
        <f t="shared" si="29"/>
        <v>0.67362725458797634</v>
      </c>
      <c r="I282" s="13">
        <f t="shared" si="30"/>
        <v>0.43800822483221474</v>
      </c>
      <c r="J282" s="13">
        <f t="shared" si="31"/>
        <v>0.13407046979865772</v>
      </c>
      <c r="K282" s="17" t="str">
        <f t="shared" si="32"/>
        <v/>
      </c>
      <c r="L282" s="17" t="str">
        <f t="shared" si="33"/>
        <v/>
      </c>
    </row>
    <row r="283" spans="1:12">
      <c r="A283" s="17">
        <v>274</v>
      </c>
      <c r="B283" s="17">
        <v>6</v>
      </c>
      <c r="C283" s="17">
        <v>1</v>
      </c>
      <c r="D283" s="20" t="s">
        <v>346</v>
      </c>
      <c r="E283" s="21">
        <v>0.33100000000000002</v>
      </c>
      <c r="F283" s="21">
        <f t="shared" si="34"/>
        <v>9.0000000000000024E-2</v>
      </c>
      <c r="G283" s="13">
        <f t="shared" si="28"/>
        <v>0.31705685618729085</v>
      </c>
      <c r="H283" s="13">
        <f t="shared" si="29"/>
        <v>0.67362725458797634</v>
      </c>
      <c r="I283" s="13">
        <f t="shared" si="30"/>
        <v>0.43800822483221474</v>
      </c>
      <c r="J283" s="13">
        <f t="shared" si="31"/>
        <v>0.13407046979865772</v>
      </c>
      <c r="K283" s="17" t="str">
        <f t="shared" si="32"/>
        <v/>
      </c>
      <c r="L283" s="17" t="str">
        <f t="shared" si="33"/>
        <v/>
      </c>
    </row>
    <row r="284" spans="1:12">
      <c r="A284" s="17">
        <v>275</v>
      </c>
      <c r="B284" s="17">
        <v>6</v>
      </c>
      <c r="C284" s="17">
        <v>25</v>
      </c>
      <c r="D284" s="20" t="s">
        <v>347</v>
      </c>
      <c r="E284" s="21">
        <v>0.43</v>
      </c>
      <c r="F284" s="21">
        <f t="shared" si="34"/>
        <v>9.8999999999999977E-2</v>
      </c>
      <c r="G284" s="13">
        <f t="shared" si="28"/>
        <v>0.31705685618729085</v>
      </c>
      <c r="H284" s="13">
        <f t="shared" si="29"/>
        <v>0.67362725458797634</v>
      </c>
      <c r="I284" s="13">
        <f t="shared" si="30"/>
        <v>0.43800822483221474</v>
      </c>
      <c r="J284" s="13">
        <f t="shared" si="31"/>
        <v>0.13407046979865772</v>
      </c>
      <c r="K284" s="17" t="str">
        <f t="shared" si="32"/>
        <v/>
      </c>
      <c r="L284" s="17" t="str">
        <f t="shared" si="33"/>
        <v/>
      </c>
    </row>
    <row r="285" spans="1:12">
      <c r="A285" s="17">
        <v>276</v>
      </c>
      <c r="B285" s="17">
        <v>6</v>
      </c>
      <c r="C285" s="17">
        <v>24</v>
      </c>
      <c r="D285" s="20" t="s">
        <v>348</v>
      </c>
      <c r="E285" s="21">
        <v>0.23899999999999999</v>
      </c>
      <c r="F285" s="21">
        <f t="shared" si="34"/>
        <v>0.191</v>
      </c>
      <c r="G285" s="13">
        <f t="shared" si="28"/>
        <v>0.31705685618729085</v>
      </c>
      <c r="H285" s="13">
        <f t="shared" si="29"/>
        <v>0.67362725458797634</v>
      </c>
      <c r="I285" s="13">
        <f t="shared" si="30"/>
        <v>0.43800822483221474</v>
      </c>
      <c r="J285" s="13">
        <f t="shared" si="31"/>
        <v>0.13407046979865772</v>
      </c>
      <c r="K285" s="17" t="str">
        <f t="shared" si="32"/>
        <v/>
      </c>
      <c r="L285" s="17" t="str">
        <f t="shared" si="33"/>
        <v/>
      </c>
    </row>
    <row r="286" spans="1:12">
      <c r="A286" s="17">
        <v>277</v>
      </c>
      <c r="B286" s="17">
        <v>6</v>
      </c>
      <c r="C286" s="17">
        <v>23</v>
      </c>
      <c r="D286" s="20" t="s">
        <v>349</v>
      </c>
      <c r="E286" s="21">
        <v>0.21299999999999999</v>
      </c>
      <c r="F286" s="21">
        <f t="shared" si="34"/>
        <v>2.5999999999999995E-2</v>
      </c>
      <c r="G286" s="13">
        <f t="shared" si="28"/>
        <v>0.31705685618729085</v>
      </c>
      <c r="H286" s="13">
        <f t="shared" si="29"/>
        <v>0.67362725458797634</v>
      </c>
      <c r="I286" s="13">
        <f t="shared" si="30"/>
        <v>0.43800822483221474</v>
      </c>
      <c r="J286" s="13">
        <f t="shared" si="31"/>
        <v>0.13407046979865772</v>
      </c>
      <c r="K286" s="17" t="str">
        <f t="shared" si="32"/>
        <v/>
      </c>
      <c r="L286" s="17" t="str">
        <f t="shared" si="33"/>
        <v/>
      </c>
    </row>
    <row r="287" spans="1:12">
      <c r="A287" s="17">
        <v>278</v>
      </c>
      <c r="B287" s="17">
        <v>6</v>
      </c>
      <c r="C287" s="17">
        <v>22</v>
      </c>
      <c r="D287" s="20" t="s">
        <v>350</v>
      </c>
      <c r="E287" s="21">
        <v>0.15</v>
      </c>
      <c r="F287" s="21">
        <f t="shared" si="34"/>
        <v>6.3E-2</v>
      </c>
      <c r="G287" s="13">
        <f t="shared" si="28"/>
        <v>0.31705685618729085</v>
      </c>
      <c r="H287" s="13">
        <f t="shared" si="29"/>
        <v>0.67362725458797634</v>
      </c>
      <c r="I287" s="13">
        <f t="shared" si="30"/>
        <v>0.43800822483221474</v>
      </c>
      <c r="J287" s="13">
        <f t="shared" si="31"/>
        <v>0.13407046979865772</v>
      </c>
      <c r="K287" s="17" t="str">
        <f t="shared" si="32"/>
        <v/>
      </c>
      <c r="L287" s="17" t="str">
        <f t="shared" si="33"/>
        <v/>
      </c>
    </row>
    <row r="288" spans="1:12">
      <c r="A288" s="17">
        <v>279</v>
      </c>
      <c r="B288" s="17">
        <v>6</v>
      </c>
      <c r="C288" s="17">
        <v>21</v>
      </c>
      <c r="D288" s="20" t="s">
        <v>351</v>
      </c>
      <c r="E288" s="21">
        <v>0.154</v>
      </c>
      <c r="F288" s="21">
        <f t="shared" si="34"/>
        <v>4.0000000000000036E-3</v>
      </c>
      <c r="G288" s="13">
        <f t="shared" si="28"/>
        <v>0.31705685618729085</v>
      </c>
      <c r="H288" s="13">
        <f t="shared" si="29"/>
        <v>0.67362725458797634</v>
      </c>
      <c r="I288" s="13">
        <f t="shared" si="30"/>
        <v>0.43800822483221474</v>
      </c>
      <c r="J288" s="13">
        <f t="shared" si="31"/>
        <v>0.13407046979865772</v>
      </c>
      <c r="K288" s="17" t="str">
        <f t="shared" si="32"/>
        <v/>
      </c>
      <c r="L288" s="17" t="str">
        <f t="shared" si="33"/>
        <v/>
      </c>
    </row>
    <row r="289" spans="1:12">
      <c r="A289" s="17">
        <v>280</v>
      </c>
      <c r="B289" s="17">
        <v>6</v>
      </c>
      <c r="C289" s="17">
        <v>20</v>
      </c>
      <c r="D289" s="20" t="s">
        <v>352</v>
      </c>
      <c r="E289" s="21">
        <v>0.17599999999999999</v>
      </c>
      <c r="F289" s="21">
        <f t="shared" si="34"/>
        <v>2.1999999999999992E-2</v>
      </c>
      <c r="G289" s="13">
        <f t="shared" si="28"/>
        <v>0.31705685618729085</v>
      </c>
      <c r="H289" s="13">
        <f t="shared" si="29"/>
        <v>0.67362725458797634</v>
      </c>
      <c r="I289" s="13">
        <f t="shared" si="30"/>
        <v>0.43800822483221474</v>
      </c>
      <c r="J289" s="13">
        <f t="shared" si="31"/>
        <v>0.13407046979865772</v>
      </c>
      <c r="K289" s="17" t="str">
        <f t="shared" si="32"/>
        <v/>
      </c>
      <c r="L289" s="17" t="str">
        <f t="shared" si="33"/>
        <v/>
      </c>
    </row>
    <row r="290" spans="1:12">
      <c r="A290" s="17">
        <v>281</v>
      </c>
      <c r="B290" s="17">
        <v>6</v>
      </c>
      <c r="C290" s="17">
        <v>19</v>
      </c>
      <c r="D290" s="20" t="s">
        <v>353</v>
      </c>
      <c r="E290" s="21">
        <v>0.2</v>
      </c>
      <c r="F290" s="21">
        <f t="shared" si="34"/>
        <v>2.4000000000000021E-2</v>
      </c>
      <c r="G290" s="13">
        <f t="shared" si="28"/>
        <v>0.31705685618729085</v>
      </c>
      <c r="H290" s="13">
        <f t="shared" si="29"/>
        <v>0.67362725458797634</v>
      </c>
      <c r="I290" s="13">
        <f t="shared" si="30"/>
        <v>0.43800822483221474</v>
      </c>
      <c r="J290" s="13">
        <f t="shared" si="31"/>
        <v>0.13407046979865772</v>
      </c>
      <c r="K290" s="17" t="str">
        <f t="shared" si="32"/>
        <v/>
      </c>
      <c r="L290" s="17" t="str">
        <f t="shared" si="33"/>
        <v/>
      </c>
    </row>
    <row r="291" spans="1:12">
      <c r="A291" s="17">
        <v>282</v>
      </c>
      <c r="B291" s="17">
        <v>6</v>
      </c>
      <c r="C291" s="17">
        <v>18</v>
      </c>
      <c r="D291" s="20" t="s">
        <v>354</v>
      </c>
      <c r="E291" s="21">
        <v>0.33600000000000002</v>
      </c>
      <c r="F291" s="21">
        <f t="shared" si="34"/>
        <v>0.13600000000000001</v>
      </c>
      <c r="G291" s="13">
        <f t="shared" si="28"/>
        <v>0.31705685618729085</v>
      </c>
      <c r="H291" s="13">
        <f t="shared" si="29"/>
        <v>0.67362725458797634</v>
      </c>
      <c r="I291" s="13">
        <f t="shared" si="30"/>
        <v>0.43800822483221474</v>
      </c>
      <c r="J291" s="13">
        <f t="shared" si="31"/>
        <v>0.13407046979865772</v>
      </c>
      <c r="K291" s="17" t="str">
        <f t="shared" si="32"/>
        <v/>
      </c>
      <c r="L291" s="17" t="str">
        <f t="shared" si="33"/>
        <v/>
      </c>
    </row>
    <row r="292" spans="1:12">
      <c r="A292" s="17">
        <v>283</v>
      </c>
      <c r="B292" s="17">
        <v>6</v>
      </c>
      <c r="C292" s="17">
        <v>17</v>
      </c>
      <c r="D292" s="20" t="s">
        <v>355</v>
      </c>
      <c r="E292" s="21">
        <v>0.28699999999999998</v>
      </c>
      <c r="F292" s="21">
        <f t="shared" si="34"/>
        <v>4.9000000000000044E-2</v>
      </c>
      <c r="G292" s="13">
        <f t="shared" si="28"/>
        <v>0.31705685618729085</v>
      </c>
      <c r="H292" s="13">
        <f t="shared" si="29"/>
        <v>0.67362725458797634</v>
      </c>
      <c r="I292" s="13">
        <f t="shared" si="30"/>
        <v>0.43800822483221474</v>
      </c>
      <c r="J292" s="13">
        <f t="shared" si="31"/>
        <v>0.13407046979865772</v>
      </c>
      <c r="K292" s="17" t="str">
        <f t="shared" si="32"/>
        <v/>
      </c>
      <c r="L292" s="17" t="str">
        <f t="shared" si="33"/>
        <v/>
      </c>
    </row>
    <row r="293" spans="1:12">
      <c r="A293" s="17">
        <v>284</v>
      </c>
      <c r="B293" s="17">
        <v>6</v>
      </c>
      <c r="C293" s="17">
        <v>16</v>
      </c>
      <c r="D293" s="20" t="s">
        <v>356</v>
      </c>
      <c r="E293" s="21">
        <v>0.38600000000000001</v>
      </c>
      <c r="F293" s="21">
        <f t="shared" si="34"/>
        <v>9.9000000000000032E-2</v>
      </c>
      <c r="G293" s="13">
        <f t="shared" si="28"/>
        <v>0.31705685618729085</v>
      </c>
      <c r="H293" s="13">
        <f t="shared" si="29"/>
        <v>0.67362725458797634</v>
      </c>
      <c r="I293" s="13">
        <f t="shared" si="30"/>
        <v>0.43800822483221474</v>
      </c>
      <c r="J293" s="13">
        <f t="shared" si="31"/>
        <v>0.13407046979865772</v>
      </c>
      <c r="K293" s="17" t="str">
        <f t="shared" si="32"/>
        <v/>
      </c>
      <c r="L293" s="17" t="str">
        <f t="shared" si="33"/>
        <v/>
      </c>
    </row>
    <row r="294" spans="1:12">
      <c r="A294" s="17">
        <v>285</v>
      </c>
      <c r="B294" s="17">
        <v>6</v>
      </c>
      <c r="C294" s="17">
        <v>15</v>
      </c>
      <c r="D294" s="20" t="s">
        <v>357</v>
      </c>
      <c r="E294" s="21">
        <v>0.27700000000000002</v>
      </c>
      <c r="F294" s="21">
        <f t="shared" si="34"/>
        <v>0.10899999999999999</v>
      </c>
      <c r="G294" s="13">
        <f t="shared" si="28"/>
        <v>0.31705685618729085</v>
      </c>
      <c r="H294" s="13">
        <f t="shared" si="29"/>
        <v>0.67362725458797634</v>
      </c>
      <c r="I294" s="13">
        <f t="shared" si="30"/>
        <v>0.43800822483221474</v>
      </c>
      <c r="J294" s="13">
        <f t="shared" si="31"/>
        <v>0.13407046979865772</v>
      </c>
      <c r="K294" s="17" t="str">
        <f t="shared" si="32"/>
        <v/>
      </c>
      <c r="L294" s="17" t="str">
        <f t="shared" si="33"/>
        <v/>
      </c>
    </row>
    <row r="295" spans="1:12">
      <c r="A295" s="17">
        <v>286</v>
      </c>
      <c r="B295" s="17">
        <v>6</v>
      </c>
      <c r="C295" s="17">
        <v>14</v>
      </c>
      <c r="D295" s="20" t="s">
        <v>358</v>
      </c>
      <c r="E295" s="21">
        <v>0.36899999999999999</v>
      </c>
      <c r="F295" s="21">
        <f t="shared" si="34"/>
        <v>9.1999999999999971E-2</v>
      </c>
      <c r="G295" s="13">
        <f t="shared" si="28"/>
        <v>0.31705685618729085</v>
      </c>
      <c r="H295" s="13">
        <f t="shared" si="29"/>
        <v>0.67362725458797634</v>
      </c>
      <c r="I295" s="13">
        <f t="shared" si="30"/>
        <v>0.43800822483221474</v>
      </c>
      <c r="J295" s="13">
        <f t="shared" si="31"/>
        <v>0.13407046979865772</v>
      </c>
      <c r="K295" s="17" t="str">
        <f t="shared" si="32"/>
        <v/>
      </c>
      <c r="L295" s="17" t="str">
        <f t="shared" si="33"/>
        <v/>
      </c>
    </row>
    <row r="296" spans="1:12">
      <c r="A296" s="17">
        <v>287</v>
      </c>
      <c r="B296" s="17">
        <v>6</v>
      </c>
      <c r="C296" s="17">
        <v>13</v>
      </c>
      <c r="D296" s="20" t="s">
        <v>359</v>
      </c>
      <c r="E296" s="21">
        <v>0.33500000000000002</v>
      </c>
      <c r="F296" s="21">
        <f t="shared" si="34"/>
        <v>3.3999999999999975E-2</v>
      </c>
      <c r="G296" s="13">
        <f t="shared" si="28"/>
        <v>0.31705685618729085</v>
      </c>
      <c r="H296" s="13">
        <f t="shared" si="29"/>
        <v>0.67362725458797634</v>
      </c>
      <c r="I296" s="13">
        <f t="shared" si="30"/>
        <v>0.43800822483221474</v>
      </c>
      <c r="J296" s="13">
        <f t="shared" si="31"/>
        <v>0.13407046979865772</v>
      </c>
      <c r="K296" s="17" t="str">
        <f t="shared" si="32"/>
        <v/>
      </c>
      <c r="L296" s="17" t="str">
        <f t="shared" si="33"/>
        <v/>
      </c>
    </row>
    <row r="297" spans="1:12">
      <c r="A297" s="17">
        <v>288</v>
      </c>
      <c r="B297" s="17">
        <v>6</v>
      </c>
      <c r="C297" s="17">
        <v>12</v>
      </c>
      <c r="D297" s="20" t="s">
        <v>360</v>
      </c>
      <c r="E297" s="21">
        <v>0.248</v>
      </c>
      <c r="F297" s="21">
        <f t="shared" si="34"/>
        <v>8.7000000000000022E-2</v>
      </c>
      <c r="G297" s="13">
        <f t="shared" si="28"/>
        <v>0.31705685618729085</v>
      </c>
      <c r="H297" s="13">
        <f t="shared" si="29"/>
        <v>0.67362725458797634</v>
      </c>
      <c r="I297" s="13">
        <f t="shared" si="30"/>
        <v>0.43800822483221474</v>
      </c>
      <c r="J297" s="13">
        <f t="shared" si="31"/>
        <v>0.13407046979865772</v>
      </c>
      <c r="K297" s="17" t="str">
        <f t="shared" si="32"/>
        <v/>
      </c>
      <c r="L297" s="17" t="str">
        <f t="shared" si="33"/>
        <v/>
      </c>
    </row>
    <row r="298" spans="1:12">
      <c r="A298" s="17">
        <v>289</v>
      </c>
      <c r="B298" s="17">
        <v>6</v>
      </c>
      <c r="C298" s="17">
        <v>11</v>
      </c>
      <c r="D298" s="20" t="s">
        <v>361</v>
      </c>
      <c r="E298" s="21">
        <v>0.24</v>
      </c>
      <c r="F298" s="21">
        <f t="shared" si="34"/>
        <v>8.0000000000000071E-3</v>
      </c>
      <c r="G298" s="13">
        <f t="shared" si="28"/>
        <v>0.31705685618729085</v>
      </c>
      <c r="H298" s="13">
        <f t="shared" si="29"/>
        <v>0.67362725458797634</v>
      </c>
      <c r="I298" s="13">
        <f t="shared" si="30"/>
        <v>0.43800822483221474</v>
      </c>
      <c r="J298" s="13">
        <f t="shared" si="31"/>
        <v>0.13407046979865772</v>
      </c>
      <c r="K298" s="17" t="str">
        <f t="shared" si="32"/>
        <v/>
      </c>
      <c r="L298" s="17" t="str">
        <f t="shared" si="33"/>
        <v/>
      </c>
    </row>
    <row r="299" spans="1:12">
      <c r="A299" s="17">
        <v>290</v>
      </c>
      <c r="B299" s="17">
        <v>6</v>
      </c>
      <c r="C299" s="17">
        <v>10</v>
      </c>
      <c r="D299" s="20" t="s">
        <v>362</v>
      </c>
      <c r="E299" s="21">
        <v>0.249</v>
      </c>
      <c r="F299" s="21">
        <f t="shared" si="34"/>
        <v>9.000000000000008E-3</v>
      </c>
      <c r="G299" s="13">
        <f t="shared" si="28"/>
        <v>0.31705685618729085</v>
      </c>
      <c r="H299" s="13">
        <f t="shared" si="29"/>
        <v>0.67362725458797634</v>
      </c>
      <c r="I299" s="13">
        <f t="shared" si="30"/>
        <v>0.43800822483221474</v>
      </c>
      <c r="J299" s="13">
        <f t="shared" si="31"/>
        <v>0.13407046979865772</v>
      </c>
      <c r="K299" s="17" t="str">
        <f t="shared" si="32"/>
        <v/>
      </c>
      <c r="L299" s="17" t="str">
        <f t="shared" si="33"/>
        <v/>
      </c>
    </row>
    <row r="300" spans="1:12">
      <c r="A300" s="17">
        <v>291</v>
      </c>
      <c r="B300" s="17">
        <v>6</v>
      </c>
      <c r="C300" s="17">
        <v>9</v>
      </c>
      <c r="D300" s="20" t="s">
        <v>363</v>
      </c>
      <c r="E300" s="21">
        <v>0.17899999999999999</v>
      </c>
      <c r="F300" s="21">
        <f t="shared" si="34"/>
        <v>7.0000000000000007E-2</v>
      </c>
      <c r="G300" s="13">
        <f t="shared" si="28"/>
        <v>0.31705685618729085</v>
      </c>
      <c r="H300" s="13">
        <f t="shared" si="29"/>
        <v>0.67362725458797634</v>
      </c>
      <c r="I300" s="13">
        <f t="shared" si="30"/>
        <v>0.43800822483221474</v>
      </c>
      <c r="J300" s="13">
        <f t="shared" si="31"/>
        <v>0.13407046979865772</v>
      </c>
      <c r="K300" s="17" t="str">
        <f t="shared" si="32"/>
        <v/>
      </c>
      <c r="L300" s="17" t="str">
        <f t="shared" si="33"/>
        <v/>
      </c>
    </row>
    <row r="301" spans="1:12">
      <c r="A301" s="17">
        <v>292</v>
      </c>
      <c r="B301" s="17">
        <v>6</v>
      </c>
      <c r="C301" s="17">
        <v>8</v>
      </c>
      <c r="D301" s="20" t="s">
        <v>364</v>
      </c>
      <c r="E301" s="21">
        <v>0.17299999999999999</v>
      </c>
      <c r="F301" s="21">
        <f t="shared" si="34"/>
        <v>6.0000000000000053E-3</v>
      </c>
      <c r="G301" s="13">
        <f t="shared" si="28"/>
        <v>0.31705685618729085</v>
      </c>
      <c r="H301" s="13">
        <f t="shared" si="29"/>
        <v>0.67362725458797634</v>
      </c>
      <c r="I301" s="13">
        <f t="shared" si="30"/>
        <v>0.43800822483221474</v>
      </c>
      <c r="J301" s="13">
        <f t="shared" si="31"/>
        <v>0.13407046979865772</v>
      </c>
      <c r="K301" s="17" t="str">
        <f t="shared" si="32"/>
        <v/>
      </c>
      <c r="L301" s="17" t="str">
        <f t="shared" si="33"/>
        <v/>
      </c>
    </row>
    <row r="302" spans="1:12">
      <c r="A302" s="17">
        <v>293</v>
      </c>
      <c r="B302" s="17">
        <v>6</v>
      </c>
      <c r="C302" s="17">
        <v>7</v>
      </c>
      <c r="D302" s="20" t="s">
        <v>365</v>
      </c>
      <c r="E302" s="21">
        <v>0.66700000000000004</v>
      </c>
      <c r="F302" s="21">
        <f t="shared" si="34"/>
        <v>0.49400000000000005</v>
      </c>
      <c r="G302" s="13">
        <f t="shared" si="28"/>
        <v>0.31705685618729085</v>
      </c>
      <c r="H302" s="13">
        <f t="shared" si="29"/>
        <v>0.67362725458797634</v>
      </c>
      <c r="I302" s="13">
        <f t="shared" si="30"/>
        <v>0.43800822483221474</v>
      </c>
      <c r="J302" s="13">
        <f t="shared" si="31"/>
        <v>0.13407046979865772</v>
      </c>
      <c r="K302" s="17" t="str">
        <f t="shared" si="32"/>
        <v/>
      </c>
      <c r="L302" s="17" t="str">
        <f t="shared" si="33"/>
        <v/>
      </c>
    </row>
    <row r="303" spans="1:12">
      <c r="A303" s="17">
        <v>294</v>
      </c>
      <c r="B303" s="17">
        <v>6</v>
      </c>
      <c r="C303" s="17">
        <v>6</v>
      </c>
      <c r="D303" s="20" t="s">
        <v>366</v>
      </c>
      <c r="E303" s="21">
        <v>0.35099999999999998</v>
      </c>
      <c r="F303" s="21">
        <f t="shared" si="34"/>
        <v>0.31600000000000006</v>
      </c>
      <c r="G303" s="13">
        <f t="shared" si="28"/>
        <v>0.31705685618729085</v>
      </c>
      <c r="H303" s="13">
        <f t="shared" si="29"/>
        <v>0.67362725458797634</v>
      </c>
      <c r="I303" s="13">
        <f t="shared" si="30"/>
        <v>0.43800822483221474</v>
      </c>
      <c r="J303" s="13">
        <f t="shared" si="31"/>
        <v>0.13407046979865772</v>
      </c>
      <c r="K303" s="17" t="str">
        <f t="shared" si="32"/>
        <v/>
      </c>
      <c r="L303" s="17" t="str">
        <f t="shared" si="33"/>
        <v/>
      </c>
    </row>
    <row r="304" spans="1:12">
      <c r="A304" s="17">
        <v>295</v>
      </c>
      <c r="B304" s="17">
        <v>6</v>
      </c>
      <c r="C304" s="17">
        <v>5</v>
      </c>
      <c r="D304" s="20" t="s">
        <v>367</v>
      </c>
      <c r="E304" s="21">
        <v>0.501</v>
      </c>
      <c r="F304" s="21">
        <f t="shared" si="34"/>
        <v>0.15000000000000002</v>
      </c>
      <c r="G304" s="13">
        <f t="shared" si="28"/>
        <v>0.31705685618729085</v>
      </c>
      <c r="H304" s="13">
        <f t="shared" si="29"/>
        <v>0.67362725458797634</v>
      </c>
      <c r="I304" s="13">
        <f t="shared" si="30"/>
        <v>0.43800822483221474</v>
      </c>
      <c r="J304" s="13">
        <f t="shared" si="31"/>
        <v>0.13407046979865772</v>
      </c>
      <c r="K304" s="17" t="str">
        <f t="shared" si="32"/>
        <v/>
      </c>
      <c r="L304" s="17" t="str">
        <f t="shared" si="33"/>
        <v/>
      </c>
    </row>
    <row r="305" spans="1:12">
      <c r="A305" s="17">
        <v>296</v>
      </c>
      <c r="B305" s="17">
        <v>6</v>
      </c>
      <c r="C305" s="17">
        <v>4</v>
      </c>
      <c r="D305" s="20" t="s">
        <v>368</v>
      </c>
      <c r="E305" s="21">
        <v>0.48699999999999999</v>
      </c>
      <c r="F305" s="21">
        <f t="shared" si="34"/>
        <v>1.4000000000000012E-2</v>
      </c>
      <c r="G305" s="13">
        <f t="shared" si="28"/>
        <v>0.31705685618729085</v>
      </c>
      <c r="H305" s="13">
        <f t="shared" si="29"/>
        <v>0.67362725458797634</v>
      </c>
      <c r="I305" s="13">
        <f t="shared" si="30"/>
        <v>0.43800822483221474</v>
      </c>
      <c r="J305" s="13">
        <f t="shared" si="31"/>
        <v>0.13407046979865772</v>
      </c>
      <c r="K305" s="17" t="str">
        <f t="shared" si="32"/>
        <v/>
      </c>
      <c r="L305" s="17" t="str">
        <f t="shared" si="33"/>
        <v/>
      </c>
    </row>
    <row r="306" spans="1:12">
      <c r="A306" s="17">
        <v>297</v>
      </c>
      <c r="B306" s="17">
        <v>6</v>
      </c>
      <c r="C306" s="17">
        <v>3</v>
      </c>
      <c r="D306" s="20" t="s">
        <v>369</v>
      </c>
      <c r="E306" s="21">
        <v>0.372</v>
      </c>
      <c r="F306" s="21">
        <f t="shared" si="34"/>
        <v>0.11499999999999999</v>
      </c>
      <c r="G306" s="13">
        <f t="shared" si="28"/>
        <v>0.31705685618729085</v>
      </c>
      <c r="H306" s="13">
        <f t="shared" si="29"/>
        <v>0.67362725458797634</v>
      </c>
      <c r="I306" s="13">
        <f t="shared" si="30"/>
        <v>0.43800822483221474</v>
      </c>
      <c r="J306" s="13">
        <f t="shared" si="31"/>
        <v>0.13407046979865772</v>
      </c>
      <c r="K306" s="17" t="str">
        <f t="shared" si="32"/>
        <v/>
      </c>
      <c r="L306" s="17" t="str">
        <f t="shared" si="33"/>
        <v/>
      </c>
    </row>
    <row r="307" spans="1:12">
      <c r="A307" s="17">
        <v>298</v>
      </c>
      <c r="B307" s="17">
        <v>6</v>
      </c>
      <c r="C307" s="17">
        <v>2</v>
      </c>
      <c r="D307" s="20" t="s">
        <v>370</v>
      </c>
      <c r="E307" s="21">
        <v>0.52900000000000003</v>
      </c>
      <c r="F307" s="21">
        <f t="shared" si="34"/>
        <v>0.15700000000000003</v>
      </c>
      <c r="G307" s="13">
        <f t="shared" si="28"/>
        <v>0.31705685618729085</v>
      </c>
      <c r="H307" s="13">
        <f t="shared" si="29"/>
        <v>0.67362725458797634</v>
      </c>
      <c r="I307" s="13">
        <f t="shared" si="30"/>
        <v>0.43800822483221474</v>
      </c>
      <c r="J307" s="13">
        <f t="shared" si="31"/>
        <v>0.13407046979865772</v>
      </c>
      <c r="K307" s="17" t="str">
        <f t="shared" si="32"/>
        <v/>
      </c>
      <c r="L307" s="17" t="str">
        <f t="shared" si="33"/>
        <v/>
      </c>
    </row>
    <row r="308" spans="1:12">
      <c r="A308" s="17">
        <v>299</v>
      </c>
      <c r="B308" s="17">
        <v>6</v>
      </c>
      <c r="C308" s="17">
        <v>1</v>
      </c>
      <c r="D308" s="20" t="s">
        <v>371</v>
      </c>
      <c r="E308" s="21">
        <v>0.46899999999999997</v>
      </c>
      <c r="F308" s="21">
        <f t="shared" si="34"/>
        <v>6.0000000000000053E-2</v>
      </c>
      <c r="G308" s="13">
        <f t="shared" si="28"/>
        <v>0.31705685618729085</v>
      </c>
      <c r="H308" s="13">
        <f t="shared" si="29"/>
        <v>0.67362725458797634</v>
      </c>
      <c r="I308" s="13">
        <f t="shared" si="30"/>
        <v>0.43800822483221474</v>
      </c>
      <c r="J308" s="13">
        <f t="shared" si="31"/>
        <v>0.13407046979865772</v>
      </c>
      <c r="K308" s="17" t="str">
        <f t="shared" si="32"/>
        <v/>
      </c>
      <c r="L308" s="17" t="str">
        <f t="shared" si="33"/>
        <v/>
      </c>
    </row>
  </sheetData>
  <mergeCells count="6">
    <mergeCell ref="B5:D5"/>
    <mergeCell ref="A1:M1"/>
    <mergeCell ref="P1:Q1"/>
    <mergeCell ref="A2:D2"/>
    <mergeCell ref="B3:D3"/>
    <mergeCell ref="B4:D4"/>
  </mergeCells>
  <phoneticPr fontId="4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8"/>
  <sheetViews>
    <sheetView showGridLines="0" workbookViewId="0">
      <pane ySplit="10" topLeftCell="A11" activePane="bottomLeft" state="frozen"/>
      <selection pane="bottomLeft" activeCell="E9" sqref="E9"/>
    </sheetView>
  </sheetViews>
  <sheetFormatPr defaultRowHeight="15.75"/>
  <cols>
    <col min="1" max="3" width="6" style="5" customWidth="1"/>
    <col min="4" max="4" width="18" style="5" customWidth="1"/>
    <col min="5" max="10" width="10" style="5" customWidth="1"/>
    <col min="11" max="12" width="9" style="5" customWidth="1"/>
    <col min="13" max="13" width="9.140625" style="5"/>
    <col min="14" max="15" width="3" style="5" customWidth="1"/>
    <col min="16" max="21" width="16" style="5" customWidth="1"/>
    <col min="22" max="16384" width="9.140625" style="5"/>
  </cols>
  <sheetData>
    <row r="1" spans="1:17" ht="19.5">
      <c r="A1" s="71" t="s">
        <v>686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59" t="s">
        <v>47</v>
      </c>
      <c r="Q1" s="69"/>
    </row>
    <row r="2" spans="1:17">
      <c r="P2" s="19"/>
      <c r="Q2" s="19"/>
    </row>
    <row r="3" spans="1:17" ht="15.75" customHeight="1">
      <c r="A3" s="62" t="s">
        <v>46</v>
      </c>
      <c r="B3" s="63"/>
      <c r="C3" s="63"/>
      <c r="D3" s="63"/>
      <c r="P3" s="16" t="s">
        <v>48</v>
      </c>
      <c r="Q3" s="17">
        <f>COUNT(E11:E308)</f>
        <v>298</v>
      </c>
    </row>
    <row r="4" spans="1:17">
      <c r="A4" s="16" t="s">
        <v>23</v>
      </c>
      <c r="B4" s="70">
        <v>1</v>
      </c>
      <c r="C4" s="63"/>
      <c r="D4" s="63"/>
      <c r="P4" s="16" t="s">
        <v>24</v>
      </c>
      <c r="Q4" s="17">
        <f>AVERAGE(E11:E308)</f>
        <v>0.3362986577181209</v>
      </c>
    </row>
    <row r="5" spans="1:17" ht="31.5">
      <c r="A5" s="16" t="s">
        <v>49</v>
      </c>
      <c r="B5" s="66">
        <v>1.1279999999999999</v>
      </c>
      <c r="C5" s="63"/>
      <c r="D5" s="63"/>
      <c r="P5" s="16" t="s">
        <v>53</v>
      </c>
      <c r="Q5" s="17">
        <f>IFERROR(AVERAGE(F12:F308),0)</f>
        <v>0.15734006734006714</v>
      </c>
    </row>
    <row r="6" spans="1:17" ht="63">
      <c r="A6" s="16" t="s">
        <v>52</v>
      </c>
      <c r="B6" s="66">
        <v>3.2669999999999999</v>
      </c>
      <c r="C6" s="63"/>
      <c r="D6" s="63"/>
      <c r="P6" s="16" t="s">
        <v>679</v>
      </c>
      <c r="Q6" s="17">
        <f>Q5/$B$5</f>
        <v>0.13948587530147796</v>
      </c>
    </row>
    <row r="7" spans="1:17">
      <c r="P7" s="16" t="s">
        <v>680</v>
      </c>
      <c r="Q7" s="17">
        <f>Q4+3*Q6</f>
        <v>0.75475628362255476</v>
      </c>
    </row>
    <row r="8" spans="1:17">
      <c r="P8" s="16" t="s">
        <v>681</v>
      </c>
      <c r="Q8" s="17">
        <f>$B$6*Q5</f>
        <v>0.51402999999999932</v>
      </c>
    </row>
    <row r="9" spans="1:17">
      <c r="P9" s="16" t="s">
        <v>682</v>
      </c>
      <c r="Q9" s="17">
        <f>($B$4-Q4)/(3*Q6)</f>
        <v>1.5860658312711768</v>
      </c>
    </row>
    <row r="10" spans="1:17" ht="31.5">
      <c r="A10" s="18" t="s">
        <v>57</v>
      </c>
      <c r="B10" s="18" t="s">
        <v>59</v>
      </c>
      <c r="C10" s="18" t="s">
        <v>60</v>
      </c>
      <c r="D10" s="18" t="s">
        <v>61</v>
      </c>
      <c r="E10" s="18" t="s">
        <v>62</v>
      </c>
      <c r="F10" s="18" t="s">
        <v>63</v>
      </c>
      <c r="G10" s="18" t="s">
        <v>64</v>
      </c>
      <c r="H10" s="18" t="s">
        <v>65</v>
      </c>
      <c r="I10" s="18" t="s">
        <v>66</v>
      </c>
      <c r="J10" s="18" t="s">
        <v>67</v>
      </c>
      <c r="K10" s="18" t="s">
        <v>68</v>
      </c>
      <c r="L10" s="18" t="s">
        <v>69</v>
      </c>
      <c r="P10" s="16" t="s">
        <v>683</v>
      </c>
      <c r="Q10" s="17">
        <f>($B$4-Q4)/(3*_xlfn.STDEV.S(E11:E308))</f>
        <v>1.3799084579597436</v>
      </c>
    </row>
    <row r="11" spans="1:17">
      <c r="A11" s="17">
        <v>1</v>
      </c>
      <c r="B11" s="17">
        <v>1</v>
      </c>
      <c r="C11" s="17">
        <v>25</v>
      </c>
      <c r="D11" s="17" t="s">
        <v>373</v>
      </c>
      <c r="E11" s="17">
        <v>0.499</v>
      </c>
      <c r="F11" s="17"/>
      <c r="G11" s="1">
        <f t="shared" ref="G11:G74" si="0">$Q$4</f>
        <v>0.3362986577181209</v>
      </c>
      <c r="H11" s="1">
        <f t="shared" ref="H11:H74" si="1">$Q$7</f>
        <v>0.75475628362255476</v>
      </c>
      <c r="I11" s="1">
        <f t="shared" ref="I11:I74" si="2">$Q$8</f>
        <v>0.51402999999999932</v>
      </c>
      <c r="J11" s="1">
        <f t="shared" ref="J11:J74" si="3">$Q$5</f>
        <v>0.15734006734006714</v>
      </c>
      <c r="K11" s="17" t="str">
        <f t="shared" ref="K11:K74" si="4">IF(E11&gt;$Q$7,"OOC","" )</f>
        <v/>
      </c>
      <c r="L11" s="17" t="str">
        <f t="shared" ref="L11:L74" si="5">IF(E11&gt;$B$4,"OOS","" )</f>
        <v/>
      </c>
    </row>
    <row r="12" spans="1:17">
      <c r="A12" s="17">
        <v>2</v>
      </c>
      <c r="B12" s="17">
        <v>1</v>
      </c>
      <c r="C12" s="17">
        <v>24</v>
      </c>
      <c r="D12" s="17" t="s">
        <v>374</v>
      </c>
      <c r="E12" s="17">
        <v>0.53400000000000003</v>
      </c>
      <c r="F12" s="17">
        <f t="shared" ref="F12:F75" si="6">ABS(E12-E11)</f>
        <v>3.5000000000000031E-2</v>
      </c>
      <c r="G12" s="1">
        <f t="shared" si="0"/>
        <v>0.3362986577181209</v>
      </c>
      <c r="H12" s="1">
        <f t="shared" si="1"/>
        <v>0.75475628362255476</v>
      </c>
      <c r="I12" s="1">
        <f t="shared" si="2"/>
        <v>0.51402999999999932</v>
      </c>
      <c r="J12" s="1">
        <f t="shared" si="3"/>
        <v>0.15734006734006714</v>
      </c>
      <c r="K12" s="17" t="str">
        <f t="shared" si="4"/>
        <v/>
      </c>
      <c r="L12" s="17" t="str">
        <f t="shared" si="5"/>
        <v/>
      </c>
    </row>
    <row r="13" spans="1:17">
      <c r="A13" s="17">
        <v>3</v>
      </c>
      <c r="B13" s="17">
        <v>1</v>
      </c>
      <c r="C13" s="17">
        <v>22</v>
      </c>
      <c r="D13" s="17" t="s">
        <v>376</v>
      </c>
      <c r="E13" s="17">
        <v>0.51900000000000002</v>
      </c>
      <c r="F13" s="17">
        <f t="shared" si="6"/>
        <v>1.5000000000000013E-2</v>
      </c>
      <c r="G13" s="1">
        <f t="shared" si="0"/>
        <v>0.3362986577181209</v>
      </c>
      <c r="H13" s="1">
        <f t="shared" si="1"/>
        <v>0.75475628362255476</v>
      </c>
      <c r="I13" s="1">
        <f t="shared" si="2"/>
        <v>0.51402999999999932</v>
      </c>
      <c r="J13" s="1">
        <f t="shared" si="3"/>
        <v>0.15734006734006714</v>
      </c>
      <c r="K13" s="17" t="str">
        <f t="shared" si="4"/>
        <v/>
      </c>
      <c r="L13" s="17" t="str">
        <f t="shared" si="5"/>
        <v/>
      </c>
    </row>
    <row r="14" spans="1:17">
      <c r="A14" s="17">
        <v>4</v>
      </c>
      <c r="B14" s="17">
        <v>1</v>
      </c>
      <c r="C14" s="17">
        <v>21</v>
      </c>
      <c r="D14" s="17" t="s">
        <v>377</v>
      </c>
      <c r="E14" s="17">
        <v>0.51600000000000001</v>
      </c>
      <c r="F14" s="17">
        <f t="shared" si="6"/>
        <v>3.0000000000000027E-3</v>
      </c>
      <c r="G14" s="1">
        <f t="shared" si="0"/>
        <v>0.3362986577181209</v>
      </c>
      <c r="H14" s="1">
        <f t="shared" si="1"/>
        <v>0.75475628362255476</v>
      </c>
      <c r="I14" s="1">
        <f t="shared" si="2"/>
        <v>0.51402999999999932</v>
      </c>
      <c r="J14" s="1">
        <f t="shared" si="3"/>
        <v>0.15734006734006714</v>
      </c>
      <c r="K14" s="17" t="str">
        <f t="shared" si="4"/>
        <v/>
      </c>
      <c r="L14" s="17" t="str">
        <f t="shared" si="5"/>
        <v/>
      </c>
    </row>
    <row r="15" spans="1:17">
      <c r="A15" s="17">
        <v>5</v>
      </c>
      <c r="B15" s="17">
        <v>1</v>
      </c>
      <c r="C15" s="17">
        <v>20</v>
      </c>
      <c r="D15" s="17" t="s">
        <v>378</v>
      </c>
      <c r="E15" s="17">
        <v>0.245</v>
      </c>
      <c r="F15" s="17">
        <f t="shared" si="6"/>
        <v>0.27100000000000002</v>
      </c>
      <c r="G15" s="1">
        <f t="shared" si="0"/>
        <v>0.3362986577181209</v>
      </c>
      <c r="H15" s="1">
        <f t="shared" si="1"/>
        <v>0.75475628362255476</v>
      </c>
      <c r="I15" s="1">
        <f t="shared" si="2"/>
        <v>0.51402999999999932</v>
      </c>
      <c r="J15" s="1">
        <f t="shared" si="3"/>
        <v>0.15734006734006714</v>
      </c>
      <c r="K15" s="17" t="str">
        <f t="shared" si="4"/>
        <v/>
      </c>
      <c r="L15" s="17" t="str">
        <f t="shared" si="5"/>
        <v/>
      </c>
    </row>
    <row r="16" spans="1:17">
      <c r="A16" s="17">
        <v>6</v>
      </c>
      <c r="B16" s="17">
        <v>1</v>
      </c>
      <c r="C16" s="17">
        <v>19</v>
      </c>
      <c r="D16" s="17" t="s">
        <v>379</v>
      </c>
      <c r="E16" s="17">
        <v>0.44900000000000001</v>
      </c>
      <c r="F16" s="17">
        <f t="shared" si="6"/>
        <v>0.20400000000000001</v>
      </c>
      <c r="G16" s="1">
        <f t="shared" si="0"/>
        <v>0.3362986577181209</v>
      </c>
      <c r="H16" s="1">
        <f t="shared" si="1"/>
        <v>0.75475628362255476</v>
      </c>
      <c r="I16" s="1">
        <f t="shared" si="2"/>
        <v>0.51402999999999932</v>
      </c>
      <c r="J16" s="1">
        <f t="shared" si="3"/>
        <v>0.15734006734006714</v>
      </c>
      <c r="K16" s="17" t="str">
        <f t="shared" si="4"/>
        <v/>
      </c>
      <c r="L16" s="17" t="str">
        <f t="shared" si="5"/>
        <v/>
      </c>
    </row>
    <row r="17" spans="1:12">
      <c r="A17" s="17">
        <v>7</v>
      </c>
      <c r="B17" s="17">
        <v>1</v>
      </c>
      <c r="C17" s="17">
        <v>18</v>
      </c>
      <c r="D17" s="17" t="s">
        <v>380</v>
      </c>
      <c r="E17" s="17">
        <v>0.19900000000000001</v>
      </c>
      <c r="F17" s="17">
        <f t="shared" si="6"/>
        <v>0.25</v>
      </c>
      <c r="G17" s="1">
        <f t="shared" si="0"/>
        <v>0.3362986577181209</v>
      </c>
      <c r="H17" s="1">
        <f t="shared" si="1"/>
        <v>0.75475628362255476</v>
      </c>
      <c r="I17" s="1">
        <f t="shared" si="2"/>
        <v>0.51402999999999932</v>
      </c>
      <c r="J17" s="1">
        <f t="shared" si="3"/>
        <v>0.15734006734006714</v>
      </c>
      <c r="K17" s="17" t="str">
        <f t="shared" si="4"/>
        <v/>
      </c>
      <c r="L17" s="17" t="str">
        <f t="shared" si="5"/>
        <v/>
      </c>
    </row>
    <row r="18" spans="1:12">
      <c r="A18" s="17">
        <v>8</v>
      </c>
      <c r="B18" s="17">
        <v>1</v>
      </c>
      <c r="C18" s="17">
        <v>17</v>
      </c>
      <c r="D18" s="17" t="s">
        <v>381</v>
      </c>
      <c r="E18" s="17">
        <v>0.249</v>
      </c>
      <c r="F18" s="17">
        <f t="shared" si="6"/>
        <v>4.9999999999999989E-2</v>
      </c>
      <c r="G18" s="1">
        <f t="shared" si="0"/>
        <v>0.3362986577181209</v>
      </c>
      <c r="H18" s="1">
        <f t="shared" si="1"/>
        <v>0.75475628362255476</v>
      </c>
      <c r="I18" s="1">
        <f t="shared" si="2"/>
        <v>0.51402999999999932</v>
      </c>
      <c r="J18" s="1">
        <f t="shared" si="3"/>
        <v>0.15734006734006714</v>
      </c>
      <c r="K18" s="17" t="str">
        <f t="shared" si="4"/>
        <v/>
      </c>
      <c r="L18" s="17" t="str">
        <f t="shared" si="5"/>
        <v/>
      </c>
    </row>
    <row r="19" spans="1:12">
      <c r="A19" s="17">
        <v>9</v>
      </c>
      <c r="B19" s="17">
        <v>1</v>
      </c>
      <c r="C19" s="17">
        <v>16</v>
      </c>
      <c r="D19" s="17" t="s">
        <v>382</v>
      </c>
      <c r="E19" s="17">
        <v>0.36499999999999999</v>
      </c>
      <c r="F19" s="17">
        <f t="shared" si="6"/>
        <v>0.11599999999999999</v>
      </c>
      <c r="G19" s="1">
        <f t="shared" si="0"/>
        <v>0.3362986577181209</v>
      </c>
      <c r="H19" s="1">
        <f t="shared" si="1"/>
        <v>0.75475628362255476</v>
      </c>
      <c r="I19" s="1">
        <f t="shared" si="2"/>
        <v>0.51402999999999932</v>
      </c>
      <c r="J19" s="1">
        <f t="shared" si="3"/>
        <v>0.15734006734006714</v>
      </c>
      <c r="K19" s="17" t="str">
        <f t="shared" si="4"/>
        <v/>
      </c>
      <c r="L19" s="17" t="str">
        <f t="shared" si="5"/>
        <v/>
      </c>
    </row>
    <row r="20" spans="1:12">
      <c r="A20" s="17">
        <v>10</v>
      </c>
      <c r="B20" s="17">
        <v>1</v>
      </c>
      <c r="C20" s="17">
        <v>15</v>
      </c>
      <c r="D20" s="17" t="s">
        <v>383</v>
      </c>
      <c r="E20" s="17">
        <v>0.38400000000000001</v>
      </c>
      <c r="F20" s="17">
        <f t="shared" si="6"/>
        <v>1.9000000000000017E-2</v>
      </c>
      <c r="G20" s="1">
        <f t="shared" si="0"/>
        <v>0.3362986577181209</v>
      </c>
      <c r="H20" s="1">
        <f t="shared" si="1"/>
        <v>0.75475628362255476</v>
      </c>
      <c r="I20" s="1">
        <f t="shared" si="2"/>
        <v>0.51402999999999932</v>
      </c>
      <c r="J20" s="1">
        <f t="shared" si="3"/>
        <v>0.15734006734006714</v>
      </c>
      <c r="K20" s="17" t="str">
        <f t="shared" si="4"/>
        <v/>
      </c>
      <c r="L20" s="17" t="str">
        <f t="shared" si="5"/>
        <v/>
      </c>
    </row>
    <row r="21" spans="1:12">
      <c r="A21" s="17">
        <v>11</v>
      </c>
      <c r="B21" s="17">
        <v>1</v>
      </c>
      <c r="C21" s="17">
        <v>14</v>
      </c>
      <c r="D21" s="17" t="s">
        <v>384</v>
      </c>
      <c r="E21" s="17">
        <v>0.155</v>
      </c>
      <c r="F21" s="17">
        <f t="shared" si="6"/>
        <v>0.22900000000000001</v>
      </c>
      <c r="G21" s="1">
        <f t="shared" si="0"/>
        <v>0.3362986577181209</v>
      </c>
      <c r="H21" s="1">
        <f t="shared" si="1"/>
        <v>0.75475628362255476</v>
      </c>
      <c r="I21" s="1">
        <f t="shared" si="2"/>
        <v>0.51402999999999932</v>
      </c>
      <c r="J21" s="1">
        <f t="shared" si="3"/>
        <v>0.15734006734006714</v>
      </c>
      <c r="K21" s="17" t="str">
        <f t="shared" si="4"/>
        <v/>
      </c>
      <c r="L21" s="17" t="str">
        <f t="shared" si="5"/>
        <v/>
      </c>
    </row>
    <row r="22" spans="1:12">
      <c r="A22" s="17">
        <v>12</v>
      </c>
      <c r="B22" s="17">
        <v>1</v>
      </c>
      <c r="C22" s="17">
        <v>13</v>
      </c>
      <c r="D22" s="17" t="s">
        <v>385</v>
      </c>
      <c r="E22" s="17">
        <v>0.59799999999999998</v>
      </c>
      <c r="F22" s="17">
        <f t="shared" si="6"/>
        <v>0.44299999999999995</v>
      </c>
      <c r="G22" s="1">
        <f t="shared" si="0"/>
        <v>0.3362986577181209</v>
      </c>
      <c r="H22" s="1">
        <f t="shared" si="1"/>
        <v>0.75475628362255476</v>
      </c>
      <c r="I22" s="1">
        <f t="shared" si="2"/>
        <v>0.51402999999999932</v>
      </c>
      <c r="J22" s="1">
        <f t="shared" si="3"/>
        <v>0.15734006734006714</v>
      </c>
      <c r="K22" s="17" t="str">
        <f t="shared" si="4"/>
        <v/>
      </c>
      <c r="L22" s="17" t="str">
        <f t="shared" si="5"/>
        <v/>
      </c>
    </row>
    <row r="23" spans="1:12">
      <c r="A23" s="17">
        <v>13</v>
      </c>
      <c r="B23" s="17">
        <v>1</v>
      </c>
      <c r="C23" s="17">
        <v>12</v>
      </c>
      <c r="D23" s="17" t="s">
        <v>386</v>
      </c>
      <c r="E23" s="17">
        <v>0.16300000000000001</v>
      </c>
      <c r="F23" s="17">
        <f t="shared" si="6"/>
        <v>0.43499999999999994</v>
      </c>
      <c r="G23" s="1">
        <f t="shared" si="0"/>
        <v>0.3362986577181209</v>
      </c>
      <c r="H23" s="1">
        <f t="shared" si="1"/>
        <v>0.75475628362255476</v>
      </c>
      <c r="I23" s="1">
        <f t="shared" si="2"/>
        <v>0.51402999999999932</v>
      </c>
      <c r="J23" s="1">
        <f t="shared" si="3"/>
        <v>0.15734006734006714</v>
      </c>
      <c r="K23" s="17" t="str">
        <f t="shared" si="4"/>
        <v/>
      </c>
      <c r="L23" s="17" t="str">
        <f t="shared" si="5"/>
        <v/>
      </c>
    </row>
    <row r="24" spans="1:12">
      <c r="A24" s="17">
        <v>14</v>
      </c>
      <c r="B24" s="17">
        <v>1</v>
      </c>
      <c r="C24" s="17">
        <v>11</v>
      </c>
      <c r="D24" s="17" t="s">
        <v>387</v>
      </c>
      <c r="E24" s="17">
        <v>0.35799999999999998</v>
      </c>
      <c r="F24" s="17">
        <f t="shared" si="6"/>
        <v>0.19499999999999998</v>
      </c>
      <c r="G24" s="1">
        <f t="shared" si="0"/>
        <v>0.3362986577181209</v>
      </c>
      <c r="H24" s="1">
        <f t="shared" si="1"/>
        <v>0.75475628362255476</v>
      </c>
      <c r="I24" s="1">
        <f t="shared" si="2"/>
        <v>0.51402999999999932</v>
      </c>
      <c r="J24" s="1">
        <f t="shared" si="3"/>
        <v>0.15734006734006714</v>
      </c>
      <c r="K24" s="17" t="str">
        <f t="shared" si="4"/>
        <v/>
      </c>
      <c r="L24" s="17" t="str">
        <f t="shared" si="5"/>
        <v/>
      </c>
    </row>
    <row r="25" spans="1:12">
      <c r="A25" s="17">
        <v>15</v>
      </c>
      <c r="B25" s="17">
        <v>1</v>
      </c>
      <c r="C25" s="17">
        <v>10</v>
      </c>
      <c r="D25" s="17" t="s">
        <v>388</v>
      </c>
      <c r="E25" s="17">
        <v>0.433</v>
      </c>
      <c r="F25" s="17">
        <f t="shared" si="6"/>
        <v>7.5000000000000011E-2</v>
      </c>
      <c r="G25" s="1">
        <f t="shared" si="0"/>
        <v>0.3362986577181209</v>
      </c>
      <c r="H25" s="1">
        <f t="shared" si="1"/>
        <v>0.75475628362255476</v>
      </c>
      <c r="I25" s="1">
        <f t="shared" si="2"/>
        <v>0.51402999999999932</v>
      </c>
      <c r="J25" s="1">
        <f t="shared" si="3"/>
        <v>0.15734006734006714</v>
      </c>
      <c r="K25" s="17" t="str">
        <f t="shared" si="4"/>
        <v/>
      </c>
      <c r="L25" s="17" t="str">
        <f t="shared" si="5"/>
        <v/>
      </c>
    </row>
    <row r="26" spans="1:12">
      <c r="A26" s="17">
        <v>16</v>
      </c>
      <c r="B26" s="17">
        <v>1</v>
      </c>
      <c r="C26" s="17">
        <v>9</v>
      </c>
      <c r="D26" s="17" t="s">
        <v>389</v>
      </c>
      <c r="E26" s="17">
        <v>0.68300000000000005</v>
      </c>
      <c r="F26" s="17">
        <f t="shared" si="6"/>
        <v>0.25000000000000006</v>
      </c>
      <c r="G26" s="1">
        <f t="shared" si="0"/>
        <v>0.3362986577181209</v>
      </c>
      <c r="H26" s="1">
        <f t="shared" si="1"/>
        <v>0.75475628362255476</v>
      </c>
      <c r="I26" s="1">
        <f t="shared" si="2"/>
        <v>0.51402999999999932</v>
      </c>
      <c r="J26" s="1">
        <f t="shared" si="3"/>
        <v>0.15734006734006714</v>
      </c>
      <c r="K26" s="17" t="str">
        <f t="shared" si="4"/>
        <v/>
      </c>
      <c r="L26" s="17" t="str">
        <f t="shared" si="5"/>
        <v/>
      </c>
    </row>
    <row r="27" spans="1:12">
      <c r="A27" s="17">
        <v>17</v>
      </c>
      <c r="B27" s="17">
        <v>1</v>
      </c>
      <c r="C27" s="17">
        <v>8</v>
      </c>
      <c r="D27" s="17" t="s">
        <v>390</v>
      </c>
      <c r="E27" s="17">
        <v>0.28599999999999998</v>
      </c>
      <c r="F27" s="17">
        <f t="shared" si="6"/>
        <v>0.39700000000000008</v>
      </c>
      <c r="G27" s="1">
        <f t="shared" si="0"/>
        <v>0.3362986577181209</v>
      </c>
      <c r="H27" s="1">
        <f t="shared" si="1"/>
        <v>0.75475628362255476</v>
      </c>
      <c r="I27" s="1">
        <f t="shared" si="2"/>
        <v>0.51402999999999932</v>
      </c>
      <c r="J27" s="1">
        <f t="shared" si="3"/>
        <v>0.15734006734006714</v>
      </c>
      <c r="K27" s="17" t="str">
        <f t="shared" si="4"/>
        <v/>
      </c>
      <c r="L27" s="17" t="str">
        <f t="shared" si="5"/>
        <v/>
      </c>
    </row>
    <row r="28" spans="1:12">
      <c r="A28" s="17">
        <v>18</v>
      </c>
      <c r="B28" s="17">
        <v>1</v>
      </c>
      <c r="C28" s="17">
        <v>7</v>
      </c>
      <c r="D28" s="17" t="s">
        <v>391</v>
      </c>
      <c r="E28" s="17">
        <v>0.83399999999999996</v>
      </c>
      <c r="F28" s="17">
        <f t="shared" si="6"/>
        <v>0.54800000000000004</v>
      </c>
      <c r="G28" s="1">
        <f t="shared" si="0"/>
        <v>0.3362986577181209</v>
      </c>
      <c r="H28" s="1">
        <f t="shared" si="1"/>
        <v>0.75475628362255476</v>
      </c>
      <c r="I28" s="1">
        <f t="shared" si="2"/>
        <v>0.51402999999999932</v>
      </c>
      <c r="J28" s="1">
        <f t="shared" si="3"/>
        <v>0.15734006734006714</v>
      </c>
      <c r="K28" s="17" t="str">
        <f t="shared" si="4"/>
        <v>OOC</v>
      </c>
      <c r="L28" s="17" t="str">
        <f t="shared" si="5"/>
        <v/>
      </c>
    </row>
    <row r="29" spans="1:12">
      <c r="A29" s="17">
        <v>19</v>
      </c>
      <c r="B29" s="17">
        <v>1</v>
      </c>
      <c r="C29" s="17">
        <v>6</v>
      </c>
      <c r="D29" s="17" t="s">
        <v>392</v>
      </c>
      <c r="E29" s="17">
        <v>0.28499999999999998</v>
      </c>
      <c r="F29" s="17">
        <f t="shared" si="6"/>
        <v>0.54899999999999993</v>
      </c>
      <c r="G29" s="1">
        <f t="shared" si="0"/>
        <v>0.3362986577181209</v>
      </c>
      <c r="H29" s="1">
        <f t="shared" si="1"/>
        <v>0.75475628362255476</v>
      </c>
      <c r="I29" s="1">
        <f t="shared" si="2"/>
        <v>0.51402999999999932</v>
      </c>
      <c r="J29" s="1">
        <f t="shared" si="3"/>
        <v>0.15734006734006714</v>
      </c>
      <c r="K29" s="17" t="str">
        <f t="shared" si="4"/>
        <v/>
      </c>
      <c r="L29" s="17" t="str">
        <f t="shared" si="5"/>
        <v/>
      </c>
    </row>
    <row r="30" spans="1:12">
      <c r="A30" s="17">
        <v>20</v>
      </c>
      <c r="B30" s="17">
        <v>1</v>
      </c>
      <c r="C30" s="17">
        <v>5</v>
      </c>
      <c r="D30" s="17" t="s">
        <v>393</v>
      </c>
      <c r="E30" s="17">
        <v>0.82799999999999996</v>
      </c>
      <c r="F30" s="17">
        <f t="shared" si="6"/>
        <v>0.54299999999999993</v>
      </c>
      <c r="G30" s="1">
        <f t="shared" si="0"/>
        <v>0.3362986577181209</v>
      </c>
      <c r="H30" s="1">
        <f t="shared" si="1"/>
        <v>0.75475628362255476</v>
      </c>
      <c r="I30" s="1">
        <f t="shared" si="2"/>
        <v>0.51402999999999932</v>
      </c>
      <c r="J30" s="1">
        <f t="shared" si="3"/>
        <v>0.15734006734006714</v>
      </c>
      <c r="K30" s="17" t="str">
        <f t="shared" si="4"/>
        <v>OOC</v>
      </c>
      <c r="L30" s="17" t="str">
        <f t="shared" si="5"/>
        <v/>
      </c>
    </row>
    <row r="31" spans="1:12">
      <c r="A31" s="17">
        <v>21</v>
      </c>
      <c r="B31" s="17">
        <v>1</v>
      </c>
      <c r="C31" s="17">
        <v>4</v>
      </c>
      <c r="D31" s="17" t="s">
        <v>394</v>
      </c>
      <c r="E31" s="17">
        <v>0.19</v>
      </c>
      <c r="F31" s="17">
        <f t="shared" si="6"/>
        <v>0.6379999999999999</v>
      </c>
      <c r="G31" s="1">
        <f t="shared" si="0"/>
        <v>0.3362986577181209</v>
      </c>
      <c r="H31" s="1">
        <f t="shared" si="1"/>
        <v>0.75475628362255476</v>
      </c>
      <c r="I31" s="1">
        <f t="shared" si="2"/>
        <v>0.51402999999999932</v>
      </c>
      <c r="J31" s="1">
        <f t="shared" si="3"/>
        <v>0.15734006734006714</v>
      </c>
      <c r="K31" s="17" t="str">
        <f t="shared" si="4"/>
        <v/>
      </c>
      <c r="L31" s="17" t="str">
        <f t="shared" si="5"/>
        <v/>
      </c>
    </row>
    <row r="32" spans="1:12">
      <c r="A32" s="17">
        <v>22</v>
      </c>
      <c r="B32" s="17">
        <v>1</v>
      </c>
      <c r="C32" s="17">
        <v>3</v>
      </c>
      <c r="D32" s="17" t="s">
        <v>395</v>
      </c>
      <c r="E32" s="17">
        <v>0.308</v>
      </c>
      <c r="F32" s="17">
        <f t="shared" si="6"/>
        <v>0.11799999999999999</v>
      </c>
      <c r="G32" s="1">
        <f t="shared" si="0"/>
        <v>0.3362986577181209</v>
      </c>
      <c r="H32" s="1">
        <f t="shared" si="1"/>
        <v>0.75475628362255476</v>
      </c>
      <c r="I32" s="1">
        <f t="shared" si="2"/>
        <v>0.51402999999999932</v>
      </c>
      <c r="J32" s="1">
        <f t="shared" si="3"/>
        <v>0.15734006734006714</v>
      </c>
      <c r="K32" s="17" t="str">
        <f t="shared" si="4"/>
        <v/>
      </c>
      <c r="L32" s="17" t="str">
        <f t="shared" si="5"/>
        <v/>
      </c>
    </row>
    <row r="33" spans="1:12">
      <c r="A33" s="17">
        <v>23</v>
      </c>
      <c r="B33" s="17">
        <v>1</v>
      </c>
      <c r="C33" s="17">
        <v>2</v>
      </c>
      <c r="D33" s="17" t="s">
        <v>396</v>
      </c>
      <c r="E33" s="17">
        <v>0.20799999999999999</v>
      </c>
      <c r="F33" s="17">
        <f t="shared" si="6"/>
        <v>0.1</v>
      </c>
      <c r="G33" s="1">
        <f t="shared" si="0"/>
        <v>0.3362986577181209</v>
      </c>
      <c r="H33" s="1">
        <f t="shared" si="1"/>
        <v>0.75475628362255476</v>
      </c>
      <c r="I33" s="1">
        <f t="shared" si="2"/>
        <v>0.51402999999999932</v>
      </c>
      <c r="J33" s="1">
        <f t="shared" si="3"/>
        <v>0.15734006734006714</v>
      </c>
      <c r="K33" s="17" t="str">
        <f t="shared" si="4"/>
        <v/>
      </c>
      <c r="L33" s="17" t="str">
        <f t="shared" si="5"/>
        <v/>
      </c>
    </row>
    <row r="34" spans="1:12">
      <c r="A34" s="17">
        <v>24</v>
      </c>
      <c r="B34" s="17">
        <v>1</v>
      </c>
      <c r="C34" s="17">
        <v>1</v>
      </c>
      <c r="D34" s="17" t="s">
        <v>397</v>
      </c>
      <c r="E34" s="17">
        <v>0.55400000000000005</v>
      </c>
      <c r="F34" s="17">
        <f t="shared" si="6"/>
        <v>0.34600000000000009</v>
      </c>
      <c r="G34" s="1">
        <f t="shared" si="0"/>
        <v>0.3362986577181209</v>
      </c>
      <c r="H34" s="1">
        <f t="shared" si="1"/>
        <v>0.75475628362255476</v>
      </c>
      <c r="I34" s="1">
        <f t="shared" si="2"/>
        <v>0.51402999999999932</v>
      </c>
      <c r="J34" s="1">
        <f t="shared" si="3"/>
        <v>0.15734006734006714</v>
      </c>
      <c r="K34" s="17" t="str">
        <f t="shared" si="4"/>
        <v/>
      </c>
      <c r="L34" s="17" t="str">
        <f t="shared" si="5"/>
        <v/>
      </c>
    </row>
    <row r="35" spans="1:12">
      <c r="A35" s="17">
        <v>25</v>
      </c>
      <c r="B35" s="17">
        <v>1</v>
      </c>
      <c r="C35" s="17">
        <v>25</v>
      </c>
      <c r="D35" s="17" t="s">
        <v>398</v>
      </c>
      <c r="E35" s="17">
        <v>0.34899999999999998</v>
      </c>
      <c r="F35" s="17">
        <f t="shared" si="6"/>
        <v>0.20500000000000007</v>
      </c>
      <c r="G35" s="1">
        <f t="shared" si="0"/>
        <v>0.3362986577181209</v>
      </c>
      <c r="H35" s="1">
        <f t="shared" si="1"/>
        <v>0.75475628362255476</v>
      </c>
      <c r="I35" s="1">
        <f t="shared" si="2"/>
        <v>0.51402999999999932</v>
      </c>
      <c r="J35" s="1">
        <f t="shared" si="3"/>
        <v>0.15734006734006714</v>
      </c>
      <c r="K35" s="17" t="str">
        <f t="shared" si="4"/>
        <v/>
      </c>
      <c r="L35" s="17" t="str">
        <f t="shared" si="5"/>
        <v/>
      </c>
    </row>
    <row r="36" spans="1:12">
      <c r="A36" s="17">
        <v>26</v>
      </c>
      <c r="B36" s="17">
        <v>1</v>
      </c>
      <c r="C36" s="17">
        <v>24</v>
      </c>
      <c r="D36" s="17" t="s">
        <v>399</v>
      </c>
      <c r="E36" s="17">
        <v>0.17199999999999999</v>
      </c>
      <c r="F36" s="17">
        <f t="shared" si="6"/>
        <v>0.17699999999999999</v>
      </c>
      <c r="G36" s="1">
        <f t="shared" si="0"/>
        <v>0.3362986577181209</v>
      </c>
      <c r="H36" s="1">
        <f t="shared" si="1"/>
        <v>0.75475628362255476</v>
      </c>
      <c r="I36" s="1">
        <f t="shared" si="2"/>
        <v>0.51402999999999932</v>
      </c>
      <c r="J36" s="1">
        <f t="shared" si="3"/>
        <v>0.15734006734006714</v>
      </c>
      <c r="K36" s="17" t="str">
        <f t="shared" si="4"/>
        <v/>
      </c>
      <c r="L36" s="17" t="str">
        <f t="shared" si="5"/>
        <v/>
      </c>
    </row>
    <row r="37" spans="1:12">
      <c r="A37" s="17">
        <v>27</v>
      </c>
      <c r="B37" s="17">
        <v>1</v>
      </c>
      <c r="C37" s="17">
        <v>23</v>
      </c>
      <c r="D37" s="17" t="s">
        <v>400</v>
      </c>
      <c r="E37" s="17">
        <v>0.4</v>
      </c>
      <c r="F37" s="17">
        <f t="shared" si="6"/>
        <v>0.22800000000000004</v>
      </c>
      <c r="G37" s="1">
        <f t="shared" si="0"/>
        <v>0.3362986577181209</v>
      </c>
      <c r="H37" s="1">
        <f t="shared" si="1"/>
        <v>0.75475628362255476</v>
      </c>
      <c r="I37" s="1">
        <f t="shared" si="2"/>
        <v>0.51402999999999932</v>
      </c>
      <c r="J37" s="1">
        <f t="shared" si="3"/>
        <v>0.15734006734006714</v>
      </c>
      <c r="K37" s="17" t="str">
        <f t="shared" si="4"/>
        <v/>
      </c>
      <c r="L37" s="17" t="str">
        <f t="shared" si="5"/>
        <v/>
      </c>
    </row>
    <row r="38" spans="1:12">
      <c r="A38" s="17">
        <v>28</v>
      </c>
      <c r="B38" s="17">
        <v>1</v>
      </c>
      <c r="C38" s="17">
        <v>22</v>
      </c>
      <c r="D38" s="17" t="s">
        <v>401</v>
      </c>
      <c r="E38" s="17">
        <v>0.42599999999999999</v>
      </c>
      <c r="F38" s="17">
        <f t="shared" si="6"/>
        <v>2.5999999999999968E-2</v>
      </c>
      <c r="G38" s="1">
        <f t="shared" si="0"/>
        <v>0.3362986577181209</v>
      </c>
      <c r="H38" s="1">
        <f t="shared" si="1"/>
        <v>0.75475628362255476</v>
      </c>
      <c r="I38" s="1">
        <f t="shared" si="2"/>
        <v>0.51402999999999932</v>
      </c>
      <c r="J38" s="1">
        <f t="shared" si="3"/>
        <v>0.15734006734006714</v>
      </c>
      <c r="K38" s="17" t="str">
        <f t="shared" si="4"/>
        <v/>
      </c>
      <c r="L38" s="17" t="str">
        <f t="shared" si="5"/>
        <v/>
      </c>
    </row>
    <row r="39" spans="1:12">
      <c r="A39" s="17">
        <v>29</v>
      </c>
      <c r="B39" s="17">
        <v>1</v>
      </c>
      <c r="C39" s="17">
        <v>21</v>
      </c>
      <c r="D39" s="17" t="s">
        <v>402</v>
      </c>
      <c r="E39" s="17">
        <v>0.22700000000000001</v>
      </c>
      <c r="F39" s="17">
        <f t="shared" si="6"/>
        <v>0.19899999999999998</v>
      </c>
      <c r="G39" s="1">
        <f t="shared" si="0"/>
        <v>0.3362986577181209</v>
      </c>
      <c r="H39" s="1">
        <f t="shared" si="1"/>
        <v>0.75475628362255476</v>
      </c>
      <c r="I39" s="1">
        <f t="shared" si="2"/>
        <v>0.51402999999999932</v>
      </c>
      <c r="J39" s="1">
        <f t="shared" si="3"/>
        <v>0.15734006734006714</v>
      </c>
      <c r="K39" s="17" t="str">
        <f t="shared" si="4"/>
        <v/>
      </c>
      <c r="L39" s="17" t="str">
        <f t="shared" si="5"/>
        <v/>
      </c>
    </row>
    <row r="40" spans="1:12">
      <c r="A40" s="17">
        <v>30</v>
      </c>
      <c r="B40" s="17">
        <v>1</v>
      </c>
      <c r="C40" s="17">
        <v>20</v>
      </c>
      <c r="D40" s="17" t="s">
        <v>403</v>
      </c>
      <c r="E40" s="17">
        <v>0.30099999999999999</v>
      </c>
      <c r="F40" s="17">
        <f t="shared" si="6"/>
        <v>7.3999999999999982E-2</v>
      </c>
      <c r="G40" s="1">
        <f t="shared" si="0"/>
        <v>0.3362986577181209</v>
      </c>
      <c r="H40" s="1">
        <f t="shared" si="1"/>
        <v>0.75475628362255476</v>
      </c>
      <c r="I40" s="1">
        <f t="shared" si="2"/>
        <v>0.51402999999999932</v>
      </c>
      <c r="J40" s="1">
        <f t="shared" si="3"/>
        <v>0.15734006734006714</v>
      </c>
      <c r="K40" s="17" t="str">
        <f t="shared" si="4"/>
        <v/>
      </c>
      <c r="L40" s="17" t="str">
        <f t="shared" si="5"/>
        <v/>
      </c>
    </row>
    <row r="41" spans="1:12">
      <c r="A41" s="17">
        <v>31</v>
      </c>
      <c r="B41" s="17">
        <v>1</v>
      </c>
      <c r="C41" s="17">
        <v>19</v>
      </c>
      <c r="D41" s="17" t="s">
        <v>404</v>
      </c>
      <c r="E41" s="17">
        <v>0.376</v>
      </c>
      <c r="F41" s="17">
        <f t="shared" si="6"/>
        <v>7.5000000000000011E-2</v>
      </c>
      <c r="G41" s="1">
        <f t="shared" si="0"/>
        <v>0.3362986577181209</v>
      </c>
      <c r="H41" s="1">
        <f t="shared" si="1"/>
        <v>0.75475628362255476</v>
      </c>
      <c r="I41" s="1">
        <f t="shared" si="2"/>
        <v>0.51402999999999932</v>
      </c>
      <c r="J41" s="1">
        <f t="shared" si="3"/>
        <v>0.15734006734006714</v>
      </c>
      <c r="K41" s="17" t="str">
        <f t="shared" si="4"/>
        <v/>
      </c>
      <c r="L41" s="17" t="str">
        <f t="shared" si="5"/>
        <v/>
      </c>
    </row>
    <row r="42" spans="1:12">
      <c r="A42" s="17">
        <v>32</v>
      </c>
      <c r="B42" s="17">
        <v>1</v>
      </c>
      <c r="C42" s="17">
        <v>18</v>
      </c>
      <c r="D42" s="17" t="s">
        <v>405</v>
      </c>
      <c r="E42" s="17">
        <v>0.28999999999999998</v>
      </c>
      <c r="F42" s="17">
        <f t="shared" si="6"/>
        <v>8.6000000000000021E-2</v>
      </c>
      <c r="G42" s="1">
        <f t="shared" si="0"/>
        <v>0.3362986577181209</v>
      </c>
      <c r="H42" s="1">
        <f t="shared" si="1"/>
        <v>0.75475628362255476</v>
      </c>
      <c r="I42" s="1">
        <f t="shared" si="2"/>
        <v>0.51402999999999932</v>
      </c>
      <c r="J42" s="1">
        <f t="shared" si="3"/>
        <v>0.15734006734006714</v>
      </c>
      <c r="K42" s="17" t="str">
        <f t="shared" si="4"/>
        <v/>
      </c>
      <c r="L42" s="17" t="str">
        <f t="shared" si="5"/>
        <v/>
      </c>
    </row>
    <row r="43" spans="1:12">
      <c r="A43" s="17">
        <v>33</v>
      </c>
      <c r="B43" s="17">
        <v>1</v>
      </c>
      <c r="C43" s="17">
        <v>17</v>
      </c>
      <c r="D43" s="17" t="s">
        <v>406</v>
      </c>
      <c r="E43" s="17">
        <v>0.29799999999999999</v>
      </c>
      <c r="F43" s="17">
        <f t="shared" si="6"/>
        <v>8.0000000000000071E-3</v>
      </c>
      <c r="G43" s="1">
        <f t="shared" si="0"/>
        <v>0.3362986577181209</v>
      </c>
      <c r="H43" s="1">
        <f t="shared" si="1"/>
        <v>0.75475628362255476</v>
      </c>
      <c r="I43" s="1">
        <f t="shared" si="2"/>
        <v>0.51402999999999932</v>
      </c>
      <c r="J43" s="1">
        <f t="shared" si="3"/>
        <v>0.15734006734006714</v>
      </c>
      <c r="K43" s="17" t="str">
        <f t="shared" si="4"/>
        <v/>
      </c>
      <c r="L43" s="17" t="str">
        <f t="shared" si="5"/>
        <v/>
      </c>
    </row>
    <row r="44" spans="1:12">
      <c r="A44" s="17">
        <v>34</v>
      </c>
      <c r="B44" s="17">
        <v>1</v>
      </c>
      <c r="C44" s="17">
        <v>16</v>
      </c>
      <c r="D44" s="17" t="s">
        <v>407</v>
      </c>
      <c r="E44" s="17">
        <v>0.27800000000000002</v>
      </c>
      <c r="F44" s="17">
        <f t="shared" si="6"/>
        <v>1.9999999999999962E-2</v>
      </c>
      <c r="G44" s="1">
        <f t="shared" si="0"/>
        <v>0.3362986577181209</v>
      </c>
      <c r="H44" s="1">
        <f t="shared" si="1"/>
        <v>0.75475628362255476</v>
      </c>
      <c r="I44" s="1">
        <f t="shared" si="2"/>
        <v>0.51402999999999932</v>
      </c>
      <c r="J44" s="1">
        <f t="shared" si="3"/>
        <v>0.15734006734006714</v>
      </c>
      <c r="K44" s="17" t="str">
        <f t="shared" si="4"/>
        <v/>
      </c>
      <c r="L44" s="17" t="str">
        <f t="shared" si="5"/>
        <v/>
      </c>
    </row>
    <row r="45" spans="1:12">
      <c r="A45" s="17">
        <v>35</v>
      </c>
      <c r="B45" s="17">
        <v>1</v>
      </c>
      <c r="C45" s="17">
        <v>15</v>
      </c>
      <c r="D45" s="17" t="s">
        <v>408</v>
      </c>
      <c r="E45" s="17">
        <v>0.432</v>
      </c>
      <c r="F45" s="17">
        <f t="shared" si="6"/>
        <v>0.15399999999999997</v>
      </c>
      <c r="G45" s="1">
        <f t="shared" si="0"/>
        <v>0.3362986577181209</v>
      </c>
      <c r="H45" s="1">
        <f t="shared" si="1"/>
        <v>0.75475628362255476</v>
      </c>
      <c r="I45" s="1">
        <f t="shared" si="2"/>
        <v>0.51402999999999932</v>
      </c>
      <c r="J45" s="1">
        <f t="shared" si="3"/>
        <v>0.15734006734006714</v>
      </c>
      <c r="K45" s="17" t="str">
        <f t="shared" si="4"/>
        <v/>
      </c>
      <c r="L45" s="17" t="str">
        <f t="shared" si="5"/>
        <v/>
      </c>
    </row>
    <row r="46" spans="1:12">
      <c r="A46" s="17">
        <v>36</v>
      </c>
      <c r="B46" s="17">
        <v>1</v>
      </c>
      <c r="C46" s="17">
        <v>14</v>
      </c>
      <c r="D46" s="17" t="s">
        <v>409</v>
      </c>
      <c r="E46" s="17">
        <v>0.46300000000000002</v>
      </c>
      <c r="F46" s="17">
        <f t="shared" si="6"/>
        <v>3.1000000000000028E-2</v>
      </c>
      <c r="G46" s="1">
        <f t="shared" si="0"/>
        <v>0.3362986577181209</v>
      </c>
      <c r="H46" s="1">
        <f t="shared" si="1"/>
        <v>0.75475628362255476</v>
      </c>
      <c r="I46" s="1">
        <f t="shared" si="2"/>
        <v>0.51402999999999932</v>
      </c>
      <c r="J46" s="1">
        <f t="shared" si="3"/>
        <v>0.15734006734006714</v>
      </c>
      <c r="K46" s="17" t="str">
        <f t="shared" si="4"/>
        <v/>
      </c>
      <c r="L46" s="17" t="str">
        <f t="shared" si="5"/>
        <v/>
      </c>
    </row>
    <row r="47" spans="1:12">
      <c r="A47" s="17">
        <v>37</v>
      </c>
      <c r="B47" s="17">
        <v>1</v>
      </c>
      <c r="C47" s="17">
        <v>13</v>
      </c>
      <c r="D47" s="17" t="s">
        <v>410</v>
      </c>
      <c r="E47" s="17">
        <v>0.90100000000000002</v>
      </c>
      <c r="F47" s="17">
        <f t="shared" si="6"/>
        <v>0.438</v>
      </c>
      <c r="G47" s="1">
        <f t="shared" si="0"/>
        <v>0.3362986577181209</v>
      </c>
      <c r="H47" s="1">
        <f t="shared" si="1"/>
        <v>0.75475628362255476</v>
      </c>
      <c r="I47" s="1">
        <f t="shared" si="2"/>
        <v>0.51402999999999932</v>
      </c>
      <c r="J47" s="1">
        <f t="shared" si="3"/>
        <v>0.15734006734006714</v>
      </c>
      <c r="K47" s="17" t="str">
        <f t="shared" si="4"/>
        <v>OOC</v>
      </c>
      <c r="L47" s="17" t="str">
        <f t="shared" si="5"/>
        <v/>
      </c>
    </row>
    <row r="48" spans="1:12">
      <c r="A48" s="17">
        <v>38</v>
      </c>
      <c r="B48" s="17">
        <v>1</v>
      </c>
      <c r="C48" s="17">
        <v>12</v>
      </c>
      <c r="D48" s="17" t="s">
        <v>411</v>
      </c>
      <c r="E48" s="17">
        <v>0.56200000000000006</v>
      </c>
      <c r="F48" s="17">
        <f t="shared" si="6"/>
        <v>0.33899999999999997</v>
      </c>
      <c r="G48" s="1">
        <f t="shared" si="0"/>
        <v>0.3362986577181209</v>
      </c>
      <c r="H48" s="1">
        <f t="shared" si="1"/>
        <v>0.75475628362255476</v>
      </c>
      <c r="I48" s="1">
        <f t="shared" si="2"/>
        <v>0.51402999999999932</v>
      </c>
      <c r="J48" s="1">
        <f t="shared" si="3"/>
        <v>0.15734006734006714</v>
      </c>
      <c r="K48" s="17" t="str">
        <f t="shared" si="4"/>
        <v/>
      </c>
      <c r="L48" s="17" t="str">
        <f t="shared" si="5"/>
        <v/>
      </c>
    </row>
    <row r="49" spans="1:12">
      <c r="A49" s="17">
        <v>39</v>
      </c>
      <c r="B49" s="17">
        <v>1</v>
      </c>
      <c r="C49" s="17">
        <v>11</v>
      </c>
      <c r="D49" s="17" t="s">
        <v>412</v>
      </c>
      <c r="E49" s="17">
        <v>0.375</v>
      </c>
      <c r="F49" s="17">
        <f t="shared" si="6"/>
        <v>0.18700000000000006</v>
      </c>
      <c r="G49" s="1">
        <f t="shared" si="0"/>
        <v>0.3362986577181209</v>
      </c>
      <c r="H49" s="1">
        <f t="shared" si="1"/>
        <v>0.75475628362255476</v>
      </c>
      <c r="I49" s="1">
        <f t="shared" si="2"/>
        <v>0.51402999999999932</v>
      </c>
      <c r="J49" s="1">
        <f t="shared" si="3"/>
        <v>0.15734006734006714</v>
      </c>
      <c r="K49" s="17" t="str">
        <f t="shared" si="4"/>
        <v/>
      </c>
      <c r="L49" s="17" t="str">
        <f t="shared" si="5"/>
        <v/>
      </c>
    </row>
    <row r="50" spans="1:12">
      <c r="A50" s="17">
        <v>40</v>
      </c>
      <c r="B50" s="17">
        <v>1</v>
      </c>
      <c r="C50" s="17">
        <v>10</v>
      </c>
      <c r="D50" s="17" t="s">
        <v>413</v>
      </c>
      <c r="E50" s="17">
        <v>0.26</v>
      </c>
      <c r="F50" s="17">
        <f t="shared" si="6"/>
        <v>0.11499999999999999</v>
      </c>
      <c r="G50" s="1">
        <f t="shared" si="0"/>
        <v>0.3362986577181209</v>
      </c>
      <c r="H50" s="1">
        <f t="shared" si="1"/>
        <v>0.75475628362255476</v>
      </c>
      <c r="I50" s="1">
        <f t="shared" si="2"/>
        <v>0.51402999999999932</v>
      </c>
      <c r="J50" s="1">
        <f t="shared" si="3"/>
        <v>0.15734006734006714</v>
      </c>
      <c r="K50" s="17" t="str">
        <f t="shared" si="4"/>
        <v/>
      </c>
      <c r="L50" s="17" t="str">
        <f t="shared" si="5"/>
        <v/>
      </c>
    </row>
    <row r="51" spans="1:12">
      <c r="A51" s="17">
        <v>41</v>
      </c>
      <c r="B51" s="17">
        <v>1</v>
      </c>
      <c r="C51" s="17">
        <v>9</v>
      </c>
      <c r="D51" s="17" t="s">
        <v>414</v>
      </c>
      <c r="E51" s="17">
        <v>0.373</v>
      </c>
      <c r="F51" s="17">
        <f t="shared" si="6"/>
        <v>0.11299999999999999</v>
      </c>
      <c r="G51" s="1">
        <f t="shared" si="0"/>
        <v>0.3362986577181209</v>
      </c>
      <c r="H51" s="1">
        <f t="shared" si="1"/>
        <v>0.75475628362255476</v>
      </c>
      <c r="I51" s="1">
        <f t="shared" si="2"/>
        <v>0.51402999999999932</v>
      </c>
      <c r="J51" s="1">
        <f t="shared" si="3"/>
        <v>0.15734006734006714</v>
      </c>
      <c r="K51" s="17" t="str">
        <f t="shared" si="4"/>
        <v/>
      </c>
      <c r="L51" s="17" t="str">
        <f t="shared" si="5"/>
        <v/>
      </c>
    </row>
    <row r="52" spans="1:12">
      <c r="A52" s="17">
        <v>42</v>
      </c>
      <c r="B52" s="17">
        <v>1</v>
      </c>
      <c r="C52" s="17">
        <v>8</v>
      </c>
      <c r="D52" s="17" t="s">
        <v>415</v>
      </c>
      <c r="E52" s="17">
        <v>0.373</v>
      </c>
      <c r="F52" s="17">
        <f t="shared" si="6"/>
        <v>0</v>
      </c>
      <c r="G52" s="1">
        <f t="shared" si="0"/>
        <v>0.3362986577181209</v>
      </c>
      <c r="H52" s="1">
        <f t="shared" si="1"/>
        <v>0.75475628362255476</v>
      </c>
      <c r="I52" s="1">
        <f t="shared" si="2"/>
        <v>0.51402999999999932</v>
      </c>
      <c r="J52" s="1">
        <f t="shared" si="3"/>
        <v>0.15734006734006714</v>
      </c>
      <c r="K52" s="17" t="str">
        <f t="shared" si="4"/>
        <v/>
      </c>
      <c r="L52" s="17" t="str">
        <f t="shared" si="5"/>
        <v/>
      </c>
    </row>
    <row r="53" spans="1:12">
      <c r="A53" s="17">
        <v>43</v>
      </c>
      <c r="B53" s="17">
        <v>1</v>
      </c>
      <c r="C53" s="17">
        <v>7</v>
      </c>
      <c r="D53" s="17" t="s">
        <v>416</v>
      </c>
      <c r="E53" s="17">
        <v>0.435</v>
      </c>
      <c r="F53" s="17">
        <f t="shared" si="6"/>
        <v>6.2E-2</v>
      </c>
      <c r="G53" s="1">
        <f t="shared" si="0"/>
        <v>0.3362986577181209</v>
      </c>
      <c r="H53" s="1">
        <f t="shared" si="1"/>
        <v>0.75475628362255476</v>
      </c>
      <c r="I53" s="1">
        <f t="shared" si="2"/>
        <v>0.51402999999999932</v>
      </c>
      <c r="J53" s="1">
        <f t="shared" si="3"/>
        <v>0.15734006734006714</v>
      </c>
      <c r="K53" s="17" t="str">
        <f t="shared" si="4"/>
        <v/>
      </c>
      <c r="L53" s="17" t="str">
        <f t="shared" si="5"/>
        <v/>
      </c>
    </row>
    <row r="54" spans="1:12">
      <c r="A54" s="17">
        <v>44</v>
      </c>
      <c r="B54" s="17">
        <v>1</v>
      </c>
      <c r="C54" s="17">
        <v>6</v>
      </c>
      <c r="D54" s="17" t="s">
        <v>417</v>
      </c>
      <c r="E54" s="17">
        <v>0.53300000000000003</v>
      </c>
      <c r="F54" s="17">
        <f t="shared" si="6"/>
        <v>9.8000000000000032E-2</v>
      </c>
      <c r="G54" s="1">
        <f t="shared" si="0"/>
        <v>0.3362986577181209</v>
      </c>
      <c r="H54" s="1">
        <f t="shared" si="1"/>
        <v>0.75475628362255476</v>
      </c>
      <c r="I54" s="1">
        <f t="shared" si="2"/>
        <v>0.51402999999999932</v>
      </c>
      <c r="J54" s="1">
        <f t="shared" si="3"/>
        <v>0.15734006734006714</v>
      </c>
      <c r="K54" s="17" t="str">
        <f t="shared" si="4"/>
        <v/>
      </c>
      <c r="L54" s="17" t="str">
        <f t="shared" si="5"/>
        <v/>
      </c>
    </row>
    <row r="55" spans="1:12">
      <c r="A55" s="17">
        <v>45</v>
      </c>
      <c r="B55" s="17">
        <v>1</v>
      </c>
      <c r="C55" s="17">
        <v>5</v>
      </c>
      <c r="D55" s="17" t="s">
        <v>418</v>
      </c>
      <c r="E55" s="17">
        <v>0.39600000000000002</v>
      </c>
      <c r="F55" s="17">
        <f t="shared" si="6"/>
        <v>0.13700000000000001</v>
      </c>
      <c r="G55" s="1">
        <f t="shared" si="0"/>
        <v>0.3362986577181209</v>
      </c>
      <c r="H55" s="1">
        <f t="shared" si="1"/>
        <v>0.75475628362255476</v>
      </c>
      <c r="I55" s="1">
        <f t="shared" si="2"/>
        <v>0.51402999999999932</v>
      </c>
      <c r="J55" s="1">
        <f t="shared" si="3"/>
        <v>0.15734006734006714</v>
      </c>
      <c r="K55" s="17" t="str">
        <f t="shared" si="4"/>
        <v/>
      </c>
      <c r="L55" s="17" t="str">
        <f t="shared" si="5"/>
        <v/>
      </c>
    </row>
    <row r="56" spans="1:12">
      <c r="A56" s="17">
        <v>46</v>
      </c>
      <c r="B56" s="17">
        <v>1</v>
      </c>
      <c r="C56" s="17">
        <v>4</v>
      </c>
      <c r="D56" s="17" t="s">
        <v>419</v>
      </c>
      <c r="E56" s="17">
        <v>0.40899999999999997</v>
      </c>
      <c r="F56" s="17">
        <f t="shared" si="6"/>
        <v>1.2999999999999956E-2</v>
      </c>
      <c r="G56" s="1">
        <f t="shared" si="0"/>
        <v>0.3362986577181209</v>
      </c>
      <c r="H56" s="1">
        <f t="shared" si="1"/>
        <v>0.75475628362255476</v>
      </c>
      <c r="I56" s="1">
        <f t="shared" si="2"/>
        <v>0.51402999999999932</v>
      </c>
      <c r="J56" s="1">
        <f t="shared" si="3"/>
        <v>0.15734006734006714</v>
      </c>
      <c r="K56" s="17" t="str">
        <f t="shared" si="4"/>
        <v/>
      </c>
      <c r="L56" s="17" t="str">
        <f t="shared" si="5"/>
        <v/>
      </c>
    </row>
    <row r="57" spans="1:12">
      <c r="A57" s="17">
        <v>47</v>
      </c>
      <c r="B57" s="17">
        <v>1</v>
      </c>
      <c r="C57" s="17">
        <v>3</v>
      </c>
      <c r="D57" s="17" t="s">
        <v>420</v>
      </c>
      <c r="E57" s="17">
        <v>0.33500000000000002</v>
      </c>
      <c r="F57" s="17">
        <f t="shared" si="6"/>
        <v>7.3999999999999955E-2</v>
      </c>
      <c r="G57" s="1">
        <f t="shared" si="0"/>
        <v>0.3362986577181209</v>
      </c>
      <c r="H57" s="1">
        <f t="shared" si="1"/>
        <v>0.75475628362255476</v>
      </c>
      <c r="I57" s="1">
        <f t="shared" si="2"/>
        <v>0.51402999999999932</v>
      </c>
      <c r="J57" s="1">
        <f t="shared" si="3"/>
        <v>0.15734006734006714</v>
      </c>
      <c r="K57" s="17" t="str">
        <f t="shared" si="4"/>
        <v/>
      </c>
      <c r="L57" s="17" t="str">
        <f t="shared" si="5"/>
        <v/>
      </c>
    </row>
    <row r="58" spans="1:12">
      <c r="A58" s="17">
        <v>48</v>
      </c>
      <c r="B58" s="17">
        <v>1</v>
      </c>
      <c r="C58" s="17">
        <v>2</v>
      </c>
      <c r="D58" s="17" t="s">
        <v>421</v>
      </c>
      <c r="E58" s="17">
        <v>0.374</v>
      </c>
      <c r="F58" s="17">
        <f t="shared" si="6"/>
        <v>3.8999999999999979E-2</v>
      </c>
      <c r="G58" s="1">
        <f t="shared" si="0"/>
        <v>0.3362986577181209</v>
      </c>
      <c r="H58" s="1">
        <f t="shared" si="1"/>
        <v>0.75475628362255476</v>
      </c>
      <c r="I58" s="1">
        <f t="shared" si="2"/>
        <v>0.51402999999999932</v>
      </c>
      <c r="J58" s="1">
        <f t="shared" si="3"/>
        <v>0.15734006734006714</v>
      </c>
      <c r="K58" s="17" t="str">
        <f t="shared" si="4"/>
        <v/>
      </c>
      <c r="L58" s="17" t="str">
        <f t="shared" si="5"/>
        <v/>
      </c>
    </row>
    <row r="59" spans="1:12">
      <c r="A59" s="17">
        <v>49</v>
      </c>
      <c r="B59" s="17">
        <v>1</v>
      </c>
      <c r="C59" s="17">
        <v>1</v>
      </c>
      <c r="D59" s="17" t="s">
        <v>422</v>
      </c>
      <c r="E59" s="17">
        <v>0.44900000000000001</v>
      </c>
      <c r="F59" s="17">
        <f t="shared" si="6"/>
        <v>7.5000000000000011E-2</v>
      </c>
      <c r="G59" s="1">
        <f t="shared" si="0"/>
        <v>0.3362986577181209</v>
      </c>
      <c r="H59" s="1">
        <f t="shared" si="1"/>
        <v>0.75475628362255476</v>
      </c>
      <c r="I59" s="1">
        <f t="shared" si="2"/>
        <v>0.51402999999999932</v>
      </c>
      <c r="J59" s="1">
        <f t="shared" si="3"/>
        <v>0.15734006734006714</v>
      </c>
      <c r="K59" s="17" t="str">
        <f t="shared" si="4"/>
        <v/>
      </c>
      <c r="L59" s="17" t="str">
        <f t="shared" si="5"/>
        <v/>
      </c>
    </row>
    <row r="60" spans="1:12">
      <c r="A60" s="17">
        <v>50</v>
      </c>
      <c r="B60" s="17">
        <v>2</v>
      </c>
      <c r="C60" s="17">
        <v>25</v>
      </c>
      <c r="D60" s="17" t="s">
        <v>423</v>
      </c>
      <c r="E60" s="17">
        <v>0.49199999999999999</v>
      </c>
      <c r="F60" s="17">
        <f t="shared" si="6"/>
        <v>4.2999999999999983E-2</v>
      </c>
      <c r="G60" s="1">
        <f t="shared" si="0"/>
        <v>0.3362986577181209</v>
      </c>
      <c r="H60" s="1">
        <f t="shared" si="1"/>
        <v>0.75475628362255476</v>
      </c>
      <c r="I60" s="1">
        <f t="shared" si="2"/>
        <v>0.51402999999999932</v>
      </c>
      <c r="J60" s="1">
        <f t="shared" si="3"/>
        <v>0.15734006734006714</v>
      </c>
      <c r="K60" s="17" t="str">
        <f t="shared" si="4"/>
        <v/>
      </c>
      <c r="L60" s="17" t="str">
        <f t="shared" si="5"/>
        <v/>
      </c>
    </row>
    <row r="61" spans="1:12">
      <c r="A61" s="17">
        <v>51</v>
      </c>
      <c r="B61" s="17">
        <v>2</v>
      </c>
      <c r="C61" s="17">
        <v>24</v>
      </c>
      <c r="D61" s="17" t="s">
        <v>424</v>
      </c>
      <c r="E61" s="17">
        <v>0.45500000000000002</v>
      </c>
      <c r="F61" s="17">
        <f t="shared" si="6"/>
        <v>3.6999999999999977E-2</v>
      </c>
      <c r="G61" s="1">
        <f t="shared" si="0"/>
        <v>0.3362986577181209</v>
      </c>
      <c r="H61" s="1">
        <f t="shared" si="1"/>
        <v>0.75475628362255476</v>
      </c>
      <c r="I61" s="1">
        <f t="shared" si="2"/>
        <v>0.51402999999999932</v>
      </c>
      <c r="J61" s="1">
        <f t="shared" si="3"/>
        <v>0.15734006734006714</v>
      </c>
      <c r="K61" s="17" t="str">
        <f t="shared" si="4"/>
        <v/>
      </c>
      <c r="L61" s="17" t="str">
        <f t="shared" si="5"/>
        <v/>
      </c>
    </row>
    <row r="62" spans="1:12">
      <c r="A62" s="17">
        <v>52</v>
      </c>
      <c r="B62" s="17">
        <v>2</v>
      </c>
      <c r="C62" s="17">
        <v>23</v>
      </c>
      <c r="D62" s="17" t="s">
        <v>425</v>
      </c>
      <c r="E62" s="17">
        <v>0.51</v>
      </c>
      <c r="F62" s="17">
        <f t="shared" si="6"/>
        <v>5.4999999999999993E-2</v>
      </c>
      <c r="G62" s="1">
        <f t="shared" si="0"/>
        <v>0.3362986577181209</v>
      </c>
      <c r="H62" s="1">
        <f t="shared" si="1"/>
        <v>0.75475628362255476</v>
      </c>
      <c r="I62" s="1">
        <f t="shared" si="2"/>
        <v>0.51402999999999932</v>
      </c>
      <c r="J62" s="1">
        <f t="shared" si="3"/>
        <v>0.15734006734006714</v>
      </c>
      <c r="K62" s="17" t="str">
        <f t="shared" si="4"/>
        <v/>
      </c>
      <c r="L62" s="17" t="str">
        <f t="shared" si="5"/>
        <v/>
      </c>
    </row>
    <row r="63" spans="1:12">
      <c r="A63" s="17">
        <v>53</v>
      </c>
      <c r="B63" s="17">
        <v>2</v>
      </c>
      <c r="C63" s="17">
        <v>22</v>
      </c>
      <c r="D63" s="17" t="s">
        <v>426</v>
      </c>
      <c r="E63" s="17">
        <v>0.47399999999999998</v>
      </c>
      <c r="F63" s="17">
        <f t="shared" si="6"/>
        <v>3.6000000000000032E-2</v>
      </c>
      <c r="G63" s="1">
        <f t="shared" si="0"/>
        <v>0.3362986577181209</v>
      </c>
      <c r="H63" s="1">
        <f t="shared" si="1"/>
        <v>0.75475628362255476</v>
      </c>
      <c r="I63" s="1">
        <f t="shared" si="2"/>
        <v>0.51402999999999932</v>
      </c>
      <c r="J63" s="1">
        <f t="shared" si="3"/>
        <v>0.15734006734006714</v>
      </c>
      <c r="K63" s="17" t="str">
        <f t="shared" si="4"/>
        <v/>
      </c>
      <c r="L63" s="17" t="str">
        <f t="shared" si="5"/>
        <v/>
      </c>
    </row>
    <row r="64" spans="1:12">
      <c r="A64" s="17">
        <v>54</v>
      </c>
      <c r="B64" s="17">
        <v>2</v>
      </c>
      <c r="C64" s="17">
        <v>21</v>
      </c>
      <c r="D64" s="17" t="s">
        <v>427</v>
      </c>
      <c r="E64" s="17">
        <v>0.18099999999999999</v>
      </c>
      <c r="F64" s="17">
        <f t="shared" si="6"/>
        <v>0.29299999999999998</v>
      </c>
      <c r="G64" s="1">
        <f t="shared" si="0"/>
        <v>0.3362986577181209</v>
      </c>
      <c r="H64" s="1">
        <f t="shared" si="1"/>
        <v>0.75475628362255476</v>
      </c>
      <c r="I64" s="1">
        <f t="shared" si="2"/>
        <v>0.51402999999999932</v>
      </c>
      <c r="J64" s="1">
        <f t="shared" si="3"/>
        <v>0.15734006734006714</v>
      </c>
      <c r="K64" s="17" t="str">
        <f t="shared" si="4"/>
        <v/>
      </c>
      <c r="L64" s="17" t="str">
        <f t="shared" si="5"/>
        <v/>
      </c>
    </row>
    <row r="65" spans="1:12">
      <c r="A65" s="17">
        <v>55</v>
      </c>
      <c r="B65" s="17">
        <v>2</v>
      </c>
      <c r="C65" s="17">
        <v>20</v>
      </c>
      <c r="D65" s="17" t="s">
        <v>428</v>
      </c>
      <c r="E65" s="17">
        <v>0.31900000000000001</v>
      </c>
      <c r="F65" s="17">
        <f t="shared" si="6"/>
        <v>0.13800000000000001</v>
      </c>
      <c r="G65" s="1">
        <f t="shared" si="0"/>
        <v>0.3362986577181209</v>
      </c>
      <c r="H65" s="1">
        <f t="shared" si="1"/>
        <v>0.75475628362255476</v>
      </c>
      <c r="I65" s="1">
        <f t="shared" si="2"/>
        <v>0.51402999999999932</v>
      </c>
      <c r="J65" s="1">
        <f t="shared" si="3"/>
        <v>0.15734006734006714</v>
      </c>
      <c r="K65" s="17" t="str">
        <f t="shared" si="4"/>
        <v/>
      </c>
      <c r="L65" s="17" t="str">
        <f t="shared" si="5"/>
        <v/>
      </c>
    </row>
    <row r="66" spans="1:12">
      <c r="A66" s="17">
        <v>56</v>
      </c>
      <c r="B66" s="17">
        <v>2</v>
      </c>
      <c r="C66" s="17">
        <v>19</v>
      </c>
      <c r="D66" s="17" t="s">
        <v>429</v>
      </c>
      <c r="E66" s="17">
        <v>0.314</v>
      </c>
      <c r="F66" s="17">
        <f t="shared" si="6"/>
        <v>5.0000000000000044E-3</v>
      </c>
      <c r="G66" s="1">
        <f t="shared" si="0"/>
        <v>0.3362986577181209</v>
      </c>
      <c r="H66" s="1">
        <f t="shared" si="1"/>
        <v>0.75475628362255476</v>
      </c>
      <c r="I66" s="1">
        <f t="shared" si="2"/>
        <v>0.51402999999999932</v>
      </c>
      <c r="J66" s="1">
        <f t="shared" si="3"/>
        <v>0.15734006734006714</v>
      </c>
      <c r="K66" s="17" t="str">
        <f t="shared" si="4"/>
        <v/>
      </c>
      <c r="L66" s="17" t="str">
        <f t="shared" si="5"/>
        <v/>
      </c>
    </row>
    <row r="67" spans="1:12">
      <c r="A67" s="17">
        <v>57</v>
      </c>
      <c r="B67" s="17">
        <v>2</v>
      </c>
      <c r="C67" s="17">
        <v>18</v>
      </c>
      <c r="D67" s="17" t="s">
        <v>430</v>
      </c>
      <c r="E67" s="17">
        <v>0.111</v>
      </c>
      <c r="F67" s="17">
        <f t="shared" si="6"/>
        <v>0.20300000000000001</v>
      </c>
      <c r="G67" s="1">
        <f t="shared" si="0"/>
        <v>0.3362986577181209</v>
      </c>
      <c r="H67" s="1">
        <f t="shared" si="1"/>
        <v>0.75475628362255476</v>
      </c>
      <c r="I67" s="1">
        <f t="shared" si="2"/>
        <v>0.51402999999999932</v>
      </c>
      <c r="J67" s="1">
        <f t="shared" si="3"/>
        <v>0.15734006734006714</v>
      </c>
      <c r="K67" s="17" t="str">
        <f t="shared" si="4"/>
        <v/>
      </c>
      <c r="L67" s="17" t="str">
        <f t="shared" si="5"/>
        <v/>
      </c>
    </row>
    <row r="68" spans="1:12">
      <c r="A68" s="17">
        <v>58</v>
      </c>
      <c r="B68" s="17">
        <v>2</v>
      </c>
      <c r="C68" s="17">
        <v>17</v>
      </c>
      <c r="D68" s="17" t="s">
        <v>431</v>
      </c>
      <c r="E68" s="17">
        <v>0.46300000000000002</v>
      </c>
      <c r="F68" s="17">
        <f t="shared" si="6"/>
        <v>0.35200000000000004</v>
      </c>
      <c r="G68" s="1">
        <f t="shared" si="0"/>
        <v>0.3362986577181209</v>
      </c>
      <c r="H68" s="1">
        <f t="shared" si="1"/>
        <v>0.75475628362255476</v>
      </c>
      <c r="I68" s="1">
        <f t="shared" si="2"/>
        <v>0.51402999999999932</v>
      </c>
      <c r="J68" s="1">
        <f t="shared" si="3"/>
        <v>0.15734006734006714</v>
      </c>
      <c r="K68" s="17" t="str">
        <f t="shared" si="4"/>
        <v/>
      </c>
      <c r="L68" s="17" t="str">
        <f t="shared" si="5"/>
        <v/>
      </c>
    </row>
    <row r="69" spans="1:12">
      <c r="A69" s="17">
        <v>59</v>
      </c>
      <c r="B69" s="17">
        <v>2</v>
      </c>
      <c r="C69" s="17">
        <v>16</v>
      </c>
      <c r="D69" s="17" t="s">
        <v>432</v>
      </c>
      <c r="E69" s="17">
        <v>0.245</v>
      </c>
      <c r="F69" s="17">
        <f t="shared" si="6"/>
        <v>0.21800000000000003</v>
      </c>
      <c r="G69" s="1">
        <f t="shared" si="0"/>
        <v>0.3362986577181209</v>
      </c>
      <c r="H69" s="1">
        <f t="shared" si="1"/>
        <v>0.75475628362255476</v>
      </c>
      <c r="I69" s="1">
        <f t="shared" si="2"/>
        <v>0.51402999999999932</v>
      </c>
      <c r="J69" s="1">
        <f t="shared" si="3"/>
        <v>0.15734006734006714</v>
      </c>
      <c r="K69" s="17" t="str">
        <f t="shared" si="4"/>
        <v/>
      </c>
      <c r="L69" s="17" t="str">
        <f t="shared" si="5"/>
        <v/>
      </c>
    </row>
    <row r="70" spans="1:12">
      <c r="A70" s="17">
        <v>60</v>
      </c>
      <c r="B70" s="17">
        <v>2</v>
      </c>
      <c r="C70" s="17">
        <v>15</v>
      </c>
      <c r="D70" s="17" t="s">
        <v>433</v>
      </c>
      <c r="E70" s="17">
        <v>0.19700000000000001</v>
      </c>
      <c r="F70" s="17">
        <f t="shared" si="6"/>
        <v>4.7999999999999987E-2</v>
      </c>
      <c r="G70" s="1">
        <f t="shared" si="0"/>
        <v>0.3362986577181209</v>
      </c>
      <c r="H70" s="1">
        <f t="shared" si="1"/>
        <v>0.75475628362255476</v>
      </c>
      <c r="I70" s="1">
        <f t="shared" si="2"/>
        <v>0.51402999999999932</v>
      </c>
      <c r="J70" s="1">
        <f t="shared" si="3"/>
        <v>0.15734006734006714</v>
      </c>
      <c r="K70" s="17" t="str">
        <f t="shared" si="4"/>
        <v/>
      </c>
      <c r="L70" s="17" t="str">
        <f t="shared" si="5"/>
        <v/>
      </c>
    </row>
    <row r="71" spans="1:12">
      <c r="A71" s="17">
        <v>61</v>
      </c>
      <c r="B71" s="17">
        <v>2</v>
      </c>
      <c r="C71" s="17">
        <v>14</v>
      </c>
      <c r="D71" s="17" t="s">
        <v>434</v>
      </c>
      <c r="E71" s="17">
        <v>0.36299999999999999</v>
      </c>
      <c r="F71" s="17">
        <f t="shared" si="6"/>
        <v>0.16599999999999998</v>
      </c>
      <c r="G71" s="1">
        <f t="shared" si="0"/>
        <v>0.3362986577181209</v>
      </c>
      <c r="H71" s="1">
        <f t="shared" si="1"/>
        <v>0.75475628362255476</v>
      </c>
      <c r="I71" s="1">
        <f t="shared" si="2"/>
        <v>0.51402999999999932</v>
      </c>
      <c r="J71" s="1">
        <f t="shared" si="3"/>
        <v>0.15734006734006714</v>
      </c>
      <c r="K71" s="17" t="str">
        <f t="shared" si="4"/>
        <v/>
      </c>
      <c r="L71" s="17" t="str">
        <f t="shared" si="5"/>
        <v/>
      </c>
    </row>
    <row r="72" spans="1:12">
      <c r="A72" s="17">
        <v>62</v>
      </c>
      <c r="B72" s="17">
        <v>2</v>
      </c>
      <c r="C72" s="17">
        <v>13</v>
      </c>
      <c r="D72" s="17" t="s">
        <v>435</v>
      </c>
      <c r="E72" s="17">
        <v>0.20599999999999999</v>
      </c>
      <c r="F72" s="17">
        <f t="shared" si="6"/>
        <v>0.157</v>
      </c>
      <c r="G72" s="1">
        <f t="shared" si="0"/>
        <v>0.3362986577181209</v>
      </c>
      <c r="H72" s="1">
        <f t="shared" si="1"/>
        <v>0.75475628362255476</v>
      </c>
      <c r="I72" s="1">
        <f t="shared" si="2"/>
        <v>0.51402999999999932</v>
      </c>
      <c r="J72" s="1">
        <f t="shared" si="3"/>
        <v>0.15734006734006714</v>
      </c>
      <c r="K72" s="17" t="str">
        <f t="shared" si="4"/>
        <v/>
      </c>
      <c r="L72" s="17" t="str">
        <f t="shared" si="5"/>
        <v/>
      </c>
    </row>
    <row r="73" spans="1:12">
      <c r="A73" s="17">
        <v>63</v>
      </c>
      <c r="B73" s="17">
        <v>2</v>
      </c>
      <c r="C73" s="17">
        <v>12</v>
      </c>
      <c r="D73" s="17" t="s">
        <v>436</v>
      </c>
      <c r="E73" s="17">
        <v>0.53300000000000003</v>
      </c>
      <c r="F73" s="17">
        <f t="shared" si="6"/>
        <v>0.32700000000000007</v>
      </c>
      <c r="G73" s="1">
        <f t="shared" si="0"/>
        <v>0.3362986577181209</v>
      </c>
      <c r="H73" s="1">
        <f t="shared" si="1"/>
        <v>0.75475628362255476</v>
      </c>
      <c r="I73" s="1">
        <f t="shared" si="2"/>
        <v>0.51402999999999932</v>
      </c>
      <c r="J73" s="1">
        <f t="shared" si="3"/>
        <v>0.15734006734006714</v>
      </c>
      <c r="K73" s="17" t="str">
        <f t="shared" si="4"/>
        <v/>
      </c>
      <c r="L73" s="17" t="str">
        <f t="shared" si="5"/>
        <v/>
      </c>
    </row>
    <row r="74" spans="1:12">
      <c r="A74" s="17">
        <v>64</v>
      </c>
      <c r="B74" s="17">
        <v>2</v>
      </c>
      <c r="C74" s="17">
        <v>11</v>
      </c>
      <c r="D74" s="17" t="s">
        <v>437</v>
      </c>
      <c r="E74" s="17">
        <v>0.27</v>
      </c>
      <c r="F74" s="17">
        <f t="shared" si="6"/>
        <v>0.26300000000000001</v>
      </c>
      <c r="G74" s="1">
        <f t="shared" si="0"/>
        <v>0.3362986577181209</v>
      </c>
      <c r="H74" s="1">
        <f t="shared" si="1"/>
        <v>0.75475628362255476</v>
      </c>
      <c r="I74" s="1">
        <f t="shared" si="2"/>
        <v>0.51402999999999932</v>
      </c>
      <c r="J74" s="1">
        <f t="shared" si="3"/>
        <v>0.15734006734006714</v>
      </c>
      <c r="K74" s="17" t="str">
        <f t="shared" si="4"/>
        <v/>
      </c>
      <c r="L74" s="17" t="str">
        <f t="shared" si="5"/>
        <v/>
      </c>
    </row>
    <row r="75" spans="1:12">
      <c r="A75" s="17">
        <v>65</v>
      </c>
      <c r="B75" s="17">
        <v>2</v>
      </c>
      <c r="C75" s="17">
        <v>10</v>
      </c>
      <c r="D75" s="17" t="s">
        <v>438</v>
      </c>
      <c r="E75" s="17">
        <v>0.52400000000000002</v>
      </c>
      <c r="F75" s="17">
        <f t="shared" si="6"/>
        <v>0.254</v>
      </c>
      <c r="G75" s="1">
        <f t="shared" ref="G75:G138" si="7">$Q$4</f>
        <v>0.3362986577181209</v>
      </c>
      <c r="H75" s="1">
        <f t="shared" ref="H75:H138" si="8">$Q$7</f>
        <v>0.75475628362255476</v>
      </c>
      <c r="I75" s="1">
        <f t="shared" ref="I75:I138" si="9">$Q$8</f>
        <v>0.51402999999999932</v>
      </c>
      <c r="J75" s="1">
        <f t="shared" ref="J75:J138" si="10">$Q$5</f>
        <v>0.15734006734006714</v>
      </c>
      <c r="K75" s="17" t="str">
        <f t="shared" ref="K75:K138" si="11">IF(E75&gt;$Q$7,"OOC","" )</f>
        <v/>
      </c>
      <c r="L75" s="17" t="str">
        <f t="shared" ref="L75:L138" si="12">IF(E75&gt;$B$4,"OOS","" )</f>
        <v/>
      </c>
    </row>
    <row r="76" spans="1:12">
      <c r="A76" s="17">
        <v>66</v>
      </c>
      <c r="B76" s="17">
        <v>2</v>
      </c>
      <c r="C76" s="17">
        <v>9</v>
      </c>
      <c r="D76" s="17" t="s">
        <v>439</v>
      </c>
      <c r="E76" s="17">
        <v>0.625</v>
      </c>
      <c r="F76" s="17">
        <f t="shared" ref="F76:F139" si="13">ABS(E76-E75)</f>
        <v>0.10099999999999998</v>
      </c>
      <c r="G76" s="1">
        <f t="shared" si="7"/>
        <v>0.3362986577181209</v>
      </c>
      <c r="H76" s="1">
        <f t="shared" si="8"/>
        <v>0.75475628362255476</v>
      </c>
      <c r="I76" s="1">
        <f t="shared" si="9"/>
        <v>0.51402999999999932</v>
      </c>
      <c r="J76" s="1">
        <f t="shared" si="10"/>
        <v>0.15734006734006714</v>
      </c>
      <c r="K76" s="17" t="str">
        <f t="shared" si="11"/>
        <v/>
      </c>
      <c r="L76" s="17" t="str">
        <f t="shared" si="12"/>
        <v/>
      </c>
    </row>
    <row r="77" spans="1:12">
      <c r="A77" s="17">
        <v>67</v>
      </c>
      <c r="B77" s="17">
        <v>2</v>
      </c>
      <c r="C77" s="17">
        <v>8</v>
      </c>
      <c r="D77" s="17" t="s">
        <v>440</v>
      </c>
      <c r="E77" s="17">
        <v>0.41699999999999998</v>
      </c>
      <c r="F77" s="17">
        <f t="shared" si="13"/>
        <v>0.20800000000000002</v>
      </c>
      <c r="G77" s="1">
        <f t="shared" si="7"/>
        <v>0.3362986577181209</v>
      </c>
      <c r="H77" s="1">
        <f t="shared" si="8"/>
        <v>0.75475628362255476</v>
      </c>
      <c r="I77" s="1">
        <f t="shared" si="9"/>
        <v>0.51402999999999932</v>
      </c>
      <c r="J77" s="1">
        <f t="shared" si="10"/>
        <v>0.15734006734006714</v>
      </c>
      <c r="K77" s="17" t="str">
        <f t="shared" si="11"/>
        <v/>
      </c>
      <c r="L77" s="17" t="str">
        <f t="shared" si="12"/>
        <v/>
      </c>
    </row>
    <row r="78" spans="1:12">
      <c r="A78" s="17">
        <v>68</v>
      </c>
      <c r="B78" s="17">
        <v>2</v>
      </c>
      <c r="C78" s="17">
        <v>7</v>
      </c>
      <c r="D78" s="17" t="s">
        <v>441</v>
      </c>
      <c r="E78" s="17">
        <v>0.57199999999999995</v>
      </c>
      <c r="F78" s="17">
        <f t="shared" si="13"/>
        <v>0.15499999999999997</v>
      </c>
      <c r="G78" s="1">
        <f t="shared" si="7"/>
        <v>0.3362986577181209</v>
      </c>
      <c r="H78" s="1">
        <f t="shared" si="8"/>
        <v>0.75475628362255476</v>
      </c>
      <c r="I78" s="1">
        <f t="shared" si="9"/>
        <v>0.51402999999999932</v>
      </c>
      <c r="J78" s="1">
        <f t="shared" si="10"/>
        <v>0.15734006734006714</v>
      </c>
      <c r="K78" s="17" t="str">
        <f t="shared" si="11"/>
        <v/>
      </c>
      <c r="L78" s="17" t="str">
        <f t="shared" si="12"/>
        <v/>
      </c>
    </row>
    <row r="79" spans="1:12">
      <c r="A79" s="17">
        <v>69</v>
      </c>
      <c r="B79" s="17">
        <v>2</v>
      </c>
      <c r="C79" s="17">
        <v>5</v>
      </c>
      <c r="D79" s="17" t="s">
        <v>443</v>
      </c>
      <c r="E79" s="17">
        <v>0.31900000000000001</v>
      </c>
      <c r="F79" s="17">
        <f t="shared" si="13"/>
        <v>0.25299999999999995</v>
      </c>
      <c r="G79" s="1">
        <f t="shared" si="7"/>
        <v>0.3362986577181209</v>
      </c>
      <c r="H79" s="1">
        <f t="shared" si="8"/>
        <v>0.75475628362255476</v>
      </c>
      <c r="I79" s="1">
        <f t="shared" si="9"/>
        <v>0.51402999999999932</v>
      </c>
      <c r="J79" s="1">
        <f t="shared" si="10"/>
        <v>0.15734006734006714</v>
      </c>
      <c r="K79" s="17" t="str">
        <f t="shared" si="11"/>
        <v/>
      </c>
      <c r="L79" s="17" t="str">
        <f t="shared" si="12"/>
        <v/>
      </c>
    </row>
    <row r="80" spans="1:12">
      <c r="A80" s="17">
        <v>70</v>
      </c>
      <c r="B80" s="17">
        <v>2</v>
      </c>
      <c r="C80" s="17">
        <v>4</v>
      </c>
      <c r="D80" s="17" t="s">
        <v>444</v>
      </c>
      <c r="E80" s="17">
        <v>0.11600000000000001</v>
      </c>
      <c r="F80" s="17">
        <f t="shared" si="13"/>
        <v>0.20300000000000001</v>
      </c>
      <c r="G80" s="1">
        <f t="shared" si="7"/>
        <v>0.3362986577181209</v>
      </c>
      <c r="H80" s="1">
        <f t="shared" si="8"/>
        <v>0.75475628362255476</v>
      </c>
      <c r="I80" s="1">
        <f t="shared" si="9"/>
        <v>0.51402999999999932</v>
      </c>
      <c r="J80" s="1">
        <f t="shared" si="10"/>
        <v>0.15734006734006714</v>
      </c>
      <c r="K80" s="17" t="str">
        <f t="shared" si="11"/>
        <v/>
      </c>
      <c r="L80" s="17" t="str">
        <f t="shared" si="12"/>
        <v/>
      </c>
    </row>
    <row r="81" spans="1:12">
      <c r="A81" s="17">
        <v>71</v>
      </c>
      <c r="B81" s="17">
        <v>2</v>
      </c>
      <c r="C81" s="17">
        <v>3</v>
      </c>
      <c r="D81" s="17" t="s">
        <v>445</v>
      </c>
      <c r="E81" s="17">
        <v>0.191</v>
      </c>
      <c r="F81" s="17">
        <f t="shared" si="13"/>
        <v>7.4999999999999997E-2</v>
      </c>
      <c r="G81" s="1">
        <f t="shared" si="7"/>
        <v>0.3362986577181209</v>
      </c>
      <c r="H81" s="1">
        <f t="shared" si="8"/>
        <v>0.75475628362255476</v>
      </c>
      <c r="I81" s="1">
        <f t="shared" si="9"/>
        <v>0.51402999999999932</v>
      </c>
      <c r="J81" s="1">
        <f t="shared" si="10"/>
        <v>0.15734006734006714</v>
      </c>
      <c r="K81" s="17" t="str">
        <f t="shared" si="11"/>
        <v/>
      </c>
      <c r="L81" s="17" t="str">
        <f t="shared" si="12"/>
        <v/>
      </c>
    </row>
    <row r="82" spans="1:12">
      <c r="A82" s="17">
        <v>72</v>
      </c>
      <c r="B82" s="17">
        <v>2</v>
      </c>
      <c r="C82" s="17">
        <v>2</v>
      </c>
      <c r="D82" s="17" t="s">
        <v>446</v>
      </c>
      <c r="E82" s="17">
        <v>0.10100000000000001</v>
      </c>
      <c r="F82" s="17">
        <f t="shared" si="13"/>
        <v>0.09</v>
      </c>
      <c r="G82" s="1">
        <f t="shared" si="7"/>
        <v>0.3362986577181209</v>
      </c>
      <c r="H82" s="1">
        <f t="shared" si="8"/>
        <v>0.75475628362255476</v>
      </c>
      <c r="I82" s="1">
        <f t="shared" si="9"/>
        <v>0.51402999999999932</v>
      </c>
      <c r="J82" s="1">
        <f t="shared" si="10"/>
        <v>0.15734006734006714</v>
      </c>
      <c r="K82" s="17" t="str">
        <f t="shared" si="11"/>
        <v/>
      </c>
      <c r="L82" s="17" t="str">
        <f t="shared" si="12"/>
        <v/>
      </c>
    </row>
    <row r="83" spans="1:12">
      <c r="A83" s="17">
        <v>73</v>
      </c>
      <c r="B83" s="17">
        <v>2</v>
      </c>
      <c r="C83" s="17">
        <v>1</v>
      </c>
      <c r="D83" s="17" t="s">
        <v>447</v>
      </c>
      <c r="E83" s="17">
        <v>0.40699999999999997</v>
      </c>
      <c r="F83" s="17">
        <f t="shared" si="13"/>
        <v>0.30599999999999994</v>
      </c>
      <c r="G83" s="1">
        <f t="shared" si="7"/>
        <v>0.3362986577181209</v>
      </c>
      <c r="H83" s="1">
        <f t="shared" si="8"/>
        <v>0.75475628362255476</v>
      </c>
      <c r="I83" s="1">
        <f t="shared" si="9"/>
        <v>0.51402999999999932</v>
      </c>
      <c r="J83" s="1">
        <f t="shared" si="10"/>
        <v>0.15734006734006714</v>
      </c>
      <c r="K83" s="17" t="str">
        <f t="shared" si="11"/>
        <v/>
      </c>
      <c r="L83" s="17" t="str">
        <f t="shared" si="12"/>
        <v/>
      </c>
    </row>
    <row r="84" spans="1:12">
      <c r="A84" s="17">
        <v>74</v>
      </c>
      <c r="B84" s="17">
        <v>2</v>
      </c>
      <c r="C84" s="17">
        <v>25</v>
      </c>
      <c r="D84" s="17" t="s">
        <v>448</v>
      </c>
      <c r="E84" s="17">
        <v>0.49099999999999999</v>
      </c>
      <c r="F84" s="17">
        <f t="shared" si="13"/>
        <v>8.4000000000000019E-2</v>
      </c>
      <c r="G84" s="1">
        <f t="shared" si="7"/>
        <v>0.3362986577181209</v>
      </c>
      <c r="H84" s="1">
        <f t="shared" si="8"/>
        <v>0.75475628362255476</v>
      </c>
      <c r="I84" s="1">
        <f t="shared" si="9"/>
        <v>0.51402999999999932</v>
      </c>
      <c r="J84" s="1">
        <f t="shared" si="10"/>
        <v>0.15734006734006714</v>
      </c>
      <c r="K84" s="17" t="str">
        <f t="shared" si="11"/>
        <v/>
      </c>
      <c r="L84" s="17" t="str">
        <f t="shared" si="12"/>
        <v/>
      </c>
    </row>
    <row r="85" spans="1:12">
      <c r="A85" s="17">
        <v>75</v>
      </c>
      <c r="B85" s="17">
        <v>2</v>
      </c>
      <c r="C85" s="17">
        <v>24</v>
      </c>
      <c r="D85" s="17" t="s">
        <v>449</v>
      </c>
      <c r="E85" s="17">
        <v>0.13100000000000001</v>
      </c>
      <c r="F85" s="17">
        <f t="shared" si="13"/>
        <v>0.36</v>
      </c>
      <c r="G85" s="1">
        <f t="shared" si="7"/>
        <v>0.3362986577181209</v>
      </c>
      <c r="H85" s="1">
        <f t="shared" si="8"/>
        <v>0.75475628362255476</v>
      </c>
      <c r="I85" s="1">
        <f t="shared" si="9"/>
        <v>0.51402999999999932</v>
      </c>
      <c r="J85" s="1">
        <f t="shared" si="10"/>
        <v>0.15734006734006714</v>
      </c>
      <c r="K85" s="17" t="str">
        <f t="shared" si="11"/>
        <v/>
      </c>
      <c r="L85" s="17" t="str">
        <f t="shared" si="12"/>
        <v/>
      </c>
    </row>
    <row r="86" spans="1:12">
      <c r="A86" s="17">
        <v>76</v>
      </c>
      <c r="B86" s="17">
        <v>2</v>
      </c>
      <c r="C86" s="17">
        <v>23</v>
      </c>
      <c r="D86" s="17" t="s">
        <v>450</v>
      </c>
      <c r="E86" s="17">
        <v>0.33700000000000002</v>
      </c>
      <c r="F86" s="17">
        <f t="shared" si="13"/>
        <v>0.20600000000000002</v>
      </c>
      <c r="G86" s="1">
        <f t="shared" si="7"/>
        <v>0.3362986577181209</v>
      </c>
      <c r="H86" s="1">
        <f t="shared" si="8"/>
        <v>0.75475628362255476</v>
      </c>
      <c r="I86" s="1">
        <f t="shared" si="9"/>
        <v>0.51402999999999932</v>
      </c>
      <c r="J86" s="1">
        <f t="shared" si="10"/>
        <v>0.15734006734006714</v>
      </c>
      <c r="K86" s="17" t="str">
        <f t="shared" si="11"/>
        <v/>
      </c>
      <c r="L86" s="17" t="str">
        <f t="shared" si="12"/>
        <v/>
      </c>
    </row>
    <row r="87" spans="1:12">
      <c r="A87" s="17">
        <v>77</v>
      </c>
      <c r="B87" s="17">
        <v>2</v>
      </c>
      <c r="C87" s="17">
        <v>22</v>
      </c>
      <c r="D87" s="17" t="s">
        <v>451</v>
      </c>
      <c r="E87" s="17">
        <v>0.377</v>
      </c>
      <c r="F87" s="17">
        <f t="shared" si="13"/>
        <v>3.999999999999998E-2</v>
      </c>
      <c r="G87" s="1">
        <f t="shared" si="7"/>
        <v>0.3362986577181209</v>
      </c>
      <c r="H87" s="1">
        <f t="shared" si="8"/>
        <v>0.75475628362255476</v>
      </c>
      <c r="I87" s="1">
        <f t="shared" si="9"/>
        <v>0.51402999999999932</v>
      </c>
      <c r="J87" s="1">
        <f t="shared" si="10"/>
        <v>0.15734006734006714</v>
      </c>
      <c r="K87" s="17" t="str">
        <f t="shared" si="11"/>
        <v/>
      </c>
      <c r="L87" s="17" t="str">
        <f t="shared" si="12"/>
        <v/>
      </c>
    </row>
    <row r="88" spans="1:12">
      <c r="A88" s="17">
        <v>78</v>
      </c>
      <c r="B88" s="17">
        <v>2</v>
      </c>
      <c r="C88" s="17">
        <v>21</v>
      </c>
      <c r="D88" s="17" t="s">
        <v>452</v>
      </c>
      <c r="E88" s="17">
        <v>0.129</v>
      </c>
      <c r="F88" s="17">
        <f t="shared" si="13"/>
        <v>0.248</v>
      </c>
      <c r="G88" s="1">
        <f t="shared" si="7"/>
        <v>0.3362986577181209</v>
      </c>
      <c r="H88" s="1">
        <f t="shared" si="8"/>
        <v>0.75475628362255476</v>
      </c>
      <c r="I88" s="1">
        <f t="shared" si="9"/>
        <v>0.51402999999999932</v>
      </c>
      <c r="J88" s="1">
        <f t="shared" si="10"/>
        <v>0.15734006734006714</v>
      </c>
      <c r="K88" s="17" t="str">
        <f t="shared" si="11"/>
        <v/>
      </c>
      <c r="L88" s="17" t="str">
        <f t="shared" si="12"/>
        <v/>
      </c>
    </row>
    <row r="89" spans="1:12">
      <c r="A89" s="17">
        <v>79</v>
      </c>
      <c r="B89" s="17">
        <v>2</v>
      </c>
      <c r="C89" s="17">
        <v>20</v>
      </c>
      <c r="D89" s="17" t="s">
        <v>453</v>
      </c>
      <c r="E89" s="17">
        <v>0.49099999999999999</v>
      </c>
      <c r="F89" s="17">
        <f t="shared" si="13"/>
        <v>0.36199999999999999</v>
      </c>
      <c r="G89" s="1">
        <f t="shared" si="7"/>
        <v>0.3362986577181209</v>
      </c>
      <c r="H89" s="1">
        <f t="shared" si="8"/>
        <v>0.75475628362255476</v>
      </c>
      <c r="I89" s="1">
        <f t="shared" si="9"/>
        <v>0.51402999999999932</v>
      </c>
      <c r="J89" s="1">
        <f t="shared" si="10"/>
        <v>0.15734006734006714</v>
      </c>
      <c r="K89" s="17" t="str">
        <f t="shared" si="11"/>
        <v/>
      </c>
      <c r="L89" s="17" t="str">
        <f t="shared" si="12"/>
        <v/>
      </c>
    </row>
    <row r="90" spans="1:12">
      <c r="A90" s="17">
        <v>80</v>
      </c>
      <c r="B90" s="17">
        <v>2</v>
      </c>
      <c r="C90" s="17">
        <v>19</v>
      </c>
      <c r="D90" s="17" t="s">
        <v>454</v>
      </c>
      <c r="E90" s="17">
        <v>0.184</v>
      </c>
      <c r="F90" s="17">
        <f t="shared" si="13"/>
        <v>0.307</v>
      </c>
      <c r="G90" s="1">
        <f t="shared" si="7"/>
        <v>0.3362986577181209</v>
      </c>
      <c r="H90" s="1">
        <f t="shared" si="8"/>
        <v>0.75475628362255476</v>
      </c>
      <c r="I90" s="1">
        <f t="shared" si="9"/>
        <v>0.51402999999999932</v>
      </c>
      <c r="J90" s="1">
        <f t="shared" si="10"/>
        <v>0.15734006734006714</v>
      </c>
      <c r="K90" s="17" t="str">
        <f t="shared" si="11"/>
        <v/>
      </c>
      <c r="L90" s="17" t="str">
        <f t="shared" si="12"/>
        <v/>
      </c>
    </row>
    <row r="91" spans="1:12">
      <c r="A91" s="17">
        <v>81</v>
      </c>
      <c r="B91" s="17">
        <v>2</v>
      </c>
      <c r="C91" s="17">
        <v>18</v>
      </c>
      <c r="D91" s="17" t="s">
        <v>455</v>
      </c>
      <c r="E91" s="17">
        <v>0.53800000000000003</v>
      </c>
      <c r="F91" s="17">
        <f t="shared" si="13"/>
        <v>0.35400000000000004</v>
      </c>
      <c r="G91" s="1">
        <f t="shared" si="7"/>
        <v>0.3362986577181209</v>
      </c>
      <c r="H91" s="1">
        <f t="shared" si="8"/>
        <v>0.75475628362255476</v>
      </c>
      <c r="I91" s="1">
        <f t="shared" si="9"/>
        <v>0.51402999999999932</v>
      </c>
      <c r="J91" s="1">
        <f t="shared" si="10"/>
        <v>0.15734006734006714</v>
      </c>
      <c r="K91" s="17" t="str">
        <f t="shared" si="11"/>
        <v/>
      </c>
      <c r="L91" s="17" t="str">
        <f t="shared" si="12"/>
        <v/>
      </c>
    </row>
    <row r="92" spans="1:12">
      <c r="A92" s="17">
        <v>82</v>
      </c>
      <c r="B92" s="17">
        <v>2</v>
      </c>
      <c r="C92" s="17">
        <v>17</v>
      </c>
      <c r="D92" s="17" t="s">
        <v>456</v>
      </c>
      <c r="E92" s="17">
        <v>0.39200000000000002</v>
      </c>
      <c r="F92" s="17">
        <f t="shared" si="13"/>
        <v>0.14600000000000002</v>
      </c>
      <c r="G92" s="1">
        <f t="shared" si="7"/>
        <v>0.3362986577181209</v>
      </c>
      <c r="H92" s="1">
        <f t="shared" si="8"/>
        <v>0.75475628362255476</v>
      </c>
      <c r="I92" s="1">
        <f t="shared" si="9"/>
        <v>0.51402999999999932</v>
      </c>
      <c r="J92" s="1">
        <f t="shared" si="10"/>
        <v>0.15734006734006714</v>
      </c>
      <c r="K92" s="17" t="str">
        <f t="shared" si="11"/>
        <v/>
      </c>
      <c r="L92" s="17" t="str">
        <f t="shared" si="12"/>
        <v/>
      </c>
    </row>
    <row r="93" spans="1:12">
      <c r="A93" s="17">
        <v>83</v>
      </c>
      <c r="B93" s="17">
        <v>2</v>
      </c>
      <c r="C93" s="17">
        <v>16</v>
      </c>
      <c r="D93" s="17" t="s">
        <v>457</v>
      </c>
      <c r="E93" s="17">
        <v>9.6000000000000002E-2</v>
      </c>
      <c r="F93" s="17">
        <f t="shared" si="13"/>
        <v>0.29600000000000004</v>
      </c>
      <c r="G93" s="1">
        <f t="shared" si="7"/>
        <v>0.3362986577181209</v>
      </c>
      <c r="H93" s="1">
        <f t="shared" si="8"/>
        <v>0.75475628362255476</v>
      </c>
      <c r="I93" s="1">
        <f t="shared" si="9"/>
        <v>0.51402999999999932</v>
      </c>
      <c r="J93" s="1">
        <f t="shared" si="10"/>
        <v>0.15734006734006714</v>
      </c>
      <c r="K93" s="17" t="str">
        <f t="shared" si="11"/>
        <v/>
      </c>
      <c r="L93" s="17" t="str">
        <f t="shared" si="12"/>
        <v/>
      </c>
    </row>
    <row r="94" spans="1:12">
      <c r="A94" s="17">
        <v>84</v>
      </c>
      <c r="B94" s="17">
        <v>2</v>
      </c>
      <c r="C94" s="17">
        <v>15</v>
      </c>
      <c r="D94" s="17" t="s">
        <v>458</v>
      </c>
      <c r="E94" s="17">
        <v>0.127</v>
      </c>
      <c r="F94" s="17">
        <f t="shared" si="13"/>
        <v>3.1E-2</v>
      </c>
      <c r="G94" s="1">
        <f t="shared" si="7"/>
        <v>0.3362986577181209</v>
      </c>
      <c r="H94" s="1">
        <f t="shared" si="8"/>
        <v>0.75475628362255476</v>
      </c>
      <c r="I94" s="1">
        <f t="shared" si="9"/>
        <v>0.51402999999999932</v>
      </c>
      <c r="J94" s="1">
        <f t="shared" si="10"/>
        <v>0.15734006734006714</v>
      </c>
      <c r="K94" s="17" t="str">
        <f t="shared" si="11"/>
        <v/>
      </c>
      <c r="L94" s="17" t="str">
        <f t="shared" si="12"/>
        <v/>
      </c>
    </row>
    <row r="95" spans="1:12">
      <c r="A95" s="17">
        <v>85</v>
      </c>
      <c r="B95" s="17">
        <v>2</v>
      </c>
      <c r="C95" s="17">
        <v>14</v>
      </c>
      <c r="D95" s="17" t="s">
        <v>459</v>
      </c>
      <c r="E95" s="17">
        <v>0.13</v>
      </c>
      <c r="F95" s="17">
        <f t="shared" si="13"/>
        <v>3.0000000000000027E-3</v>
      </c>
      <c r="G95" s="1">
        <f t="shared" si="7"/>
        <v>0.3362986577181209</v>
      </c>
      <c r="H95" s="1">
        <f t="shared" si="8"/>
        <v>0.75475628362255476</v>
      </c>
      <c r="I95" s="1">
        <f t="shared" si="9"/>
        <v>0.51402999999999932</v>
      </c>
      <c r="J95" s="1">
        <f t="shared" si="10"/>
        <v>0.15734006734006714</v>
      </c>
      <c r="K95" s="17" t="str">
        <f t="shared" si="11"/>
        <v/>
      </c>
      <c r="L95" s="17" t="str">
        <f t="shared" si="12"/>
        <v/>
      </c>
    </row>
    <row r="96" spans="1:12">
      <c r="A96" s="17">
        <v>86</v>
      </c>
      <c r="B96" s="17">
        <v>2</v>
      </c>
      <c r="C96" s="17">
        <v>13</v>
      </c>
      <c r="D96" s="17" t="s">
        <v>460</v>
      </c>
      <c r="E96" s="17">
        <v>0.16200000000000001</v>
      </c>
      <c r="F96" s="17">
        <f t="shared" si="13"/>
        <v>3.2000000000000001E-2</v>
      </c>
      <c r="G96" s="1">
        <f t="shared" si="7"/>
        <v>0.3362986577181209</v>
      </c>
      <c r="H96" s="1">
        <f t="shared" si="8"/>
        <v>0.75475628362255476</v>
      </c>
      <c r="I96" s="1">
        <f t="shared" si="9"/>
        <v>0.51402999999999932</v>
      </c>
      <c r="J96" s="1">
        <f t="shared" si="10"/>
        <v>0.15734006734006714</v>
      </c>
      <c r="K96" s="17" t="str">
        <f t="shared" si="11"/>
        <v/>
      </c>
      <c r="L96" s="17" t="str">
        <f t="shared" si="12"/>
        <v/>
      </c>
    </row>
    <row r="97" spans="1:12">
      <c r="A97" s="17">
        <v>87</v>
      </c>
      <c r="B97" s="17">
        <v>2</v>
      </c>
      <c r="C97" s="17">
        <v>12</v>
      </c>
      <c r="D97" s="17" t="s">
        <v>461</v>
      </c>
      <c r="E97" s="17">
        <v>0.31900000000000001</v>
      </c>
      <c r="F97" s="17">
        <f t="shared" si="13"/>
        <v>0.157</v>
      </c>
      <c r="G97" s="1">
        <f t="shared" si="7"/>
        <v>0.3362986577181209</v>
      </c>
      <c r="H97" s="1">
        <f t="shared" si="8"/>
        <v>0.75475628362255476</v>
      </c>
      <c r="I97" s="1">
        <f t="shared" si="9"/>
        <v>0.51402999999999932</v>
      </c>
      <c r="J97" s="1">
        <f t="shared" si="10"/>
        <v>0.15734006734006714</v>
      </c>
      <c r="K97" s="17" t="str">
        <f t="shared" si="11"/>
        <v/>
      </c>
      <c r="L97" s="17" t="str">
        <f t="shared" si="12"/>
        <v/>
      </c>
    </row>
    <row r="98" spans="1:12">
      <c r="A98" s="17">
        <v>88</v>
      </c>
      <c r="B98" s="17">
        <v>2</v>
      </c>
      <c r="C98" s="17">
        <v>11</v>
      </c>
      <c r="D98" s="17" t="s">
        <v>462</v>
      </c>
      <c r="E98" s="17">
        <v>0.20799999999999999</v>
      </c>
      <c r="F98" s="17">
        <f t="shared" si="13"/>
        <v>0.11100000000000002</v>
      </c>
      <c r="G98" s="1">
        <f t="shared" si="7"/>
        <v>0.3362986577181209</v>
      </c>
      <c r="H98" s="1">
        <f t="shared" si="8"/>
        <v>0.75475628362255476</v>
      </c>
      <c r="I98" s="1">
        <f t="shared" si="9"/>
        <v>0.51402999999999932</v>
      </c>
      <c r="J98" s="1">
        <f t="shared" si="10"/>
        <v>0.15734006734006714</v>
      </c>
      <c r="K98" s="17" t="str">
        <f t="shared" si="11"/>
        <v/>
      </c>
      <c r="L98" s="17" t="str">
        <f t="shared" si="12"/>
        <v/>
      </c>
    </row>
    <row r="99" spans="1:12">
      <c r="A99" s="17">
        <v>89</v>
      </c>
      <c r="B99" s="17">
        <v>2</v>
      </c>
      <c r="C99" s="17">
        <v>10</v>
      </c>
      <c r="D99" s="17" t="s">
        <v>463</v>
      </c>
      <c r="E99" s="17">
        <v>0.13600000000000001</v>
      </c>
      <c r="F99" s="17">
        <f t="shared" si="13"/>
        <v>7.1999999999999981E-2</v>
      </c>
      <c r="G99" s="1">
        <f t="shared" si="7"/>
        <v>0.3362986577181209</v>
      </c>
      <c r="H99" s="1">
        <f t="shared" si="8"/>
        <v>0.75475628362255476</v>
      </c>
      <c r="I99" s="1">
        <f t="shared" si="9"/>
        <v>0.51402999999999932</v>
      </c>
      <c r="J99" s="1">
        <f t="shared" si="10"/>
        <v>0.15734006734006714</v>
      </c>
      <c r="K99" s="17" t="str">
        <f t="shared" si="11"/>
        <v/>
      </c>
      <c r="L99" s="17" t="str">
        <f t="shared" si="12"/>
        <v/>
      </c>
    </row>
    <row r="100" spans="1:12">
      <c r="A100" s="17">
        <v>90</v>
      </c>
      <c r="B100" s="17">
        <v>2</v>
      </c>
      <c r="C100" s="17">
        <v>9</v>
      </c>
      <c r="D100" s="17" t="s">
        <v>464</v>
      </c>
      <c r="E100" s="17">
        <v>0.57599999999999996</v>
      </c>
      <c r="F100" s="17">
        <f t="shared" si="13"/>
        <v>0.43999999999999995</v>
      </c>
      <c r="G100" s="1">
        <f t="shared" si="7"/>
        <v>0.3362986577181209</v>
      </c>
      <c r="H100" s="1">
        <f t="shared" si="8"/>
        <v>0.75475628362255476</v>
      </c>
      <c r="I100" s="1">
        <f t="shared" si="9"/>
        <v>0.51402999999999932</v>
      </c>
      <c r="J100" s="1">
        <f t="shared" si="10"/>
        <v>0.15734006734006714</v>
      </c>
      <c r="K100" s="17" t="str">
        <f t="shared" si="11"/>
        <v/>
      </c>
      <c r="L100" s="17" t="str">
        <f t="shared" si="12"/>
        <v/>
      </c>
    </row>
    <row r="101" spans="1:12">
      <c r="A101" s="17">
        <v>91</v>
      </c>
      <c r="B101" s="17">
        <v>2</v>
      </c>
      <c r="C101" s="17">
        <v>8</v>
      </c>
      <c r="D101" s="17" t="s">
        <v>465</v>
      </c>
      <c r="E101" s="17">
        <v>0.78</v>
      </c>
      <c r="F101" s="17">
        <f t="shared" si="13"/>
        <v>0.20400000000000007</v>
      </c>
      <c r="G101" s="1">
        <f t="shared" si="7"/>
        <v>0.3362986577181209</v>
      </c>
      <c r="H101" s="1">
        <f t="shared" si="8"/>
        <v>0.75475628362255476</v>
      </c>
      <c r="I101" s="1">
        <f t="shared" si="9"/>
        <v>0.51402999999999932</v>
      </c>
      <c r="J101" s="1">
        <f t="shared" si="10"/>
        <v>0.15734006734006714</v>
      </c>
      <c r="K101" s="17" t="str">
        <f t="shared" si="11"/>
        <v>OOC</v>
      </c>
      <c r="L101" s="17" t="str">
        <f t="shared" si="12"/>
        <v/>
      </c>
    </row>
    <row r="102" spans="1:12">
      <c r="A102" s="17">
        <v>92</v>
      </c>
      <c r="B102" s="17">
        <v>2</v>
      </c>
      <c r="C102" s="17">
        <v>7</v>
      </c>
      <c r="D102" s="17" t="s">
        <v>466</v>
      </c>
      <c r="E102" s="17">
        <v>0.78</v>
      </c>
      <c r="F102" s="17">
        <f t="shared" si="13"/>
        <v>0</v>
      </c>
      <c r="G102" s="1">
        <f t="shared" si="7"/>
        <v>0.3362986577181209</v>
      </c>
      <c r="H102" s="1">
        <f t="shared" si="8"/>
        <v>0.75475628362255476</v>
      </c>
      <c r="I102" s="1">
        <f t="shared" si="9"/>
        <v>0.51402999999999932</v>
      </c>
      <c r="J102" s="1">
        <f t="shared" si="10"/>
        <v>0.15734006734006714</v>
      </c>
      <c r="K102" s="17" t="str">
        <f t="shared" si="11"/>
        <v>OOC</v>
      </c>
      <c r="L102" s="17" t="str">
        <f t="shared" si="12"/>
        <v/>
      </c>
    </row>
    <row r="103" spans="1:12">
      <c r="A103" s="17">
        <v>93</v>
      </c>
      <c r="B103" s="17">
        <v>2</v>
      </c>
      <c r="C103" s="17">
        <v>6</v>
      </c>
      <c r="D103" s="17" t="s">
        <v>467</v>
      </c>
      <c r="E103" s="17">
        <v>0.65100000000000002</v>
      </c>
      <c r="F103" s="17">
        <f t="shared" si="13"/>
        <v>0.129</v>
      </c>
      <c r="G103" s="1">
        <f t="shared" si="7"/>
        <v>0.3362986577181209</v>
      </c>
      <c r="H103" s="1">
        <f t="shared" si="8"/>
        <v>0.75475628362255476</v>
      </c>
      <c r="I103" s="1">
        <f t="shared" si="9"/>
        <v>0.51402999999999932</v>
      </c>
      <c r="J103" s="1">
        <f t="shared" si="10"/>
        <v>0.15734006734006714</v>
      </c>
      <c r="K103" s="17" t="str">
        <f t="shared" si="11"/>
        <v/>
      </c>
      <c r="L103" s="17" t="str">
        <f t="shared" si="12"/>
        <v/>
      </c>
    </row>
    <row r="104" spans="1:12">
      <c r="A104" s="17">
        <v>94</v>
      </c>
      <c r="B104" s="17">
        <v>2</v>
      </c>
      <c r="C104" s="17">
        <v>5</v>
      </c>
      <c r="D104" s="17" t="s">
        <v>468</v>
      </c>
      <c r="E104" s="17">
        <v>0.752</v>
      </c>
      <c r="F104" s="17">
        <f t="shared" si="13"/>
        <v>0.10099999999999998</v>
      </c>
      <c r="G104" s="1">
        <f t="shared" si="7"/>
        <v>0.3362986577181209</v>
      </c>
      <c r="H104" s="1">
        <f t="shared" si="8"/>
        <v>0.75475628362255476</v>
      </c>
      <c r="I104" s="1">
        <f t="shared" si="9"/>
        <v>0.51402999999999932</v>
      </c>
      <c r="J104" s="1">
        <f t="shared" si="10"/>
        <v>0.15734006734006714</v>
      </c>
      <c r="K104" s="17" t="str">
        <f t="shared" si="11"/>
        <v/>
      </c>
      <c r="L104" s="17" t="str">
        <f t="shared" si="12"/>
        <v/>
      </c>
    </row>
    <row r="105" spans="1:12">
      <c r="A105" s="17">
        <v>95</v>
      </c>
      <c r="B105" s="17">
        <v>2</v>
      </c>
      <c r="C105" s="17">
        <v>4</v>
      </c>
      <c r="D105" s="17" t="s">
        <v>469</v>
      </c>
      <c r="E105" s="17">
        <v>0.371</v>
      </c>
      <c r="F105" s="17">
        <f t="shared" si="13"/>
        <v>0.38100000000000001</v>
      </c>
      <c r="G105" s="1">
        <f t="shared" si="7"/>
        <v>0.3362986577181209</v>
      </c>
      <c r="H105" s="1">
        <f t="shared" si="8"/>
        <v>0.75475628362255476</v>
      </c>
      <c r="I105" s="1">
        <f t="shared" si="9"/>
        <v>0.51402999999999932</v>
      </c>
      <c r="J105" s="1">
        <f t="shared" si="10"/>
        <v>0.15734006734006714</v>
      </c>
      <c r="K105" s="17" t="str">
        <f t="shared" si="11"/>
        <v/>
      </c>
      <c r="L105" s="17" t="str">
        <f t="shared" si="12"/>
        <v/>
      </c>
    </row>
    <row r="106" spans="1:12">
      <c r="A106" s="17">
        <v>96</v>
      </c>
      <c r="B106" s="17">
        <v>2</v>
      </c>
      <c r="C106" s="17">
        <v>3</v>
      </c>
      <c r="D106" s="17" t="s">
        <v>470</v>
      </c>
      <c r="E106" s="17">
        <v>0.41</v>
      </c>
      <c r="F106" s="17">
        <f t="shared" si="13"/>
        <v>3.8999999999999979E-2</v>
      </c>
      <c r="G106" s="1">
        <f t="shared" si="7"/>
        <v>0.3362986577181209</v>
      </c>
      <c r="H106" s="1">
        <f t="shared" si="8"/>
        <v>0.75475628362255476</v>
      </c>
      <c r="I106" s="1">
        <f t="shared" si="9"/>
        <v>0.51402999999999932</v>
      </c>
      <c r="J106" s="1">
        <f t="shared" si="10"/>
        <v>0.15734006734006714</v>
      </c>
      <c r="K106" s="17" t="str">
        <f t="shared" si="11"/>
        <v/>
      </c>
      <c r="L106" s="17" t="str">
        <f t="shared" si="12"/>
        <v/>
      </c>
    </row>
    <row r="107" spans="1:12">
      <c r="A107" s="17">
        <v>97</v>
      </c>
      <c r="B107" s="17">
        <v>2</v>
      </c>
      <c r="C107" s="17">
        <v>2</v>
      </c>
      <c r="D107" s="17" t="s">
        <v>471</v>
      </c>
      <c r="E107" s="17">
        <v>5.7000000000000002E-2</v>
      </c>
      <c r="F107" s="17">
        <f t="shared" si="13"/>
        <v>0.35299999999999998</v>
      </c>
      <c r="G107" s="1">
        <f t="shared" si="7"/>
        <v>0.3362986577181209</v>
      </c>
      <c r="H107" s="1">
        <f t="shared" si="8"/>
        <v>0.75475628362255476</v>
      </c>
      <c r="I107" s="1">
        <f t="shared" si="9"/>
        <v>0.51402999999999932</v>
      </c>
      <c r="J107" s="1">
        <f t="shared" si="10"/>
        <v>0.15734006734006714</v>
      </c>
      <c r="K107" s="17" t="str">
        <f t="shared" si="11"/>
        <v/>
      </c>
      <c r="L107" s="17" t="str">
        <f t="shared" si="12"/>
        <v/>
      </c>
    </row>
    <row r="108" spans="1:12">
      <c r="A108" s="17">
        <v>98</v>
      </c>
      <c r="B108" s="17">
        <v>2</v>
      </c>
      <c r="C108" s="17">
        <v>1</v>
      </c>
      <c r="D108" s="17" t="s">
        <v>472</v>
      </c>
      <c r="E108" s="17">
        <v>0.27500000000000002</v>
      </c>
      <c r="F108" s="17">
        <f t="shared" si="13"/>
        <v>0.21800000000000003</v>
      </c>
      <c r="G108" s="1">
        <f t="shared" si="7"/>
        <v>0.3362986577181209</v>
      </c>
      <c r="H108" s="1">
        <f t="shared" si="8"/>
        <v>0.75475628362255476</v>
      </c>
      <c r="I108" s="1">
        <f t="shared" si="9"/>
        <v>0.51402999999999932</v>
      </c>
      <c r="J108" s="1">
        <f t="shared" si="10"/>
        <v>0.15734006734006714</v>
      </c>
      <c r="K108" s="17" t="str">
        <f t="shared" si="11"/>
        <v/>
      </c>
      <c r="L108" s="17" t="str">
        <f t="shared" si="12"/>
        <v/>
      </c>
    </row>
    <row r="109" spans="1:12">
      <c r="A109" s="17">
        <v>99</v>
      </c>
      <c r="B109" s="17">
        <v>3</v>
      </c>
      <c r="C109" s="17">
        <v>25</v>
      </c>
      <c r="D109" s="17" t="s">
        <v>473</v>
      </c>
      <c r="E109" s="17">
        <v>0.377</v>
      </c>
      <c r="F109" s="17">
        <f t="shared" si="13"/>
        <v>0.10199999999999998</v>
      </c>
      <c r="G109" s="1">
        <f t="shared" si="7"/>
        <v>0.3362986577181209</v>
      </c>
      <c r="H109" s="1">
        <f t="shared" si="8"/>
        <v>0.75475628362255476</v>
      </c>
      <c r="I109" s="1">
        <f t="shared" si="9"/>
        <v>0.51402999999999932</v>
      </c>
      <c r="J109" s="1">
        <f t="shared" si="10"/>
        <v>0.15734006734006714</v>
      </c>
      <c r="K109" s="17" t="str">
        <f t="shared" si="11"/>
        <v/>
      </c>
      <c r="L109" s="17" t="str">
        <f t="shared" si="12"/>
        <v/>
      </c>
    </row>
    <row r="110" spans="1:12">
      <c r="A110" s="17">
        <v>100</v>
      </c>
      <c r="B110" s="17">
        <v>3</v>
      </c>
      <c r="C110" s="17">
        <v>24</v>
      </c>
      <c r="D110" s="17" t="s">
        <v>474</v>
      </c>
      <c r="E110" s="17">
        <v>0.24199999999999999</v>
      </c>
      <c r="F110" s="17">
        <f t="shared" si="13"/>
        <v>0.13500000000000001</v>
      </c>
      <c r="G110" s="1">
        <f t="shared" si="7"/>
        <v>0.3362986577181209</v>
      </c>
      <c r="H110" s="1">
        <f t="shared" si="8"/>
        <v>0.75475628362255476</v>
      </c>
      <c r="I110" s="1">
        <f t="shared" si="9"/>
        <v>0.51402999999999932</v>
      </c>
      <c r="J110" s="1">
        <f t="shared" si="10"/>
        <v>0.15734006734006714</v>
      </c>
      <c r="K110" s="17" t="str">
        <f t="shared" si="11"/>
        <v/>
      </c>
      <c r="L110" s="17" t="str">
        <f t="shared" si="12"/>
        <v/>
      </c>
    </row>
    <row r="111" spans="1:12">
      <c r="A111" s="17">
        <v>101</v>
      </c>
      <c r="B111" s="17">
        <v>3</v>
      </c>
      <c r="C111" s="17">
        <v>23</v>
      </c>
      <c r="D111" s="17" t="s">
        <v>475</v>
      </c>
      <c r="E111" s="17">
        <v>0.29399999999999998</v>
      </c>
      <c r="F111" s="17">
        <f t="shared" si="13"/>
        <v>5.1999999999999991E-2</v>
      </c>
      <c r="G111" s="1">
        <f t="shared" si="7"/>
        <v>0.3362986577181209</v>
      </c>
      <c r="H111" s="1">
        <f t="shared" si="8"/>
        <v>0.75475628362255476</v>
      </c>
      <c r="I111" s="1">
        <f t="shared" si="9"/>
        <v>0.51402999999999932</v>
      </c>
      <c r="J111" s="1">
        <f t="shared" si="10"/>
        <v>0.15734006734006714</v>
      </c>
      <c r="K111" s="17" t="str">
        <f t="shared" si="11"/>
        <v/>
      </c>
      <c r="L111" s="17" t="str">
        <f t="shared" si="12"/>
        <v/>
      </c>
    </row>
    <row r="112" spans="1:12">
      <c r="A112" s="17">
        <v>102</v>
      </c>
      <c r="B112" s="17">
        <v>3</v>
      </c>
      <c r="C112" s="17">
        <v>22</v>
      </c>
      <c r="D112" s="17" t="s">
        <v>476</v>
      </c>
      <c r="E112" s="17">
        <v>0.33300000000000002</v>
      </c>
      <c r="F112" s="17">
        <f t="shared" si="13"/>
        <v>3.9000000000000035E-2</v>
      </c>
      <c r="G112" s="1">
        <f t="shared" si="7"/>
        <v>0.3362986577181209</v>
      </c>
      <c r="H112" s="1">
        <f t="shared" si="8"/>
        <v>0.75475628362255476</v>
      </c>
      <c r="I112" s="1">
        <f t="shared" si="9"/>
        <v>0.51402999999999932</v>
      </c>
      <c r="J112" s="1">
        <f t="shared" si="10"/>
        <v>0.15734006734006714</v>
      </c>
      <c r="K112" s="17" t="str">
        <f t="shared" si="11"/>
        <v/>
      </c>
      <c r="L112" s="17" t="str">
        <f t="shared" si="12"/>
        <v/>
      </c>
    </row>
    <row r="113" spans="1:12">
      <c r="A113" s="17">
        <v>103</v>
      </c>
      <c r="B113" s="17">
        <v>3</v>
      </c>
      <c r="C113" s="17">
        <v>21</v>
      </c>
      <c r="D113" s="17" t="s">
        <v>477</v>
      </c>
      <c r="E113" s="17">
        <v>0.63800000000000001</v>
      </c>
      <c r="F113" s="17">
        <f t="shared" si="13"/>
        <v>0.30499999999999999</v>
      </c>
      <c r="G113" s="1">
        <f t="shared" si="7"/>
        <v>0.3362986577181209</v>
      </c>
      <c r="H113" s="1">
        <f t="shared" si="8"/>
        <v>0.75475628362255476</v>
      </c>
      <c r="I113" s="1">
        <f t="shared" si="9"/>
        <v>0.51402999999999932</v>
      </c>
      <c r="J113" s="1">
        <f t="shared" si="10"/>
        <v>0.15734006734006714</v>
      </c>
      <c r="K113" s="17" t="str">
        <f t="shared" si="11"/>
        <v/>
      </c>
      <c r="L113" s="17" t="str">
        <f t="shared" si="12"/>
        <v/>
      </c>
    </row>
    <row r="114" spans="1:12">
      <c r="A114" s="17">
        <v>104</v>
      </c>
      <c r="B114" s="17">
        <v>3</v>
      </c>
      <c r="C114" s="17">
        <v>20</v>
      </c>
      <c r="D114" s="17" t="s">
        <v>478</v>
      </c>
      <c r="E114" s="17">
        <v>0.34399999999999997</v>
      </c>
      <c r="F114" s="17">
        <f t="shared" si="13"/>
        <v>0.29400000000000004</v>
      </c>
      <c r="G114" s="1">
        <f t="shared" si="7"/>
        <v>0.3362986577181209</v>
      </c>
      <c r="H114" s="1">
        <f t="shared" si="8"/>
        <v>0.75475628362255476</v>
      </c>
      <c r="I114" s="1">
        <f t="shared" si="9"/>
        <v>0.51402999999999932</v>
      </c>
      <c r="J114" s="1">
        <f t="shared" si="10"/>
        <v>0.15734006734006714</v>
      </c>
      <c r="K114" s="17" t="str">
        <f t="shared" si="11"/>
        <v/>
      </c>
      <c r="L114" s="17" t="str">
        <f t="shared" si="12"/>
        <v/>
      </c>
    </row>
    <row r="115" spans="1:12">
      <c r="A115" s="17">
        <v>105</v>
      </c>
      <c r="B115" s="17">
        <v>3</v>
      </c>
      <c r="C115" s="17">
        <v>19</v>
      </c>
      <c r="D115" s="17" t="s">
        <v>479</v>
      </c>
      <c r="E115" s="17">
        <v>0.26900000000000002</v>
      </c>
      <c r="F115" s="17">
        <f t="shared" si="13"/>
        <v>7.4999999999999956E-2</v>
      </c>
      <c r="G115" s="1">
        <f t="shared" si="7"/>
        <v>0.3362986577181209</v>
      </c>
      <c r="H115" s="1">
        <f t="shared" si="8"/>
        <v>0.75475628362255476</v>
      </c>
      <c r="I115" s="1">
        <f t="shared" si="9"/>
        <v>0.51402999999999932</v>
      </c>
      <c r="J115" s="1">
        <f t="shared" si="10"/>
        <v>0.15734006734006714</v>
      </c>
      <c r="K115" s="17" t="str">
        <f t="shared" si="11"/>
        <v/>
      </c>
      <c r="L115" s="17" t="str">
        <f t="shared" si="12"/>
        <v/>
      </c>
    </row>
    <row r="116" spans="1:12">
      <c r="A116" s="17">
        <v>106</v>
      </c>
      <c r="B116" s="17">
        <v>3</v>
      </c>
      <c r="C116" s="17">
        <v>18</v>
      </c>
      <c r="D116" s="17" t="s">
        <v>480</v>
      </c>
      <c r="E116" s="17">
        <v>0.23799999999999999</v>
      </c>
      <c r="F116" s="17">
        <f t="shared" si="13"/>
        <v>3.1000000000000028E-2</v>
      </c>
      <c r="G116" s="1">
        <f t="shared" si="7"/>
        <v>0.3362986577181209</v>
      </c>
      <c r="H116" s="1">
        <f t="shared" si="8"/>
        <v>0.75475628362255476</v>
      </c>
      <c r="I116" s="1">
        <f t="shared" si="9"/>
        <v>0.51402999999999932</v>
      </c>
      <c r="J116" s="1">
        <f t="shared" si="10"/>
        <v>0.15734006734006714</v>
      </c>
      <c r="K116" s="17" t="str">
        <f t="shared" si="11"/>
        <v/>
      </c>
      <c r="L116" s="17" t="str">
        <f t="shared" si="12"/>
        <v/>
      </c>
    </row>
    <row r="117" spans="1:12">
      <c r="A117" s="17">
        <v>107</v>
      </c>
      <c r="B117" s="17">
        <v>3</v>
      </c>
      <c r="C117" s="17">
        <v>17</v>
      </c>
      <c r="D117" s="17" t="s">
        <v>481</v>
      </c>
      <c r="E117" s="17">
        <v>0.21199999999999999</v>
      </c>
      <c r="F117" s="17">
        <f t="shared" si="13"/>
        <v>2.5999999999999995E-2</v>
      </c>
      <c r="G117" s="1">
        <f t="shared" si="7"/>
        <v>0.3362986577181209</v>
      </c>
      <c r="H117" s="1">
        <f t="shared" si="8"/>
        <v>0.75475628362255476</v>
      </c>
      <c r="I117" s="1">
        <f t="shared" si="9"/>
        <v>0.51402999999999932</v>
      </c>
      <c r="J117" s="1">
        <f t="shared" si="10"/>
        <v>0.15734006734006714</v>
      </c>
      <c r="K117" s="17" t="str">
        <f t="shared" si="11"/>
        <v/>
      </c>
      <c r="L117" s="17" t="str">
        <f t="shared" si="12"/>
        <v/>
      </c>
    </row>
    <row r="118" spans="1:12">
      <c r="A118" s="17">
        <v>108</v>
      </c>
      <c r="B118" s="17">
        <v>3</v>
      </c>
      <c r="C118" s="17">
        <v>16</v>
      </c>
      <c r="D118" s="17" t="s">
        <v>482</v>
      </c>
      <c r="E118" s="17">
        <v>0.44900000000000001</v>
      </c>
      <c r="F118" s="17">
        <f t="shared" si="13"/>
        <v>0.23700000000000002</v>
      </c>
      <c r="G118" s="1">
        <f t="shared" si="7"/>
        <v>0.3362986577181209</v>
      </c>
      <c r="H118" s="1">
        <f t="shared" si="8"/>
        <v>0.75475628362255476</v>
      </c>
      <c r="I118" s="1">
        <f t="shared" si="9"/>
        <v>0.51402999999999932</v>
      </c>
      <c r="J118" s="1">
        <f t="shared" si="10"/>
        <v>0.15734006734006714</v>
      </c>
      <c r="K118" s="17" t="str">
        <f t="shared" si="11"/>
        <v/>
      </c>
      <c r="L118" s="17" t="str">
        <f t="shared" si="12"/>
        <v/>
      </c>
    </row>
    <row r="119" spans="1:12">
      <c r="A119" s="17">
        <v>109</v>
      </c>
      <c r="B119" s="17">
        <v>3</v>
      </c>
      <c r="C119" s="17">
        <v>15</v>
      </c>
      <c r="D119" s="17" t="s">
        <v>483</v>
      </c>
      <c r="E119" s="17">
        <v>0.499</v>
      </c>
      <c r="F119" s="17">
        <f t="shared" si="13"/>
        <v>4.9999999999999989E-2</v>
      </c>
      <c r="G119" s="1">
        <f t="shared" si="7"/>
        <v>0.3362986577181209</v>
      </c>
      <c r="H119" s="1">
        <f t="shared" si="8"/>
        <v>0.75475628362255476</v>
      </c>
      <c r="I119" s="1">
        <f t="shared" si="9"/>
        <v>0.51402999999999932</v>
      </c>
      <c r="J119" s="1">
        <f t="shared" si="10"/>
        <v>0.15734006734006714</v>
      </c>
      <c r="K119" s="17" t="str">
        <f t="shared" si="11"/>
        <v/>
      </c>
      <c r="L119" s="17" t="str">
        <f t="shared" si="12"/>
        <v/>
      </c>
    </row>
    <row r="120" spans="1:12">
      <c r="A120" s="17">
        <v>110</v>
      </c>
      <c r="B120" s="17">
        <v>3</v>
      </c>
      <c r="C120" s="17">
        <v>14</v>
      </c>
      <c r="D120" s="17" t="s">
        <v>484</v>
      </c>
      <c r="E120" s="17">
        <v>0.316</v>
      </c>
      <c r="F120" s="17">
        <f t="shared" si="13"/>
        <v>0.183</v>
      </c>
      <c r="G120" s="1">
        <f t="shared" si="7"/>
        <v>0.3362986577181209</v>
      </c>
      <c r="H120" s="1">
        <f t="shared" si="8"/>
        <v>0.75475628362255476</v>
      </c>
      <c r="I120" s="1">
        <f t="shared" si="9"/>
        <v>0.51402999999999932</v>
      </c>
      <c r="J120" s="1">
        <f t="shared" si="10"/>
        <v>0.15734006734006714</v>
      </c>
      <c r="K120" s="17" t="str">
        <f t="shared" si="11"/>
        <v/>
      </c>
      <c r="L120" s="17" t="str">
        <f t="shared" si="12"/>
        <v/>
      </c>
    </row>
    <row r="121" spans="1:12">
      <c r="A121" s="17">
        <v>111</v>
      </c>
      <c r="B121" s="17">
        <v>3</v>
      </c>
      <c r="C121" s="17">
        <v>13</v>
      </c>
      <c r="D121" s="17" t="s">
        <v>485</v>
      </c>
      <c r="E121" s="17">
        <v>0.16900000000000001</v>
      </c>
      <c r="F121" s="17">
        <f t="shared" si="13"/>
        <v>0.14699999999999999</v>
      </c>
      <c r="G121" s="1">
        <f t="shared" si="7"/>
        <v>0.3362986577181209</v>
      </c>
      <c r="H121" s="1">
        <f t="shared" si="8"/>
        <v>0.75475628362255476</v>
      </c>
      <c r="I121" s="1">
        <f t="shared" si="9"/>
        <v>0.51402999999999932</v>
      </c>
      <c r="J121" s="1">
        <f t="shared" si="10"/>
        <v>0.15734006734006714</v>
      </c>
      <c r="K121" s="17" t="str">
        <f t="shared" si="11"/>
        <v/>
      </c>
      <c r="L121" s="17" t="str">
        <f t="shared" si="12"/>
        <v/>
      </c>
    </row>
    <row r="122" spans="1:12">
      <c r="A122" s="17">
        <v>112</v>
      </c>
      <c r="B122" s="17">
        <v>3</v>
      </c>
      <c r="C122" s="17">
        <v>12</v>
      </c>
      <c r="D122" s="17" t="s">
        <v>486</v>
      </c>
      <c r="E122" s="17">
        <v>0.435</v>
      </c>
      <c r="F122" s="17">
        <f t="shared" si="13"/>
        <v>0.26600000000000001</v>
      </c>
      <c r="G122" s="1">
        <f t="shared" si="7"/>
        <v>0.3362986577181209</v>
      </c>
      <c r="H122" s="1">
        <f t="shared" si="8"/>
        <v>0.75475628362255476</v>
      </c>
      <c r="I122" s="1">
        <f t="shared" si="9"/>
        <v>0.51402999999999932</v>
      </c>
      <c r="J122" s="1">
        <f t="shared" si="10"/>
        <v>0.15734006734006714</v>
      </c>
      <c r="K122" s="17" t="str">
        <f t="shared" si="11"/>
        <v/>
      </c>
      <c r="L122" s="17" t="str">
        <f t="shared" si="12"/>
        <v/>
      </c>
    </row>
    <row r="123" spans="1:12">
      <c r="A123" s="17">
        <v>113</v>
      </c>
      <c r="B123" s="17">
        <v>3</v>
      </c>
      <c r="C123" s="17">
        <v>11</v>
      </c>
      <c r="D123" s="17" t="s">
        <v>487</v>
      </c>
      <c r="E123" s="17">
        <v>0.191</v>
      </c>
      <c r="F123" s="17">
        <f t="shared" si="13"/>
        <v>0.24399999999999999</v>
      </c>
      <c r="G123" s="1">
        <f t="shared" si="7"/>
        <v>0.3362986577181209</v>
      </c>
      <c r="H123" s="1">
        <f t="shared" si="8"/>
        <v>0.75475628362255476</v>
      </c>
      <c r="I123" s="1">
        <f t="shared" si="9"/>
        <v>0.51402999999999932</v>
      </c>
      <c r="J123" s="1">
        <f t="shared" si="10"/>
        <v>0.15734006734006714</v>
      </c>
      <c r="K123" s="17" t="str">
        <f t="shared" si="11"/>
        <v/>
      </c>
      <c r="L123" s="17" t="str">
        <f t="shared" si="12"/>
        <v/>
      </c>
    </row>
    <row r="124" spans="1:12">
      <c r="A124" s="17">
        <v>114</v>
      </c>
      <c r="B124" s="17">
        <v>3</v>
      </c>
      <c r="C124" s="17">
        <v>10</v>
      </c>
      <c r="D124" s="17" t="s">
        <v>488</v>
      </c>
      <c r="E124" s="17">
        <v>0.19900000000000001</v>
      </c>
      <c r="F124" s="17">
        <f t="shared" si="13"/>
        <v>8.0000000000000071E-3</v>
      </c>
      <c r="G124" s="1">
        <f t="shared" si="7"/>
        <v>0.3362986577181209</v>
      </c>
      <c r="H124" s="1">
        <f t="shared" si="8"/>
        <v>0.75475628362255476</v>
      </c>
      <c r="I124" s="1">
        <f t="shared" si="9"/>
        <v>0.51402999999999932</v>
      </c>
      <c r="J124" s="1">
        <f t="shared" si="10"/>
        <v>0.15734006734006714</v>
      </c>
      <c r="K124" s="17" t="str">
        <f t="shared" si="11"/>
        <v/>
      </c>
      <c r="L124" s="17" t="str">
        <f t="shared" si="12"/>
        <v/>
      </c>
    </row>
    <row r="125" spans="1:12">
      <c r="A125" s="17">
        <v>115</v>
      </c>
      <c r="B125" s="17">
        <v>3</v>
      </c>
      <c r="C125" s="17">
        <v>9</v>
      </c>
      <c r="D125" s="17" t="s">
        <v>489</v>
      </c>
      <c r="E125" s="17">
        <v>0.23799999999999999</v>
      </c>
      <c r="F125" s="17">
        <f t="shared" si="13"/>
        <v>3.8999999999999979E-2</v>
      </c>
      <c r="G125" s="1">
        <f t="shared" si="7"/>
        <v>0.3362986577181209</v>
      </c>
      <c r="H125" s="1">
        <f t="shared" si="8"/>
        <v>0.75475628362255476</v>
      </c>
      <c r="I125" s="1">
        <f t="shared" si="9"/>
        <v>0.51402999999999932</v>
      </c>
      <c r="J125" s="1">
        <f t="shared" si="10"/>
        <v>0.15734006734006714</v>
      </c>
      <c r="K125" s="17" t="str">
        <f t="shared" si="11"/>
        <v/>
      </c>
      <c r="L125" s="17" t="str">
        <f t="shared" si="12"/>
        <v/>
      </c>
    </row>
    <row r="126" spans="1:12">
      <c r="A126" s="17">
        <v>116</v>
      </c>
      <c r="B126" s="17">
        <v>3</v>
      </c>
      <c r="C126" s="17">
        <v>8</v>
      </c>
      <c r="D126" s="17" t="s">
        <v>490</v>
      </c>
      <c r="E126" s="17">
        <v>7.4999999999999997E-2</v>
      </c>
      <c r="F126" s="17">
        <f t="shared" si="13"/>
        <v>0.16299999999999998</v>
      </c>
      <c r="G126" s="1">
        <f t="shared" si="7"/>
        <v>0.3362986577181209</v>
      </c>
      <c r="H126" s="1">
        <f t="shared" si="8"/>
        <v>0.75475628362255476</v>
      </c>
      <c r="I126" s="1">
        <f t="shared" si="9"/>
        <v>0.51402999999999932</v>
      </c>
      <c r="J126" s="1">
        <f t="shared" si="10"/>
        <v>0.15734006734006714</v>
      </c>
      <c r="K126" s="17" t="str">
        <f t="shared" si="11"/>
        <v/>
      </c>
      <c r="L126" s="17" t="str">
        <f t="shared" si="12"/>
        <v/>
      </c>
    </row>
    <row r="127" spans="1:12">
      <c r="A127" s="17">
        <v>117</v>
      </c>
      <c r="B127" s="17">
        <v>3</v>
      </c>
      <c r="C127" s="17">
        <v>7</v>
      </c>
      <c r="D127" s="17" t="s">
        <v>491</v>
      </c>
      <c r="E127" s="17">
        <v>0.20200000000000001</v>
      </c>
      <c r="F127" s="17">
        <f t="shared" si="13"/>
        <v>0.127</v>
      </c>
      <c r="G127" s="1">
        <f t="shared" si="7"/>
        <v>0.3362986577181209</v>
      </c>
      <c r="H127" s="1">
        <f t="shared" si="8"/>
        <v>0.75475628362255476</v>
      </c>
      <c r="I127" s="1">
        <f t="shared" si="9"/>
        <v>0.51402999999999932</v>
      </c>
      <c r="J127" s="1">
        <f t="shared" si="10"/>
        <v>0.15734006734006714</v>
      </c>
      <c r="K127" s="17" t="str">
        <f t="shared" si="11"/>
        <v/>
      </c>
      <c r="L127" s="17" t="str">
        <f t="shared" si="12"/>
        <v/>
      </c>
    </row>
    <row r="128" spans="1:12">
      <c r="A128" s="17">
        <v>118</v>
      </c>
      <c r="B128" s="17">
        <v>3</v>
      </c>
      <c r="C128" s="17">
        <v>6</v>
      </c>
      <c r="D128" s="17" t="s">
        <v>492</v>
      </c>
      <c r="E128" s="17">
        <v>0.38500000000000001</v>
      </c>
      <c r="F128" s="17">
        <f t="shared" si="13"/>
        <v>0.183</v>
      </c>
      <c r="G128" s="1">
        <f t="shared" si="7"/>
        <v>0.3362986577181209</v>
      </c>
      <c r="H128" s="1">
        <f t="shared" si="8"/>
        <v>0.75475628362255476</v>
      </c>
      <c r="I128" s="1">
        <f t="shared" si="9"/>
        <v>0.51402999999999932</v>
      </c>
      <c r="J128" s="1">
        <f t="shared" si="10"/>
        <v>0.15734006734006714</v>
      </c>
      <c r="K128" s="17" t="str">
        <f t="shared" si="11"/>
        <v/>
      </c>
      <c r="L128" s="17" t="str">
        <f t="shared" si="12"/>
        <v/>
      </c>
    </row>
    <row r="129" spans="1:12">
      <c r="A129" s="17">
        <v>119</v>
      </c>
      <c r="B129" s="17">
        <v>3</v>
      </c>
      <c r="C129" s="17">
        <v>5</v>
      </c>
      <c r="D129" s="17" t="s">
        <v>493</v>
      </c>
      <c r="E129" s="17">
        <v>0.35299999999999998</v>
      </c>
      <c r="F129" s="17">
        <f t="shared" si="13"/>
        <v>3.2000000000000028E-2</v>
      </c>
      <c r="G129" s="1">
        <f t="shared" si="7"/>
        <v>0.3362986577181209</v>
      </c>
      <c r="H129" s="1">
        <f t="shared" si="8"/>
        <v>0.75475628362255476</v>
      </c>
      <c r="I129" s="1">
        <f t="shared" si="9"/>
        <v>0.51402999999999932</v>
      </c>
      <c r="J129" s="1">
        <f t="shared" si="10"/>
        <v>0.15734006734006714</v>
      </c>
      <c r="K129" s="17" t="str">
        <f t="shared" si="11"/>
        <v/>
      </c>
      <c r="L129" s="17" t="str">
        <f t="shared" si="12"/>
        <v/>
      </c>
    </row>
    <row r="130" spans="1:12">
      <c r="A130" s="17">
        <v>120</v>
      </c>
      <c r="B130" s="17">
        <v>3</v>
      </c>
      <c r="C130" s="17">
        <v>4</v>
      </c>
      <c r="D130" s="17" t="s">
        <v>494</v>
      </c>
      <c r="E130" s="17">
        <v>0.501</v>
      </c>
      <c r="F130" s="17">
        <f t="shared" si="13"/>
        <v>0.14800000000000002</v>
      </c>
      <c r="G130" s="1">
        <f t="shared" si="7"/>
        <v>0.3362986577181209</v>
      </c>
      <c r="H130" s="1">
        <f t="shared" si="8"/>
        <v>0.75475628362255476</v>
      </c>
      <c r="I130" s="1">
        <f t="shared" si="9"/>
        <v>0.51402999999999932</v>
      </c>
      <c r="J130" s="1">
        <f t="shared" si="10"/>
        <v>0.15734006734006714</v>
      </c>
      <c r="K130" s="17" t="str">
        <f t="shared" si="11"/>
        <v/>
      </c>
      <c r="L130" s="17" t="str">
        <f t="shared" si="12"/>
        <v/>
      </c>
    </row>
    <row r="131" spans="1:12">
      <c r="A131" s="17">
        <v>121</v>
      </c>
      <c r="B131" s="17">
        <v>3</v>
      </c>
      <c r="C131" s="17">
        <v>3</v>
      </c>
      <c r="D131" s="17" t="s">
        <v>495</v>
      </c>
      <c r="E131" s="17">
        <v>0.253</v>
      </c>
      <c r="F131" s="17">
        <f t="shared" si="13"/>
        <v>0.248</v>
      </c>
      <c r="G131" s="1">
        <f t="shared" si="7"/>
        <v>0.3362986577181209</v>
      </c>
      <c r="H131" s="1">
        <f t="shared" si="8"/>
        <v>0.75475628362255476</v>
      </c>
      <c r="I131" s="1">
        <f t="shared" si="9"/>
        <v>0.51402999999999932</v>
      </c>
      <c r="J131" s="1">
        <f t="shared" si="10"/>
        <v>0.15734006734006714</v>
      </c>
      <c r="K131" s="17" t="str">
        <f t="shared" si="11"/>
        <v/>
      </c>
      <c r="L131" s="17" t="str">
        <f t="shared" si="12"/>
        <v/>
      </c>
    </row>
    <row r="132" spans="1:12">
      <c r="A132" s="17">
        <v>122</v>
      </c>
      <c r="B132" s="17">
        <v>3</v>
      </c>
      <c r="C132" s="17">
        <v>2</v>
      </c>
      <c r="D132" s="17" t="s">
        <v>496</v>
      </c>
      <c r="E132" s="17">
        <v>0.34799999999999998</v>
      </c>
      <c r="F132" s="17">
        <f t="shared" si="13"/>
        <v>9.4999999999999973E-2</v>
      </c>
      <c r="G132" s="1">
        <f t="shared" si="7"/>
        <v>0.3362986577181209</v>
      </c>
      <c r="H132" s="1">
        <f t="shared" si="8"/>
        <v>0.75475628362255476</v>
      </c>
      <c r="I132" s="1">
        <f t="shared" si="9"/>
        <v>0.51402999999999932</v>
      </c>
      <c r="J132" s="1">
        <f t="shared" si="10"/>
        <v>0.15734006734006714</v>
      </c>
      <c r="K132" s="17" t="str">
        <f t="shared" si="11"/>
        <v/>
      </c>
      <c r="L132" s="17" t="str">
        <f t="shared" si="12"/>
        <v/>
      </c>
    </row>
    <row r="133" spans="1:12">
      <c r="A133" s="17">
        <v>123</v>
      </c>
      <c r="B133" s="17">
        <v>3</v>
      </c>
      <c r="C133" s="17">
        <v>1</v>
      </c>
      <c r="D133" s="17" t="s">
        <v>497</v>
      </c>
      <c r="E133" s="17">
        <v>0.29299999999999998</v>
      </c>
      <c r="F133" s="17">
        <f t="shared" si="13"/>
        <v>5.4999999999999993E-2</v>
      </c>
      <c r="G133" s="1">
        <f t="shared" si="7"/>
        <v>0.3362986577181209</v>
      </c>
      <c r="H133" s="1">
        <f t="shared" si="8"/>
        <v>0.75475628362255476</v>
      </c>
      <c r="I133" s="1">
        <f t="shared" si="9"/>
        <v>0.51402999999999932</v>
      </c>
      <c r="J133" s="1">
        <f t="shared" si="10"/>
        <v>0.15734006734006714</v>
      </c>
      <c r="K133" s="17" t="str">
        <f t="shared" si="11"/>
        <v/>
      </c>
      <c r="L133" s="17" t="str">
        <f t="shared" si="12"/>
        <v/>
      </c>
    </row>
    <row r="134" spans="1:12">
      <c r="A134" s="17">
        <v>124</v>
      </c>
      <c r="B134" s="17">
        <v>3</v>
      </c>
      <c r="C134" s="17">
        <v>25</v>
      </c>
      <c r="D134" s="17" t="s">
        <v>498</v>
      </c>
      <c r="E134" s="17">
        <v>0.191</v>
      </c>
      <c r="F134" s="17">
        <f t="shared" si="13"/>
        <v>0.10199999999999998</v>
      </c>
      <c r="G134" s="1">
        <f t="shared" si="7"/>
        <v>0.3362986577181209</v>
      </c>
      <c r="H134" s="1">
        <f t="shared" si="8"/>
        <v>0.75475628362255476</v>
      </c>
      <c r="I134" s="1">
        <f t="shared" si="9"/>
        <v>0.51402999999999932</v>
      </c>
      <c r="J134" s="1">
        <f t="shared" si="10"/>
        <v>0.15734006734006714</v>
      </c>
      <c r="K134" s="17" t="str">
        <f t="shared" si="11"/>
        <v/>
      </c>
      <c r="L134" s="17" t="str">
        <f t="shared" si="12"/>
        <v/>
      </c>
    </row>
    <row r="135" spans="1:12">
      <c r="A135" s="17">
        <v>125</v>
      </c>
      <c r="B135" s="17">
        <v>3</v>
      </c>
      <c r="C135" s="17">
        <v>24</v>
      </c>
      <c r="D135" s="17" t="s">
        <v>499</v>
      </c>
      <c r="E135" s="17">
        <v>0.16500000000000001</v>
      </c>
      <c r="F135" s="17">
        <f t="shared" si="13"/>
        <v>2.5999999999999995E-2</v>
      </c>
      <c r="G135" s="1">
        <f t="shared" si="7"/>
        <v>0.3362986577181209</v>
      </c>
      <c r="H135" s="1">
        <f t="shared" si="8"/>
        <v>0.75475628362255476</v>
      </c>
      <c r="I135" s="1">
        <f t="shared" si="9"/>
        <v>0.51402999999999932</v>
      </c>
      <c r="J135" s="1">
        <f t="shared" si="10"/>
        <v>0.15734006734006714</v>
      </c>
      <c r="K135" s="17" t="str">
        <f t="shared" si="11"/>
        <v/>
      </c>
      <c r="L135" s="17" t="str">
        <f t="shared" si="12"/>
        <v/>
      </c>
    </row>
    <row r="136" spans="1:12">
      <c r="A136" s="17">
        <v>126</v>
      </c>
      <c r="B136" s="17">
        <v>3</v>
      </c>
      <c r="C136" s="17">
        <v>23</v>
      </c>
      <c r="D136" s="17" t="s">
        <v>500</v>
      </c>
      <c r="E136" s="17">
        <v>0.161</v>
      </c>
      <c r="F136" s="17">
        <f t="shared" si="13"/>
        <v>4.0000000000000036E-3</v>
      </c>
      <c r="G136" s="1">
        <f t="shared" si="7"/>
        <v>0.3362986577181209</v>
      </c>
      <c r="H136" s="1">
        <f t="shared" si="8"/>
        <v>0.75475628362255476</v>
      </c>
      <c r="I136" s="1">
        <f t="shared" si="9"/>
        <v>0.51402999999999932</v>
      </c>
      <c r="J136" s="1">
        <f t="shared" si="10"/>
        <v>0.15734006734006714</v>
      </c>
      <c r="K136" s="17" t="str">
        <f t="shared" si="11"/>
        <v/>
      </c>
      <c r="L136" s="17" t="str">
        <f t="shared" si="12"/>
        <v/>
      </c>
    </row>
    <row r="137" spans="1:12">
      <c r="A137" s="17">
        <v>127</v>
      </c>
      <c r="B137" s="17">
        <v>3</v>
      </c>
      <c r="C137" s="17">
        <v>22</v>
      </c>
      <c r="D137" s="17" t="s">
        <v>501</v>
      </c>
      <c r="E137" s="17">
        <v>0.124</v>
      </c>
      <c r="F137" s="17">
        <f t="shared" si="13"/>
        <v>3.7000000000000005E-2</v>
      </c>
      <c r="G137" s="1">
        <f t="shared" si="7"/>
        <v>0.3362986577181209</v>
      </c>
      <c r="H137" s="1">
        <f t="shared" si="8"/>
        <v>0.75475628362255476</v>
      </c>
      <c r="I137" s="1">
        <f t="shared" si="9"/>
        <v>0.51402999999999932</v>
      </c>
      <c r="J137" s="1">
        <f t="shared" si="10"/>
        <v>0.15734006734006714</v>
      </c>
      <c r="K137" s="17" t="str">
        <f t="shared" si="11"/>
        <v/>
      </c>
      <c r="L137" s="17" t="str">
        <f t="shared" si="12"/>
        <v/>
      </c>
    </row>
    <row r="138" spans="1:12">
      <c r="A138" s="17">
        <v>128</v>
      </c>
      <c r="B138" s="17">
        <v>3</v>
      </c>
      <c r="C138" s="17">
        <v>21</v>
      </c>
      <c r="D138" s="17" t="s">
        <v>502</v>
      </c>
      <c r="E138" s="17">
        <v>7.0000000000000007E-2</v>
      </c>
      <c r="F138" s="17">
        <f t="shared" si="13"/>
        <v>5.3999999999999992E-2</v>
      </c>
      <c r="G138" s="1">
        <f t="shared" si="7"/>
        <v>0.3362986577181209</v>
      </c>
      <c r="H138" s="1">
        <f t="shared" si="8"/>
        <v>0.75475628362255476</v>
      </c>
      <c r="I138" s="1">
        <f t="shared" si="9"/>
        <v>0.51402999999999932</v>
      </c>
      <c r="J138" s="1">
        <f t="shared" si="10"/>
        <v>0.15734006734006714</v>
      </c>
      <c r="K138" s="17" t="str">
        <f t="shared" si="11"/>
        <v/>
      </c>
      <c r="L138" s="17" t="str">
        <f t="shared" si="12"/>
        <v/>
      </c>
    </row>
    <row r="139" spans="1:12">
      <c r="A139" s="17">
        <v>129</v>
      </c>
      <c r="B139" s="17">
        <v>3</v>
      </c>
      <c r="C139" s="17">
        <v>20</v>
      </c>
      <c r="D139" s="17" t="s">
        <v>503</v>
      </c>
      <c r="E139" s="17">
        <v>0.22500000000000001</v>
      </c>
      <c r="F139" s="17">
        <f t="shared" si="13"/>
        <v>0.155</v>
      </c>
      <c r="G139" s="1">
        <f t="shared" ref="G139:G202" si="14">$Q$4</f>
        <v>0.3362986577181209</v>
      </c>
      <c r="H139" s="1">
        <f t="shared" ref="H139:H202" si="15">$Q$7</f>
        <v>0.75475628362255476</v>
      </c>
      <c r="I139" s="1">
        <f t="shared" ref="I139:I202" si="16">$Q$8</f>
        <v>0.51402999999999932</v>
      </c>
      <c r="J139" s="1">
        <f t="shared" ref="J139:J202" si="17">$Q$5</f>
        <v>0.15734006734006714</v>
      </c>
      <c r="K139" s="17" t="str">
        <f t="shared" ref="K139:K202" si="18">IF(E139&gt;$Q$7,"OOC","" )</f>
        <v/>
      </c>
      <c r="L139" s="17" t="str">
        <f t="shared" ref="L139:L202" si="19">IF(E139&gt;$B$4,"OOS","" )</f>
        <v/>
      </c>
    </row>
    <row r="140" spans="1:12">
      <c r="A140" s="17">
        <v>130</v>
      </c>
      <c r="B140" s="17">
        <v>3</v>
      </c>
      <c r="C140" s="17">
        <v>19</v>
      </c>
      <c r="D140" s="17" t="s">
        <v>504</v>
      </c>
      <c r="E140" s="17">
        <v>0.23100000000000001</v>
      </c>
      <c r="F140" s="17">
        <f t="shared" ref="F140:F203" si="20">ABS(E140-E139)</f>
        <v>6.0000000000000053E-3</v>
      </c>
      <c r="G140" s="1">
        <f t="shared" si="14"/>
        <v>0.3362986577181209</v>
      </c>
      <c r="H140" s="1">
        <f t="shared" si="15"/>
        <v>0.75475628362255476</v>
      </c>
      <c r="I140" s="1">
        <f t="shared" si="16"/>
        <v>0.51402999999999932</v>
      </c>
      <c r="J140" s="1">
        <f t="shared" si="17"/>
        <v>0.15734006734006714</v>
      </c>
      <c r="K140" s="17" t="str">
        <f t="shared" si="18"/>
        <v/>
      </c>
      <c r="L140" s="17" t="str">
        <f t="shared" si="19"/>
        <v/>
      </c>
    </row>
    <row r="141" spans="1:12">
      <c r="A141" s="17">
        <v>131</v>
      </c>
      <c r="B141" s="17">
        <v>3</v>
      </c>
      <c r="C141" s="17">
        <v>18</v>
      </c>
      <c r="D141" s="17" t="s">
        <v>505</v>
      </c>
      <c r="E141" s="17">
        <v>0.32900000000000001</v>
      </c>
      <c r="F141" s="17">
        <f t="shared" si="20"/>
        <v>9.8000000000000004E-2</v>
      </c>
      <c r="G141" s="1">
        <f t="shared" si="14"/>
        <v>0.3362986577181209</v>
      </c>
      <c r="H141" s="1">
        <f t="shared" si="15"/>
        <v>0.75475628362255476</v>
      </c>
      <c r="I141" s="1">
        <f t="shared" si="16"/>
        <v>0.51402999999999932</v>
      </c>
      <c r="J141" s="1">
        <f t="shared" si="17"/>
        <v>0.15734006734006714</v>
      </c>
      <c r="K141" s="17" t="str">
        <f t="shared" si="18"/>
        <v/>
      </c>
      <c r="L141" s="17" t="str">
        <f t="shared" si="19"/>
        <v/>
      </c>
    </row>
    <row r="142" spans="1:12">
      <c r="A142" s="17">
        <v>132</v>
      </c>
      <c r="B142" s="17">
        <v>3</v>
      </c>
      <c r="C142" s="17">
        <v>17</v>
      </c>
      <c r="D142" s="17" t="s">
        <v>506</v>
      </c>
      <c r="E142" s="17">
        <v>0.109</v>
      </c>
      <c r="F142" s="17">
        <f t="shared" si="20"/>
        <v>0.22000000000000003</v>
      </c>
      <c r="G142" s="1">
        <f t="shared" si="14"/>
        <v>0.3362986577181209</v>
      </c>
      <c r="H142" s="1">
        <f t="shared" si="15"/>
        <v>0.75475628362255476</v>
      </c>
      <c r="I142" s="1">
        <f t="shared" si="16"/>
        <v>0.51402999999999932</v>
      </c>
      <c r="J142" s="1">
        <f t="shared" si="17"/>
        <v>0.15734006734006714</v>
      </c>
      <c r="K142" s="17" t="str">
        <f t="shared" si="18"/>
        <v/>
      </c>
      <c r="L142" s="17" t="str">
        <f t="shared" si="19"/>
        <v/>
      </c>
    </row>
    <row r="143" spans="1:12">
      <c r="A143" s="17">
        <v>133</v>
      </c>
      <c r="B143" s="17">
        <v>3</v>
      </c>
      <c r="C143" s="17">
        <v>16</v>
      </c>
      <c r="D143" s="17" t="s">
        <v>507</v>
      </c>
      <c r="E143" s="17">
        <v>0.624</v>
      </c>
      <c r="F143" s="17">
        <f t="shared" si="20"/>
        <v>0.51500000000000001</v>
      </c>
      <c r="G143" s="1">
        <f t="shared" si="14"/>
        <v>0.3362986577181209</v>
      </c>
      <c r="H143" s="1">
        <f t="shared" si="15"/>
        <v>0.75475628362255476</v>
      </c>
      <c r="I143" s="1">
        <f t="shared" si="16"/>
        <v>0.51402999999999932</v>
      </c>
      <c r="J143" s="1">
        <f t="shared" si="17"/>
        <v>0.15734006734006714</v>
      </c>
      <c r="K143" s="17" t="str">
        <f t="shared" si="18"/>
        <v/>
      </c>
      <c r="L143" s="17" t="str">
        <f t="shared" si="19"/>
        <v/>
      </c>
    </row>
    <row r="144" spans="1:12">
      <c r="A144" s="17">
        <v>134</v>
      </c>
      <c r="B144" s="17">
        <v>3</v>
      </c>
      <c r="C144" s="17">
        <v>15</v>
      </c>
      <c r="D144" s="17" t="s">
        <v>508</v>
      </c>
      <c r="E144" s="17">
        <v>0.38200000000000001</v>
      </c>
      <c r="F144" s="17">
        <f t="shared" si="20"/>
        <v>0.24199999999999999</v>
      </c>
      <c r="G144" s="1">
        <f t="shared" si="14"/>
        <v>0.3362986577181209</v>
      </c>
      <c r="H144" s="1">
        <f t="shared" si="15"/>
        <v>0.75475628362255476</v>
      </c>
      <c r="I144" s="1">
        <f t="shared" si="16"/>
        <v>0.51402999999999932</v>
      </c>
      <c r="J144" s="1">
        <f t="shared" si="17"/>
        <v>0.15734006734006714</v>
      </c>
      <c r="K144" s="17" t="str">
        <f t="shared" si="18"/>
        <v/>
      </c>
      <c r="L144" s="17" t="str">
        <f t="shared" si="19"/>
        <v/>
      </c>
    </row>
    <row r="145" spans="1:12">
      <c r="A145" s="17">
        <v>135</v>
      </c>
      <c r="B145" s="17">
        <v>3</v>
      </c>
      <c r="C145" s="17">
        <v>14</v>
      </c>
      <c r="D145" s="17" t="s">
        <v>509</v>
      </c>
      <c r="E145" s="17">
        <v>0.436</v>
      </c>
      <c r="F145" s="17">
        <f t="shared" si="20"/>
        <v>5.3999999999999992E-2</v>
      </c>
      <c r="G145" s="1">
        <f t="shared" si="14"/>
        <v>0.3362986577181209</v>
      </c>
      <c r="H145" s="1">
        <f t="shared" si="15"/>
        <v>0.75475628362255476</v>
      </c>
      <c r="I145" s="1">
        <f t="shared" si="16"/>
        <v>0.51402999999999932</v>
      </c>
      <c r="J145" s="1">
        <f t="shared" si="17"/>
        <v>0.15734006734006714</v>
      </c>
      <c r="K145" s="17" t="str">
        <f t="shared" si="18"/>
        <v/>
      </c>
      <c r="L145" s="17" t="str">
        <f t="shared" si="19"/>
        <v/>
      </c>
    </row>
    <row r="146" spans="1:12">
      <c r="A146" s="17">
        <v>136</v>
      </c>
      <c r="B146" s="17">
        <v>3</v>
      </c>
      <c r="C146" s="17">
        <v>13</v>
      </c>
      <c r="D146" s="17" t="s">
        <v>510</v>
      </c>
      <c r="E146" s="17">
        <v>0.621</v>
      </c>
      <c r="F146" s="17">
        <f t="shared" si="20"/>
        <v>0.185</v>
      </c>
      <c r="G146" s="1">
        <f t="shared" si="14"/>
        <v>0.3362986577181209</v>
      </c>
      <c r="H146" s="1">
        <f t="shared" si="15"/>
        <v>0.75475628362255476</v>
      </c>
      <c r="I146" s="1">
        <f t="shared" si="16"/>
        <v>0.51402999999999932</v>
      </c>
      <c r="J146" s="1">
        <f t="shared" si="17"/>
        <v>0.15734006734006714</v>
      </c>
      <c r="K146" s="17" t="str">
        <f t="shared" si="18"/>
        <v/>
      </c>
      <c r="L146" s="17" t="str">
        <f t="shared" si="19"/>
        <v/>
      </c>
    </row>
    <row r="147" spans="1:12">
      <c r="A147" s="17">
        <v>137</v>
      </c>
      <c r="B147" s="17">
        <v>3</v>
      </c>
      <c r="C147" s="17">
        <v>12</v>
      </c>
      <c r="D147" s="17" t="s">
        <v>511</v>
      </c>
      <c r="E147" s="17">
        <v>0.33100000000000002</v>
      </c>
      <c r="F147" s="17">
        <f t="shared" si="20"/>
        <v>0.28999999999999998</v>
      </c>
      <c r="G147" s="1">
        <f t="shared" si="14"/>
        <v>0.3362986577181209</v>
      </c>
      <c r="H147" s="1">
        <f t="shared" si="15"/>
        <v>0.75475628362255476</v>
      </c>
      <c r="I147" s="1">
        <f t="shared" si="16"/>
        <v>0.51402999999999932</v>
      </c>
      <c r="J147" s="1">
        <f t="shared" si="17"/>
        <v>0.15734006734006714</v>
      </c>
      <c r="K147" s="17" t="str">
        <f t="shared" si="18"/>
        <v/>
      </c>
      <c r="L147" s="17" t="str">
        <f t="shared" si="19"/>
        <v/>
      </c>
    </row>
    <row r="148" spans="1:12">
      <c r="A148" s="17">
        <v>138</v>
      </c>
      <c r="B148" s="17">
        <v>3</v>
      </c>
      <c r="C148" s="17">
        <v>11</v>
      </c>
      <c r="D148" s="17" t="s">
        <v>512</v>
      </c>
      <c r="E148" s="17">
        <v>0.33800000000000002</v>
      </c>
      <c r="F148" s="17">
        <f t="shared" si="20"/>
        <v>7.0000000000000062E-3</v>
      </c>
      <c r="G148" s="1">
        <f t="shared" si="14"/>
        <v>0.3362986577181209</v>
      </c>
      <c r="H148" s="1">
        <f t="shared" si="15"/>
        <v>0.75475628362255476</v>
      </c>
      <c r="I148" s="1">
        <f t="shared" si="16"/>
        <v>0.51402999999999932</v>
      </c>
      <c r="J148" s="1">
        <f t="shared" si="17"/>
        <v>0.15734006734006714</v>
      </c>
      <c r="K148" s="17" t="str">
        <f t="shared" si="18"/>
        <v/>
      </c>
      <c r="L148" s="17" t="str">
        <f t="shared" si="19"/>
        <v/>
      </c>
    </row>
    <row r="149" spans="1:12">
      <c r="A149" s="17">
        <v>139</v>
      </c>
      <c r="B149" s="17">
        <v>3</v>
      </c>
      <c r="C149" s="17">
        <v>10</v>
      </c>
      <c r="D149" s="17" t="s">
        <v>513</v>
      </c>
      <c r="E149" s="17">
        <v>0.64700000000000002</v>
      </c>
      <c r="F149" s="17">
        <f t="shared" si="20"/>
        <v>0.309</v>
      </c>
      <c r="G149" s="1">
        <f t="shared" si="14"/>
        <v>0.3362986577181209</v>
      </c>
      <c r="H149" s="1">
        <f t="shared" si="15"/>
        <v>0.75475628362255476</v>
      </c>
      <c r="I149" s="1">
        <f t="shared" si="16"/>
        <v>0.51402999999999932</v>
      </c>
      <c r="J149" s="1">
        <f t="shared" si="17"/>
        <v>0.15734006734006714</v>
      </c>
      <c r="K149" s="17" t="str">
        <f t="shared" si="18"/>
        <v/>
      </c>
      <c r="L149" s="17" t="str">
        <f t="shared" si="19"/>
        <v/>
      </c>
    </row>
    <row r="150" spans="1:12">
      <c r="A150" s="17">
        <v>140</v>
      </c>
      <c r="B150" s="17">
        <v>3</v>
      </c>
      <c r="C150" s="17">
        <v>9</v>
      </c>
      <c r="D150" s="17" t="s">
        <v>514</v>
      </c>
      <c r="E150" s="17">
        <v>0.38400000000000001</v>
      </c>
      <c r="F150" s="17">
        <f t="shared" si="20"/>
        <v>0.26300000000000001</v>
      </c>
      <c r="G150" s="1">
        <f t="shared" si="14"/>
        <v>0.3362986577181209</v>
      </c>
      <c r="H150" s="1">
        <f t="shared" si="15"/>
        <v>0.75475628362255476</v>
      </c>
      <c r="I150" s="1">
        <f t="shared" si="16"/>
        <v>0.51402999999999932</v>
      </c>
      <c r="J150" s="1">
        <f t="shared" si="17"/>
        <v>0.15734006734006714</v>
      </c>
      <c r="K150" s="17" t="str">
        <f t="shared" si="18"/>
        <v/>
      </c>
      <c r="L150" s="17" t="str">
        <f t="shared" si="19"/>
        <v/>
      </c>
    </row>
    <row r="151" spans="1:12">
      <c r="A151" s="17">
        <v>141</v>
      </c>
      <c r="B151" s="17">
        <v>3</v>
      </c>
      <c r="C151" s="17">
        <v>8</v>
      </c>
      <c r="D151" s="17" t="s">
        <v>515</v>
      </c>
      <c r="E151" s="17">
        <v>0.53400000000000003</v>
      </c>
      <c r="F151" s="17">
        <f t="shared" si="20"/>
        <v>0.15000000000000002</v>
      </c>
      <c r="G151" s="1">
        <f t="shared" si="14"/>
        <v>0.3362986577181209</v>
      </c>
      <c r="H151" s="1">
        <f t="shared" si="15"/>
        <v>0.75475628362255476</v>
      </c>
      <c r="I151" s="1">
        <f t="shared" si="16"/>
        <v>0.51402999999999932</v>
      </c>
      <c r="J151" s="1">
        <f t="shared" si="17"/>
        <v>0.15734006734006714</v>
      </c>
      <c r="K151" s="17" t="str">
        <f t="shared" si="18"/>
        <v/>
      </c>
      <c r="L151" s="17" t="str">
        <f t="shared" si="19"/>
        <v/>
      </c>
    </row>
    <row r="152" spans="1:12">
      <c r="A152" s="17">
        <v>142</v>
      </c>
      <c r="B152" s="17">
        <v>3</v>
      </c>
      <c r="C152" s="17">
        <v>7</v>
      </c>
      <c r="D152" s="17" t="s">
        <v>516</v>
      </c>
      <c r="E152" s="17">
        <v>0.49299999999999999</v>
      </c>
      <c r="F152" s="17">
        <f t="shared" si="20"/>
        <v>4.1000000000000036E-2</v>
      </c>
      <c r="G152" s="1">
        <f t="shared" si="14"/>
        <v>0.3362986577181209</v>
      </c>
      <c r="H152" s="1">
        <f t="shared" si="15"/>
        <v>0.75475628362255476</v>
      </c>
      <c r="I152" s="1">
        <f t="shared" si="16"/>
        <v>0.51402999999999932</v>
      </c>
      <c r="J152" s="1">
        <f t="shared" si="17"/>
        <v>0.15734006734006714</v>
      </c>
      <c r="K152" s="17" t="str">
        <f t="shared" si="18"/>
        <v/>
      </c>
      <c r="L152" s="17" t="str">
        <f t="shared" si="19"/>
        <v/>
      </c>
    </row>
    <row r="153" spans="1:12">
      <c r="A153" s="17">
        <v>143</v>
      </c>
      <c r="B153" s="17">
        <v>3</v>
      </c>
      <c r="C153" s="17">
        <v>6</v>
      </c>
      <c r="D153" s="17" t="s">
        <v>517</v>
      </c>
      <c r="E153" s="17">
        <v>0.28699999999999998</v>
      </c>
      <c r="F153" s="17">
        <f t="shared" si="20"/>
        <v>0.20600000000000002</v>
      </c>
      <c r="G153" s="1">
        <f t="shared" si="14"/>
        <v>0.3362986577181209</v>
      </c>
      <c r="H153" s="1">
        <f t="shared" si="15"/>
        <v>0.75475628362255476</v>
      </c>
      <c r="I153" s="1">
        <f t="shared" si="16"/>
        <v>0.51402999999999932</v>
      </c>
      <c r="J153" s="1">
        <f t="shared" si="17"/>
        <v>0.15734006734006714</v>
      </c>
      <c r="K153" s="17" t="str">
        <f t="shared" si="18"/>
        <v/>
      </c>
      <c r="L153" s="17" t="str">
        <f t="shared" si="19"/>
        <v/>
      </c>
    </row>
    <row r="154" spans="1:12">
      <c r="A154" s="17">
        <v>144</v>
      </c>
      <c r="B154" s="17">
        <v>3</v>
      </c>
      <c r="C154" s="17">
        <v>5</v>
      </c>
      <c r="D154" s="17" t="s">
        <v>518</v>
      </c>
      <c r="E154" s="17">
        <v>0.19700000000000001</v>
      </c>
      <c r="F154" s="17">
        <f t="shared" si="20"/>
        <v>8.9999999999999969E-2</v>
      </c>
      <c r="G154" s="1">
        <f t="shared" si="14"/>
        <v>0.3362986577181209</v>
      </c>
      <c r="H154" s="1">
        <f t="shared" si="15"/>
        <v>0.75475628362255476</v>
      </c>
      <c r="I154" s="1">
        <f t="shared" si="16"/>
        <v>0.51402999999999932</v>
      </c>
      <c r="J154" s="1">
        <f t="shared" si="17"/>
        <v>0.15734006734006714</v>
      </c>
      <c r="K154" s="17" t="str">
        <f t="shared" si="18"/>
        <v/>
      </c>
      <c r="L154" s="17" t="str">
        <f t="shared" si="19"/>
        <v/>
      </c>
    </row>
    <row r="155" spans="1:12">
      <c r="A155" s="17">
        <v>145</v>
      </c>
      <c r="B155" s="17">
        <v>3</v>
      </c>
      <c r="C155" s="17">
        <v>4</v>
      </c>
      <c r="D155" s="17" t="s">
        <v>519</v>
      </c>
      <c r="E155" s="17">
        <v>0.30499999999999999</v>
      </c>
      <c r="F155" s="17">
        <f t="shared" si="20"/>
        <v>0.10799999999999998</v>
      </c>
      <c r="G155" s="1">
        <f t="shared" si="14"/>
        <v>0.3362986577181209</v>
      </c>
      <c r="H155" s="1">
        <f t="shared" si="15"/>
        <v>0.75475628362255476</v>
      </c>
      <c r="I155" s="1">
        <f t="shared" si="16"/>
        <v>0.51402999999999932</v>
      </c>
      <c r="J155" s="1">
        <f t="shared" si="17"/>
        <v>0.15734006734006714</v>
      </c>
      <c r="K155" s="17" t="str">
        <f t="shared" si="18"/>
        <v/>
      </c>
      <c r="L155" s="17" t="str">
        <f t="shared" si="19"/>
        <v/>
      </c>
    </row>
    <row r="156" spans="1:12">
      <c r="A156" s="17">
        <v>146</v>
      </c>
      <c r="B156" s="17">
        <v>3</v>
      </c>
      <c r="C156" s="17">
        <v>3</v>
      </c>
      <c r="D156" s="17" t="s">
        <v>520</v>
      </c>
      <c r="E156" s="17">
        <v>0.49099999999999999</v>
      </c>
      <c r="F156" s="17">
        <f t="shared" si="20"/>
        <v>0.186</v>
      </c>
      <c r="G156" s="1">
        <f t="shared" si="14"/>
        <v>0.3362986577181209</v>
      </c>
      <c r="H156" s="1">
        <f t="shared" si="15"/>
        <v>0.75475628362255476</v>
      </c>
      <c r="I156" s="1">
        <f t="shared" si="16"/>
        <v>0.51402999999999932</v>
      </c>
      <c r="J156" s="1">
        <f t="shared" si="17"/>
        <v>0.15734006734006714</v>
      </c>
      <c r="K156" s="17" t="str">
        <f t="shared" si="18"/>
        <v/>
      </c>
      <c r="L156" s="17" t="str">
        <f t="shared" si="19"/>
        <v/>
      </c>
    </row>
    <row r="157" spans="1:12">
      <c r="A157" s="17">
        <v>147</v>
      </c>
      <c r="B157" s="17">
        <v>3</v>
      </c>
      <c r="C157" s="17">
        <v>2</v>
      </c>
      <c r="D157" s="17" t="s">
        <v>521</v>
      </c>
      <c r="E157" s="17">
        <v>0.28399999999999997</v>
      </c>
      <c r="F157" s="17">
        <f t="shared" si="20"/>
        <v>0.20700000000000002</v>
      </c>
      <c r="G157" s="1">
        <f t="shared" si="14"/>
        <v>0.3362986577181209</v>
      </c>
      <c r="H157" s="1">
        <f t="shared" si="15"/>
        <v>0.75475628362255476</v>
      </c>
      <c r="I157" s="1">
        <f t="shared" si="16"/>
        <v>0.51402999999999932</v>
      </c>
      <c r="J157" s="1">
        <f t="shared" si="17"/>
        <v>0.15734006734006714</v>
      </c>
      <c r="K157" s="17" t="str">
        <f t="shared" si="18"/>
        <v/>
      </c>
      <c r="L157" s="17" t="str">
        <f t="shared" si="19"/>
        <v/>
      </c>
    </row>
    <row r="158" spans="1:12">
      <c r="A158" s="17">
        <v>148</v>
      </c>
      <c r="B158" s="17">
        <v>3</v>
      </c>
      <c r="C158" s="17">
        <v>1</v>
      </c>
      <c r="D158" s="17" t="s">
        <v>522</v>
      </c>
      <c r="E158" s="17">
        <v>0.54400000000000004</v>
      </c>
      <c r="F158" s="17">
        <f t="shared" si="20"/>
        <v>0.26000000000000006</v>
      </c>
      <c r="G158" s="1">
        <f t="shared" si="14"/>
        <v>0.3362986577181209</v>
      </c>
      <c r="H158" s="1">
        <f t="shared" si="15"/>
        <v>0.75475628362255476</v>
      </c>
      <c r="I158" s="1">
        <f t="shared" si="16"/>
        <v>0.51402999999999932</v>
      </c>
      <c r="J158" s="1">
        <f t="shared" si="17"/>
        <v>0.15734006734006714</v>
      </c>
      <c r="K158" s="17" t="str">
        <f t="shared" si="18"/>
        <v/>
      </c>
      <c r="L158" s="17" t="str">
        <f t="shared" si="19"/>
        <v/>
      </c>
    </row>
    <row r="159" spans="1:12">
      <c r="A159" s="17">
        <v>149</v>
      </c>
      <c r="B159" s="17">
        <v>4</v>
      </c>
      <c r="C159" s="17">
        <v>25</v>
      </c>
      <c r="D159" s="17" t="s">
        <v>523</v>
      </c>
      <c r="E159" s="17">
        <v>0.13800000000000001</v>
      </c>
      <c r="F159" s="17">
        <f t="shared" si="20"/>
        <v>0.40600000000000003</v>
      </c>
      <c r="G159" s="1">
        <f t="shared" si="14"/>
        <v>0.3362986577181209</v>
      </c>
      <c r="H159" s="1">
        <f t="shared" si="15"/>
        <v>0.75475628362255476</v>
      </c>
      <c r="I159" s="1">
        <f t="shared" si="16"/>
        <v>0.51402999999999932</v>
      </c>
      <c r="J159" s="1">
        <f t="shared" si="17"/>
        <v>0.15734006734006714</v>
      </c>
      <c r="K159" s="17" t="str">
        <f t="shared" si="18"/>
        <v/>
      </c>
      <c r="L159" s="17" t="str">
        <f t="shared" si="19"/>
        <v/>
      </c>
    </row>
    <row r="160" spans="1:12">
      <c r="A160" s="17">
        <v>150</v>
      </c>
      <c r="B160" s="17">
        <v>4</v>
      </c>
      <c r="C160" s="17">
        <v>24</v>
      </c>
      <c r="D160" s="17" t="s">
        <v>524</v>
      </c>
      <c r="E160" s="17">
        <v>0.21099999999999999</v>
      </c>
      <c r="F160" s="17">
        <f t="shared" si="20"/>
        <v>7.2999999999999982E-2</v>
      </c>
      <c r="G160" s="1">
        <f t="shared" si="14"/>
        <v>0.3362986577181209</v>
      </c>
      <c r="H160" s="1">
        <f t="shared" si="15"/>
        <v>0.75475628362255476</v>
      </c>
      <c r="I160" s="1">
        <f t="shared" si="16"/>
        <v>0.51402999999999932</v>
      </c>
      <c r="J160" s="1">
        <f t="shared" si="17"/>
        <v>0.15734006734006714</v>
      </c>
      <c r="K160" s="17" t="str">
        <f t="shared" si="18"/>
        <v/>
      </c>
      <c r="L160" s="17" t="str">
        <f t="shared" si="19"/>
        <v/>
      </c>
    </row>
    <row r="161" spans="1:12">
      <c r="A161" s="17">
        <v>151</v>
      </c>
      <c r="B161" s="17">
        <v>4</v>
      </c>
      <c r="C161" s="17">
        <v>23</v>
      </c>
      <c r="D161" s="17" t="s">
        <v>525</v>
      </c>
      <c r="E161" s="17">
        <v>0.251</v>
      </c>
      <c r="F161" s="17">
        <f t="shared" si="20"/>
        <v>4.0000000000000008E-2</v>
      </c>
      <c r="G161" s="1">
        <f t="shared" si="14"/>
        <v>0.3362986577181209</v>
      </c>
      <c r="H161" s="1">
        <f t="shared" si="15"/>
        <v>0.75475628362255476</v>
      </c>
      <c r="I161" s="1">
        <f t="shared" si="16"/>
        <v>0.51402999999999932</v>
      </c>
      <c r="J161" s="1">
        <f t="shared" si="17"/>
        <v>0.15734006734006714</v>
      </c>
      <c r="K161" s="17" t="str">
        <f t="shared" si="18"/>
        <v/>
      </c>
      <c r="L161" s="17" t="str">
        <f t="shared" si="19"/>
        <v/>
      </c>
    </row>
    <row r="162" spans="1:12">
      <c r="A162" s="17">
        <v>152</v>
      </c>
      <c r="B162" s="17">
        <v>4</v>
      </c>
      <c r="C162" s="17">
        <v>22</v>
      </c>
      <c r="D162" s="17" t="s">
        <v>526</v>
      </c>
      <c r="E162" s="17">
        <v>0.27400000000000002</v>
      </c>
      <c r="F162" s="17">
        <f t="shared" si="20"/>
        <v>2.300000000000002E-2</v>
      </c>
      <c r="G162" s="1">
        <f t="shared" si="14"/>
        <v>0.3362986577181209</v>
      </c>
      <c r="H162" s="1">
        <f t="shared" si="15"/>
        <v>0.75475628362255476</v>
      </c>
      <c r="I162" s="1">
        <f t="shared" si="16"/>
        <v>0.51402999999999932</v>
      </c>
      <c r="J162" s="1">
        <f t="shared" si="17"/>
        <v>0.15734006734006714</v>
      </c>
      <c r="K162" s="17" t="str">
        <f t="shared" si="18"/>
        <v/>
      </c>
      <c r="L162" s="17" t="str">
        <f t="shared" si="19"/>
        <v/>
      </c>
    </row>
    <row r="163" spans="1:12">
      <c r="A163" s="17">
        <v>153</v>
      </c>
      <c r="B163" s="17">
        <v>4</v>
      </c>
      <c r="C163" s="17">
        <v>21</v>
      </c>
      <c r="D163" s="17" t="s">
        <v>527</v>
      </c>
      <c r="E163" s="17">
        <v>0.14399999999999999</v>
      </c>
      <c r="F163" s="17">
        <f t="shared" si="20"/>
        <v>0.13000000000000003</v>
      </c>
      <c r="G163" s="1">
        <f t="shared" si="14"/>
        <v>0.3362986577181209</v>
      </c>
      <c r="H163" s="1">
        <f t="shared" si="15"/>
        <v>0.75475628362255476</v>
      </c>
      <c r="I163" s="1">
        <f t="shared" si="16"/>
        <v>0.51402999999999932</v>
      </c>
      <c r="J163" s="1">
        <f t="shared" si="17"/>
        <v>0.15734006734006714</v>
      </c>
      <c r="K163" s="17" t="str">
        <f t="shared" si="18"/>
        <v/>
      </c>
      <c r="L163" s="17" t="str">
        <f t="shared" si="19"/>
        <v/>
      </c>
    </row>
    <row r="164" spans="1:12">
      <c r="A164" s="17">
        <v>154</v>
      </c>
      <c r="B164" s="17">
        <v>4</v>
      </c>
      <c r="C164" s="17">
        <v>20</v>
      </c>
      <c r="D164" s="17" t="s">
        <v>528</v>
      </c>
      <c r="E164" s="17">
        <v>0.106</v>
      </c>
      <c r="F164" s="17">
        <f t="shared" si="20"/>
        <v>3.7999999999999992E-2</v>
      </c>
      <c r="G164" s="1">
        <f t="shared" si="14"/>
        <v>0.3362986577181209</v>
      </c>
      <c r="H164" s="1">
        <f t="shared" si="15"/>
        <v>0.75475628362255476</v>
      </c>
      <c r="I164" s="1">
        <f t="shared" si="16"/>
        <v>0.51402999999999932</v>
      </c>
      <c r="J164" s="1">
        <f t="shared" si="17"/>
        <v>0.15734006734006714</v>
      </c>
      <c r="K164" s="17" t="str">
        <f t="shared" si="18"/>
        <v/>
      </c>
      <c r="L164" s="17" t="str">
        <f t="shared" si="19"/>
        <v/>
      </c>
    </row>
    <row r="165" spans="1:12">
      <c r="A165" s="17">
        <v>155</v>
      </c>
      <c r="B165" s="17">
        <v>4</v>
      </c>
      <c r="C165" s="17">
        <v>19</v>
      </c>
      <c r="D165" s="17" t="s">
        <v>529</v>
      </c>
      <c r="E165" s="17">
        <v>0.24199999999999999</v>
      </c>
      <c r="F165" s="17">
        <f t="shared" si="20"/>
        <v>0.13600000000000001</v>
      </c>
      <c r="G165" s="1">
        <f t="shared" si="14"/>
        <v>0.3362986577181209</v>
      </c>
      <c r="H165" s="1">
        <f t="shared" si="15"/>
        <v>0.75475628362255476</v>
      </c>
      <c r="I165" s="1">
        <f t="shared" si="16"/>
        <v>0.51402999999999932</v>
      </c>
      <c r="J165" s="1">
        <f t="shared" si="17"/>
        <v>0.15734006734006714</v>
      </c>
      <c r="K165" s="17" t="str">
        <f t="shared" si="18"/>
        <v/>
      </c>
      <c r="L165" s="17" t="str">
        <f t="shared" si="19"/>
        <v/>
      </c>
    </row>
    <row r="166" spans="1:12">
      <c r="A166" s="17">
        <v>156</v>
      </c>
      <c r="B166" s="17">
        <v>4</v>
      </c>
      <c r="C166" s="17">
        <v>18</v>
      </c>
      <c r="D166" s="17" t="s">
        <v>530</v>
      </c>
      <c r="E166" s="17">
        <v>0.308</v>
      </c>
      <c r="F166" s="17">
        <f t="shared" si="20"/>
        <v>6.6000000000000003E-2</v>
      </c>
      <c r="G166" s="1">
        <f t="shared" si="14"/>
        <v>0.3362986577181209</v>
      </c>
      <c r="H166" s="1">
        <f t="shared" si="15"/>
        <v>0.75475628362255476</v>
      </c>
      <c r="I166" s="1">
        <f t="shared" si="16"/>
        <v>0.51402999999999932</v>
      </c>
      <c r="J166" s="1">
        <f t="shared" si="17"/>
        <v>0.15734006734006714</v>
      </c>
      <c r="K166" s="17" t="str">
        <f t="shared" si="18"/>
        <v/>
      </c>
      <c r="L166" s="17" t="str">
        <f t="shared" si="19"/>
        <v/>
      </c>
    </row>
    <row r="167" spans="1:12">
      <c r="A167" s="17">
        <v>157</v>
      </c>
      <c r="B167" s="17">
        <v>4</v>
      </c>
      <c r="C167" s="17">
        <v>17</v>
      </c>
      <c r="D167" s="17" t="s">
        <v>531</v>
      </c>
      <c r="E167" s="17">
        <v>0.28899999999999998</v>
      </c>
      <c r="F167" s="17">
        <f t="shared" si="20"/>
        <v>1.9000000000000017E-2</v>
      </c>
      <c r="G167" s="1">
        <f t="shared" si="14"/>
        <v>0.3362986577181209</v>
      </c>
      <c r="H167" s="1">
        <f t="shared" si="15"/>
        <v>0.75475628362255476</v>
      </c>
      <c r="I167" s="1">
        <f t="shared" si="16"/>
        <v>0.51402999999999932</v>
      </c>
      <c r="J167" s="1">
        <f t="shared" si="17"/>
        <v>0.15734006734006714</v>
      </c>
      <c r="K167" s="17" t="str">
        <f t="shared" si="18"/>
        <v/>
      </c>
      <c r="L167" s="17" t="str">
        <f t="shared" si="19"/>
        <v/>
      </c>
    </row>
    <row r="168" spans="1:12">
      <c r="A168" s="17">
        <v>158</v>
      </c>
      <c r="B168" s="17">
        <v>4</v>
      </c>
      <c r="C168" s="17">
        <v>16</v>
      </c>
      <c r="D168" s="17" t="s">
        <v>532</v>
      </c>
      <c r="E168" s="17">
        <v>0.32200000000000001</v>
      </c>
      <c r="F168" s="17">
        <f t="shared" si="20"/>
        <v>3.3000000000000029E-2</v>
      </c>
      <c r="G168" s="1">
        <f t="shared" si="14"/>
        <v>0.3362986577181209</v>
      </c>
      <c r="H168" s="1">
        <f t="shared" si="15"/>
        <v>0.75475628362255476</v>
      </c>
      <c r="I168" s="1">
        <f t="shared" si="16"/>
        <v>0.51402999999999932</v>
      </c>
      <c r="J168" s="1">
        <f t="shared" si="17"/>
        <v>0.15734006734006714</v>
      </c>
      <c r="K168" s="17" t="str">
        <f t="shared" si="18"/>
        <v/>
      </c>
      <c r="L168" s="17" t="str">
        <f t="shared" si="19"/>
        <v/>
      </c>
    </row>
    <row r="169" spans="1:12">
      <c r="A169" s="17">
        <v>159</v>
      </c>
      <c r="B169" s="17">
        <v>4</v>
      </c>
      <c r="C169" s="17">
        <v>15</v>
      </c>
      <c r="D169" s="17" t="s">
        <v>533</v>
      </c>
      <c r="E169" s="17">
        <v>0.17499999999999999</v>
      </c>
      <c r="F169" s="17">
        <f t="shared" si="20"/>
        <v>0.14700000000000002</v>
      </c>
      <c r="G169" s="1">
        <f t="shared" si="14"/>
        <v>0.3362986577181209</v>
      </c>
      <c r="H169" s="1">
        <f t="shared" si="15"/>
        <v>0.75475628362255476</v>
      </c>
      <c r="I169" s="1">
        <f t="shared" si="16"/>
        <v>0.51402999999999932</v>
      </c>
      <c r="J169" s="1">
        <f t="shared" si="17"/>
        <v>0.15734006734006714</v>
      </c>
      <c r="K169" s="17" t="str">
        <f t="shared" si="18"/>
        <v/>
      </c>
      <c r="L169" s="17" t="str">
        <f t="shared" si="19"/>
        <v/>
      </c>
    </row>
    <row r="170" spans="1:12">
      <c r="A170" s="17">
        <v>160</v>
      </c>
      <c r="B170" s="17">
        <v>4</v>
      </c>
      <c r="C170" s="17">
        <v>14</v>
      </c>
      <c r="D170" s="17" t="s">
        <v>534</v>
      </c>
      <c r="E170" s="17">
        <v>0.245</v>
      </c>
      <c r="F170" s="17">
        <f t="shared" si="20"/>
        <v>7.0000000000000007E-2</v>
      </c>
      <c r="G170" s="1">
        <f t="shared" si="14"/>
        <v>0.3362986577181209</v>
      </c>
      <c r="H170" s="1">
        <f t="shared" si="15"/>
        <v>0.75475628362255476</v>
      </c>
      <c r="I170" s="1">
        <f t="shared" si="16"/>
        <v>0.51402999999999932</v>
      </c>
      <c r="J170" s="1">
        <f t="shared" si="17"/>
        <v>0.15734006734006714</v>
      </c>
      <c r="K170" s="17" t="str">
        <f t="shared" si="18"/>
        <v/>
      </c>
      <c r="L170" s="17" t="str">
        <f t="shared" si="19"/>
        <v/>
      </c>
    </row>
    <row r="171" spans="1:12">
      <c r="A171" s="17">
        <v>161</v>
      </c>
      <c r="B171" s="17">
        <v>4</v>
      </c>
      <c r="C171" s="17">
        <v>13</v>
      </c>
      <c r="D171" s="17" t="s">
        <v>535</v>
      </c>
      <c r="E171" s="17">
        <v>0.26600000000000001</v>
      </c>
      <c r="F171" s="17">
        <f t="shared" si="20"/>
        <v>2.1000000000000019E-2</v>
      </c>
      <c r="G171" s="1">
        <f t="shared" si="14"/>
        <v>0.3362986577181209</v>
      </c>
      <c r="H171" s="1">
        <f t="shared" si="15"/>
        <v>0.75475628362255476</v>
      </c>
      <c r="I171" s="1">
        <f t="shared" si="16"/>
        <v>0.51402999999999932</v>
      </c>
      <c r="J171" s="1">
        <f t="shared" si="17"/>
        <v>0.15734006734006714</v>
      </c>
      <c r="K171" s="17" t="str">
        <f t="shared" si="18"/>
        <v/>
      </c>
      <c r="L171" s="17" t="str">
        <f t="shared" si="19"/>
        <v/>
      </c>
    </row>
    <row r="172" spans="1:12">
      <c r="A172" s="17">
        <v>162</v>
      </c>
      <c r="B172" s="17">
        <v>4</v>
      </c>
      <c r="C172" s="17">
        <v>12</v>
      </c>
      <c r="D172" s="17" t="s">
        <v>536</v>
      </c>
      <c r="E172" s="17">
        <v>0.27600000000000002</v>
      </c>
      <c r="F172" s="17">
        <f t="shared" si="20"/>
        <v>1.0000000000000009E-2</v>
      </c>
      <c r="G172" s="1">
        <f t="shared" si="14"/>
        <v>0.3362986577181209</v>
      </c>
      <c r="H172" s="1">
        <f t="shared" si="15"/>
        <v>0.75475628362255476</v>
      </c>
      <c r="I172" s="1">
        <f t="shared" si="16"/>
        <v>0.51402999999999932</v>
      </c>
      <c r="J172" s="1">
        <f t="shared" si="17"/>
        <v>0.15734006734006714</v>
      </c>
      <c r="K172" s="17" t="str">
        <f t="shared" si="18"/>
        <v/>
      </c>
      <c r="L172" s="17" t="str">
        <f t="shared" si="19"/>
        <v/>
      </c>
    </row>
    <row r="173" spans="1:12">
      <c r="A173" s="17">
        <v>163</v>
      </c>
      <c r="B173" s="17">
        <v>4</v>
      </c>
      <c r="C173" s="17">
        <v>11</v>
      </c>
      <c r="D173" s="17" t="s">
        <v>537</v>
      </c>
      <c r="E173" s="17">
        <v>0.18099999999999999</v>
      </c>
      <c r="F173" s="17">
        <f t="shared" si="20"/>
        <v>9.5000000000000029E-2</v>
      </c>
      <c r="G173" s="1">
        <f t="shared" si="14"/>
        <v>0.3362986577181209</v>
      </c>
      <c r="H173" s="1">
        <f t="shared" si="15"/>
        <v>0.75475628362255476</v>
      </c>
      <c r="I173" s="1">
        <f t="shared" si="16"/>
        <v>0.51402999999999932</v>
      </c>
      <c r="J173" s="1">
        <f t="shared" si="17"/>
        <v>0.15734006734006714</v>
      </c>
      <c r="K173" s="17" t="str">
        <f t="shared" si="18"/>
        <v/>
      </c>
      <c r="L173" s="17" t="str">
        <f t="shared" si="19"/>
        <v/>
      </c>
    </row>
    <row r="174" spans="1:12">
      <c r="A174" s="17">
        <v>164</v>
      </c>
      <c r="B174" s="17">
        <v>4</v>
      </c>
      <c r="C174" s="17">
        <v>10</v>
      </c>
      <c r="D174" s="17" t="s">
        <v>538</v>
      </c>
      <c r="E174" s="17">
        <v>0.29799999999999999</v>
      </c>
      <c r="F174" s="17">
        <f t="shared" si="20"/>
        <v>0.11699999999999999</v>
      </c>
      <c r="G174" s="1">
        <f t="shared" si="14"/>
        <v>0.3362986577181209</v>
      </c>
      <c r="H174" s="1">
        <f t="shared" si="15"/>
        <v>0.75475628362255476</v>
      </c>
      <c r="I174" s="1">
        <f t="shared" si="16"/>
        <v>0.51402999999999932</v>
      </c>
      <c r="J174" s="1">
        <f t="shared" si="17"/>
        <v>0.15734006734006714</v>
      </c>
      <c r="K174" s="17" t="str">
        <f t="shared" si="18"/>
        <v/>
      </c>
      <c r="L174" s="17" t="str">
        <f t="shared" si="19"/>
        <v/>
      </c>
    </row>
    <row r="175" spans="1:12">
      <c r="A175" s="17">
        <v>165</v>
      </c>
      <c r="B175" s="17">
        <v>4</v>
      </c>
      <c r="C175" s="17">
        <v>9</v>
      </c>
      <c r="D175" s="17" t="s">
        <v>539</v>
      </c>
      <c r="E175" s="17">
        <v>0.23699999999999999</v>
      </c>
      <c r="F175" s="17">
        <f t="shared" si="20"/>
        <v>6.0999999999999999E-2</v>
      </c>
      <c r="G175" s="1">
        <f t="shared" si="14"/>
        <v>0.3362986577181209</v>
      </c>
      <c r="H175" s="1">
        <f t="shared" si="15"/>
        <v>0.75475628362255476</v>
      </c>
      <c r="I175" s="1">
        <f t="shared" si="16"/>
        <v>0.51402999999999932</v>
      </c>
      <c r="J175" s="1">
        <f t="shared" si="17"/>
        <v>0.15734006734006714</v>
      </c>
      <c r="K175" s="17" t="str">
        <f t="shared" si="18"/>
        <v/>
      </c>
      <c r="L175" s="17" t="str">
        <f t="shared" si="19"/>
        <v/>
      </c>
    </row>
    <row r="176" spans="1:12">
      <c r="A176" s="17">
        <v>166</v>
      </c>
      <c r="B176" s="17">
        <v>4</v>
      </c>
      <c r="C176" s="17">
        <v>8</v>
      </c>
      <c r="D176" s="17" t="s">
        <v>540</v>
      </c>
      <c r="E176" s="17">
        <v>0.24199999999999999</v>
      </c>
      <c r="F176" s="17">
        <f t="shared" si="20"/>
        <v>5.0000000000000044E-3</v>
      </c>
      <c r="G176" s="1">
        <f t="shared" si="14"/>
        <v>0.3362986577181209</v>
      </c>
      <c r="H176" s="1">
        <f t="shared" si="15"/>
        <v>0.75475628362255476</v>
      </c>
      <c r="I176" s="1">
        <f t="shared" si="16"/>
        <v>0.51402999999999932</v>
      </c>
      <c r="J176" s="1">
        <f t="shared" si="17"/>
        <v>0.15734006734006714</v>
      </c>
      <c r="K176" s="17" t="str">
        <f t="shared" si="18"/>
        <v/>
      </c>
      <c r="L176" s="17" t="str">
        <f t="shared" si="19"/>
        <v/>
      </c>
    </row>
    <row r="177" spans="1:12">
      <c r="A177" s="17">
        <v>167</v>
      </c>
      <c r="B177" s="17">
        <v>4</v>
      </c>
      <c r="C177" s="17">
        <v>7</v>
      </c>
      <c r="D177" s="17" t="s">
        <v>541</v>
      </c>
      <c r="E177" s="17">
        <v>0.23599999999999999</v>
      </c>
      <c r="F177" s="17">
        <f t="shared" si="20"/>
        <v>6.0000000000000053E-3</v>
      </c>
      <c r="G177" s="1">
        <f t="shared" si="14"/>
        <v>0.3362986577181209</v>
      </c>
      <c r="H177" s="1">
        <f t="shared" si="15"/>
        <v>0.75475628362255476</v>
      </c>
      <c r="I177" s="1">
        <f t="shared" si="16"/>
        <v>0.51402999999999932</v>
      </c>
      <c r="J177" s="1">
        <f t="shared" si="17"/>
        <v>0.15734006734006714</v>
      </c>
      <c r="K177" s="17" t="str">
        <f t="shared" si="18"/>
        <v/>
      </c>
      <c r="L177" s="17" t="str">
        <f t="shared" si="19"/>
        <v/>
      </c>
    </row>
    <row r="178" spans="1:12">
      <c r="A178" s="17">
        <v>168</v>
      </c>
      <c r="B178" s="17">
        <v>4</v>
      </c>
      <c r="C178" s="17">
        <v>6</v>
      </c>
      <c r="D178" s="17" t="s">
        <v>542</v>
      </c>
      <c r="E178" s="17">
        <v>0.38400000000000001</v>
      </c>
      <c r="F178" s="17">
        <f t="shared" si="20"/>
        <v>0.14800000000000002</v>
      </c>
      <c r="G178" s="1">
        <f t="shared" si="14"/>
        <v>0.3362986577181209</v>
      </c>
      <c r="H178" s="1">
        <f t="shared" si="15"/>
        <v>0.75475628362255476</v>
      </c>
      <c r="I178" s="1">
        <f t="shared" si="16"/>
        <v>0.51402999999999932</v>
      </c>
      <c r="J178" s="1">
        <f t="shared" si="17"/>
        <v>0.15734006734006714</v>
      </c>
      <c r="K178" s="17" t="str">
        <f t="shared" si="18"/>
        <v/>
      </c>
      <c r="L178" s="17" t="str">
        <f t="shared" si="19"/>
        <v/>
      </c>
    </row>
    <row r="179" spans="1:12">
      <c r="A179" s="17">
        <v>169</v>
      </c>
      <c r="B179" s="17">
        <v>4</v>
      </c>
      <c r="C179" s="17">
        <v>5</v>
      </c>
      <c r="D179" s="17" t="s">
        <v>543</v>
      </c>
      <c r="E179" s="17">
        <v>0.48099999999999998</v>
      </c>
      <c r="F179" s="17">
        <f t="shared" si="20"/>
        <v>9.6999999999999975E-2</v>
      </c>
      <c r="G179" s="1">
        <f t="shared" si="14"/>
        <v>0.3362986577181209</v>
      </c>
      <c r="H179" s="1">
        <f t="shared" si="15"/>
        <v>0.75475628362255476</v>
      </c>
      <c r="I179" s="1">
        <f t="shared" si="16"/>
        <v>0.51402999999999932</v>
      </c>
      <c r="J179" s="1">
        <f t="shared" si="17"/>
        <v>0.15734006734006714</v>
      </c>
      <c r="K179" s="17" t="str">
        <f t="shared" si="18"/>
        <v/>
      </c>
      <c r="L179" s="17" t="str">
        <f t="shared" si="19"/>
        <v/>
      </c>
    </row>
    <row r="180" spans="1:12">
      <c r="A180" s="17">
        <v>170</v>
      </c>
      <c r="B180" s="17">
        <v>4</v>
      </c>
      <c r="C180" s="17">
        <v>4</v>
      </c>
      <c r="D180" s="17" t="s">
        <v>544</v>
      </c>
      <c r="E180" s="17">
        <v>0.114</v>
      </c>
      <c r="F180" s="17">
        <f t="shared" si="20"/>
        <v>0.36699999999999999</v>
      </c>
      <c r="G180" s="1">
        <f t="shared" si="14"/>
        <v>0.3362986577181209</v>
      </c>
      <c r="H180" s="1">
        <f t="shared" si="15"/>
        <v>0.75475628362255476</v>
      </c>
      <c r="I180" s="1">
        <f t="shared" si="16"/>
        <v>0.51402999999999932</v>
      </c>
      <c r="J180" s="1">
        <f t="shared" si="17"/>
        <v>0.15734006734006714</v>
      </c>
      <c r="K180" s="17" t="str">
        <f t="shared" si="18"/>
        <v/>
      </c>
      <c r="L180" s="17" t="str">
        <f t="shared" si="19"/>
        <v/>
      </c>
    </row>
    <row r="181" spans="1:12">
      <c r="A181" s="17">
        <v>171</v>
      </c>
      <c r="B181" s="17">
        <v>4</v>
      </c>
      <c r="C181" s="17">
        <v>3</v>
      </c>
      <c r="D181" s="17" t="s">
        <v>545</v>
      </c>
      <c r="E181" s="17">
        <v>0.34799999999999998</v>
      </c>
      <c r="F181" s="17">
        <f t="shared" si="20"/>
        <v>0.23399999999999999</v>
      </c>
      <c r="G181" s="1">
        <f t="shared" si="14"/>
        <v>0.3362986577181209</v>
      </c>
      <c r="H181" s="1">
        <f t="shared" si="15"/>
        <v>0.75475628362255476</v>
      </c>
      <c r="I181" s="1">
        <f t="shared" si="16"/>
        <v>0.51402999999999932</v>
      </c>
      <c r="J181" s="1">
        <f t="shared" si="17"/>
        <v>0.15734006734006714</v>
      </c>
      <c r="K181" s="17" t="str">
        <f t="shared" si="18"/>
        <v/>
      </c>
      <c r="L181" s="17" t="str">
        <f t="shared" si="19"/>
        <v/>
      </c>
    </row>
    <row r="182" spans="1:12">
      <c r="A182" s="17">
        <v>172</v>
      </c>
      <c r="B182" s="17">
        <v>4</v>
      </c>
      <c r="C182" s="17">
        <v>2</v>
      </c>
      <c r="D182" s="17" t="s">
        <v>546</v>
      </c>
      <c r="E182" s="17">
        <v>0.34499999999999997</v>
      </c>
      <c r="F182" s="17">
        <f t="shared" si="20"/>
        <v>3.0000000000000027E-3</v>
      </c>
      <c r="G182" s="1">
        <f t="shared" si="14"/>
        <v>0.3362986577181209</v>
      </c>
      <c r="H182" s="1">
        <f t="shared" si="15"/>
        <v>0.75475628362255476</v>
      </c>
      <c r="I182" s="1">
        <f t="shared" si="16"/>
        <v>0.51402999999999932</v>
      </c>
      <c r="J182" s="1">
        <f t="shared" si="17"/>
        <v>0.15734006734006714</v>
      </c>
      <c r="K182" s="17" t="str">
        <f t="shared" si="18"/>
        <v/>
      </c>
      <c r="L182" s="17" t="str">
        <f t="shared" si="19"/>
        <v/>
      </c>
    </row>
    <row r="183" spans="1:12">
      <c r="A183" s="17">
        <v>173</v>
      </c>
      <c r="B183" s="17">
        <v>4</v>
      </c>
      <c r="C183" s="17">
        <v>1</v>
      </c>
      <c r="D183" s="17" t="s">
        <v>547</v>
      </c>
      <c r="E183" s="17">
        <v>0.122</v>
      </c>
      <c r="F183" s="17">
        <f t="shared" si="20"/>
        <v>0.22299999999999998</v>
      </c>
      <c r="G183" s="1">
        <f t="shared" si="14"/>
        <v>0.3362986577181209</v>
      </c>
      <c r="H183" s="1">
        <f t="shared" si="15"/>
        <v>0.75475628362255476</v>
      </c>
      <c r="I183" s="1">
        <f t="shared" si="16"/>
        <v>0.51402999999999932</v>
      </c>
      <c r="J183" s="1">
        <f t="shared" si="17"/>
        <v>0.15734006734006714</v>
      </c>
      <c r="K183" s="17" t="str">
        <f t="shared" si="18"/>
        <v/>
      </c>
      <c r="L183" s="17" t="str">
        <f t="shared" si="19"/>
        <v/>
      </c>
    </row>
    <row r="184" spans="1:12">
      <c r="A184" s="17">
        <v>174</v>
      </c>
      <c r="B184" s="17">
        <v>4</v>
      </c>
      <c r="C184" s="17">
        <v>25</v>
      </c>
      <c r="D184" s="17" t="s">
        <v>548</v>
      </c>
      <c r="E184" s="17">
        <v>0.40600000000000003</v>
      </c>
      <c r="F184" s="17">
        <f t="shared" si="20"/>
        <v>0.28400000000000003</v>
      </c>
      <c r="G184" s="1">
        <f t="shared" si="14"/>
        <v>0.3362986577181209</v>
      </c>
      <c r="H184" s="1">
        <f t="shared" si="15"/>
        <v>0.75475628362255476</v>
      </c>
      <c r="I184" s="1">
        <f t="shared" si="16"/>
        <v>0.51402999999999932</v>
      </c>
      <c r="J184" s="1">
        <f t="shared" si="17"/>
        <v>0.15734006734006714</v>
      </c>
      <c r="K184" s="17" t="str">
        <f t="shared" si="18"/>
        <v/>
      </c>
      <c r="L184" s="17" t="str">
        <f t="shared" si="19"/>
        <v/>
      </c>
    </row>
    <row r="185" spans="1:12">
      <c r="A185" s="17">
        <v>175</v>
      </c>
      <c r="B185" s="17">
        <v>4</v>
      </c>
      <c r="C185" s="17">
        <v>24</v>
      </c>
      <c r="D185" s="17" t="s">
        <v>549</v>
      </c>
      <c r="E185" s="17">
        <v>0.495</v>
      </c>
      <c r="F185" s="17">
        <f t="shared" si="20"/>
        <v>8.8999999999999968E-2</v>
      </c>
      <c r="G185" s="1">
        <f t="shared" si="14"/>
        <v>0.3362986577181209</v>
      </c>
      <c r="H185" s="1">
        <f t="shared" si="15"/>
        <v>0.75475628362255476</v>
      </c>
      <c r="I185" s="1">
        <f t="shared" si="16"/>
        <v>0.51402999999999932</v>
      </c>
      <c r="J185" s="1">
        <f t="shared" si="17"/>
        <v>0.15734006734006714</v>
      </c>
      <c r="K185" s="17" t="str">
        <f t="shared" si="18"/>
        <v/>
      </c>
      <c r="L185" s="17" t="str">
        <f t="shared" si="19"/>
        <v/>
      </c>
    </row>
    <row r="186" spans="1:12">
      <c r="A186" s="17">
        <v>176</v>
      </c>
      <c r="B186" s="17">
        <v>4</v>
      </c>
      <c r="C186" s="17">
        <v>23</v>
      </c>
      <c r="D186" s="17" t="s">
        <v>550</v>
      </c>
      <c r="E186" s="17">
        <v>0.439</v>
      </c>
      <c r="F186" s="17">
        <f t="shared" si="20"/>
        <v>5.5999999999999994E-2</v>
      </c>
      <c r="G186" s="1">
        <f t="shared" si="14"/>
        <v>0.3362986577181209</v>
      </c>
      <c r="H186" s="1">
        <f t="shared" si="15"/>
        <v>0.75475628362255476</v>
      </c>
      <c r="I186" s="1">
        <f t="shared" si="16"/>
        <v>0.51402999999999932</v>
      </c>
      <c r="J186" s="1">
        <f t="shared" si="17"/>
        <v>0.15734006734006714</v>
      </c>
      <c r="K186" s="17" t="str">
        <f t="shared" si="18"/>
        <v/>
      </c>
      <c r="L186" s="17" t="str">
        <f t="shared" si="19"/>
        <v/>
      </c>
    </row>
    <row r="187" spans="1:12">
      <c r="A187" s="17">
        <v>177</v>
      </c>
      <c r="B187" s="17">
        <v>4</v>
      </c>
      <c r="C187" s="17">
        <v>22</v>
      </c>
      <c r="D187" s="17" t="s">
        <v>551</v>
      </c>
      <c r="E187" s="17">
        <v>0.14499999999999999</v>
      </c>
      <c r="F187" s="17">
        <f t="shared" si="20"/>
        <v>0.29400000000000004</v>
      </c>
      <c r="G187" s="1">
        <f t="shared" si="14"/>
        <v>0.3362986577181209</v>
      </c>
      <c r="H187" s="1">
        <f t="shared" si="15"/>
        <v>0.75475628362255476</v>
      </c>
      <c r="I187" s="1">
        <f t="shared" si="16"/>
        <v>0.51402999999999932</v>
      </c>
      <c r="J187" s="1">
        <f t="shared" si="17"/>
        <v>0.15734006734006714</v>
      </c>
      <c r="K187" s="17" t="str">
        <f t="shared" si="18"/>
        <v/>
      </c>
      <c r="L187" s="17" t="str">
        <f t="shared" si="19"/>
        <v/>
      </c>
    </row>
    <row r="188" spans="1:12">
      <c r="A188" s="17">
        <v>178</v>
      </c>
      <c r="B188" s="17">
        <v>4</v>
      </c>
      <c r="C188" s="17">
        <v>21</v>
      </c>
      <c r="D188" s="17" t="s">
        <v>552</v>
      </c>
      <c r="E188" s="17">
        <v>0.45800000000000002</v>
      </c>
      <c r="F188" s="17">
        <f t="shared" si="20"/>
        <v>0.31300000000000006</v>
      </c>
      <c r="G188" s="1">
        <f t="shared" si="14"/>
        <v>0.3362986577181209</v>
      </c>
      <c r="H188" s="1">
        <f t="shared" si="15"/>
        <v>0.75475628362255476</v>
      </c>
      <c r="I188" s="1">
        <f t="shared" si="16"/>
        <v>0.51402999999999932</v>
      </c>
      <c r="J188" s="1">
        <f t="shared" si="17"/>
        <v>0.15734006734006714</v>
      </c>
      <c r="K188" s="17" t="str">
        <f t="shared" si="18"/>
        <v/>
      </c>
      <c r="L188" s="17" t="str">
        <f t="shared" si="19"/>
        <v/>
      </c>
    </row>
    <row r="189" spans="1:12">
      <c r="A189" s="17">
        <v>179</v>
      </c>
      <c r="B189" s="17">
        <v>4</v>
      </c>
      <c r="C189" s="17">
        <v>20</v>
      </c>
      <c r="D189" s="17" t="s">
        <v>553</v>
      </c>
      <c r="E189" s="17">
        <v>0.53100000000000003</v>
      </c>
      <c r="F189" s="17">
        <f t="shared" si="20"/>
        <v>7.3000000000000009E-2</v>
      </c>
      <c r="G189" s="1">
        <f t="shared" si="14"/>
        <v>0.3362986577181209</v>
      </c>
      <c r="H189" s="1">
        <f t="shared" si="15"/>
        <v>0.75475628362255476</v>
      </c>
      <c r="I189" s="1">
        <f t="shared" si="16"/>
        <v>0.51402999999999932</v>
      </c>
      <c r="J189" s="1">
        <f t="shared" si="17"/>
        <v>0.15734006734006714</v>
      </c>
      <c r="K189" s="17" t="str">
        <f t="shared" si="18"/>
        <v/>
      </c>
      <c r="L189" s="17" t="str">
        <f t="shared" si="19"/>
        <v/>
      </c>
    </row>
    <row r="190" spans="1:12">
      <c r="A190" s="17">
        <v>180</v>
      </c>
      <c r="B190" s="17">
        <v>4</v>
      </c>
      <c r="C190" s="17">
        <v>19</v>
      </c>
      <c r="D190" s="17" t="s">
        <v>554</v>
      </c>
      <c r="E190" s="17">
        <v>0.16800000000000001</v>
      </c>
      <c r="F190" s="17">
        <f t="shared" si="20"/>
        <v>0.36299999999999999</v>
      </c>
      <c r="G190" s="1">
        <f t="shared" si="14"/>
        <v>0.3362986577181209</v>
      </c>
      <c r="H190" s="1">
        <f t="shared" si="15"/>
        <v>0.75475628362255476</v>
      </c>
      <c r="I190" s="1">
        <f t="shared" si="16"/>
        <v>0.51402999999999932</v>
      </c>
      <c r="J190" s="1">
        <f t="shared" si="17"/>
        <v>0.15734006734006714</v>
      </c>
      <c r="K190" s="17" t="str">
        <f t="shared" si="18"/>
        <v/>
      </c>
      <c r="L190" s="17" t="str">
        <f t="shared" si="19"/>
        <v/>
      </c>
    </row>
    <row r="191" spans="1:12">
      <c r="A191" s="17">
        <v>181</v>
      </c>
      <c r="B191" s="17">
        <v>4</v>
      </c>
      <c r="C191" s="17">
        <v>18</v>
      </c>
      <c r="D191" s="17" t="s">
        <v>555</v>
      </c>
      <c r="E191" s="17">
        <v>0.19600000000000001</v>
      </c>
      <c r="F191" s="17">
        <f t="shared" si="20"/>
        <v>2.7999999999999997E-2</v>
      </c>
      <c r="G191" s="1">
        <f t="shared" si="14"/>
        <v>0.3362986577181209</v>
      </c>
      <c r="H191" s="1">
        <f t="shared" si="15"/>
        <v>0.75475628362255476</v>
      </c>
      <c r="I191" s="1">
        <f t="shared" si="16"/>
        <v>0.51402999999999932</v>
      </c>
      <c r="J191" s="1">
        <f t="shared" si="17"/>
        <v>0.15734006734006714</v>
      </c>
      <c r="K191" s="17" t="str">
        <f t="shared" si="18"/>
        <v/>
      </c>
      <c r="L191" s="17" t="str">
        <f t="shared" si="19"/>
        <v/>
      </c>
    </row>
    <row r="192" spans="1:12">
      <c r="A192" s="17">
        <v>182</v>
      </c>
      <c r="B192" s="17">
        <v>4</v>
      </c>
      <c r="C192" s="17">
        <v>17</v>
      </c>
      <c r="D192" s="17" t="s">
        <v>556</v>
      </c>
      <c r="E192" s="17">
        <v>0.245</v>
      </c>
      <c r="F192" s="17">
        <f t="shared" si="20"/>
        <v>4.8999999999999988E-2</v>
      </c>
      <c r="G192" s="1">
        <f t="shared" si="14"/>
        <v>0.3362986577181209</v>
      </c>
      <c r="H192" s="1">
        <f t="shared" si="15"/>
        <v>0.75475628362255476</v>
      </c>
      <c r="I192" s="1">
        <f t="shared" si="16"/>
        <v>0.51402999999999932</v>
      </c>
      <c r="J192" s="1">
        <f t="shared" si="17"/>
        <v>0.15734006734006714</v>
      </c>
      <c r="K192" s="17" t="str">
        <f t="shared" si="18"/>
        <v/>
      </c>
      <c r="L192" s="17" t="str">
        <f t="shared" si="19"/>
        <v/>
      </c>
    </row>
    <row r="193" spans="1:12">
      <c r="A193" s="17">
        <v>183</v>
      </c>
      <c r="B193" s="17">
        <v>4</v>
      </c>
      <c r="C193" s="17">
        <v>16</v>
      </c>
      <c r="D193" s="17" t="s">
        <v>557</v>
      </c>
      <c r="E193" s="17">
        <v>0.29599999999999999</v>
      </c>
      <c r="F193" s="17">
        <f t="shared" si="20"/>
        <v>5.099999999999999E-2</v>
      </c>
      <c r="G193" s="1">
        <f t="shared" si="14"/>
        <v>0.3362986577181209</v>
      </c>
      <c r="H193" s="1">
        <f t="shared" si="15"/>
        <v>0.75475628362255476</v>
      </c>
      <c r="I193" s="1">
        <f t="shared" si="16"/>
        <v>0.51402999999999932</v>
      </c>
      <c r="J193" s="1">
        <f t="shared" si="17"/>
        <v>0.15734006734006714</v>
      </c>
      <c r="K193" s="17" t="str">
        <f t="shared" si="18"/>
        <v/>
      </c>
      <c r="L193" s="17" t="str">
        <f t="shared" si="19"/>
        <v/>
      </c>
    </row>
    <row r="194" spans="1:12">
      <c r="A194" s="17">
        <v>184</v>
      </c>
      <c r="B194" s="17">
        <v>4</v>
      </c>
      <c r="C194" s="17">
        <v>15</v>
      </c>
      <c r="D194" s="17" t="s">
        <v>558</v>
      </c>
      <c r="E194" s="17">
        <v>0.35</v>
      </c>
      <c r="F194" s="17">
        <f t="shared" si="20"/>
        <v>5.3999999999999992E-2</v>
      </c>
      <c r="G194" s="1">
        <f t="shared" si="14"/>
        <v>0.3362986577181209</v>
      </c>
      <c r="H194" s="1">
        <f t="shared" si="15"/>
        <v>0.75475628362255476</v>
      </c>
      <c r="I194" s="1">
        <f t="shared" si="16"/>
        <v>0.51402999999999932</v>
      </c>
      <c r="J194" s="1">
        <f t="shared" si="17"/>
        <v>0.15734006734006714</v>
      </c>
      <c r="K194" s="17" t="str">
        <f t="shared" si="18"/>
        <v/>
      </c>
      <c r="L194" s="17" t="str">
        <f t="shared" si="19"/>
        <v/>
      </c>
    </row>
    <row r="195" spans="1:12">
      <c r="A195" s="17">
        <v>185</v>
      </c>
      <c r="B195" s="17">
        <v>4</v>
      </c>
      <c r="C195" s="17">
        <v>14</v>
      </c>
      <c r="D195" s="17" t="s">
        <v>559</v>
      </c>
      <c r="E195" s="17">
        <v>0.20300000000000001</v>
      </c>
      <c r="F195" s="17">
        <f t="shared" si="20"/>
        <v>0.14699999999999996</v>
      </c>
      <c r="G195" s="1">
        <f t="shared" si="14"/>
        <v>0.3362986577181209</v>
      </c>
      <c r="H195" s="1">
        <f t="shared" si="15"/>
        <v>0.75475628362255476</v>
      </c>
      <c r="I195" s="1">
        <f t="shared" si="16"/>
        <v>0.51402999999999932</v>
      </c>
      <c r="J195" s="1">
        <f t="shared" si="17"/>
        <v>0.15734006734006714</v>
      </c>
      <c r="K195" s="17" t="str">
        <f t="shared" si="18"/>
        <v/>
      </c>
      <c r="L195" s="17" t="str">
        <f t="shared" si="19"/>
        <v/>
      </c>
    </row>
    <row r="196" spans="1:12">
      <c r="A196" s="17">
        <v>186</v>
      </c>
      <c r="B196" s="17">
        <v>4</v>
      </c>
      <c r="C196" s="17">
        <v>13</v>
      </c>
      <c r="D196" s="17" t="s">
        <v>560</v>
      </c>
      <c r="E196" s="17">
        <v>0.37</v>
      </c>
      <c r="F196" s="17">
        <f t="shared" si="20"/>
        <v>0.16699999999999998</v>
      </c>
      <c r="G196" s="1">
        <f t="shared" si="14"/>
        <v>0.3362986577181209</v>
      </c>
      <c r="H196" s="1">
        <f t="shared" si="15"/>
        <v>0.75475628362255476</v>
      </c>
      <c r="I196" s="1">
        <f t="shared" si="16"/>
        <v>0.51402999999999932</v>
      </c>
      <c r="J196" s="1">
        <f t="shared" si="17"/>
        <v>0.15734006734006714</v>
      </c>
      <c r="K196" s="17" t="str">
        <f t="shared" si="18"/>
        <v/>
      </c>
      <c r="L196" s="17" t="str">
        <f t="shared" si="19"/>
        <v/>
      </c>
    </row>
    <row r="197" spans="1:12">
      <c r="A197" s="17">
        <v>187</v>
      </c>
      <c r="B197" s="17">
        <v>4</v>
      </c>
      <c r="C197" s="17">
        <v>12</v>
      </c>
      <c r="D197" s="17" t="s">
        <v>561</v>
      </c>
      <c r="E197" s="17">
        <v>0.19700000000000001</v>
      </c>
      <c r="F197" s="17">
        <f t="shared" si="20"/>
        <v>0.17299999999999999</v>
      </c>
      <c r="G197" s="1">
        <f t="shared" si="14"/>
        <v>0.3362986577181209</v>
      </c>
      <c r="H197" s="1">
        <f t="shared" si="15"/>
        <v>0.75475628362255476</v>
      </c>
      <c r="I197" s="1">
        <f t="shared" si="16"/>
        <v>0.51402999999999932</v>
      </c>
      <c r="J197" s="1">
        <f t="shared" si="17"/>
        <v>0.15734006734006714</v>
      </c>
      <c r="K197" s="17" t="str">
        <f t="shared" si="18"/>
        <v/>
      </c>
      <c r="L197" s="17" t="str">
        <f t="shared" si="19"/>
        <v/>
      </c>
    </row>
    <row r="198" spans="1:12">
      <c r="A198" s="17">
        <v>188</v>
      </c>
      <c r="B198" s="17">
        <v>4</v>
      </c>
      <c r="C198" s="17">
        <v>11</v>
      </c>
      <c r="D198" s="17" t="s">
        <v>562</v>
      </c>
      <c r="E198" s="17">
        <v>0.29399999999999998</v>
      </c>
      <c r="F198" s="17">
        <f t="shared" si="20"/>
        <v>9.6999999999999975E-2</v>
      </c>
      <c r="G198" s="1">
        <f t="shared" si="14"/>
        <v>0.3362986577181209</v>
      </c>
      <c r="H198" s="1">
        <f t="shared" si="15"/>
        <v>0.75475628362255476</v>
      </c>
      <c r="I198" s="1">
        <f t="shared" si="16"/>
        <v>0.51402999999999932</v>
      </c>
      <c r="J198" s="1">
        <f t="shared" si="17"/>
        <v>0.15734006734006714</v>
      </c>
      <c r="K198" s="17" t="str">
        <f t="shared" si="18"/>
        <v/>
      </c>
      <c r="L198" s="17" t="str">
        <f t="shared" si="19"/>
        <v/>
      </c>
    </row>
    <row r="199" spans="1:12">
      <c r="A199" s="17">
        <v>189</v>
      </c>
      <c r="B199" s="17">
        <v>4</v>
      </c>
      <c r="C199" s="17">
        <v>10</v>
      </c>
      <c r="D199" s="17" t="s">
        <v>563</v>
      </c>
      <c r="E199" s="17">
        <v>0.184</v>
      </c>
      <c r="F199" s="17">
        <f t="shared" si="20"/>
        <v>0.10999999999999999</v>
      </c>
      <c r="G199" s="1">
        <f t="shared" si="14"/>
        <v>0.3362986577181209</v>
      </c>
      <c r="H199" s="1">
        <f t="shared" si="15"/>
        <v>0.75475628362255476</v>
      </c>
      <c r="I199" s="1">
        <f t="shared" si="16"/>
        <v>0.51402999999999932</v>
      </c>
      <c r="J199" s="1">
        <f t="shared" si="17"/>
        <v>0.15734006734006714</v>
      </c>
      <c r="K199" s="17" t="str">
        <f t="shared" si="18"/>
        <v/>
      </c>
      <c r="L199" s="17" t="str">
        <f t="shared" si="19"/>
        <v/>
      </c>
    </row>
    <row r="200" spans="1:12">
      <c r="A200" s="17">
        <v>190</v>
      </c>
      <c r="B200" s="17">
        <v>4</v>
      </c>
      <c r="C200" s="17">
        <v>9</v>
      </c>
      <c r="D200" s="17" t="s">
        <v>564</v>
      </c>
      <c r="E200" s="17">
        <v>0.29399999999999998</v>
      </c>
      <c r="F200" s="17">
        <f t="shared" si="20"/>
        <v>0.10999999999999999</v>
      </c>
      <c r="G200" s="1">
        <f t="shared" si="14"/>
        <v>0.3362986577181209</v>
      </c>
      <c r="H200" s="1">
        <f t="shared" si="15"/>
        <v>0.75475628362255476</v>
      </c>
      <c r="I200" s="1">
        <f t="shared" si="16"/>
        <v>0.51402999999999932</v>
      </c>
      <c r="J200" s="1">
        <f t="shared" si="17"/>
        <v>0.15734006734006714</v>
      </c>
      <c r="K200" s="17" t="str">
        <f t="shared" si="18"/>
        <v/>
      </c>
      <c r="L200" s="17" t="str">
        <f t="shared" si="19"/>
        <v/>
      </c>
    </row>
    <row r="201" spans="1:12">
      <c r="A201" s="17">
        <v>191</v>
      </c>
      <c r="B201" s="17">
        <v>4</v>
      </c>
      <c r="C201" s="17">
        <v>8</v>
      </c>
      <c r="D201" s="17" t="s">
        <v>565</v>
      </c>
      <c r="E201" s="17">
        <v>0.39800000000000002</v>
      </c>
      <c r="F201" s="17">
        <f t="shared" si="20"/>
        <v>0.10400000000000004</v>
      </c>
      <c r="G201" s="1">
        <f t="shared" si="14"/>
        <v>0.3362986577181209</v>
      </c>
      <c r="H201" s="1">
        <f t="shared" si="15"/>
        <v>0.75475628362255476</v>
      </c>
      <c r="I201" s="1">
        <f t="shared" si="16"/>
        <v>0.51402999999999932</v>
      </c>
      <c r="J201" s="1">
        <f t="shared" si="17"/>
        <v>0.15734006734006714</v>
      </c>
      <c r="K201" s="17" t="str">
        <f t="shared" si="18"/>
        <v/>
      </c>
      <c r="L201" s="17" t="str">
        <f t="shared" si="19"/>
        <v/>
      </c>
    </row>
    <row r="202" spans="1:12">
      <c r="A202" s="17">
        <v>192</v>
      </c>
      <c r="B202" s="17">
        <v>4</v>
      </c>
      <c r="C202" s="17">
        <v>7</v>
      </c>
      <c r="D202" s="17" t="s">
        <v>566</v>
      </c>
      <c r="E202" s="17">
        <v>0.32500000000000001</v>
      </c>
      <c r="F202" s="17">
        <f t="shared" si="20"/>
        <v>7.3000000000000009E-2</v>
      </c>
      <c r="G202" s="1">
        <f t="shared" si="14"/>
        <v>0.3362986577181209</v>
      </c>
      <c r="H202" s="1">
        <f t="shared" si="15"/>
        <v>0.75475628362255476</v>
      </c>
      <c r="I202" s="1">
        <f t="shared" si="16"/>
        <v>0.51402999999999932</v>
      </c>
      <c r="J202" s="1">
        <f t="shared" si="17"/>
        <v>0.15734006734006714</v>
      </c>
      <c r="K202" s="17" t="str">
        <f t="shared" si="18"/>
        <v/>
      </c>
      <c r="L202" s="17" t="str">
        <f t="shared" si="19"/>
        <v/>
      </c>
    </row>
    <row r="203" spans="1:12">
      <c r="A203" s="17">
        <v>193</v>
      </c>
      <c r="B203" s="17">
        <v>4</v>
      </c>
      <c r="C203" s="17">
        <v>6</v>
      </c>
      <c r="D203" s="17" t="s">
        <v>567</v>
      </c>
      <c r="E203" s="17">
        <v>0.18</v>
      </c>
      <c r="F203" s="17">
        <f t="shared" si="20"/>
        <v>0.14500000000000002</v>
      </c>
      <c r="G203" s="1">
        <f t="shared" ref="G203:G266" si="21">$Q$4</f>
        <v>0.3362986577181209</v>
      </c>
      <c r="H203" s="1">
        <f t="shared" ref="H203:H266" si="22">$Q$7</f>
        <v>0.75475628362255476</v>
      </c>
      <c r="I203" s="1">
        <f t="shared" ref="I203:I266" si="23">$Q$8</f>
        <v>0.51402999999999932</v>
      </c>
      <c r="J203" s="1">
        <f t="shared" ref="J203:J266" si="24">$Q$5</f>
        <v>0.15734006734006714</v>
      </c>
      <c r="K203" s="17" t="str">
        <f t="shared" ref="K203:K266" si="25">IF(E203&gt;$Q$7,"OOC","" )</f>
        <v/>
      </c>
      <c r="L203" s="17" t="str">
        <f t="shared" ref="L203:L266" si="26">IF(E203&gt;$B$4,"OOS","" )</f>
        <v/>
      </c>
    </row>
    <row r="204" spans="1:12">
      <c r="A204" s="17">
        <v>194</v>
      </c>
      <c r="B204" s="17">
        <v>4</v>
      </c>
      <c r="C204" s="17">
        <v>5</v>
      </c>
      <c r="D204" s="17" t="s">
        <v>568</v>
      </c>
      <c r="E204" s="17">
        <v>6.9000000000000006E-2</v>
      </c>
      <c r="F204" s="17">
        <f t="shared" ref="F204:F267" si="27">ABS(E204-E203)</f>
        <v>0.11099999999999999</v>
      </c>
      <c r="G204" s="1">
        <f t="shared" si="21"/>
        <v>0.3362986577181209</v>
      </c>
      <c r="H204" s="1">
        <f t="shared" si="22"/>
        <v>0.75475628362255476</v>
      </c>
      <c r="I204" s="1">
        <f t="shared" si="23"/>
        <v>0.51402999999999932</v>
      </c>
      <c r="J204" s="1">
        <f t="shared" si="24"/>
        <v>0.15734006734006714</v>
      </c>
      <c r="K204" s="17" t="str">
        <f t="shared" si="25"/>
        <v/>
      </c>
      <c r="L204" s="17" t="str">
        <f t="shared" si="26"/>
        <v/>
      </c>
    </row>
    <row r="205" spans="1:12">
      <c r="A205" s="17">
        <v>195</v>
      </c>
      <c r="B205" s="17">
        <v>4</v>
      </c>
      <c r="C205" s="17">
        <v>4</v>
      </c>
      <c r="D205" s="17" t="s">
        <v>569</v>
      </c>
      <c r="E205" s="17">
        <v>0.34899999999999998</v>
      </c>
      <c r="F205" s="17">
        <f t="shared" si="27"/>
        <v>0.27999999999999997</v>
      </c>
      <c r="G205" s="1">
        <f t="shared" si="21"/>
        <v>0.3362986577181209</v>
      </c>
      <c r="H205" s="1">
        <f t="shared" si="22"/>
        <v>0.75475628362255476</v>
      </c>
      <c r="I205" s="1">
        <f t="shared" si="23"/>
        <v>0.51402999999999932</v>
      </c>
      <c r="J205" s="1">
        <f t="shared" si="24"/>
        <v>0.15734006734006714</v>
      </c>
      <c r="K205" s="17" t="str">
        <f t="shared" si="25"/>
        <v/>
      </c>
      <c r="L205" s="17" t="str">
        <f t="shared" si="26"/>
        <v/>
      </c>
    </row>
    <row r="206" spans="1:12">
      <c r="A206" s="17">
        <v>196</v>
      </c>
      <c r="B206" s="17">
        <v>4</v>
      </c>
      <c r="C206" s="17">
        <v>3</v>
      </c>
      <c r="D206" s="17" t="s">
        <v>570</v>
      </c>
      <c r="E206" s="17">
        <v>0.193</v>
      </c>
      <c r="F206" s="17">
        <f t="shared" si="27"/>
        <v>0.15599999999999997</v>
      </c>
      <c r="G206" s="1">
        <f t="shared" si="21"/>
        <v>0.3362986577181209</v>
      </c>
      <c r="H206" s="1">
        <f t="shared" si="22"/>
        <v>0.75475628362255476</v>
      </c>
      <c r="I206" s="1">
        <f t="shared" si="23"/>
        <v>0.51402999999999932</v>
      </c>
      <c r="J206" s="1">
        <f t="shared" si="24"/>
        <v>0.15734006734006714</v>
      </c>
      <c r="K206" s="17" t="str">
        <f t="shared" si="25"/>
        <v/>
      </c>
      <c r="L206" s="17" t="str">
        <f t="shared" si="26"/>
        <v/>
      </c>
    </row>
    <row r="207" spans="1:12">
      <c r="A207" s="17">
        <v>197</v>
      </c>
      <c r="B207" s="17">
        <v>4</v>
      </c>
      <c r="C207" s="17">
        <v>2</v>
      </c>
      <c r="D207" s="17" t="s">
        <v>571</v>
      </c>
      <c r="E207" s="17">
        <v>0.377</v>
      </c>
      <c r="F207" s="17">
        <f t="shared" si="27"/>
        <v>0.184</v>
      </c>
      <c r="G207" s="1">
        <f t="shared" si="21"/>
        <v>0.3362986577181209</v>
      </c>
      <c r="H207" s="1">
        <f t="shared" si="22"/>
        <v>0.75475628362255476</v>
      </c>
      <c r="I207" s="1">
        <f t="shared" si="23"/>
        <v>0.51402999999999932</v>
      </c>
      <c r="J207" s="1">
        <f t="shared" si="24"/>
        <v>0.15734006734006714</v>
      </c>
      <c r="K207" s="17" t="str">
        <f t="shared" si="25"/>
        <v/>
      </c>
      <c r="L207" s="17" t="str">
        <f t="shared" si="26"/>
        <v/>
      </c>
    </row>
    <row r="208" spans="1:12">
      <c r="A208" s="17">
        <v>198</v>
      </c>
      <c r="B208" s="17">
        <v>4</v>
      </c>
      <c r="C208" s="17">
        <v>1</v>
      </c>
      <c r="D208" s="17" t="s">
        <v>572</v>
      </c>
      <c r="E208" s="17">
        <v>0.309</v>
      </c>
      <c r="F208" s="17">
        <f t="shared" si="27"/>
        <v>6.8000000000000005E-2</v>
      </c>
      <c r="G208" s="1">
        <f t="shared" si="21"/>
        <v>0.3362986577181209</v>
      </c>
      <c r="H208" s="1">
        <f t="shared" si="22"/>
        <v>0.75475628362255476</v>
      </c>
      <c r="I208" s="1">
        <f t="shared" si="23"/>
        <v>0.51402999999999932</v>
      </c>
      <c r="J208" s="1">
        <f t="shared" si="24"/>
        <v>0.15734006734006714</v>
      </c>
      <c r="K208" s="17" t="str">
        <f t="shared" si="25"/>
        <v/>
      </c>
      <c r="L208" s="17" t="str">
        <f t="shared" si="26"/>
        <v/>
      </c>
    </row>
    <row r="209" spans="1:12">
      <c r="A209" s="17">
        <v>199</v>
      </c>
      <c r="B209" s="17">
        <v>5</v>
      </c>
      <c r="C209" s="17">
        <v>25</v>
      </c>
      <c r="D209" s="17" t="s">
        <v>573</v>
      </c>
      <c r="E209" s="17">
        <v>0.188</v>
      </c>
      <c r="F209" s="17">
        <f t="shared" si="27"/>
        <v>0.121</v>
      </c>
      <c r="G209" s="1">
        <f t="shared" si="21"/>
        <v>0.3362986577181209</v>
      </c>
      <c r="H209" s="1">
        <f t="shared" si="22"/>
        <v>0.75475628362255476</v>
      </c>
      <c r="I209" s="1">
        <f t="shared" si="23"/>
        <v>0.51402999999999932</v>
      </c>
      <c r="J209" s="1">
        <f t="shared" si="24"/>
        <v>0.15734006734006714</v>
      </c>
      <c r="K209" s="17" t="str">
        <f t="shared" si="25"/>
        <v/>
      </c>
      <c r="L209" s="17" t="str">
        <f t="shared" si="26"/>
        <v/>
      </c>
    </row>
    <row r="210" spans="1:12">
      <c r="A210" s="17">
        <v>200</v>
      </c>
      <c r="B210" s="17">
        <v>5</v>
      </c>
      <c r="C210" s="17">
        <v>24</v>
      </c>
      <c r="D210" s="17" t="s">
        <v>574</v>
      </c>
      <c r="E210" s="17">
        <v>0.311</v>
      </c>
      <c r="F210" s="17">
        <f t="shared" si="27"/>
        <v>0.123</v>
      </c>
      <c r="G210" s="1">
        <f t="shared" si="21"/>
        <v>0.3362986577181209</v>
      </c>
      <c r="H210" s="1">
        <f t="shared" si="22"/>
        <v>0.75475628362255476</v>
      </c>
      <c r="I210" s="1">
        <f t="shared" si="23"/>
        <v>0.51402999999999932</v>
      </c>
      <c r="J210" s="1">
        <f t="shared" si="24"/>
        <v>0.15734006734006714</v>
      </c>
      <c r="K210" s="17" t="str">
        <f t="shared" si="25"/>
        <v/>
      </c>
      <c r="L210" s="17" t="str">
        <f t="shared" si="26"/>
        <v/>
      </c>
    </row>
    <row r="211" spans="1:12">
      <c r="A211" s="17">
        <v>201</v>
      </c>
      <c r="B211" s="17">
        <v>5</v>
      </c>
      <c r="C211" s="17">
        <v>23</v>
      </c>
      <c r="D211" s="17" t="s">
        <v>575</v>
      </c>
      <c r="E211" s="17">
        <v>0.42899999999999999</v>
      </c>
      <c r="F211" s="17">
        <f t="shared" si="27"/>
        <v>0.11799999999999999</v>
      </c>
      <c r="G211" s="1">
        <f t="shared" si="21"/>
        <v>0.3362986577181209</v>
      </c>
      <c r="H211" s="1">
        <f t="shared" si="22"/>
        <v>0.75475628362255476</v>
      </c>
      <c r="I211" s="1">
        <f t="shared" si="23"/>
        <v>0.51402999999999932</v>
      </c>
      <c r="J211" s="1">
        <f t="shared" si="24"/>
        <v>0.15734006734006714</v>
      </c>
      <c r="K211" s="17" t="str">
        <f t="shared" si="25"/>
        <v/>
      </c>
      <c r="L211" s="17" t="str">
        <f t="shared" si="26"/>
        <v/>
      </c>
    </row>
    <row r="212" spans="1:12">
      <c r="A212" s="17">
        <v>202</v>
      </c>
      <c r="B212" s="17">
        <v>5</v>
      </c>
      <c r="C212" s="17">
        <v>22</v>
      </c>
      <c r="D212" s="17" t="s">
        <v>576</v>
      </c>
      <c r="E212" s="17">
        <v>0.23400000000000001</v>
      </c>
      <c r="F212" s="17">
        <f t="shared" si="27"/>
        <v>0.19499999999999998</v>
      </c>
      <c r="G212" s="1">
        <f t="shared" si="21"/>
        <v>0.3362986577181209</v>
      </c>
      <c r="H212" s="1">
        <f t="shared" si="22"/>
        <v>0.75475628362255476</v>
      </c>
      <c r="I212" s="1">
        <f t="shared" si="23"/>
        <v>0.51402999999999932</v>
      </c>
      <c r="J212" s="1">
        <f t="shared" si="24"/>
        <v>0.15734006734006714</v>
      </c>
      <c r="K212" s="17" t="str">
        <f t="shared" si="25"/>
        <v/>
      </c>
      <c r="L212" s="17" t="str">
        <f t="shared" si="26"/>
        <v/>
      </c>
    </row>
    <row r="213" spans="1:12">
      <c r="A213" s="17">
        <v>203</v>
      </c>
      <c r="B213" s="17">
        <v>5</v>
      </c>
      <c r="C213" s="17">
        <v>21</v>
      </c>
      <c r="D213" s="17" t="s">
        <v>577</v>
      </c>
      <c r="E213" s="17">
        <v>0.20300000000000001</v>
      </c>
      <c r="F213" s="17">
        <f t="shared" si="27"/>
        <v>3.1E-2</v>
      </c>
      <c r="G213" s="1">
        <f t="shared" si="21"/>
        <v>0.3362986577181209</v>
      </c>
      <c r="H213" s="1">
        <f t="shared" si="22"/>
        <v>0.75475628362255476</v>
      </c>
      <c r="I213" s="1">
        <f t="shared" si="23"/>
        <v>0.51402999999999932</v>
      </c>
      <c r="J213" s="1">
        <f t="shared" si="24"/>
        <v>0.15734006734006714</v>
      </c>
      <c r="K213" s="17" t="str">
        <f t="shared" si="25"/>
        <v/>
      </c>
      <c r="L213" s="17" t="str">
        <f t="shared" si="26"/>
        <v/>
      </c>
    </row>
    <row r="214" spans="1:12">
      <c r="A214" s="17">
        <v>204</v>
      </c>
      <c r="B214" s="17">
        <v>5</v>
      </c>
      <c r="C214" s="17">
        <v>20</v>
      </c>
      <c r="D214" s="17" t="s">
        <v>578</v>
      </c>
      <c r="E214" s="17">
        <v>0.59299999999999997</v>
      </c>
      <c r="F214" s="17">
        <f t="shared" si="27"/>
        <v>0.38999999999999996</v>
      </c>
      <c r="G214" s="1">
        <f t="shared" si="21"/>
        <v>0.3362986577181209</v>
      </c>
      <c r="H214" s="1">
        <f t="shared" si="22"/>
        <v>0.75475628362255476</v>
      </c>
      <c r="I214" s="1">
        <f t="shared" si="23"/>
        <v>0.51402999999999932</v>
      </c>
      <c r="J214" s="1">
        <f t="shared" si="24"/>
        <v>0.15734006734006714</v>
      </c>
      <c r="K214" s="17" t="str">
        <f t="shared" si="25"/>
        <v/>
      </c>
      <c r="L214" s="17" t="str">
        <f t="shared" si="26"/>
        <v/>
      </c>
    </row>
    <row r="215" spans="1:12">
      <c r="A215" s="17">
        <v>205</v>
      </c>
      <c r="B215" s="17">
        <v>5</v>
      </c>
      <c r="C215" s="17">
        <v>19</v>
      </c>
      <c r="D215" s="17" t="s">
        <v>579</v>
      </c>
      <c r="E215" s="17">
        <v>0.53300000000000003</v>
      </c>
      <c r="F215" s="17">
        <f t="shared" si="27"/>
        <v>5.9999999999999942E-2</v>
      </c>
      <c r="G215" s="1">
        <f t="shared" si="21"/>
        <v>0.3362986577181209</v>
      </c>
      <c r="H215" s="1">
        <f t="shared" si="22"/>
        <v>0.75475628362255476</v>
      </c>
      <c r="I215" s="1">
        <f t="shared" si="23"/>
        <v>0.51402999999999932</v>
      </c>
      <c r="J215" s="1">
        <f t="shared" si="24"/>
        <v>0.15734006734006714</v>
      </c>
      <c r="K215" s="17" t="str">
        <f t="shared" si="25"/>
        <v/>
      </c>
      <c r="L215" s="17" t="str">
        <f t="shared" si="26"/>
        <v/>
      </c>
    </row>
    <row r="216" spans="1:12">
      <c r="A216" s="17">
        <v>206</v>
      </c>
      <c r="B216" s="17">
        <v>5</v>
      </c>
      <c r="C216" s="17">
        <v>18</v>
      </c>
      <c r="D216" s="17" t="s">
        <v>580</v>
      </c>
      <c r="E216" s="17">
        <v>0.308</v>
      </c>
      <c r="F216" s="17">
        <f t="shared" si="27"/>
        <v>0.22500000000000003</v>
      </c>
      <c r="G216" s="1">
        <f t="shared" si="21"/>
        <v>0.3362986577181209</v>
      </c>
      <c r="H216" s="1">
        <f t="shared" si="22"/>
        <v>0.75475628362255476</v>
      </c>
      <c r="I216" s="1">
        <f t="shared" si="23"/>
        <v>0.51402999999999932</v>
      </c>
      <c r="J216" s="1">
        <f t="shared" si="24"/>
        <v>0.15734006734006714</v>
      </c>
      <c r="K216" s="17" t="str">
        <f t="shared" si="25"/>
        <v/>
      </c>
      <c r="L216" s="17" t="str">
        <f t="shared" si="26"/>
        <v/>
      </c>
    </row>
    <row r="217" spans="1:12">
      <c r="A217" s="17">
        <v>207</v>
      </c>
      <c r="B217" s="17">
        <v>5</v>
      </c>
      <c r="C217" s="17">
        <v>17</v>
      </c>
      <c r="D217" s="17" t="s">
        <v>581</v>
      </c>
      <c r="E217" s="17">
        <v>0.67500000000000004</v>
      </c>
      <c r="F217" s="17">
        <f t="shared" si="27"/>
        <v>0.36700000000000005</v>
      </c>
      <c r="G217" s="1">
        <f t="shared" si="21"/>
        <v>0.3362986577181209</v>
      </c>
      <c r="H217" s="1">
        <f t="shared" si="22"/>
        <v>0.75475628362255476</v>
      </c>
      <c r="I217" s="1">
        <f t="shared" si="23"/>
        <v>0.51402999999999932</v>
      </c>
      <c r="J217" s="1">
        <f t="shared" si="24"/>
        <v>0.15734006734006714</v>
      </c>
      <c r="K217" s="17" t="str">
        <f t="shared" si="25"/>
        <v/>
      </c>
      <c r="L217" s="17" t="str">
        <f t="shared" si="26"/>
        <v/>
      </c>
    </row>
    <row r="218" spans="1:12">
      <c r="A218" s="17">
        <v>208</v>
      </c>
      <c r="B218" s="17">
        <v>5</v>
      </c>
      <c r="C218" s="17">
        <v>16</v>
      </c>
      <c r="D218" s="17" t="s">
        <v>582</v>
      </c>
      <c r="E218" s="17">
        <v>5.3999999999999999E-2</v>
      </c>
      <c r="F218" s="17">
        <f t="shared" si="27"/>
        <v>0.621</v>
      </c>
      <c r="G218" s="1">
        <f t="shared" si="21"/>
        <v>0.3362986577181209</v>
      </c>
      <c r="H218" s="1">
        <f t="shared" si="22"/>
        <v>0.75475628362255476</v>
      </c>
      <c r="I218" s="1">
        <f t="shared" si="23"/>
        <v>0.51402999999999932</v>
      </c>
      <c r="J218" s="1">
        <f t="shared" si="24"/>
        <v>0.15734006734006714</v>
      </c>
      <c r="K218" s="17" t="str">
        <f t="shared" si="25"/>
        <v/>
      </c>
      <c r="L218" s="17" t="str">
        <f t="shared" si="26"/>
        <v/>
      </c>
    </row>
    <row r="219" spans="1:12">
      <c r="A219" s="17">
        <v>209</v>
      </c>
      <c r="B219" s="17">
        <v>5</v>
      </c>
      <c r="C219" s="17">
        <v>15</v>
      </c>
      <c r="D219" s="17" t="s">
        <v>583</v>
      </c>
      <c r="E219" s="17">
        <v>0.17399999999999999</v>
      </c>
      <c r="F219" s="17">
        <f t="shared" si="27"/>
        <v>0.12</v>
      </c>
      <c r="G219" s="1">
        <f t="shared" si="21"/>
        <v>0.3362986577181209</v>
      </c>
      <c r="H219" s="1">
        <f t="shared" si="22"/>
        <v>0.75475628362255476</v>
      </c>
      <c r="I219" s="1">
        <f t="shared" si="23"/>
        <v>0.51402999999999932</v>
      </c>
      <c r="J219" s="1">
        <f t="shared" si="24"/>
        <v>0.15734006734006714</v>
      </c>
      <c r="K219" s="17" t="str">
        <f t="shared" si="25"/>
        <v/>
      </c>
      <c r="L219" s="17" t="str">
        <f t="shared" si="26"/>
        <v/>
      </c>
    </row>
    <row r="220" spans="1:12">
      <c r="A220" s="17">
        <v>210</v>
      </c>
      <c r="B220" s="17">
        <v>5</v>
      </c>
      <c r="C220" s="17">
        <v>14</v>
      </c>
      <c r="D220" s="17" t="s">
        <v>584</v>
      </c>
      <c r="E220" s="17">
        <v>0.218</v>
      </c>
      <c r="F220" s="17">
        <f t="shared" si="27"/>
        <v>4.4000000000000011E-2</v>
      </c>
      <c r="G220" s="1">
        <f t="shared" si="21"/>
        <v>0.3362986577181209</v>
      </c>
      <c r="H220" s="1">
        <f t="shared" si="22"/>
        <v>0.75475628362255476</v>
      </c>
      <c r="I220" s="1">
        <f t="shared" si="23"/>
        <v>0.51402999999999932</v>
      </c>
      <c r="J220" s="1">
        <f t="shared" si="24"/>
        <v>0.15734006734006714</v>
      </c>
      <c r="K220" s="17" t="str">
        <f t="shared" si="25"/>
        <v/>
      </c>
      <c r="L220" s="17" t="str">
        <f t="shared" si="26"/>
        <v/>
      </c>
    </row>
    <row r="221" spans="1:12">
      <c r="A221" s="17">
        <v>211</v>
      </c>
      <c r="B221" s="17">
        <v>5</v>
      </c>
      <c r="C221" s="17">
        <v>13</v>
      </c>
      <c r="D221" s="17" t="s">
        <v>585</v>
      </c>
      <c r="E221" s="17">
        <v>0.432</v>
      </c>
      <c r="F221" s="17">
        <f t="shared" si="27"/>
        <v>0.214</v>
      </c>
      <c r="G221" s="1">
        <f t="shared" si="21"/>
        <v>0.3362986577181209</v>
      </c>
      <c r="H221" s="1">
        <f t="shared" si="22"/>
        <v>0.75475628362255476</v>
      </c>
      <c r="I221" s="1">
        <f t="shared" si="23"/>
        <v>0.51402999999999932</v>
      </c>
      <c r="J221" s="1">
        <f t="shared" si="24"/>
        <v>0.15734006734006714</v>
      </c>
      <c r="K221" s="17" t="str">
        <f t="shared" si="25"/>
        <v/>
      </c>
      <c r="L221" s="17" t="str">
        <f t="shared" si="26"/>
        <v/>
      </c>
    </row>
    <row r="222" spans="1:12">
      <c r="A222" s="17">
        <v>212</v>
      </c>
      <c r="B222" s="17">
        <v>5</v>
      </c>
      <c r="C222" s="17">
        <v>12</v>
      </c>
      <c r="D222" s="17" t="s">
        <v>586</v>
      </c>
      <c r="E222" s="17">
        <v>0.38900000000000001</v>
      </c>
      <c r="F222" s="17">
        <f t="shared" si="27"/>
        <v>4.2999999999999983E-2</v>
      </c>
      <c r="G222" s="1">
        <f t="shared" si="21"/>
        <v>0.3362986577181209</v>
      </c>
      <c r="H222" s="1">
        <f t="shared" si="22"/>
        <v>0.75475628362255476</v>
      </c>
      <c r="I222" s="1">
        <f t="shared" si="23"/>
        <v>0.51402999999999932</v>
      </c>
      <c r="J222" s="1">
        <f t="shared" si="24"/>
        <v>0.15734006734006714</v>
      </c>
      <c r="K222" s="17" t="str">
        <f t="shared" si="25"/>
        <v/>
      </c>
      <c r="L222" s="17" t="str">
        <f t="shared" si="26"/>
        <v/>
      </c>
    </row>
    <row r="223" spans="1:12">
      <c r="A223" s="17">
        <v>213</v>
      </c>
      <c r="B223" s="17">
        <v>5</v>
      </c>
      <c r="C223" s="17">
        <v>11</v>
      </c>
      <c r="D223" s="17" t="s">
        <v>587</v>
      </c>
      <c r="E223" s="17">
        <v>0.52100000000000002</v>
      </c>
      <c r="F223" s="17">
        <f t="shared" si="27"/>
        <v>0.13200000000000001</v>
      </c>
      <c r="G223" s="1">
        <f t="shared" si="21"/>
        <v>0.3362986577181209</v>
      </c>
      <c r="H223" s="1">
        <f t="shared" si="22"/>
        <v>0.75475628362255476</v>
      </c>
      <c r="I223" s="1">
        <f t="shared" si="23"/>
        <v>0.51402999999999932</v>
      </c>
      <c r="J223" s="1">
        <f t="shared" si="24"/>
        <v>0.15734006734006714</v>
      </c>
      <c r="K223" s="17" t="str">
        <f t="shared" si="25"/>
        <v/>
      </c>
      <c r="L223" s="17" t="str">
        <f t="shared" si="26"/>
        <v/>
      </c>
    </row>
    <row r="224" spans="1:12">
      <c r="A224" s="17">
        <v>214</v>
      </c>
      <c r="B224" s="17">
        <v>5</v>
      </c>
      <c r="C224" s="17">
        <v>10</v>
      </c>
      <c r="D224" s="17" t="s">
        <v>588</v>
      </c>
      <c r="E224" s="17">
        <v>0.40400000000000003</v>
      </c>
      <c r="F224" s="17">
        <f t="shared" si="27"/>
        <v>0.11699999999999999</v>
      </c>
      <c r="G224" s="1">
        <f t="shared" si="21"/>
        <v>0.3362986577181209</v>
      </c>
      <c r="H224" s="1">
        <f t="shared" si="22"/>
        <v>0.75475628362255476</v>
      </c>
      <c r="I224" s="1">
        <f t="shared" si="23"/>
        <v>0.51402999999999932</v>
      </c>
      <c r="J224" s="1">
        <f t="shared" si="24"/>
        <v>0.15734006734006714</v>
      </c>
      <c r="K224" s="17" t="str">
        <f t="shared" si="25"/>
        <v/>
      </c>
      <c r="L224" s="17" t="str">
        <f t="shared" si="26"/>
        <v/>
      </c>
    </row>
    <row r="225" spans="1:12">
      <c r="A225" s="17">
        <v>215</v>
      </c>
      <c r="B225" s="17">
        <v>5</v>
      </c>
      <c r="C225" s="17">
        <v>9</v>
      </c>
      <c r="D225" s="17" t="s">
        <v>589</v>
      </c>
      <c r="E225" s="17">
        <v>0.114</v>
      </c>
      <c r="F225" s="17">
        <f t="shared" si="27"/>
        <v>0.29000000000000004</v>
      </c>
      <c r="G225" s="1">
        <f t="shared" si="21"/>
        <v>0.3362986577181209</v>
      </c>
      <c r="H225" s="1">
        <f t="shared" si="22"/>
        <v>0.75475628362255476</v>
      </c>
      <c r="I225" s="1">
        <f t="shared" si="23"/>
        <v>0.51402999999999932</v>
      </c>
      <c r="J225" s="1">
        <f t="shared" si="24"/>
        <v>0.15734006734006714</v>
      </c>
      <c r="K225" s="17" t="str">
        <f t="shared" si="25"/>
        <v/>
      </c>
      <c r="L225" s="17" t="str">
        <f t="shared" si="26"/>
        <v/>
      </c>
    </row>
    <row r="226" spans="1:12">
      <c r="A226" s="17">
        <v>216</v>
      </c>
      <c r="B226" s="17">
        <v>5</v>
      </c>
      <c r="C226" s="17">
        <v>8</v>
      </c>
      <c r="D226" s="17" t="s">
        <v>590</v>
      </c>
      <c r="E226" s="17">
        <v>0.39500000000000002</v>
      </c>
      <c r="F226" s="17">
        <f t="shared" si="27"/>
        <v>0.28100000000000003</v>
      </c>
      <c r="G226" s="1">
        <f t="shared" si="21"/>
        <v>0.3362986577181209</v>
      </c>
      <c r="H226" s="1">
        <f t="shared" si="22"/>
        <v>0.75475628362255476</v>
      </c>
      <c r="I226" s="1">
        <f t="shared" si="23"/>
        <v>0.51402999999999932</v>
      </c>
      <c r="J226" s="1">
        <f t="shared" si="24"/>
        <v>0.15734006734006714</v>
      </c>
      <c r="K226" s="17" t="str">
        <f t="shared" si="25"/>
        <v/>
      </c>
      <c r="L226" s="17" t="str">
        <f t="shared" si="26"/>
        <v/>
      </c>
    </row>
    <row r="227" spans="1:12">
      <c r="A227" s="17">
        <v>217</v>
      </c>
      <c r="B227" s="17">
        <v>5</v>
      </c>
      <c r="C227" s="17">
        <v>7</v>
      </c>
      <c r="D227" s="17" t="s">
        <v>591</v>
      </c>
      <c r="E227" s="17">
        <v>0.46899999999999997</v>
      </c>
      <c r="F227" s="17">
        <f t="shared" si="27"/>
        <v>7.3999999999999955E-2</v>
      </c>
      <c r="G227" s="1">
        <f t="shared" si="21"/>
        <v>0.3362986577181209</v>
      </c>
      <c r="H227" s="1">
        <f t="shared" si="22"/>
        <v>0.75475628362255476</v>
      </c>
      <c r="I227" s="1">
        <f t="shared" si="23"/>
        <v>0.51402999999999932</v>
      </c>
      <c r="J227" s="1">
        <f t="shared" si="24"/>
        <v>0.15734006734006714</v>
      </c>
      <c r="K227" s="17" t="str">
        <f t="shared" si="25"/>
        <v/>
      </c>
      <c r="L227" s="17" t="str">
        <f t="shared" si="26"/>
        <v/>
      </c>
    </row>
    <row r="228" spans="1:12">
      <c r="A228" s="17">
        <v>218</v>
      </c>
      <c r="B228" s="17">
        <v>5</v>
      </c>
      <c r="C228" s="17">
        <v>6</v>
      </c>
      <c r="D228" s="17" t="s">
        <v>592</v>
      </c>
      <c r="E228" s="17">
        <v>6.2E-2</v>
      </c>
      <c r="F228" s="17">
        <f t="shared" si="27"/>
        <v>0.40699999999999997</v>
      </c>
      <c r="G228" s="1">
        <f t="shared" si="21"/>
        <v>0.3362986577181209</v>
      </c>
      <c r="H228" s="1">
        <f t="shared" si="22"/>
        <v>0.75475628362255476</v>
      </c>
      <c r="I228" s="1">
        <f t="shared" si="23"/>
        <v>0.51402999999999932</v>
      </c>
      <c r="J228" s="1">
        <f t="shared" si="24"/>
        <v>0.15734006734006714</v>
      </c>
      <c r="K228" s="17" t="str">
        <f t="shared" si="25"/>
        <v/>
      </c>
      <c r="L228" s="17" t="str">
        <f t="shared" si="26"/>
        <v/>
      </c>
    </row>
    <row r="229" spans="1:12">
      <c r="A229" s="17">
        <v>219</v>
      </c>
      <c r="B229" s="17">
        <v>5</v>
      </c>
      <c r="C229" s="17">
        <v>5</v>
      </c>
      <c r="D229" s="17" t="s">
        <v>593</v>
      </c>
      <c r="E229" s="17">
        <v>0.50800000000000001</v>
      </c>
      <c r="F229" s="17">
        <f t="shared" si="27"/>
        <v>0.44600000000000001</v>
      </c>
      <c r="G229" s="1">
        <f t="shared" si="21"/>
        <v>0.3362986577181209</v>
      </c>
      <c r="H229" s="1">
        <f t="shared" si="22"/>
        <v>0.75475628362255476</v>
      </c>
      <c r="I229" s="1">
        <f t="shared" si="23"/>
        <v>0.51402999999999932</v>
      </c>
      <c r="J229" s="1">
        <f t="shared" si="24"/>
        <v>0.15734006734006714</v>
      </c>
      <c r="K229" s="17" t="str">
        <f t="shared" si="25"/>
        <v/>
      </c>
      <c r="L229" s="17" t="str">
        <f t="shared" si="26"/>
        <v/>
      </c>
    </row>
    <row r="230" spans="1:12">
      <c r="A230" s="17">
        <v>220</v>
      </c>
      <c r="B230" s="17">
        <v>5</v>
      </c>
      <c r="C230" s="17">
        <v>4</v>
      </c>
      <c r="D230" s="17" t="s">
        <v>594</v>
      </c>
      <c r="E230" s="17">
        <v>0.254</v>
      </c>
      <c r="F230" s="17">
        <f t="shared" si="27"/>
        <v>0.254</v>
      </c>
      <c r="G230" s="1">
        <f t="shared" si="21"/>
        <v>0.3362986577181209</v>
      </c>
      <c r="H230" s="1">
        <f t="shared" si="22"/>
        <v>0.75475628362255476</v>
      </c>
      <c r="I230" s="1">
        <f t="shared" si="23"/>
        <v>0.51402999999999932</v>
      </c>
      <c r="J230" s="1">
        <f t="shared" si="24"/>
        <v>0.15734006734006714</v>
      </c>
      <c r="K230" s="17" t="str">
        <f t="shared" si="25"/>
        <v/>
      </c>
      <c r="L230" s="17" t="str">
        <f t="shared" si="26"/>
        <v/>
      </c>
    </row>
    <row r="231" spans="1:12">
      <c r="A231" s="17">
        <v>221</v>
      </c>
      <c r="B231" s="17">
        <v>5</v>
      </c>
      <c r="C231" s="17">
        <v>3</v>
      </c>
      <c r="D231" s="17" t="s">
        <v>595</v>
      </c>
      <c r="E231" s="17">
        <v>0.26500000000000001</v>
      </c>
      <c r="F231" s="17">
        <f t="shared" si="27"/>
        <v>1.100000000000001E-2</v>
      </c>
      <c r="G231" s="1">
        <f t="shared" si="21"/>
        <v>0.3362986577181209</v>
      </c>
      <c r="H231" s="1">
        <f t="shared" si="22"/>
        <v>0.75475628362255476</v>
      </c>
      <c r="I231" s="1">
        <f t="shared" si="23"/>
        <v>0.51402999999999932</v>
      </c>
      <c r="J231" s="1">
        <f t="shared" si="24"/>
        <v>0.15734006734006714</v>
      </c>
      <c r="K231" s="17" t="str">
        <f t="shared" si="25"/>
        <v/>
      </c>
      <c r="L231" s="17" t="str">
        <f t="shared" si="26"/>
        <v/>
      </c>
    </row>
    <row r="232" spans="1:12">
      <c r="A232" s="17">
        <v>222</v>
      </c>
      <c r="B232" s="17">
        <v>5</v>
      </c>
      <c r="C232" s="17">
        <v>2</v>
      </c>
      <c r="D232" s="17" t="s">
        <v>596</v>
      </c>
      <c r="E232" s="17">
        <v>0.39600000000000002</v>
      </c>
      <c r="F232" s="17">
        <f t="shared" si="27"/>
        <v>0.13100000000000001</v>
      </c>
      <c r="G232" s="1">
        <f t="shared" si="21"/>
        <v>0.3362986577181209</v>
      </c>
      <c r="H232" s="1">
        <f t="shared" si="22"/>
        <v>0.75475628362255476</v>
      </c>
      <c r="I232" s="1">
        <f t="shared" si="23"/>
        <v>0.51402999999999932</v>
      </c>
      <c r="J232" s="1">
        <f t="shared" si="24"/>
        <v>0.15734006734006714</v>
      </c>
      <c r="K232" s="17" t="str">
        <f t="shared" si="25"/>
        <v/>
      </c>
      <c r="L232" s="17" t="str">
        <f t="shared" si="26"/>
        <v/>
      </c>
    </row>
    <row r="233" spans="1:12">
      <c r="A233" s="17">
        <v>223</v>
      </c>
      <c r="B233" s="17">
        <v>5</v>
      </c>
      <c r="C233" s="17">
        <v>1</v>
      </c>
      <c r="D233" s="17" t="s">
        <v>597</v>
      </c>
      <c r="E233" s="17">
        <v>0.56200000000000006</v>
      </c>
      <c r="F233" s="17">
        <f t="shared" si="27"/>
        <v>0.16600000000000004</v>
      </c>
      <c r="G233" s="1">
        <f t="shared" si="21"/>
        <v>0.3362986577181209</v>
      </c>
      <c r="H233" s="1">
        <f t="shared" si="22"/>
        <v>0.75475628362255476</v>
      </c>
      <c r="I233" s="1">
        <f t="shared" si="23"/>
        <v>0.51402999999999932</v>
      </c>
      <c r="J233" s="1">
        <f t="shared" si="24"/>
        <v>0.15734006734006714</v>
      </c>
      <c r="K233" s="17" t="str">
        <f t="shared" si="25"/>
        <v/>
      </c>
      <c r="L233" s="17" t="str">
        <f t="shared" si="26"/>
        <v/>
      </c>
    </row>
    <row r="234" spans="1:12">
      <c r="A234" s="17">
        <v>224</v>
      </c>
      <c r="B234" s="17">
        <v>5</v>
      </c>
      <c r="C234" s="17">
        <v>25</v>
      </c>
      <c r="D234" s="17" t="s">
        <v>598</v>
      </c>
      <c r="E234" s="17">
        <v>0.27200000000000002</v>
      </c>
      <c r="F234" s="17">
        <f t="shared" si="27"/>
        <v>0.29000000000000004</v>
      </c>
      <c r="G234" s="1">
        <f t="shared" si="21"/>
        <v>0.3362986577181209</v>
      </c>
      <c r="H234" s="1">
        <f t="shared" si="22"/>
        <v>0.75475628362255476</v>
      </c>
      <c r="I234" s="1">
        <f t="shared" si="23"/>
        <v>0.51402999999999932</v>
      </c>
      <c r="J234" s="1">
        <f t="shared" si="24"/>
        <v>0.15734006734006714</v>
      </c>
      <c r="K234" s="17" t="str">
        <f t="shared" si="25"/>
        <v/>
      </c>
      <c r="L234" s="17" t="str">
        <f t="shared" si="26"/>
        <v/>
      </c>
    </row>
    <row r="235" spans="1:12">
      <c r="A235" s="17">
        <v>225</v>
      </c>
      <c r="B235" s="17">
        <v>5</v>
      </c>
      <c r="C235" s="17">
        <v>24</v>
      </c>
      <c r="D235" s="17" t="s">
        <v>599</v>
      </c>
      <c r="E235" s="17">
        <v>0.32600000000000001</v>
      </c>
      <c r="F235" s="17">
        <f t="shared" si="27"/>
        <v>5.3999999999999992E-2</v>
      </c>
      <c r="G235" s="1">
        <f t="shared" si="21"/>
        <v>0.3362986577181209</v>
      </c>
      <c r="H235" s="1">
        <f t="shared" si="22"/>
        <v>0.75475628362255476</v>
      </c>
      <c r="I235" s="1">
        <f t="shared" si="23"/>
        <v>0.51402999999999932</v>
      </c>
      <c r="J235" s="1">
        <f t="shared" si="24"/>
        <v>0.15734006734006714</v>
      </c>
      <c r="K235" s="17" t="str">
        <f t="shared" si="25"/>
        <v/>
      </c>
      <c r="L235" s="17" t="str">
        <f t="shared" si="26"/>
        <v/>
      </c>
    </row>
    <row r="236" spans="1:12">
      <c r="A236" s="17">
        <v>226</v>
      </c>
      <c r="B236" s="17">
        <v>5</v>
      </c>
      <c r="C236" s="17">
        <v>23</v>
      </c>
      <c r="D236" s="17" t="s">
        <v>600</v>
      </c>
      <c r="E236" s="17">
        <v>0.622</v>
      </c>
      <c r="F236" s="17">
        <f t="shared" si="27"/>
        <v>0.29599999999999999</v>
      </c>
      <c r="G236" s="1">
        <f t="shared" si="21"/>
        <v>0.3362986577181209</v>
      </c>
      <c r="H236" s="1">
        <f t="shared" si="22"/>
        <v>0.75475628362255476</v>
      </c>
      <c r="I236" s="1">
        <f t="shared" si="23"/>
        <v>0.51402999999999932</v>
      </c>
      <c r="J236" s="1">
        <f t="shared" si="24"/>
        <v>0.15734006734006714</v>
      </c>
      <c r="K236" s="17" t="str">
        <f t="shared" si="25"/>
        <v/>
      </c>
      <c r="L236" s="17" t="str">
        <f t="shared" si="26"/>
        <v/>
      </c>
    </row>
    <row r="237" spans="1:12">
      <c r="A237" s="17">
        <v>227</v>
      </c>
      <c r="B237" s="17">
        <v>5</v>
      </c>
      <c r="C237" s="17">
        <v>22</v>
      </c>
      <c r="D237" s="17" t="s">
        <v>601</v>
      </c>
      <c r="E237" s="17">
        <v>0.373</v>
      </c>
      <c r="F237" s="17">
        <f t="shared" si="27"/>
        <v>0.249</v>
      </c>
      <c r="G237" s="1">
        <f t="shared" si="21"/>
        <v>0.3362986577181209</v>
      </c>
      <c r="H237" s="1">
        <f t="shared" si="22"/>
        <v>0.75475628362255476</v>
      </c>
      <c r="I237" s="1">
        <f t="shared" si="23"/>
        <v>0.51402999999999932</v>
      </c>
      <c r="J237" s="1">
        <f t="shared" si="24"/>
        <v>0.15734006734006714</v>
      </c>
      <c r="K237" s="17" t="str">
        <f t="shared" si="25"/>
        <v/>
      </c>
      <c r="L237" s="17" t="str">
        <f t="shared" si="26"/>
        <v/>
      </c>
    </row>
    <row r="238" spans="1:12">
      <c r="A238" s="17">
        <v>228</v>
      </c>
      <c r="B238" s="17">
        <v>5</v>
      </c>
      <c r="C238" s="17">
        <v>21</v>
      </c>
      <c r="D238" s="17" t="s">
        <v>602</v>
      </c>
      <c r="E238" s="17">
        <v>0.40100000000000002</v>
      </c>
      <c r="F238" s="17">
        <f t="shared" si="27"/>
        <v>2.8000000000000025E-2</v>
      </c>
      <c r="G238" s="1">
        <f t="shared" si="21"/>
        <v>0.3362986577181209</v>
      </c>
      <c r="H238" s="1">
        <f t="shared" si="22"/>
        <v>0.75475628362255476</v>
      </c>
      <c r="I238" s="1">
        <f t="shared" si="23"/>
        <v>0.51402999999999932</v>
      </c>
      <c r="J238" s="1">
        <f t="shared" si="24"/>
        <v>0.15734006734006714</v>
      </c>
      <c r="K238" s="17" t="str">
        <f t="shared" si="25"/>
        <v/>
      </c>
      <c r="L238" s="17" t="str">
        <f t="shared" si="26"/>
        <v/>
      </c>
    </row>
    <row r="239" spans="1:12">
      <c r="A239" s="17">
        <v>229</v>
      </c>
      <c r="B239" s="17">
        <v>5</v>
      </c>
      <c r="C239" s="17">
        <v>20</v>
      </c>
      <c r="D239" s="17" t="s">
        <v>603</v>
      </c>
      <c r="E239" s="17">
        <v>0.39</v>
      </c>
      <c r="F239" s="17">
        <f t="shared" si="27"/>
        <v>1.100000000000001E-2</v>
      </c>
      <c r="G239" s="1">
        <f t="shared" si="21"/>
        <v>0.3362986577181209</v>
      </c>
      <c r="H239" s="1">
        <f t="shared" si="22"/>
        <v>0.75475628362255476</v>
      </c>
      <c r="I239" s="1">
        <f t="shared" si="23"/>
        <v>0.51402999999999932</v>
      </c>
      <c r="J239" s="1">
        <f t="shared" si="24"/>
        <v>0.15734006734006714</v>
      </c>
      <c r="K239" s="17" t="str">
        <f t="shared" si="25"/>
        <v/>
      </c>
      <c r="L239" s="17" t="str">
        <f t="shared" si="26"/>
        <v/>
      </c>
    </row>
    <row r="240" spans="1:12">
      <c r="A240" s="17">
        <v>230</v>
      </c>
      <c r="B240" s="17">
        <v>5</v>
      </c>
      <c r="C240" s="17">
        <v>19</v>
      </c>
      <c r="D240" s="17" t="s">
        <v>604</v>
      </c>
      <c r="E240" s="17">
        <v>0.436</v>
      </c>
      <c r="F240" s="17">
        <f t="shared" si="27"/>
        <v>4.5999999999999985E-2</v>
      </c>
      <c r="G240" s="1">
        <f t="shared" si="21"/>
        <v>0.3362986577181209</v>
      </c>
      <c r="H240" s="1">
        <f t="shared" si="22"/>
        <v>0.75475628362255476</v>
      </c>
      <c r="I240" s="1">
        <f t="shared" si="23"/>
        <v>0.51402999999999932</v>
      </c>
      <c r="J240" s="1">
        <f t="shared" si="24"/>
        <v>0.15734006734006714</v>
      </c>
      <c r="K240" s="17" t="str">
        <f t="shared" si="25"/>
        <v/>
      </c>
      <c r="L240" s="17" t="str">
        <f t="shared" si="26"/>
        <v/>
      </c>
    </row>
    <row r="241" spans="1:12">
      <c r="A241" s="17">
        <v>231</v>
      </c>
      <c r="B241" s="17">
        <v>5</v>
      </c>
      <c r="C241" s="17">
        <v>18</v>
      </c>
      <c r="D241" s="17" t="s">
        <v>605</v>
      </c>
      <c r="E241" s="17">
        <v>0.29199999999999998</v>
      </c>
      <c r="F241" s="17">
        <f t="shared" si="27"/>
        <v>0.14400000000000002</v>
      </c>
      <c r="G241" s="1">
        <f t="shared" si="21"/>
        <v>0.3362986577181209</v>
      </c>
      <c r="H241" s="1">
        <f t="shared" si="22"/>
        <v>0.75475628362255476</v>
      </c>
      <c r="I241" s="1">
        <f t="shared" si="23"/>
        <v>0.51402999999999932</v>
      </c>
      <c r="J241" s="1">
        <f t="shared" si="24"/>
        <v>0.15734006734006714</v>
      </c>
      <c r="K241" s="17" t="str">
        <f t="shared" si="25"/>
        <v/>
      </c>
      <c r="L241" s="17" t="str">
        <f t="shared" si="26"/>
        <v/>
      </c>
    </row>
    <row r="242" spans="1:12">
      <c r="A242" s="17">
        <v>232</v>
      </c>
      <c r="B242" s="17">
        <v>5</v>
      </c>
      <c r="C242" s="17">
        <v>17</v>
      </c>
      <c r="D242" s="17" t="s">
        <v>606</v>
      </c>
      <c r="E242" s="17">
        <v>0.193</v>
      </c>
      <c r="F242" s="17">
        <f t="shared" si="27"/>
        <v>9.8999999999999977E-2</v>
      </c>
      <c r="G242" s="1">
        <f t="shared" si="21"/>
        <v>0.3362986577181209</v>
      </c>
      <c r="H242" s="1">
        <f t="shared" si="22"/>
        <v>0.75475628362255476</v>
      </c>
      <c r="I242" s="1">
        <f t="shared" si="23"/>
        <v>0.51402999999999932</v>
      </c>
      <c r="J242" s="1">
        <f t="shared" si="24"/>
        <v>0.15734006734006714</v>
      </c>
      <c r="K242" s="17" t="str">
        <f t="shared" si="25"/>
        <v/>
      </c>
      <c r="L242" s="17" t="str">
        <f t="shared" si="26"/>
        <v/>
      </c>
    </row>
    <row r="243" spans="1:12">
      <c r="A243" s="17">
        <v>233</v>
      </c>
      <c r="B243" s="17">
        <v>5</v>
      </c>
      <c r="C243" s="17">
        <v>16</v>
      </c>
      <c r="D243" s="17" t="s">
        <v>607</v>
      </c>
      <c r="E243" s="17">
        <v>0.13800000000000001</v>
      </c>
      <c r="F243" s="17">
        <f t="shared" si="27"/>
        <v>5.4999999999999993E-2</v>
      </c>
      <c r="G243" s="1">
        <f t="shared" si="21"/>
        <v>0.3362986577181209</v>
      </c>
      <c r="H243" s="1">
        <f t="shared" si="22"/>
        <v>0.75475628362255476</v>
      </c>
      <c r="I243" s="1">
        <f t="shared" si="23"/>
        <v>0.51402999999999932</v>
      </c>
      <c r="J243" s="1">
        <f t="shared" si="24"/>
        <v>0.15734006734006714</v>
      </c>
      <c r="K243" s="17" t="str">
        <f t="shared" si="25"/>
        <v/>
      </c>
      <c r="L243" s="17" t="str">
        <f t="shared" si="26"/>
        <v/>
      </c>
    </row>
    <row r="244" spans="1:12">
      <c r="A244" s="17">
        <v>234</v>
      </c>
      <c r="B244" s="17">
        <v>5</v>
      </c>
      <c r="C244" s="17">
        <v>15</v>
      </c>
      <c r="D244" s="17" t="s">
        <v>608</v>
      </c>
      <c r="E244" s="17">
        <v>0.34399999999999997</v>
      </c>
      <c r="F244" s="17">
        <f t="shared" si="27"/>
        <v>0.20599999999999996</v>
      </c>
      <c r="G244" s="1">
        <f t="shared" si="21"/>
        <v>0.3362986577181209</v>
      </c>
      <c r="H244" s="1">
        <f t="shared" si="22"/>
        <v>0.75475628362255476</v>
      </c>
      <c r="I244" s="1">
        <f t="shared" si="23"/>
        <v>0.51402999999999932</v>
      </c>
      <c r="J244" s="1">
        <f t="shared" si="24"/>
        <v>0.15734006734006714</v>
      </c>
      <c r="K244" s="17" t="str">
        <f t="shared" si="25"/>
        <v/>
      </c>
      <c r="L244" s="17" t="str">
        <f t="shared" si="26"/>
        <v/>
      </c>
    </row>
    <row r="245" spans="1:12">
      <c r="A245" s="17">
        <v>235</v>
      </c>
      <c r="B245" s="17">
        <v>5</v>
      </c>
      <c r="C245" s="17">
        <v>14</v>
      </c>
      <c r="D245" s="17" t="s">
        <v>609</v>
      </c>
      <c r="E245" s="17">
        <v>0.187</v>
      </c>
      <c r="F245" s="17">
        <f t="shared" si="27"/>
        <v>0.15699999999999997</v>
      </c>
      <c r="G245" s="1">
        <f t="shared" si="21"/>
        <v>0.3362986577181209</v>
      </c>
      <c r="H245" s="1">
        <f t="shared" si="22"/>
        <v>0.75475628362255476</v>
      </c>
      <c r="I245" s="1">
        <f t="shared" si="23"/>
        <v>0.51402999999999932</v>
      </c>
      <c r="J245" s="1">
        <f t="shared" si="24"/>
        <v>0.15734006734006714</v>
      </c>
      <c r="K245" s="17" t="str">
        <f t="shared" si="25"/>
        <v/>
      </c>
      <c r="L245" s="17" t="str">
        <f t="shared" si="26"/>
        <v/>
      </c>
    </row>
    <row r="246" spans="1:12">
      <c r="A246" s="17">
        <v>236</v>
      </c>
      <c r="B246" s="17">
        <v>5</v>
      </c>
      <c r="C246" s="17">
        <v>13</v>
      </c>
      <c r="D246" s="17" t="s">
        <v>610</v>
      </c>
      <c r="E246" s="17">
        <v>0.152</v>
      </c>
      <c r="F246" s="17">
        <f t="shared" si="27"/>
        <v>3.5000000000000003E-2</v>
      </c>
      <c r="G246" s="1">
        <f t="shared" si="21"/>
        <v>0.3362986577181209</v>
      </c>
      <c r="H246" s="1">
        <f t="shared" si="22"/>
        <v>0.75475628362255476</v>
      </c>
      <c r="I246" s="1">
        <f t="shared" si="23"/>
        <v>0.51402999999999932</v>
      </c>
      <c r="J246" s="1">
        <f t="shared" si="24"/>
        <v>0.15734006734006714</v>
      </c>
      <c r="K246" s="17" t="str">
        <f t="shared" si="25"/>
        <v/>
      </c>
      <c r="L246" s="17" t="str">
        <f t="shared" si="26"/>
        <v/>
      </c>
    </row>
    <row r="247" spans="1:12">
      <c r="A247" s="17">
        <v>237</v>
      </c>
      <c r="B247" s="17">
        <v>5</v>
      </c>
      <c r="C247" s="17">
        <v>12</v>
      </c>
      <c r="D247" s="17" t="s">
        <v>611</v>
      </c>
      <c r="E247" s="17">
        <v>0.41899999999999998</v>
      </c>
      <c r="F247" s="17">
        <f t="shared" si="27"/>
        <v>0.26700000000000002</v>
      </c>
      <c r="G247" s="1">
        <f t="shared" si="21"/>
        <v>0.3362986577181209</v>
      </c>
      <c r="H247" s="1">
        <f t="shared" si="22"/>
        <v>0.75475628362255476</v>
      </c>
      <c r="I247" s="1">
        <f t="shared" si="23"/>
        <v>0.51402999999999932</v>
      </c>
      <c r="J247" s="1">
        <f t="shared" si="24"/>
        <v>0.15734006734006714</v>
      </c>
      <c r="K247" s="17" t="str">
        <f t="shared" si="25"/>
        <v/>
      </c>
      <c r="L247" s="17" t="str">
        <f t="shared" si="26"/>
        <v/>
      </c>
    </row>
    <row r="248" spans="1:12">
      <c r="A248" s="17">
        <v>238</v>
      </c>
      <c r="B248" s="17">
        <v>5</v>
      </c>
      <c r="C248" s="17">
        <v>11</v>
      </c>
      <c r="D248" s="17" t="s">
        <v>612</v>
      </c>
      <c r="E248" s="17">
        <v>0.29799999999999999</v>
      </c>
      <c r="F248" s="17">
        <f t="shared" si="27"/>
        <v>0.121</v>
      </c>
      <c r="G248" s="1">
        <f t="shared" si="21"/>
        <v>0.3362986577181209</v>
      </c>
      <c r="H248" s="1">
        <f t="shared" si="22"/>
        <v>0.75475628362255476</v>
      </c>
      <c r="I248" s="1">
        <f t="shared" si="23"/>
        <v>0.51402999999999932</v>
      </c>
      <c r="J248" s="1">
        <f t="shared" si="24"/>
        <v>0.15734006734006714</v>
      </c>
      <c r="K248" s="17" t="str">
        <f t="shared" si="25"/>
        <v/>
      </c>
      <c r="L248" s="17" t="str">
        <f t="shared" si="26"/>
        <v/>
      </c>
    </row>
    <row r="249" spans="1:12">
      <c r="A249" s="17">
        <v>239</v>
      </c>
      <c r="B249" s="17">
        <v>5</v>
      </c>
      <c r="C249" s="17">
        <v>10</v>
      </c>
      <c r="D249" s="17" t="s">
        <v>613</v>
      </c>
      <c r="E249" s="17">
        <v>0.47</v>
      </c>
      <c r="F249" s="17">
        <f t="shared" si="27"/>
        <v>0.17199999999999999</v>
      </c>
      <c r="G249" s="1">
        <f t="shared" si="21"/>
        <v>0.3362986577181209</v>
      </c>
      <c r="H249" s="1">
        <f t="shared" si="22"/>
        <v>0.75475628362255476</v>
      </c>
      <c r="I249" s="1">
        <f t="shared" si="23"/>
        <v>0.51402999999999932</v>
      </c>
      <c r="J249" s="1">
        <f t="shared" si="24"/>
        <v>0.15734006734006714</v>
      </c>
      <c r="K249" s="17" t="str">
        <f t="shared" si="25"/>
        <v/>
      </c>
      <c r="L249" s="17" t="str">
        <f t="shared" si="26"/>
        <v/>
      </c>
    </row>
    <row r="250" spans="1:12">
      <c r="A250" s="17">
        <v>240</v>
      </c>
      <c r="B250" s="17">
        <v>5</v>
      </c>
      <c r="C250" s="17">
        <v>9</v>
      </c>
      <c r="D250" s="17" t="s">
        <v>614</v>
      </c>
      <c r="E250" s="17">
        <v>0.40600000000000003</v>
      </c>
      <c r="F250" s="17">
        <f t="shared" si="27"/>
        <v>6.3999999999999946E-2</v>
      </c>
      <c r="G250" s="1">
        <f t="shared" si="21"/>
        <v>0.3362986577181209</v>
      </c>
      <c r="H250" s="1">
        <f t="shared" si="22"/>
        <v>0.75475628362255476</v>
      </c>
      <c r="I250" s="1">
        <f t="shared" si="23"/>
        <v>0.51402999999999932</v>
      </c>
      <c r="J250" s="1">
        <f t="shared" si="24"/>
        <v>0.15734006734006714</v>
      </c>
      <c r="K250" s="17" t="str">
        <f t="shared" si="25"/>
        <v/>
      </c>
      <c r="L250" s="17" t="str">
        <f t="shared" si="26"/>
        <v/>
      </c>
    </row>
    <row r="251" spans="1:12">
      <c r="A251" s="17">
        <v>241</v>
      </c>
      <c r="B251" s="17">
        <v>5</v>
      </c>
      <c r="C251" s="17">
        <v>8</v>
      </c>
      <c r="D251" s="17" t="s">
        <v>615</v>
      </c>
      <c r="E251" s="17">
        <v>0.34899999999999998</v>
      </c>
      <c r="F251" s="17">
        <f t="shared" si="27"/>
        <v>5.7000000000000051E-2</v>
      </c>
      <c r="G251" s="1">
        <f t="shared" si="21"/>
        <v>0.3362986577181209</v>
      </c>
      <c r="H251" s="1">
        <f t="shared" si="22"/>
        <v>0.75475628362255476</v>
      </c>
      <c r="I251" s="1">
        <f t="shared" si="23"/>
        <v>0.51402999999999932</v>
      </c>
      <c r="J251" s="1">
        <f t="shared" si="24"/>
        <v>0.15734006734006714</v>
      </c>
      <c r="K251" s="17" t="str">
        <f t="shared" si="25"/>
        <v/>
      </c>
      <c r="L251" s="17" t="str">
        <f t="shared" si="26"/>
        <v/>
      </c>
    </row>
    <row r="252" spans="1:12">
      <c r="A252" s="17">
        <v>242</v>
      </c>
      <c r="B252" s="17">
        <v>5</v>
      </c>
      <c r="C252" s="17">
        <v>7</v>
      </c>
      <c r="D252" s="17" t="s">
        <v>616</v>
      </c>
      <c r="E252" s="17">
        <v>9.5000000000000001E-2</v>
      </c>
      <c r="F252" s="17">
        <f t="shared" si="27"/>
        <v>0.254</v>
      </c>
      <c r="G252" s="1">
        <f t="shared" si="21"/>
        <v>0.3362986577181209</v>
      </c>
      <c r="H252" s="1">
        <f t="shared" si="22"/>
        <v>0.75475628362255476</v>
      </c>
      <c r="I252" s="1">
        <f t="shared" si="23"/>
        <v>0.51402999999999932</v>
      </c>
      <c r="J252" s="1">
        <f t="shared" si="24"/>
        <v>0.15734006734006714</v>
      </c>
      <c r="K252" s="17" t="str">
        <f t="shared" si="25"/>
        <v/>
      </c>
      <c r="L252" s="17" t="str">
        <f t="shared" si="26"/>
        <v/>
      </c>
    </row>
    <row r="253" spans="1:12">
      <c r="A253" s="17">
        <v>243</v>
      </c>
      <c r="B253" s="17">
        <v>5</v>
      </c>
      <c r="C253" s="17">
        <v>6</v>
      </c>
      <c r="D253" s="17" t="s">
        <v>617</v>
      </c>
      <c r="E253" s="17">
        <v>0.30299999999999999</v>
      </c>
      <c r="F253" s="17">
        <f t="shared" si="27"/>
        <v>0.20799999999999999</v>
      </c>
      <c r="G253" s="1">
        <f t="shared" si="21"/>
        <v>0.3362986577181209</v>
      </c>
      <c r="H253" s="1">
        <f t="shared" si="22"/>
        <v>0.75475628362255476</v>
      </c>
      <c r="I253" s="1">
        <f t="shared" si="23"/>
        <v>0.51402999999999932</v>
      </c>
      <c r="J253" s="1">
        <f t="shared" si="24"/>
        <v>0.15734006734006714</v>
      </c>
      <c r="K253" s="17" t="str">
        <f t="shared" si="25"/>
        <v/>
      </c>
      <c r="L253" s="17" t="str">
        <f t="shared" si="26"/>
        <v/>
      </c>
    </row>
    <row r="254" spans="1:12">
      <c r="A254" s="17">
        <v>244</v>
      </c>
      <c r="B254" s="17">
        <v>5</v>
      </c>
      <c r="C254" s="17">
        <v>5</v>
      </c>
      <c r="D254" s="17" t="s">
        <v>618</v>
      </c>
      <c r="E254" s="17">
        <v>0.32700000000000001</v>
      </c>
      <c r="F254" s="17">
        <f t="shared" si="27"/>
        <v>2.4000000000000021E-2</v>
      </c>
      <c r="G254" s="1">
        <f t="shared" si="21"/>
        <v>0.3362986577181209</v>
      </c>
      <c r="H254" s="1">
        <f t="shared" si="22"/>
        <v>0.75475628362255476</v>
      </c>
      <c r="I254" s="1">
        <f t="shared" si="23"/>
        <v>0.51402999999999932</v>
      </c>
      <c r="J254" s="1">
        <f t="shared" si="24"/>
        <v>0.15734006734006714</v>
      </c>
      <c r="K254" s="17" t="str">
        <f t="shared" si="25"/>
        <v/>
      </c>
      <c r="L254" s="17" t="str">
        <f t="shared" si="26"/>
        <v/>
      </c>
    </row>
    <row r="255" spans="1:12">
      <c r="A255" s="17">
        <v>245</v>
      </c>
      <c r="B255" s="17">
        <v>5</v>
      </c>
      <c r="C255" s="17">
        <v>4</v>
      </c>
      <c r="D255" s="17" t="s">
        <v>619</v>
      </c>
      <c r="E255" s="17">
        <v>0.53300000000000003</v>
      </c>
      <c r="F255" s="17">
        <f t="shared" si="27"/>
        <v>0.20600000000000002</v>
      </c>
      <c r="G255" s="1">
        <f t="shared" si="21"/>
        <v>0.3362986577181209</v>
      </c>
      <c r="H255" s="1">
        <f t="shared" si="22"/>
        <v>0.75475628362255476</v>
      </c>
      <c r="I255" s="1">
        <f t="shared" si="23"/>
        <v>0.51402999999999932</v>
      </c>
      <c r="J255" s="1">
        <f t="shared" si="24"/>
        <v>0.15734006734006714</v>
      </c>
      <c r="K255" s="17" t="str">
        <f t="shared" si="25"/>
        <v/>
      </c>
      <c r="L255" s="17" t="str">
        <f t="shared" si="26"/>
        <v/>
      </c>
    </row>
    <row r="256" spans="1:12">
      <c r="A256" s="17">
        <v>246</v>
      </c>
      <c r="B256" s="17">
        <v>5</v>
      </c>
      <c r="C256" s="17">
        <v>3</v>
      </c>
      <c r="D256" s="17" t="s">
        <v>620</v>
      </c>
      <c r="E256" s="17">
        <v>0.29299999999999998</v>
      </c>
      <c r="F256" s="17">
        <f t="shared" si="27"/>
        <v>0.24000000000000005</v>
      </c>
      <c r="G256" s="1">
        <f t="shared" si="21"/>
        <v>0.3362986577181209</v>
      </c>
      <c r="H256" s="1">
        <f t="shared" si="22"/>
        <v>0.75475628362255476</v>
      </c>
      <c r="I256" s="1">
        <f t="shared" si="23"/>
        <v>0.51402999999999932</v>
      </c>
      <c r="J256" s="1">
        <f t="shared" si="24"/>
        <v>0.15734006734006714</v>
      </c>
      <c r="K256" s="17" t="str">
        <f t="shared" si="25"/>
        <v/>
      </c>
      <c r="L256" s="17" t="str">
        <f t="shared" si="26"/>
        <v/>
      </c>
    </row>
    <row r="257" spans="1:12">
      <c r="A257" s="17">
        <v>247</v>
      </c>
      <c r="B257" s="17">
        <v>5</v>
      </c>
      <c r="C257" s="17">
        <v>2</v>
      </c>
      <c r="D257" s="17" t="s">
        <v>621</v>
      </c>
      <c r="E257" s="17">
        <v>0.86099999999999999</v>
      </c>
      <c r="F257" s="17">
        <f t="shared" si="27"/>
        <v>0.56800000000000006</v>
      </c>
      <c r="G257" s="1">
        <f t="shared" si="21"/>
        <v>0.3362986577181209</v>
      </c>
      <c r="H257" s="1">
        <f t="shared" si="22"/>
        <v>0.75475628362255476</v>
      </c>
      <c r="I257" s="1">
        <f t="shared" si="23"/>
        <v>0.51402999999999932</v>
      </c>
      <c r="J257" s="1">
        <f t="shared" si="24"/>
        <v>0.15734006734006714</v>
      </c>
      <c r="K257" s="17" t="str">
        <f t="shared" si="25"/>
        <v>OOC</v>
      </c>
      <c r="L257" s="17" t="str">
        <f t="shared" si="26"/>
        <v/>
      </c>
    </row>
    <row r="258" spans="1:12">
      <c r="A258" s="17">
        <v>248</v>
      </c>
      <c r="B258" s="17">
        <v>5</v>
      </c>
      <c r="C258" s="17">
        <v>1</v>
      </c>
      <c r="D258" s="17" t="s">
        <v>622</v>
      </c>
      <c r="E258" s="17">
        <v>0.56100000000000005</v>
      </c>
      <c r="F258" s="17">
        <f t="shared" si="27"/>
        <v>0.29999999999999993</v>
      </c>
      <c r="G258" s="1">
        <f t="shared" si="21"/>
        <v>0.3362986577181209</v>
      </c>
      <c r="H258" s="1">
        <f t="shared" si="22"/>
        <v>0.75475628362255476</v>
      </c>
      <c r="I258" s="1">
        <f t="shared" si="23"/>
        <v>0.51402999999999932</v>
      </c>
      <c r="J258" s="1">
        <f t="shared" si="24"/>
        <v>0.15734006734006714</v>
      </c>
      <c r="K258" s="17" t="str">
        <f t="shared" si="25"/>
        <v/>
      </c>
      <c r="L258" s="17" t="str">
        <f t="shared" si="26"/>
        <v/>
      </c>
    </row>
    <row r="259" spans="1:12">
      <c r="A259" s="17">
        <v>249</v>
      </c>
      <c r="B259" s="17">
        <v>6</v>
      </c>
      <c r="C259" s="17">
        <v>25</v>
      </c>
      <c r="D259" s="17" t="s">
        <v>623</v>
      </c>
      <c r="E259" s="17">
        <v>0.13900000000000001</v>
      </c>
      <c r="F259" s="17">
        <f t="shared" si="27"/>
        <v>0.42200000000000004</v>
      </c>
      <c r="G259" s="1">
        <f t="shared" si="21"/>
        <v>0.3362986577181209</v>
      </c>
      <c r="H259" s="1">
        <f t="shared" si="22"/>
        <v>0.75475628362255476</v>
      </c>
      <c r="I259" s="1">
        <f t="shared" si="23"/>
        <v>0.51402999999999932</v>
      </c>
      <c r="J259" s="1">
        <f t="shared" si="24"/>
        <v>0.15734006734006714</v>
      </c>
      <c r="K259" s="17" t="str">
        <f t="shared" si="25"/>
        <v/>
      </c>
      <c r="L259" s="17" t="str">
        <f t="shared" si="26"/>
        <v/>
      </c>
    </row>
    <row r="260" spans="1:12">
      <c r="A260" s="17">
        <v>250</v>
      </c>
      <c r="B260" s="17">
        <v>6</v>
      </c>
      <c r="C260" s="17">
        <v>24</v>
      </c>
      <c r="D260" s="17" t="s">
        <v>624</v>
      </c>
      <c r="E260" s="17">
        <v>0.254</v>
      </c>
      <c r="F260" s="17">
        <f t="shared" si="27"/>
        <v>0.11499999999999999</v>
      </c>
      <c r="G260" s="1">
        <f t="shared" si="21"/>
        <v>0.3362986577181209</v>
      </c>
      <c r="H260" s="1">
        <f t="shared" si="22"/>
        <v>0.75475628362255476</v>
      </c>
      <c r="I260" s="1">
        <f t="shared" si="23"/>
        <v>0.51402999999999932</v>
      </c>
      <c r="J260" s="1">
        <f t="shared" si="24"/>
        <v>0.15734006734006714</v>
      </c>
      <c r="K260" s="17" t="str">
        <f t="shared" si="25"/>
        <v/>
      </c>
      <c r="L260" s="17" t="str">
        <f t="shared" si="26"/>
        <v/>
      </c>
    </row>
    <row r="261" spans="1:12">
      <c r="A261" s="17">
        <v>251</v>
      </c>
      <c r="B261" s="17">
        <v>6</v>
      </c>
      <c r="C261" s="17">
        <v>23</v>
      </c>
      <c r="D261" s="17" t="s">
        <v>625</v>
      </c>
      <c r="E261" s="17">
        <v>0.48599999999999999</v>
      </c>
      <c r="F261" s="17">
        <f t="shared" si="27"/>
        <v>0.23199999999999998</v>
      </c>
      <c r="G261" s="1">
        <f t="shared" si="21"/>
        <v>0.3362986577181209</v>
      </c>
      <c r="H261" s="1">
        <f t="shared" si="22"/>
        <v>0.75475628362255476</v>
      </c>
      <c r="I261" s="1">
        <f t="shared" si="23"/>
        <v>0.51402999999999932</v>
      </c>
      <c r="J261" s="1">
        <f t="shared" si="24"/>
        <v>0.15734006734006714</v>
      </c>
      <c r="K261" s="17" t="str">
        <f t="shared" si="25"/>
        <v/>
      </c>
      <c r="L261" s="17" t="str">
        <f t="shared" si="26"/>
        <v/>
      </c>
    </row>
    <row r="262" spans="1:12">
      <c r="A262" s="17">
        <v>252</v>
      </c>
      <c r="B262" s="17">
        <v>6</v>
      </c>
      <c r="C262" s="17">
        <v>22</v>
      </c>
      <c r="D262" s="17" t="s">
        <v>626</v>
      </c>
      <c r="E262" s="17">
        <v>4.3999999999999997E-2</v>
      </c>
      <c r="F262" s="17">
        <f t="shared" si="27"/>
        <v>0.442</v>
      </c>
      <c r="G262" s="1">
        <f t="shared" si="21"/>
        <v>0.3362986577181209</v>
      </c>
      <c r="H262" s="1">
        <f t="shared" si="22"/>
        <v>0.75475628362255476</v>
      </c>
      <c r="I262" s="1">
        <f t="shared" si="23"/>
        <v>0.51402999999999932</v>
      </c>
      <c r="J262" s="1">
        <f t="shared" si="24"/>
        <v>0.15734006734006714</v>
      </c>
      <c r="K262" s="17" t="str">
        <f t="shared" si="25"/>
        <v/>
      </c>
      <c r="L262" s="17" t="str">
        <f t="shared" si="26"/>
        <v/>
      </c>
    </row>
    <row r="263" spans="1:12">
      <c r="A263" s="17">
        <v>253</v>
      </c>
      <c r="B263" s="17">
        <v>6</v>
      </c>
      <c r="C263" s="17">
        <v>21</v>
      </c>
      <c r="D263" s="17" t="s">
        <v>627</v>
      </c>
      <c r="E263" s="17">
        <v>0.308</v>
      </c>
      <c r="F263" s="17">
        <f t="shared" si="27"/>
        <v>0.26400000000000001</v>
      </c>
      <c r="G263" s="1">
        <f t="shared" si="21"/>
        <v>0.3362986577181209</v>
      </c>
      <c r="H263" s="1">
        <f t="shared" si="22"/>
        <v>0.75475628362255476</v>
      </c>
      <c r="I263" s="1">
        <f t="shared" si="23"/>
        <v>0.51402999999999932</v>
      </c>
      <c r="J263" s="1">
        <f t="shared" si="24"/>
        <v>0.15734006734006714</v>
      </c>
      <c r="K263" s="17" t="str">
        <f t="shared" si="25"/>
        <v/>
      </c>
      <c r="L263" s="17" t="str">
        <f t="shared" si="26"/>
        <v/>
      </c>
    </row>
    <row r="264" spans="1:12">
      <c r="A264" s="17">
        <v>254</v>
      </c>
      <c r="B264" s="17">
        <v>6</v>
      </c>
      <c r="C264" s="17">
        <v>20</v>
      </c>
      <c r="D264" s="17" t="s">
        <v>628</v>
      </c>
      <c r="E264" s="17">
        <v>0.28899999999999998</v>
      </c>
      <c r="F264" s="17">
        <f t="shared" si="27"/>
        <v>1.9000000000000017E-2</v>
      </c>
      <c r="G264" s="1">
        <f t="shared" si="21"/>
        <v>0.3362986577181209</v>
      </c>
      <c r="H264" s="1">
        <f t="shared" si="22"/>
        <v>0.75475628362255476</v>
      </c>
      <c r="I264" s="1">
        <f t="shared" si="23"/>
        <v>0.51402999999999932</v>
      </c>
      <c r="J264" s="1">
        <f t="shared" si="24"/>
        <v>0.15734006734006714</v>
      </c>
      <c r="K264" s="17" t="str">
        <f t="shared" si="25"/>
        <v/>
      </c>
      <c r="L264" s="17" t="str">
        <f t="shared" si="26"/>
        <v/>
      </c>
    </row>
    <row r="265" spans="1:12">
      <c r="A265" s="17">
        <v>255</v>
      </c>
      <c r="B265" s="17">
        <v>6</v>
      </c>
      <c r="C265" s="17">
        <v>19</v>
      </c>
      <c r="D265" s="17" t="s">
        <v>629</v>
      </c>
      <c r="E265" s="17">
        <v>0.23699999999999999</v>
      </c>
      <c r="F265" s="17">
        <f t="shared" si="27"/>
        <v>5.1999999999999991E-2</v>
      </c>
      <c r="G265" s="1">
        <f t="shared" si="21"/>
        <v>0.3362986577181209</v>
      </c>
      <c r="H265" s="1">
        <f t="shared" si="22"/>
        <v>0.75475628362255476</v>
      </c>
      <c r="I265" s="1">
        <f t="shared" si="23"/>
        <v>0.51402999999999932</v>
      </c>
      <c r="J265" s="1">
        <f t="shared" si="24"/>
        <v>0.15734006734006714</v>
      </c>
      <c r="K265" s="17" t="str">
        <f t="shared" si="25"/>
        <v/>
      </c>
      <c r="L265" s="17" t="str">
        <f t="shared" si="26"/>
        <v/>
      </c>
    </row>
    <row r="266" spans="1:12">
      <c r="A266" s="17">
        <v>256</v>
      </c>
      <c r="B266" s="17">
        <v>6</v>
      </c>
      <c r="C266" s="17">
        <v>18</v>
      </c>
      <c r="D266" s="17" t="s">
        <v>630</v>
      </c>
      <c r="E266" s="17">
        <v>0.42499999999999999</v>
      </c>
      <c r="F266" s="17">
        <f t="shared" si="27"/>
        <v>0.188</v>
      </c>
      <c r="G266" s="1">
        <f t="shared" si="21"/>
        <v>0.3362986577181209</v>
      </c>
      <c r="H266" s="1">
        <f t="shared" si="22"/>
        <v>0.75475628362255476</v>
      </c>
      <c r="I266" s="1">
        <f t="shared" si="23"/>
        <v>0.51402999999999932</v>
      </c>
      <c r="J266" s="1">
        <f t="shared" si="24"/>
        <v>0.15734006734006714</v>
      </c>
      <c r="K266" s="17" t="str">
        <f t="shared" si="25"/>
        <v/>
      </c>
      <c r="L266" s="17" t="str">
        <f t="shared" si="26"/>
        <v/>
      </c>
    </row>
    <row r="267" spans="1:12">
      <c r="A267" s="17">
        <v>257</v>
      </c>
      <c r="B267" s="17">
        <v>6</v>
      </c>
      <c r="C267" s="17">
        <v>17</v>
      </c>
      <c r="D267" s="17" t="s">
        <v>631</v>
      </c>
      <c r="E267" s="17">
        <v>0.38700000000000001</v>
      </c>
      <c r="F267" s="17">
        <f t="shared" si="27"/>
        <v>3.7999999999999978E-2</v>
      </c>
      <c r="G267" s="1">
        <f t="shared" ref="G267:G308" si="28">$Q$4</f>
        <v>0.3362986577181209</v>
      </c>
      <c r="H267" s="1">
        <f t="shared" ref="H267:H308" si="29">$Q$7</f>
        <v>0.75475628362255476</v>
      </c>
      <c r="I267" s="1">
        <f t="shared" ref="I267:I308" si="30">$Q$8</f>
        <v>0.51402999999999932</v>
      </c>
      <c r="J267" s="1">
        <f t="shared" ref="J267:J308" si="31">$Q$5</f>
        <v>0.15734006734006714</v>
      </c>
      <c r="K267" s="17" t="str">
        <f t="shared" ref="K267:K308" si="32">IF(E267&gt;$Q$7,"OOC","" )</f>
        <v/>
      </c>
      <c r="L267" s="17" t="str">
        <f t="shared" ref="L267:L308" si="33">IF(E267&gt;$B$4,"OOS","" )</f>
        <v/>
      </c>
    </row>
    <row r="268" spans="1:12">
      <c r="A268" s="17">
        <v>258</v>
      </c>
      <c r="B268" s="17">
        <v>6</v>
      </c>
      <c r="C268" s="17">
        <v>16</v>
      </c>
      <c r="D268" s="17" t="s">
        <v>632</v>
      </c>
      <c r="E268" s="17">
        <v>0.434</v>
      </c>
      <c r="F268" s="17">
        <f t="shared" ref="F268:F308" si="34">ABS(E268-E267)</f>
        <v>4.6999999999999986E-2</v>
      </c>
      <c r="G268" s="1">
        <f t="shared" si="28"/>
        <v>0.3362986577181209</v>
      </c>
      <c r="H268" s="1">
        <f t="shared" si="29"/>
        <v>0.75475628362255476</v>
      </c>
      <c r="I268" s="1">
        <f t="shared" si="30"/>
        <v>0.51402999999999932</v>
      </c>
      <c r="J268" s="1">
        <f t="shared" si="31"/>
        <v>0.15734006734006714</v>
      </c>
      <c r="K268" s="17" t="str">
        <f t="shared" si="32"/>
        <v/>
      </c>
      <c r="L268" s="17" t="str">
        <f t="shared" si="33"/>
        <v/>
      </c>
    </row>
    <row r="269" spans="1:12">
      <c r="A269" s="17">
        <v>259</v>
      </c>
      <c r="B269" s="17">
        <v>6</v>
      </c>
      <c r="C269" s="17">
        <v>15</v>
      </c>
      <c r="D269" s="17" t="s">
        <v>633</v>
      </c>
      <c r="E269" s="17">
        <v>0.183</v>
      </c>
      <c r="F269" s="17">
        <f t="shared" si="34"/>
        <v>0.251</v>
      </c>
      <c r="G269" s="1">
        <f t="shared" si="28"/>
        <v>0.3362986577181209</v>
      </c>
      <c r="H269" s="1">
        <f t="shared" si="29"/>
        <v>0.75475628362255476</v>
      </c>
      <c r="I269" s="1">
        <f t="shared" si="30"/>
        <v>0.51402999999999932</v>
      </c>
      <c r="J269" s="1">
        <f t="shared" si="31"/>
        <v>0.15734006734006714</v>
      </c>
      <c r="K269" s="17" t="str">
        <f t="shared" si="32"/>
        <v/>
      </c>
      <c r="L269" s="17" t="str">
        <f t="shared" si="33"/>
        <v/>
      </c>
    </row>
    <row r="270" spans="1:12">
      <c r="A270" s="17">
        <v>260</v>
      </c>
      <c r="B270" s="17">
        <v>6</v>
      </c>
      <c r="C270" s="17">
        <v>14</v>
      </c>
      <c r="D270" s="17" t="s">
        <v>634</v>
      </c>
      <c r="E270" s="17">
        <v>0.44400000000000001</v>
      </c>
      <c r="F270" s="17">
        <f t="shared" si="34"/>
        <v>0.26100000000000001</v>
      </c>
      <c r="G270" s="1">
        <f t="shared" si="28"/>
        <v>0.3362986577181209</v>
      </c>
      <c r="H270" s="1">
        <f t="shared" si="29"/>
        <v>0.75475628362255476</v>
      </c>
      <c r="I270" s="1">
        <f t="shared" si="30"/>
        <v>0.51402999999999932</v>
      </c>
      <c r="J270" s="1">
        <f t="shared" si="31"/>
        <v>0.15734006734006714</v>
      </c>
      <c r="K270" s="17" t="str">
        <f t="shared" si="32"/>
        <v/>
      </c>
      <c r="L270" s="17" t="str">
        <f t="shared" si="33"/>
        <v/>
      </c>
    </row>
    <row r="271" spans="1:12">
      <c r="A271" s="17">
        <v>261</v>
      </c>
      <c r="B271" s="17">
        <v>6</v>
      </c>
      <c r="C271" s="17">
        <v>13</v>
      </c>
      <c r="D271" s="17" t="s">
        <v>635</v>
      </c>
      <c r="E271" s="17">
        <v>0.42</v>
      </c>
      <c r="F271" s="17">
        <f t="shared" si="34"/>
        <v>2.4000000000000021E-2</v>
      </c>
      <c r="G271" s="1">
        <f t="shared" si="28"/>
        <v>0.3362986577181209</v>
      </c>
      <c r="H271" s="1">
        <f t="shared" si="29"/>
        <v>0.75475628362255476</v>
      </c>
      <c r="I271" s="1">
        <f t="shared" si="30"/>
        <v>0.51402999999999932</v>
      </c>
      <c r="J271" s="1">
        <f t="shared" si="31"/>
        <v>0.15734006734006714</v>
      </c>
      <c r="K271" s="17" t="str">
        <f t="shared" si="32"/>
        <v/>
      </c>
      <c r="L271" s="17" t="str">
        <f t="shared" si="33"/>
        <v/>
      </c>
    </row>
    <row r="272" spans="1:12">
      <c r="A272" s="17">
        <v>262</v>
      </c>
      <c r="B272" s="17">
        <v>6</v>
      </c>
      <c r="C272" s="17">
        <v>12</v>
      </c>
      <c r="D272" s="17" t="s">
        <v>636</v>
      </c>
      <c r="E272" s="17">
        <v>0.71699999999999997</v>
      </c>
      <c r="F272" s="17">
        <f t="shared" si="34"/>
        <v>0.29699999999999999</v>
      </c>
      <c r="G272" s="1">
        <f t="shared" si="28"/>
        <v>0.3362986577181209</v>
      </c>
      <c r="H272" s="1">
        <f t="shared" si="29"/>
        <v>0.75475628362255476</v>
      </c>
      <c r="I272" s="1">
        <f t="shared" si="30"/>
        <v>0.51402999999999932</v>
      </c>
      <c r="J272" s="1">
        <f t="shared" si="31"/>
        <v>0.15734006734006714</v>
      </c>
      <c r="K272" s="17" t="str">
        <f t="shared" si="32"/>
        <v/>
      </c>
      <c r="L272" s="17" t="str">
        <f t="shared" si="33"/>
        <v/>
      </c>
    </row>
    <row r="273" spans="1:12">
      <c r="A273" s="17">
        <v>263</v>
      </c>
      <c r="B273" s="17">
        <v>6</v>
      </c>
      <c r="C273" s="17">
        <v>11</v>
      </c>
      <c r="D273" s="17" t="s">
        <v>637</v>
      </c>
      <c r="E273" s="17">
        <v>0.52200000000000002</v>
      </c>
      <c r="F273" s="17">
        <f t="shared" si="34"/>
        <v>0.19499999999999995</v>
      </c>
      <c r="G273" s="1">
        <f t="shared" si="28"/>
        <v>0.3362986577181209</v>
      </c>
      <c r="H273" s="1">
        <f t="shared" si="29"/>
        <v>0.75475628362255476</v>
      </c>
      <c r="I273" s="1">
        <f t="shared" si="30"/>
        <v>0.51402999999999932</v>
      </c>
      <c r="J273" s="1">
        <f t="shared" si="31"/>
        <v>0.15734006734006714</v>
      </c>
      <c r="K273" s="17" t="str">
        <f t="shared" si="32"/>
        <v/>
      </c>
      <c r="L273" s="17" t="str">
        <f t="shared" si="33"/>
        <v/>
      </c>
    </row>
    <row r="274" spans="1:12">
      <c r="A274" s="17">
        <v>264</v>
      </c>
      <c r="B274" s="17">
        <v>6</v>
      </c>
      <c r="C274" s="17">
        <v>10</v>
      </c>
      <c r="D274" s="17" t="s">
        <v>638</v>
      </c>
      <c r="E274" s="17">
        <v>0.45400000000000001</v>
      </c>
      <c r="F274" s="17">
        <f t="shared" si="34"/>
        <v>6.8000000000000005E-2</v>
      </c>
      <c r="G274" s="1">
        <f t="shared" si="28"/>
        <v>0.3362986577181209</v>
      </c>
      <c r="H274" s="1">
        <f t="shared" si="29"/>
        <v>0.75475628362255476</v>
      </c>
      <c r="I274" s="1">
        <f t="shared" si="30"/>
        <v>0.51402999999999932</v>
      </c>
      <c r="J274" s="1">
        <f t="shared" si="31"/>
        <v>0.15734006734006714</v>
      </c>
      <c r="K274" s="17" t="str">
        <f t="shared" si="32"/>
        <v/>
      </c>
      <c r="L274" s="17" t="str">
        <f t="shared" si="33"/>
        <v/>
      </c>
    </row>
    <row r="275" spans="1:12">
      <c r="A275" s="17">
        <v>265</v>
      </c>
      <c r="B275" s="17">
        <v>6</v>
      </c>
      <c r="C275" s="17">
        <v>9</v>
      </c>
      <c r="D275" s="17" t="s">
        <v>639</v>
      </c>
      <c r="E275" s="17">
        <v>0.47599999999999998</v>
      </c>
      <c r="F275" s="17">
        <f t="shared" si="34"/>
        <v>2.1999999999999964E-2</v>
      </c>
      <c r="G275" s="1">
        <f t="shared" si="28"/>
        <v>0.3362986577181209</v>
      </c>
      <c r="H275" s="1">
        <f t="shared" si="29"/>
        <v>0.75475628362255476</v>
      </c>
      <c r="I275" s="1">
        <f t="shared" si="30"/>
        <v>0.51402999999999932</v>
      </c>
      <c r="J275" s="1">
        <f t="shared" si="31"/>
        <v>0.15734006734006714</v>
      </c>
      <c r="K275" s="17" t="str">
        <f t="shared" si="32"/>
        <v/>
      </c>
      <c r="L275" s="17" t="str">
        <f t="shared" si="33"/>
        <v/>
      </c>
    </row>
    <row r="276" spans="1:12">
      <c r="A276" s="17">
        <v>266</v>
      </c>
      <c r="B276" s="17">
        <v>6</v>
      </c>
      <c r="C276" s="17">
        <v>8</v>
      </c>
      <c r="D276" s="17" t="s">
        <v>640</v>
      </c>
      <c r="E276" s="17">
        <v>0.57699999999999996</v>
      </c>
      <c r="F276" s="17">
        <f t="shared" si="34"/>
        <v>0.10099999999999998</v>
      </c>
      <c r="G276" s="1">
        <f t="shared" si="28"/>
        <v>0.3362986577181209</v>
      </c>
      <c r="H276" s="1">
        <f t="shared" si="29"/>
        <v>0.75475628362255476</v>
      </c>
      <c r="I276" s="1">
        <f t="shared" si="30"/>
        <v>0.51402999999999932</v>
      </c>
      <c r="J276" s="1">
        <f t="shared" si="31"/>
        <v>0.15734006734006714</v>
      </c>
      <c r="K276" s="17" t="str">
        <f t="shared" si="32"/>
        <v/>
      </c>
      <c r="L276" s="17" t="str">
        <f t="shared" si="33"/>
        <v/>
      </c>
    </row>
    <row r="277" spans="1:12">
      <c r="A277" s="17">
        <v>267</v>
      </c>
      <c r="B277" s="17">
        <v>6</v>
      </c>
      <c r="C277" s="17">
        <v>7</v>
      </c>
      <c r="D277" s="17" t="s">
        <v>641</v>
      </c>
      <c r="E277" s="17">
        <v>0.16</v>
      </c>
      <c r="F277" s="17">
        <f t="shared" si="34"/>
        <v>0.41699999999999993</v>
      </c>
      <c r="G277" s="1">
        <f t="shared" si="28"/>
        <v>0.3362986577181209</v>
      </c>
      <c r="H277" s="1">
        <f t="shared" si="29"/>
        <v>0.75475628362255476</v>
      </c>
      <c r="I277" s="1">
        <f t="shared" si="30"/>
        <v>0.51402999999999932</v>
      </c>
      <c r="J277" s="1">
        <f t="shared" si="31"/>
        <v>0.15734006734006714</v>
      </c>
      <c r="K277" s="17" t="str">
        <f t="shared" si="32"/>
        <v/>
      </c>
      <c r="L277" s="17" t="str">
        <f t="shared" si="33"/>
        <v/>
      </c>
    </row>
    <row r="278" spans="1:12">
      <c r="A278" s="17">
        <v>268</v>
      </c>
      <c r="B278" s="17">
        <v>6</v>
      </c>
      <c r="C278" s="17">
        <v>6</v>
      </c>
      <c r="D278" s="17" t="s">
        <v>642</v>
      </c>
      <c r="E278" s="17">
        <v>0.25</v>
      </c>
      <c r="F278" s="17">
        <f t="shared" si="34"/>
        <v>0.09</v>
      </c>
      <c r="G278" s="1">
        <f t="shared" si="28"/>
        <v>0.3362986577181209</v>
      </c>
      <c r="H278" s="1">
        <f t="shared" si="29"/>
        <v>0.75475628362255476</v>
      </c>
      <c r="I278" s="1">
        <f t="shared" si="30"/>
        <v>0.51402999999999932</v>
      </c>
      <c r="J278" s="1">
        <f t="shared" si="31"/>
        <v>0.15734006734006714</v>
      </c>
      <c r="K278" s="17" t="str">
        <f t="shared" si="32"/>
        <v/>
      </c>
      <c r="L278" s="17" t="str">
        <f t="shared" si="33"/>
        <v/>
      </c>
    </row>
    <row r="279" spans="1:12">
      <c r="A279" s="17">
        <v>269</v>
      </c>
      <c r="B279" s="17">
        <v>6</v>
      </c>
      <c r="C279" s="17">
        <v>5</v>
      </c>
      <c r="D279" s="17" t="s">
        <v>643</v>
      </c>
      <c r="E279" s="17">
        <v>0.17</v>
      </c>
      <c r="F279" s="17">
        <f t="shared" si="34"/>
        <v>7.9999999999999988E-2</v>
      </c>
      <c r="G279" s="1">
        <f t="shared" si="28"/>
        <v>0.3362986577181209</v>
      </c>
      <c r="H279" s="1">
        <f t="shared" si="29"/>
        <v>0.75475628362255476</v>
      </c>
      <c r="I279" s="1">
        <f t="shared" si="30"/>
        <v>0.51402999999999932</v>
      </c>
      <c r="J279" s="1">
        <f t="shared" si="31"/>
        <v>0.15734006734006714</v>
      </c>
      <c r="K279" s="17" t="str">
        <f t="shared" si="32"/>
        <v/>
      </c>
      <c r="L279" s="17" t="str">
        <f t="shared" si="33"/>
        <v/>
      </c>
    </row>
    <row r="280" spans="1:12">
      <c r="A280" s="17">
        <v>270</v>
      </c>
      <c r="B280" s="17">
        <v>6</v>
      </c>
      <c r="C280" s="17">
        <v>4</v>
      </c>
      <c r="D280" s="17" t="s">
        <v>644</v>
      </c>
      <c r="E280" s="17">
        <v>0.14000000000000001</v>
      </c>
      <c r="F280" s="17">
        <f t="shared" si="34"/>
        <v>0.03</v>
      </c>
      <c r="G280" s="1">
        <f t="shared" si="28"/>
        <v>0.3362986577181209</v>
      </c>
      <c r="H280" s="1">
        <f t="shared" si="29"/>
        <v>0.75475628362255476</v>
      </c>
      <c r="I280" s="1">
        <f t="shared" si="30"/>
        <v>0.51402999999999932</v>
      </c>
      <c r="J280" s="1">
        <f t="shared" si="31"/>
        <v>0.15734006734006714</v>
      </c>
      <c r="K280" s="17" t="str">
        <f t="shared" si="32"/>
        <v/>
      </c>
      <c r="L280" s="17" t="str">
        <f t="shared" si="33"/>
        <v/>
      </c>
    </row>
    <row r="281" spans="1:12">
      <c r="A281" s="17">
        <v>271</v>
      </c>
      <c r="B281" s="17">
        <v>6</v>
      </c>
      <c r="C281" s="17">
        <v>3</v>
      </c>
      <c r="D281" s="17" t="s">
        <v>645</v>
      </c>
      <c r="E281" s="17">
        <v>0.16900000000000001</v>
      </c>
      <c r="F281" s="17">
        <f t="shared" si="34"/>
        <v>2.8999999999999998E-2</v>
      </c>
      <c r="G281" s="1">
        <f t="shared" si="28"/>
        <v>0.3362986577181209</v>
      </c>
      <c r="H281" s="1">
        <f t="shared" si="29"/>
        <v>0.75475628362255476</v>
      </c>
      <c r="I281" s="1">
        <f t="shared" si="30"/>
        <v>0.51402999999999932</v>
      </c>
      <c r="J281" s="1">
        <f t="shared" si="31"/>
        <v>0.15734006734006714</v>
      </c>
      <c r="K281" s="17" t="str">
        <f t="shared" si="32"/>
        <v/>
      </c>
      <c r="L281" s="17" t="str">
        <f t="shared" si="33"/>
        <v/>
      </c>
    </row>
    <row r="282" spans="1:12">
      <c r="A282" s="17">
        <v>272</v>
      </c>
      <c r="B282" s="17">
        <v>6</v>
      </c>
      <c r="C282" s="17">
        <v>2</v>
      </c>
      <c r="D282" s="17" t="s">
        <v>646</v>
      </c>
      <c r="E282" s="17">
        <v>0.34100000000000003</v>
      </c>
      <c r="F282" s="17">
        <f t="shared" si="34"/>
        <v>0.17200000000000001</v>
      </c>
      <c r="G282" s="1">
        <f t="shared" si="28"/>
        <v>0.3362986577181209</v>
      </c>
      <c r="H282" s="1">
        <f t="shared" si="29"/>
        <v>0.75475628362255476</v>
      </c>
      <c r="I282" s="1">
        <f t="shared" si="30"/>
        <v>0.51402999999999932</v>
      </c>
      <c r="J282" s="1">
        <f t="shared" si="31"/>
        <v>0.15734006734006714</v>
      </c>
      <c r="K282" s="17" t="str">
        <f t="shared" si="32"/>
        <v/>
      </c>
      <c r="L282" s="17" t="str">
        <f t="shared" si="33"/>
        <v/>
      </c>
    </row>
    <row r="283" spans="1:12">
      <c r="A283" s="17">
        <v>273</v>
      </c>
      <c r="B283" s="17">
        <v>6</v>
      </c>
      <c r="C283" s="17">
        <v>1</v>
      </c>
      <c r="D283" s="17" t="s">
        <v>647</v>
      </c>
      <c r="E283" s="17">
        <v>0.193</v>
      </c>
      <c r="F283" s="17">
        <f t="shared" si="34"/>
        <v>0.14800000000000002</v>
      </c>
      <c r="G283" s="1">
        <f t="shared" si="28"/>
        <v>0.3362986577181209</v>
      </c>
      <c r="H283" s="1">
        <f t="shared" si="29"/>
        <v>0.75475628362255476</v>
      </c>
      <c r="I283" s="1">
        <f t="shared" si="30"/>
        <v>0.51402999999999932</v>
      </c>
      <c r="J283" s="1">
        <f t="shared" si="31"/>
        <v>0.15734006734006714</v>
      </c>
      <c r="K283" s="17" t="str">
        <f t="shared" si="32"/>
        <v/>
      </c>
      <c r="L283" s="17" t="str">
        <f t="shared" si="33"/>
        <v/>
      </c>
    </row>
    <row r="284" spans="1:12">
      <c r="A284" s="17">
        <v>274</v>
      </c>
      <c r="B284" s="17">
        <v>6</v>
      </c>
      <c r="C284" s="17">
        <v>25</v>
      </c>
      <c r="D284" s="17" t="s">
        <v>648</v>
      </c>
      <c r="E284" s="17">
        <v>0.192</v>
      </c>
      <c r="F284" s="17">
        <f t="shared" si="34"/>
        <v>1.0000000000000009E-3</v>
      </c>
      <c r="G284" s="1">
        <f t="shared" si="28"/>
        <v>0.3362986577181209</v>
      </c>
      <c r="H284" s="1">
        <f t="shared" si="29"/>
        <v>0.75475628362255476</v>
      </c>
      <c r="I284" s="1">
        <f t="shared" si="30"/>
        <v>0.51402999999999932</v>
      </c>
      <c r="J284" s="1">
        <f t="shared" si="31"/>
        <v>0.15734006734006714</v>
      </c>
      <c r="K284" s="17" t="str">
        <f t="shared" si="32"/>
        <v/>
      </c>
      <c r="L284" s="17" t="str">
        <f t="shared" si="33"/>
        <v/>
      </c>
    </row>
    <row r="285" spans="1:12">
      <c r="A285" s="17">
        <v>275</v>
      </c>
      <c r="B285" s="17">
        <v>6</v>
      </c>
      <c r="C285" s="17">
        <v>24</v>
      </c>
      <c r="D285" s="17" t="s">
        <v>649</v>
      </c>
      <c r="E285" s="17">
        <v>0.35499999999999998</v>
      </c>
      <c r="F285" s="17">
        <f t="shared" si="34"/>
        <v>0.16299999999999998</v>
      </c>
      <c r="G285" s="1">
        <f t="shared" si="28"/>
        <v>0.3362986577181209</v>
      </c>
      <c r="H285" s="1">
        <f t="shared" si="29"/>
        <v>0.75475628362255476</v>
      </c>
      <c r="I285" s="1">
        <f t="shared" si="30"/>
        <v>0.51402999999999932</v>
      </c>
      <c r="J285" s="1">
        <f t="shared" si="31"/>
        <v>0.15734006734006714</v>
      </c>
      <c r="K285" s="17" t="str">
        <f t="shared" si="32"/>
        <v/>
      </c>
      <c r="L285" s="17" t="str">
        <f t="shared" si="33"/>
        <v/>
      </c>
    </row>
    <row r="286" spans="1:12">
      <c r="A286" s="17">
        <v>276</v>
      </c>
      <c r="B286" s="17">
        <v>6</v>
      </c>
      <c r="C286" s="17">
        <v>23</v>
      </c>
      <c r="D286" s="17" t="s">
        <v>650</v>
      </c>
      <c r="E286" s="17">
        <v>0.48899999999999999</v>
      </c>
      <c r="F286" s="17">
        <f t="shared" si="34"/>
        <v>0.13400000000000001</v>
      </c>
      <c r="G286" s="1">
        <f t="shared" si="28"/>
        <v>0.3362986577181209</v>
      </c>
      <c r="H286" s="1">
        <f t="shared" si="29"/>
        <v>0.75475628362255476</v>
      </c>
      <c r="I286" s="1">
        <f t="shared" si="30"/>
        <v>0.51402999999999932</v>
      </c>
      <c r="J286" s="1">
        <f t="shared" si="31"/>
        <v>0.15734006734006714</v>
      </c>
      <c r="K286" s="17" t="str">
        <f t="shared" si="32"/>
        <v/>
      </c>
      <c r="L286" s="17" t="str">
        <f t="shared" si="33"/>
        <v/>
      </c>
    </row>
    <row r="287" spans="1:12">
      <c r="A287" s="17">
        <v>277</v>
      </c>
      <c r="B287" s="17">
        <v>6</v>
      </c>
      <c r="C287" s="17">
        <v>22</v>
      </c>
      <c r="D287" s="17" t="s">
        <v>651</v>
      </c>
      <c r="E287" s="17">
        <v>0.40100000000000002</v>
      </c>
      <c r="F287" s="17">
        <f t="shared" si="34"/>
        <v>8.7999999999999967E-2</v>
      </c>
      <c r="G287" s="1">
        <f t="shared" si="28"/>
        <v>0.3362986577181209</v>
      </c>
      <c r="H287" s="1">
        <f t="shared" si="29"/>
        <v>0.75475628362255476</v>
      </c>
      <c r="I287" s="1">
        <f t="shared" si="30"/>
        <v>0.51402999999999932</v>
      </c>
      <c r="J287" s="1">
        <f t="shared" si="31"/>
        <v>0.15734006734006714</v>
      </c>
      <c r="K287" s="17" t="str">
        <f t="shared" si="32"/>
        <v/>
      </c>
      <c r="L287" s="17" t="str">
        <f t="shared" si="33"/>
        <v/>
      </c>
    </row>
    <row r="288" spans="1:12">
      <c r="A288" s="17">
        <v>278</v>
      </c>
      <c r="B288" s="17">
        <v>6</v>
      </c>
      <c r="C288" s="17">
        <v>21</v>
      </c>
      <c r="D288" s="17" t="s">
        <v>652</v>
      </c>
      <c r="E288" s="17">
        <v>0.20300000000000001</v>
      </c>
      <c r="F288" s="17">
        <f t="shared" si="34"/>
        <v>0.19800000000000001</v>
      </c>
      <c r="G288" s="1">
        <f t="shared" si="28"/>
        <v>0.3362986577181209</v>
      </c>
      <c r="H288" s="1">
        <f t="shared" si="29"/>
        <v>0.75475628362255476</v>
      </c>
      <c r="I288" s="1">
        <f t="shared" si="30"/>
        <v>0.51402999999999932</v>
      </c>
      <c r="J288" s="1">
        <f t="shared" si="31"/>
        <v>0.15734006734006714</v>
      </c>
      <c r="K288" s="17" t="str">
        <f t="shared" si="32"/>
        <v/>
      </c>
      <c r="L288" s="17" t="str">
        <f t="shared" si="33"/>
        <v/>
      </c>
    </row>
    <row r="289" spans="1:12">
      <c r="A289" s="17">
        <v>279</v>
      </c>
      <c r="B289" s="17">
        <v>6</v>
      </c>
      <c r="C289" s="17">
        <v>20</v>
      </c>
      <c r="D289" s="17" t="s">
        <v>653</v>
      </c>
      <c r="E289" s="17">
        <v>0.32600000000000001</v>
      </c>
      <c r="F289" s="17">
        <f t="shared" si="34"/>
        <v>0.123</v>
      </c>
      <c r="G289" s="1">
        <f t="shared" si="28"/>
        <v>0.3362986577181209</v>
      </c>
      <c r="H289" s="1">
        <f t="shared" si="29"/>
        <v>0.75475628362255476</v>
      </c>
      <c r="I289" s="1">
        <f t="shared" si="30"/>
        <v>0.51402999999999932</v>
      </c>
      <c r="J289" s="1">
        <f t="shared" si="31"/>
        <v>0.15734006734006714</v>
      </c>
      <c r="K289" s="17" t="str">
        <f t="shared" si="32"/>
        <v/>
      </c>
      <c r="L289" s="17" t="str">
        <f t="shared" si="33"/>
        <v/>
      </c>
    </row>
    <row r="290" spans="1:12">
      <c r="A290" s="17">
        <v>280</v>
      </c>
      <c r="B290" s="17">
        <v>6</v>
      </c>
      <c r="C290" s="17">
        <v>19</v>
      </c>
      <c r="D290" s="17" t="s">
        <v>654</v>
      </c>
      <c r="E290" s="17">
        <v>0.219</v>
      </c>
      <c r="F290" s="17">
        <f t="shared" si="34"/>
        <v>0.10700000000000001</v>
      </c>
      <c r="G290" s="1">
        <f t="shared" si="28"/>
        <v>0.3362986577181209</v>
      </c>
      <c r="H290" s="1">
        <f t="shared" si="29"/>
        <v>0.75475628362255476</v>
      </c>
      <c r="I290" s="1">
        <f t="shared" si="30"/>
        <v>0.51402999999999932</v>
      </c>
      <c r="J290" s="1">
        <f t="shared" si="31"/>
        <v>0.15734006734006714</v>
      </c>
      <c r="K290" s="17" t="str">
        <f t="shared" si="32"/>
        <v/>
      </c>
      <c r="L290" s="17" t="str">
        <f t="shared" si="33"/>
        <v/>
      </c>
    </row>
    <row r="291" spans="1:12">
      <c r="A291" s="17">
        <v>281</v>
      </c>
      <c r="B291" s="17">
        <v>6</v>
      </c>
      <c r="C291" s="17">
        <v>18</v>
      </c>
      <c r="D291" s="17" t="s">
        <v>655</v>
      </c>
      <c r="E291" s="17">
        <v>0.17399999999999999</v>
      </c>
      <c r="F291" s="17">
        <f t="shared" si="34"/>
        <v>4.5000000000000012E-2</v>
      </c>
      <c r="G291" s="1">
        <f t="shared" si="28"/>
        <v>0.3362986577181209</v>
      </c>
      <c r="H291" s="1">
        <f t="shared" si="29"/>
        <v>0.75475628362255476</v>
      </c>
      <c r="I291" s="1">
        <f t="shared" si="30"/>
        <v>0.51402999999999932</v>
      </c>
      <c r="J291" s="1">
        <f t="shared" si="31"/>
        <v>0.15734006734006714</v>
      </c>
      <c r="K291" s="17" t="str">
        <f t="shared" si="32"/>
        <v/>
      </c>
      <c r="L291" s="17" t="str">
        <f t="shared" si="33"/>
        <v/>
      </c>
    </row>
    <row r="292" spans="1:12">
      <c r="A292" s="17">
        <v>282</v>
      </c>
      <c r="B292" s="17">
        <v>6</v>
      </c>
      <c r="C292" s="17">
        <v>17</v>
      </c>
      <c r="D292" s="17" t="s">
        <v>656</v>
      </c>
      <c r="E292" s="17">
        <v>0.223</v>
      </c>
      <c r="F292" s="17">
        <f t="shared" si="34"/>
        <v>4.9000000000000016E-2</v>
      </c>
      <c r="G292" s="1">
        <f t="shared" si="28"/>
        <v>0.3362986577181209</v>
      </c>
      <c r="H292" s="1">
        <f t="shared" si="29"/>
        <v>0.75475628362255476</v>
      </c>
      <c r="I292" s="1">
        <f t="shared" si="30"/>
        <v>0.51402999999999932</v>
      </c>
      <c r="J292" s="1">
        <f t="shared" si="31"/>
        <v>0.15734006734006714</v>
      </c>
      <c r="K292" s="17" t="str">
        <f t="shared" si="32"/>
        <v/>
      </c>
      <c r="L292" s="17" t="str">
        <f t="shared" si="33"/>
        <v/>
      </c>
    </row>
    <row r="293" spans="1:12">
      <c r="A293" s="17">
        <v>283</v>
      </c>
      <c r="B293" s="17">
        <v>6</v>
      </c>
      <c r="C293" s="17">
        <v>16</v>
      </c>
      <c r="D293" s="17" t="s">
        <v>657</v>
      </c>
      <c r="E293" s="17">
        <v>0.29899999999999999</v>
      </c>
      <c r="F293" s="17">
        <f t="shared" si="34"/>
        <v>7.5999999999999984E-2</v>
      </c>
      <c r="G293" s="1">
        <f t="shared" si="28"/>
        <v>0.3362986577181209</v>
      </c>
      <c r="H293" s="1">
        <f t="shared" si="29"/>
        <v>0.75475628362255476</v>
      </c>
      <c r="I293" s="1">
        <f t="shared" si="30"/>
        <v>0.51402999999999932</v>
      </c>
      <c r="J293" s="1">
        <f t="shared" si="31"/>
        <v>0.15734006734006714</v>
      </c>
      <c r="K293" s="17" t="str">
        <f t="shared" si="32"/>
        <v/>
      </c>
      <c r="L293" s="17" t="str">
        <f t="shared" si="33"/>
        <v/>
      </c>
    </row>
    <row r="294" spans="1:12">
      <c r="A294" s="17">
        <v>284</v>
      </c>
      <c r="B294" s="17">
        <v>6</v>
      </c>
      <c r="C294" s="17">
        <v>15</v>
      </c>
      <c r="D294" s="17" t="s">
        <v>658</v>
      </c>
      <c r="E294" s="17">
        <v>0.13800000000000001</v>
      </c>
      <c r="F294" s="17">
        <f t="shared" si="34"/>
        <v>0.16099999999999998</v>
      </c>
      <c r="G294" s="1">
        <f t="shared" si="28"/>
        <v>0.3362986577181209</v>
      </c>
      <c r="H294" s="1">
        <f t="shared" si="29"/>
        <v>0.75475628362255476</v>
      </c>
      <c r="I294" s="1">
        <f t="shared" si="30"/>
        <v>0.51402999999999932</v>
      </c>
      <c r="J294" s="1">
        <f t="shared" si="31"/>
        <v>0.15734006734006714</v>
      </c>
      <c r="K294" s="17" t="str">
        <f t="shared" si="32"/>
        <v/>
      </c>
      <c r="L294" s="17" t="str">
        <f t="shared" si="33"/>
        <v/>
      </c>
    </row>
    <row r="295" spans="1:12">
      <c r="A295" s="17">
        <v>285</v>
      </c>
      <c r="B295" s="17">
        <v>6</v>
      </c>
      <c r="C295" s="17">
        <v>14</v>
      </c>
      <c r="D295" s="17" t="s">
        <v>659</v>
      </c>
      <c r="E295" s="17">
        <v>0.217</v>
      </c>
      <c r="F295" s="17">
        <f t="shared" si="34"/>
        <v>7.8999999999999987E-2</v>
      </c>
      <c r="G295" s="1">
        <f t="shared" si="28"/>
        <v>0.3362986577181209</v>
      </c>
      <c r="H295" s="1">
        <f t="shared" si="29"/>
        <v>0.75475628362255476</v>
      </c>
      <c r="I295" s="1">
        <f t="shared" si="30"/>
        <v>0.51402999999999932</v>
      </c>
      <c r="J295" s="1">
        <f t="shared" si="31"/>
        <v>0.15734006734006714</v>
      </c>
      <c r="K295" s="17" t="str">
        <f t="shared" si="32"/>
        <v/>
      </c>
      <c r="L295" s="17" t="str">
        <f t="shared" si="33"/>
        <v/>
      </c>
    </row>
    <row r="296" spans="1:12">
      <c r="A296" s="17">
        <v>286</v>
      </c>
      <c r="B296" s="17">
        <v>6</v>
      </c>
      <c r="C296" s="17">
        <v>13</v>
      </c>
      <c r="D296" s="17" t="s">
        <v>660</v>
      </c>
      <c r="E296" s="17">
        <v>0.16300000000000001</v>
      </c>
      <c r="F296" s="17">
        <f t="shared" si="34"/>
        <v>5.3999999999999992E-2</v>
      </c>
      <c r="G296" s="1">
        <f t="shared" si="28"/>
        <v>0.3362986577181209</v>
      </c>
      <c r="H296" s="1">
        <f t="shared" si="29"/>
        <v>0.75475628362255476</v>
      </c>
      <c r="I296" s="1">
        <f t="shared" si="30"/>
        <v>0.51402999999999932</v>
      </c>
      <c r="J296" s="1">
        <f t="shared" si="31"/>
        <v>0.15734006734006714</v>
      </c>
      <c r="K296" s="17" t="str">
        <f t="shared" si="32"/>
        <v/>
      </c>
      <c r="L296" s="17" t="str">
        <f t="shared" si="33"/>
        <v/>
      </c>
    </row>
    <row r="297" spans="1:12">
      <c r="A297" s="17">
        <v>287</v>
      </c>
      <c r="B297" s="17">
        <v>6</v>
      </c>
      <c r="C297" s="17">
        <v>12</v>
      </c>
      <c r="D297" s="17" t="s">
        <v>661</v>
      </c>
      <c r="E297" s="17">
        <v>8.8999999999999996E-2</v>
      </c>
      <c r="F297" s="17">
        <f t="shared" si="34"/>
        <v>7.400000000000001E-2</v>
      </c>
      <c r="G297" s="1">
        <f t="shared" si="28"/>
        <v>0.3362986577181209</v>
      </c>
      <c r="H297" s="1">
        <f t="shared" si="29"/>
        <v>0.75475628362255476</v>
      </c>
      <c r="I297" s="1">
        <f t="shared" si="30"/>
        <v>0.51402999999999932</v>
      </c>
      <c r="J297" s="1">
        <f t="shared" si="31"/>
        <v>0.15734006734006714</v>
      </c>
      <c r="K297" s="17" t="str">
        <f t="shared" si="32"/>
        <v/>
      </c>
      <c r="L297" s="17" t="str">
        <f t="shared" si="33"/>
        <v/>
      </c>
    </row>
    <row r="298" spans="1:12">
      <c r="A298" s="17">
        <v>288</v>
      </c>
      <c r="B298" s="17">
        <v>6</v>
      </c>
      <c r="C298" s="17">
        <v>11</v>
      </c>
      <c r="D298" s="17" t="s">
        <v>662</v>
      </c>
      <c r="E298" s="17">
        <v>0.18</v>
      </c>
      <c r="F298" s="17">
        <f t="shared" si="34"/>
        <v>9.0999999999999998E-2</v>
      </c>
      <c r="G298" s="1">
        <f t="shared" si="28"/>
        <v>0.3362986577181209</v>
      </c>
      <c r="H298" s="1">
        <f t="shared" si="29"/>
        <v>0.75475628362255476</v>
      </c>
      <c r="I298" s="1">
        <f t="shared" si="30"/>
        <v>0.51402999999999932</v>
      </c>
      <c r="J298" s="1">
        <f t="shared" si="31"/>
        <v>0.15734006734006714</v>
      </c>
      <c r="K298" s="17" t="str">
        <f t="shared" si="32"/>
        <v/>
      </c>
      <c r="L298" s="17" t="str">
        <f t="shared" si="33"/>
        <v/>
      </c>
    </row>
    <row r="299" spans="1:12">
      <c r="A299" s="17">
        <v>289</v>
      </c>
      <c r="B299" s="17">
        <v>6</v>
      </c>
      <c r="C299" s="17">
        <v>10</v>
      </c>
      <c r="D299" s="17" t="s">
        <v>663</v>
      </c>
      <c r="E299" s="17">
        <v>0.45100000000000001</v>
      </c>
      <c r="F299" s="17">
        <f t="shared" si="34"/>
        <v>0.27100000000000002</v>
      </c>
      <c r="G299" s="1">
        <f t="shared" si="28"/>
        <v>0.3362986577181209</v>
      </c>
      <c r="H299" s="1">
        <f t="shared" si="29"/>
        <v>0.75475628362255476</v>
      </c>
      <c r="I299" s="1">
        <f t="shared" si="30"/>
        <v>0.51402999999999932</v>
      </c>
      <c r="J299" s="1">
        <f t="shared" si="31"/>
        <v>0.15734006734006714</v>
      </c>
      <c r="K299" s="17" t="str">
        <f t="shared" si="32"/>
        <v/>
      </c>
      <c r="L299" s="17" t="str">
        <f t="shared" si="33"/>
        <v/>
      </c>
    </row>
    <row r="300" spans="1:12">
      <c r="A300" s="17">
        <v>290</v>
      </c>
      <c r="B300" s="17">
        <v>6</v>
      </c>
      <c r="C300" s="17">
        <v>9</v>
      </c>
      <c r="D300" s="17" t="s">
        <v>664</v>
      </c>
      <c r="E300" s="17">
        <v>0.30399999999999999</v>
      </c>
      <c r="F300" s="17">
        <f t="shared" si="34"/>
        <v>0.14700000000000002</v>
      </c>
      <c r="G300" s="1">
        <f t="shared" si="28"/>
        <v>0.3362986577181209</v>
      </c>
      <c r="H300" s="1">
        <f t="shared" si="29"/>
        <v>0.75475628362255476</v>
      </c>
      <c r="I300" s="1">
        <f t="shared" si="30"/>
        <v>0.51402999999999932</v>
      </c>
      <c r="J300" s="1">
        <f t="shared" si="31"/>
        <v>0.15734006734006714</v>
      </c>
      <c r="K300" s="17" t="str">
        <f t="shared" si="32"/>
        <v/>
      </c>
      <c r="L300" s="17" t="str">
        <f t="shared" si="33"/>
        <v/>
      </c>
    </row>
    <row r="301" spans="1:12">
      <c r="A301" s="17">
        <v>291</v>
      </c>
      <c r="B301" s="17">
        <v>6</v>
      </c>
      <c r="C301" s="17">
        <v>8</v>
      </c>
      <c r="D301" s="17" t="s">
        <v>665</v>
      </c>
      <c r="E301" s="17">
        <v>0.39300000000000002</v>
      </c>
      <c r="F301" s="17">
        <f t="shared" si="34"/>
        <v>8.9000000000000024E-2</v>
      </c>
      <c r="G301" s="1">
        <f t="shared" si="28"/>
        <v>0.3362986577181209</v>
      </c>
      <c r="H301" s="1">
        <f t="shared" si="29"/>
        <v>0.75475628362255476</v>
      </c>
      <c r="I301" s="1">
        <f t="shared" si="30"/>
        <v>0.51402999999999932</v>
      </c>
      <c r="J301" s="1">
        <f t="shared" si="31"/>
        <v>0.15734006734006714</v>
      </c>
      <c r="K301" s="17" t="str">
        <f t="shared" si="32"/>
        <v/>
      </c>
      <c r="L301" s="17" t="str">
        <f t="shared" si="33"/>
        <v/>
      </c>
    </row>
    <row r="302" spans="1:12">
      <c r="A302" s="17">
        <v>292</v>
      </c>
      <c r="B302" s="17">
        <v>6</v>
      </c>
      <c r="C302" s="17">
        <v>7</v>
      </c>
      <c r="D302" s="17" t="s">
        <v>666</v>
      </c>
      <c r="E302" s="17">
        <v>0.32200000000000001</v>
      </c>
      <c r="F302" s="17">
        <f t="shared" si="34"/>
        <v>7.1000000000000008E-2</v>
      </c>
      <c r="G302" s="1">
        <f t="shared" si="28"/>
        <v>0.3362986577181209</v>
      </c>
      <c r="H302" s="1">
        <f t="shared" si="29"/>
        <v>0.75475628362255476</v>
      </c>
      <c r="I302" s="1">
        <f t="shared" si="30"/>
        <v>0.51402999999999932</v>
      </c>
      <c r="J302" s="1">
        <f t="shared" si="31"/>
        <v>0.15734006734006714</v>
      </c>
      <c r="K302" s="17" t="str">
        <f t="shared" si="32"/>
        <v/>
      </c>
      <c r="L302" s="17" t="str">
        <f t="shared" si="33"/>
        <v/>
      </c>
    </row>
    <row r="303" spans="1:12">
      <c r="A303" s="17">
        <v>293</v>
      </c>
      <c r="B303" s="17">
        <v>6</v>
      </c>
      <c r="C303" s="17">
        <v>6</v>
      </c>
      <c r="D303" s="17" t="s">
        <v>667</v>
      </c>
      <c r="E303" s="17">
        <v>0.40200000000000002</v>
      </c>
      <c r="F303" s="17">
        <f t="shared" si="34"/>
        <v>8.0000000000000016E-2</v>
      </c>
      <c r="G303" s="1">
        <f t="shared" si="28"/>
        <v>0.3362986577181209</v>
      </c>
      <c r="H303" s="1">
        <f t="shared" si="29"/>
        <v>0.75475628362255476</v>
      </c>
      <c r="I303" s="1">
        <f t="shared" si="30"/>
        <v>0.51402999999999932</v>
      </c>
      <c r="J303" s="1">
        <f t="shared" si="31"/>
        <v>0.15734006734006714</v>
      </c>
      <c r="K303" s="17" t="str">
        <f t="shared" si="32"/>
        <v/>
      </c>
      <c r="L303" s="17" t="str">
        <f t="shared" si="33"/>
        <v/>
      </c>
    </row>
    <row r="304" spans="1:12">
      <c r="A304" s="17">
        <v>294</v>
      </c>
      <c r="B304" s="17">
        <v>6</v>
      </c>
      <c r="C304" s="17">
        <v>5</v>
      </c>
      <c r="D304" s="17" t="s">
        <v>668</v>
      </c>
      <c r="E304" s="17">
        <v>0.44900000000000001</v>
      </c>
      <c r="F304" s="17">
        <f t="shared" si="34"/>
        <v>4.6999999999999986E-2</v>
      </c>
      <c r="G304" s="1">
        <f t="shared" si="28"/>
        <v>0.3362986577181209</v>
      </c>
      <c r="H304" s="1">
        <f t="shared" si="29"/>
        <v>0.75475628362255476</v>
      </c>
      <c r="I304" s="1">
        <f t="shared" si="30"/>
        <v>0.51402999999999932</v>
      </c>
      <c r="J304" s="1">
        <f t="shared" si="31"/>
        <v>0.15734006734006714</v>
      </c>
      <c r="K304" s="17" t="str">
        <f t="shared" si="32"/>
        <v/>
      </c>
      <c r="L304" s="17" t="str">
        <f t="shared" si="33"/>
        <v/>
      </c>
    </row>
    <row r="305" spans="1:12">
      <c r="A305" s="17">
        <v>295</v>
      </c>
      <c r="B305" s="17">
        <v>6</v>
      </c>
      <c r="C305" s="17">
        <v>4</v>
      </c>
      <c r="D305" s="17" t="s">
        <v>669</v>
      </c>
      <c r="E305" s="17">
        <v>0.253</v>
      </c>
      <c r="F305" s="17">
        <f t="shared" si="34"/>
        <v>0.19600000000000001</v>
      </c>
      <c r="G305" s="1">
        <f t="shared" si="28"/>
        <v>0.3362986577181209</v>
      </c>
      <c r="H305" s="1">
        <f t="shared" si="29"/>
        <v>0.75475628362255476</v>
      </c>
      <c r="I305" s="1">
        <f t="shared" si="30"/>
        <v>0.51402999999999932</v>
      </c>
      <c r="J305" s="1">
        <f t="shared" si="31"/>
        <v>0.15734006734006714</v>
      </c>
      <c r="K305" s="17" t="str">
        <f t="shared" si="32"/>
        <v/>
      </c>
      <c r="L305" s="17" t="str">
        <f t="shared" si="33"/>
        <v/>
      </c>
    </row>
    <row r="306" spans="1:12">
      <c r="A306" s="17">
        <v>296</v>
      </c>
      <c r="B306" s="17">
        <v>6</v>
      </c>
      <c r="C306" s="17">
        <v>3</v>
      </c>
      <c r="D306" s="17" t="s">
        <v>670</v>
      </c>
      <c r="E306" s="17">
        <v>0.34100000000000003</v>
      </c>
      <c r="F306" s="17">
        <f t="shared" si="34"/>
        <v>8.8000000000000023E-2</v>
      </c>
      <c r="G306" s="1">
        <f t="shared" si="28"/>
        <v>0.3362986577181209</v>
      </c>
      <c r="H306" s="1">
        <f t="shared" si="29"/>
        <v>0.75475628362255476</v>
      </c>
      <c r="I306" s="1">
        <f t="shared" si="30"/>
        <v>0.51402999999999932</v>
      </c>
      <c r="J306" s="1">
        <f t="shared" si="31"/>
        <v>0.15734006734006714</v>
      </c>
      <c r="K306" s="17" t="str">
        <f t="shared" si="32"/>
        <v/>
      </c>
      <c r="L306" s="17" t="str">
        <f t="shared" si="33"/>
        <v/>
      </c>
    </row>
    <row r="307" spans="1:12">
      <c r="A307" s="17">
        <v>297</v>
      </c>
      <c r="B307" s="17">
        <v>6</v>
      </c>
      <c r="C307" s="17">
        <v>2</v>
      </c>
      <c r="D307" s="17" t="s">
        <v>671</v>
      </c>
      <c r="E307" s="17">
        <v>0.49399999999999999</v>
      </c>
      <c r="F307" s="17">
        <f t="shared" si="34"/>
        <v>0.15299999999999997</v>
      </c>
      <c r="G307" s="1">
        <f t="shared" si="28"/>
        <v>0.3362986577181209</v>
      </c>
      <c r="H307" s="1">
        <f t="shared" si="29"/>
        <v>0.75475628362255476</v>
      </c>
      <c r="I307" s="1">
        <f t="shared" si="30"/>
        <v>0.51402999999999932</v>
      </c>
      <c r="J307" s="1">
        <f t="shared" si="31"/>
        <v>0.15734006734006714</v>
      </c>
      <c r="K307" s="17" t="str">
        <f t="shared" si="32"/>
        <v/>
      </c>
      <c r="L307" s="17" t="str">
        <f t="shared" si="33"/>
        <v/>
      </c>
    </row>
    <row r="308" spans="1:12">
      <c r="A308" s="17">
        <v>298</v>
      </c>
      <c r="B308" s="17">
        <v>6</v>
      </c>
      <c r="C308" s="17">
        <v>1</v>
      </c>
      <c r="D308" s="17" t="s">
        <v>672</v>
      </c>
      <c r="E308" s="17">
        <v>0.193</v>
      </c>
      <c r="F308" s="17">
        <f t="shared" si="34"/>
        <v>0.30099999999999999</v>
      </c>
      <c r="G308" s="1">
        <f t="shared" si="28"/>
        <v>0.3362986577181209</v>
      </c>
      <c r="H308" s="1">
        <f t="shared" si="29"/>
        <v>0.75475628362255476</v>
      </c>
      <c r="I308" s="1">
        <f t="shared" si="30"/>
        <v>0.51402999999999932</v>
      </c>
      <c r="J308" s="1">
        <f t="shared" si="31"/>
        <v>0.15734006734006714</v>
      </c>
      <c r="K308" s="17" t="str">
        <f t="shared" si="32"/>
        <v/>
      </c>
      <c r="L308" s="17" t="str">
        <f t="shared" si="33"/>
        <v/>
      </c>
    </row>
  </sheetData>
  <mergeCells count="6">
    <mergeCell ref="B6:D6"/>
    <mergeCell ref="A1:M1"/>
    <mergeCell ref="P1:Q1"/>
    <mergeCell ref="A3:D3"/>
    <mergeCell ref="B4:D4"/>
    <mergeCell ref="B5:D5"/>
  </mergeCells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MR12-03(002)總結報告</vt:lpstr>
      <vt:lpstr>AOI(Particle)_SPC</vt:lpstr>
      <vt:lpstr>HYBOX1_Particle_SPC</vt:lpstr>
      <vt:lpstr>HYBOX2_Particle_SPC</vt:lpstr>
      <vt:lpstr>Thickness_SPC</vt:lpstr>
      <vt:lpstr>HYBOX1_Thickness_SPC</vt:lpstr>
      <vt:lpstr>HYBOX2_Thickness_SPC</vt:lpstr>
      <vt:lpstr>TTV_SPC</vt:lpstr>
      <vt:lpstr>HYBOX1_TTV_SPC</vt:lpstr>
      <vt:lpstr>HYBOX2_TTV_SPC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</cp:lastModifiedBy>
  <cp:revision/>
  <cp:lastPrinted>2026-01-14T03:46:33Z</cp:lastPrinted>
  <dcterms:created xsi:type="dcterms:W3CDTF">2025-12-21T13:13:38Z</dcterms:created>
  <dcterms:modified xsi:type="dcterms:W3CDTF">2026-02-02T09:30:15Z</dcterms:modified>
  <cp:category/>
  <cp:contentStatus/>
</cp:coreProperties>
</file>