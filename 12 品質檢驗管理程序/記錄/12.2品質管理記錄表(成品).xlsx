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800" windowHeight="11925" firstSheet="4" activeTab="7"/>
  </bookViews>
  <sheets>
    <sheet name="2025年07月17日" sheetId="1" r:id="rId1"/>
    <sheet name="2025年07月18日 " sheetId="2" r:id="rId2"/>
    <sheet name="2025年08月19日 " sheetId="4" r:id="rId3"/>
    <sheet name="2025年08月20日 " sheetId="5" r:id="rId4"/>
    <sheet name="美光20251110(300片)" sheetId="10" r:id="rId5"/>
    <sheet name="美光20251112(100片)" sheetId="11" r:id="rId6"/>
    <sheet name="美光20251113(125片)" sheetId="12" r:id="rId7"/>
    <sheet name="美光20260121" sheetId="1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4" l="1"/>
  <c r="H6" i="12" l="1"/>
  <c r="H6" i="11"/>
  <c r="H6" i="10"/>
</calcChain>
</file>

<file path=xl/sharedStrings.xml><?xml version="1.0" encoding="utf-8"?>
<sst xmlns="http://schemas.openxmlformats.org/spreadsheetml/2006/main" count="212" uniqueCount="44">
  <si>
    <t>編訂部門:品管課</t>
    <phoneticPr fontId="2" type="noConversion"/>
  </si>
  <si>
    <t>版本:A</t>
    <phoneticPr fontId="2" type="noConversion"/>
  </si>
  <si>
    <t>注意事項</t>
  </si>
  <si>
    <t>製表者</t>
  </si>
  <si>
    <t>產品名稱</t>
    <phoneticPr fontId="2" type="noConversion"/>
  </si>
  <si>
    <t>產品批號</t>
    <phoneticPr fontId="2" type="noConversion"/>
  </si>
  <si>
    <t>產品數量</t>
    <phoneticPr fontId="2" type="noConversion"/>
  </si>
  <si>
    <t>品檢數量</t>
    <phoneticPr fontId="2" type="noConversion"/>
  </si>
  <si>
    <t>核准：</t>
    <phoneticPr fontId="2" type="noConversion"/>
  </si>
  <si>
    <t>備註</t>
    <phoneticPr fontId="2" type="noConversion"/>
  </si>
  <si>
    <r>
      <t xml:space="preserve">                                                                           </t>
    </r>
    <r>
      <rPr>
        <b/>
        <sz val="12"/>
        <color theme="1"/>
        <rFont val="PMingLiU"/>
        <family val="1"/>
        <charset val="136"/>
      </rPr>
      <t xml:space="preserve">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</si>
  <si>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鼎智</t>
    <phoneticPr fontId="2" type="noConversion"/>
  </si>
  <si>
    <t>生產課：</t>
    <phoneticPr fontId="2" type="noConversion"/>
  </si>
  <si>
    <t>品管課：</t>
    <phoneticPr fontId="2" type="noConversion"/>
  </si>
  <si>
    <t>品質檢驗結果</t>
  </si>
  <si>
    <r>
      <t>合格󠄀</t>
    </r>
    <r>
      <rPr>
        <sz val="12"/>
        <color rgb="FF31859B"/>
        <rFont val="Viner Hand ITC"/>
        <family val="4"/>
      </rPr>
      <t>󠄀</t>
    </r>
    <phoneticPr fontId="2" type="noConversion"/>
  </si>
  <si>
    <t>不合格󠄀󠄀</t>
    <phoneticPr fontId="2" type="noConversion"/>
  </si>
  <si>
    <t>潔沛企業有限公司</t>
    <phoneticPr fontId="2" type="noConversion"/>
  </si>
  <si>
    <t>50片</t>
    <phoneticPr fontId="2" type="noConversion"/>
  </si>
  <si>
    <t>潔淨度</t>
    <phoneticPr fontId="2" type="noConversion"/>
  </si>
  <si>
    <t>外觀</t>
    <phoneticPr fontId="2" type="noConversion"/>
  </si>
  <si>
    <t>無破損</t>
    <phoneticPr fontId="2" type="noConversion"/>
  </si>
  <si>
    <t>無可見髒汙</t>
    <phoneticPr fontId="2" type="noConversion"/>
  </si>
  <si>
    <t>12"基板委外代工清洗</t>
    <phoneticPr fontId="2" type="noConversion"/>
  </si>
  <si>
    <t>12"基板委外代工清洗</t>
    <phoneticPr fontId="2" type="noConversion"/>
  </si>
  <si>
    <t>日期：2025/07/17</t>
    <phoneticPr fontId="2" type="noConversion"/>
  </si>
  <si>
    <t>日期：2025/07/18</t>
    <phoneticPr fontId="2" type="noConversion"/>
  </si>
  <si>
    <t>日期：2025/08/19</t>
    <phoneticPr fontId="2" type="noConversion"/>
  </si>
  <si>
    <t>日期：2025/08/20</t>
    <phoneticPr fontId="2" type="noConversion"/>
  </si>
  <si>
    <t>文件編號:MR12-02(001)A</t>
    <phoneticPr fontId="2" type="noConversion"/>
  </si>
  <si>
    <t>文件編號:MR12-02(002)A</t>
    <phoneticPr fontId="2" type="noConversion"/>
  </si>
  <si>
    <t>文件編號:MR12-02(003)A</t>
    <phoneticPr fontId="2" type="noConversion"/>
  </si>
  <si>
    <t>文件編號:MR12-02(004)A</t>
    <phoneticPr fontId="2" type="noConversion"/>
  </si>
  <si>
    <t>LT01-2251004708</t>
  </si>
  <si>
    <t>LT01-2251004708</t>
    <phoneticPr fontId="2" type="noConversion"/>
  </si>
  <si>
    <t>良率</t>
    <phoneticPr fontId="2" type="noConversion"/>
  </si>
  <si>
    <t>NG品數</t>
    <phoneticPr fontId="2" type="noConversion"/>
  </si>
  <si>
    <t>OK</t>
    <phoneticPr fontId="2" type="noConversion"/>
  </si>
  <si>
    <t>日期：2025年11月13日</t>
    <phoneticPr fontId="2" type="noConversion"/>
  </si>
  <si>
    <t>300-500055</t>
  </si>
  <si>
    <t>檢驗日期：114年11月10日、11日</t>
    <phoneticPr fontId="2" type="noConversion"/>
  </si>
  <si>
    <t>美光12吋玻璃</t>
    <phoneticPr fontId="2" type="noConversion"/>
  </si>
  <si>
    <t>日期：114年11月12日</t>
    <phoneticPr fontId="2" type="noConversion"/>
  </si>
  <si>
    <t>注意事項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</si>
</sst>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-* #,##0_-;\-* #,##0_-;_-* &quot;-&quot;_-;_-@"/>
    <numFmt numFmtId="177" formatCode="_-* #,##0.####_-;\-* #,##0.####_-;_-* &quot;-&quot;_-;_-@"/>
    <numFmt numFmtId="178" formatCode="0_ "/>
  </numFmts>
  <fonts count="20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b/>
      <sz val="12"/>
      <color rgb="FF002060"/>
      <name val="新細明體"/>
      <family val="1"/>
      <charset val="136"/>
      <scheme val="minor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sz val="12"/>
      <color rgb="FF31859B"/>
      <name val="Viner Hand ITC"/>
      <family val="4"/>
    </font>
    <font>
      <sz val="12"/>
      <name val="標楷體"/>
      <family val="4"/>
      <charset val="136"/>
    </font>
    <font>
      <b/>
      <sz val="12"/>
      <color rgb="FFFF0000"/>
      <name val="新細明體"/>
      <family val="1"/>
      <charset val="136"/>
      <scheme val="minor"/>
    </font>
    <font>
      <sz val="12"/>
      <color rgb="FF222222"/>
      <name val="Arial"/>
      <family val="2"/>
    </font>
    <font>
      <sz val="12"/>
      <color rgb="FF222222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16" fillId="5" borderId="17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0" fontId="0" fillId="0" borderId="1" xfId="0" applyNumberFormat="1" applyBorder="1">
      <alignment vertical="center"/>
    </xf>
    <xf numFmtId="178" fontId="9" fillId="0" borderId="1" xfId="0" applyNumberFormat="1" applyFont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104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格2_4" displayName="表格2_4" ref="G7:K21" headerRowCount="0" totalsRowShown="0" headerRowDxfId="103" dataDxfId="102" tableBorderDxfId="101">
  <tableColumns count="5">
    <tableColumn id="1" name="欄1" headerRowDxfId="100" dataDxfId="99"/>
    <tableColumn id="2" name="欄2" headerRowDxfId="98" dataDxfId="97"/>
    <tableColumn id="3" name="欄3" headerRowDxfId="96" dataDxfId="95"/>
    <tableColumn id="4" name="欄4" headerRowDxfId="94" dataDxfId="93"/>
    <tableColumn id="5" name="欄5" headerRowDxfId="92" dataDxfId="9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表格2_43" displayName="表格2_43" ref="G7:K21" headerRowCount="0" totalsRowShown="0" headerRowDxfId="90" dataDxfId="89" tableBorderDxfId="88">
  <tableColumns count="5">
    <tableColumn id="1" name="欄1" headerRowDxfId="87" dataDxfId="86"/>
    <tableColumn id="2" name="欄2" headerRowDxfId="85" dataDxfId="84"/>
    <tableColumn id="3" name="欄3" headerRowDxfId="83" dataDxfId="82"/>
    <tableColumn id="4" name="欄4" headerRowDxfId="81" dataDxfId="80"/>
    <tableColumn id="5" name="欄5" headerRowDxfId="79" dataDxfId="7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4" name="表格2_4345" displayName="表格2_4345" ref="G7:K21" headerRowCount="0" totalsRowShown="0" headerRowDxfId="77" dataDxfId="76" tableBorderDxfId="75">
  <tableColumns count="5">
    <tableColumn id="1" name="欄1" headerRowDxfId="74" dataDxfId="73"/>
    <tableColumn id="2" name="欄2" headerRowDxfId="72" dataDxfId="71"/>
    <tableColumn id="3" name="欄3" headerRowDxfId="70" dataDxfId="69"/>
    <tableColumn id="4" name="欄4" headerRowDxfId="68" dataDxfId="67"/>
    <tableColumn id="5" name="欄5" headerRowDxfId="66" dataDxfId="6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5" name="表格2_43456" displayName="表格2_43456" ref="G7:K21" headerRowCount="0" totalsRowShown="0" headerRowDxfId="64" dataDxfId="63" tableBorderDxfId="62">
  <tableColumns count="5">
    <tableColumn id="1" name="欄1" headerRowDxfId="61" dataDxfId="60"/>
    <tableColumn id="2" name="欄2" headerRowDxfId="59" dataDxfId="58"/>
    <tableColumn id="3" name="欄3" headerRowDxfId="57" dataDxfId="56"/>
    <tableColumn id="4" name="欄4" headerRowDxfId="55" dataDxfId="54"/>
    <tableColumn id="5" name="欄5" headerRowDxfId="53" dataDxfId="52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6" name="表格2_47" displayName="表格2_47" ref="G7:K21" headerRowCount="0" totalsRowShown="0" headerRowDxfId="51" dataDxfId="50" tableBorderDxfId="49">
  <tableColumns count="5">
    <tableColumn id="1" name="欄1" headerRowDxfId="48" dataDxfId="47"/>
    <tableColumn id="2" name="欄2" headerRowDxfId="46" dataDxfId="45">
      <calculatedColumnFormula>9/258</calculatedColumnFormula>
    </tableColumn>
    <tableColumn id="3" name="欄3" headerRowDxfId="44" dataDxfId="43"/>
    <tableColumn id="4" name="欄4" headerRowDxfId="42" dataDxfId="41"/>
    <tableColumn id="5" name="欄5" headerRowDxfId="40" dataDxfId="3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8" name="表格2_479" displayName="表格2_479" ref="G7:K21" headerRowCount="0" totalsRowShown="0" headerRowDxfId="38" dataDxfId="37" tableBorderDxfId="36">
  <tableColumns count="5">
    <tableColumn id="1" name="欄1" headerRowDxfId="35" dataDxfId="34"/>
    <tableColumn id="2" name="欄2" headerRowDxfId="33" dataDxfId="32">
      <calculatedColumnFormula>17/94</calculatedColumnFormula>
    </tableColumn>
    <tableColumn id="3" name="欄3" headerRowDxfId="31" dataDxfId="30"/>
    <tableColumn id="4" name="欄4" headerRowDxfId="29" dataDxfId="28"/>
    <tableColumn id="5" name="欄5" headerRowDxfId="27" dataDxfId="26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9" name="表格2_47910" displayName="表格2_47910" ref="G7:K21" headerRowCount="0" totalsRowShown="0" headerRowDxfId="25" dataDxfId="24" tableBorderDxfId="23">
  <tableColumns count="5">
    <tableColumn id="1" name="欄1" headerRowDxfId="22" dataDxfId="21"/>
    <tableColumn id="2" name="欄2" headerRowDxfId="20" dataDxfId="19">
      <calculatedColumnFormula>15/72</calculatedColumnFormula>
    </tableColumn>
    <tableColumn id="3" name="欄3" headerRowDxfId="18" dataDxfId="17"/>
    <tableColumn id="4" name="欄4" headerRowDxfId="16" dataDxfId="15"/>
    <tableColumn id="5" name="欄5" headerRowDxfId="14" dataDxfId="13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3" name="表格2_479104" displayName="表格2_479104" ref="G7:K21" headerRowCount="0" totalsRowShown="0" headerRowDxfId="12" dataDxfId="11" tableBorderDxfId="10">
  <tableColumns count="5">
    <tableColumn id="1" name="欄1" headerRowDxfId="9" dataDxfId="8"/>
    <tableColumn id="2" name="欄2" headerRowDxfId="7" dataDxfId="6">
      <calculatedColumnFormula>15/72</calculatedColumnFormula>
    </tableColumn>
    <tableColumn id="3" name="欄3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7" sqref="B7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25</v>
      </c>
      <c r="I2" s="55"/>
      <c r="J2" s="55"/>
      <c r="K2" s="56"/>
    </row>
    <row r="3" spans="1:11" ht="20.25" thickBot="1">
      <c r="A3" s="2" t="s">
        <v>29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3" t="s">
        <v>2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18"/>
      <c r="H5" s="19"/>
      <c r="I5" s="47" t="s">
        <v>9</v>
      </c>
      <c r="J5" s="48"/>
      <c r="K5" s="49"/>
    </row>
    <row r="6" spans="1:11">
      <c r="A6" s="20" t="s">
        <v>23</v>
      </c>
      <c r="B6" s="5" t="s">
        <v>34</v>
      </c>
      <c r="C6" s="5" t="s">
        <v>18</v>
      </c>
      <c r="D6" s="5" t="s">
        <v>18</v>
      </c>
      <c r="E6" s="5" t="s">
        <v>22</v>
      </c>
      <c r="F6" s="5" t="s">
        <v>21</v>
      </c>
      <c r="G6" s="17"/>
      <c r="H6" s="17"/>
      <c r="I6" s="17"/>
      <c r="J6" s="17"/>
      <c r="K6" s="17"/>
    </row>
    <row r="7" spans="1:11">
      <c r="A7" s="6"/>
      <c r="B7" s="7"/>
      <c r="C7" s="8"/>
      <c r="D7" s="9"/>
      <c r="E7" s="10"/>
      <c r="F7" s="7"/>
      <c r="G7" s="5"/>
      <c r="H7" s="5"/>
      <c r="I7" s="5"/>
      <c r="J7" s="5"/>
      <c r="K7" s="17"/>
    </row>
    <row r="8" spans="1:11">
      <c r="A8" s="9"/>
      <c r="B8" s="10"/>
      <c r="C8" s="11"/>
      <c r="D8" s="10"/>
      <c r="E8" s="10"/>
      <c r="F8" s="12"/>
      <c r="G8" s="17"/>
      <c r="H8" s="17"/>
      <c r="I8" s="17"/>
      <c r="J8" s="17"/>
      <c r="K8" s="17"/>
    </row>
    <row r="9" spans="1:11">
      <c r="A9" s="9"/>
      <c r="B9" s="13"/>
      <c r="C9" s="11"/>
      <c r="D9" s="10"/>
      <c r="E9" s="10"/>
      <c r="F9" s="12"/>
      <c r="G9" s="17"/>
      <c r="H9" s="17"/>
      <c r="I9" s="17"/>
      <c r="J9" s="17"/>
      <c r="K9" s="17"/>
    </row>
    <row r="10" spans="1:11">
      <c r="A10" s="13"/>
      <c r="B10" s="13"/>
      <c r="C10" s="13"/>
      <c r="D10" s="13"/>
      <c r="E10" s="13"/>
      <c r="F10" s="7"/>
      <c r="G10" s="17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17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 ht="21">
      <c r="A20" s="7" t="s">
        <v>14</v>
      </c>
      <c r="B20" s="7" t="s">
        <v>15</v>
      </c>
      <c r="C20" s="7" t="s">
        <v>16</v>
      </c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B4:G4"/>
    <mergeCell ref="I4:K4"/>
    <mergeCell ref="I5:K5"/>
    <mergeCell ref="A1:K1"/>
    <mergeCell ref="B2:G2"/>
    <mergeCell ref="H2:K2"/>
    <mergeCell ref="B3:G3"/>
    <mergeCell ref="H3:K3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6" sqref="B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26</v>
      </c>
      <c r="I2" s="55"/>
      <c r="J2" s="55"/>
      <c r="K2" s="56"/>
    </row>
    <row r="3" spans="1:11" ht="20.25" thickBot="1">
      <c r="A3" s="2" t="s">
        <v>30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3" t="s">
        <v>2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18"/>
      <c r="H5" s="19"/>
      <c r="I5" s="47" t="s">
        <v>9</v>
      </c>
      <c r="J5" s="48"/>
      <c r="K5" s="49"/>
    </row>
    <row r="6" spans="1:11">
      <c r="A6" s="20" t="s">
        <v>24</v>
      </c>
      <c r="B6" s="5" t="s">
        <v>33</v>
      </c>
      <c r="C6" s="5" t="s">
        <v>18</v>
      </c>
      <c r="D6" s="5" t="s">
        <v>18</v>
      </c>
      <c r="E6" s="5" t="s">
        <v>22</v>
      </c>
      <c r="F6" s="5" t="s">
        <v>21</v>
      </c>
      <c r="G6" s="17"/>
      <c r="H6" s="17"/>
      <c r="I6" s="17"/>
      <c r="J6" s="17"/>
      <c r="K6" s="17"/>
    </row>
    <row r="7" spans="1:11">
      <c r="A7" s="6"/>
      <c r="B7" s="7"/>
      <c r="C7" s="8"/>
      <c r="D7" s="9"/>
      <c r="E7" s="10"/>
      <c r="F7" s="7"/>
      <c r="G7" s="5"/>
      <c r="H7" s="5"/>
      <c r="I7" s="5"/>
      <c r="J7" s="5"/>
      <c r="K7" s="17"/>
    </row>
    <row r="8" spans="1:11">
      <c r="A8" s="9"/>
      <c r="B8" s="10"/>
      <c r="C8" s="11"/>
      <c r="D8" s="10"/>
      <c r="E8" s="10"/>
      <c r="F8" s="12"/>
      <c r="G8" s="17"/>
      <c r="H8" s="17"/>
      <c r="I8" s="17"/>
      <c r="J8" s="17"/>
      <c r="K8" s="17"/>
    </row>
    <row r="9" spans="1:11">
      <c r="A9" s="9"/>
      <c r="B9" s="13"/>
      <c r="C9" s="11"/>
      <c r="D9" s="10"/>
      <c r="E9" s="10"/>
      <c r="F9" s="12"/>
      <c r="G9" s="17"/>
      <c r="H9" s="17"/>
      <c r="I9" s="17"/>
      <c r="J9" s="17"/>
      <c r="K9" s="17"/>
    </row>
    <row r="10" spans="1:11">
      <c r="A10" s="13"/>
      <c r="B10" s="13"/>
      <c r="C10" s="13"/>
      <c r="D10" s="13"/>
      <c r="E10" s="13"/>
      <c r="F10" s="7"/>
      <c r="G10" s="17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17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 ht="21">
      <c r="A20" s="7" t="s">
        <v>14</v>
      </c>
      <c r="B20" s="7" t="s">
        <v>15</v>
      </c>
      <c r="C20" s="7" t="s">
        <v>16</v>
      </c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6" sqref="B6"/>
    </sheetView>
  </sheetViews>
  <sheetFormatPr defaultColWidth="11" defaultRowHeight="16.5"/>
  <cols>
    <col min="1" max="1" width="28.75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27</v>
      </c>
      <c r="I2" s="55"/>
      <c r="J2" s="55"/>
      <c r="K2" s="56"/>
    </row>
    <row r="3" spans="1:11" ht="20.25" thickBot="1">
      <c r="A3" s="2" t="s">
        <v>31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3" t="s">
        <v>2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18"/>
      <c r="H5" s="19"/>
      <c r="I5" s="47" t="s">
        <v>9</v>
      </c>
      <c r="J5" s="48"/>
      <c r="K5" s="49"/>
    </row>
    <row r="6" spans="1:11">
      <c r="A6" s="20" t="s">
        <v>24</v>
      </c>
      <c r="B6" s="20" t="s">
        <v>34</v>
      </c>
      <c r="C6" s="5" t="s">
        <v>18</v>
      </c>
      <c r="D6" s="5" t="s">
        <v>18</v>
      </c>
      <c r="E6" s="5" t="s">
        <v>22</v>
      </c>
      <c r="F6" s="5" t="s">
        <v>21</v>
      </c>
      <c r="G6" s="17"/>
      <c r="H6" s="17"/>
      <c r="I6" s="17"/>
      <c r="J6" s="17"/>
      <c r="K6" s="17"/>
    </row>
    <row r="7" spans="1:11">
      <c r="A7" s="6"/>
      <c r="B7" s="7"/>
      <c r="C7" s="8"/>
      <c r="D7" s="9"/>
      <c r="E7" s="10"/>
      <c r="F7" s="7"/>
      <c r="G7" s="5"/>
      <c r="H7" s="5"/>
      <c r="I7" s="5"/>
      <c r="J7" s="5"/>
      <c r="K7" s="17"/>
    </row>
    <row r="8" spans="1:11">
      <c r="A8" s="9"/>
      <c r="B8" s="10"/>
      <c r="C8" s="11"/>
      <c r="D8" s="10"/>
      <c r="E8" s="10"/>
      <c r="F8" s="12"/>
      <c r="G8" s="17"/>
      <c r="H8" s="17"/>
      <c r="I8" s="17"/>
      <c r="J8" s="17"/>
      <c r="K8" s="17"/>
    </row>
    <row r="9" spans="1:11">
      <c r="A9" s="9"/>
      <c r="B9" s="13"/>
      <c r="C9" s="11"/>
      <c r="D9" s="10"/>
      <c r="E9" s="10"/>
      <c r="F9" s="12"/>
      <c r="G9" s="17"/>
      <c r="H9" s="17"/>
      <c r="I9" s="17"/>
      <c r="J9" s="17"/>
      <c r="K9" s="17"/>
    </row>
    <row r="10" spans="1:11">
      <c r="A10" s="13"/>
      <c r="B10" s="13"/>
      <c r="C10" s="13"/>
      <c r="D10" s="13"/>
      <c r="E10" s="13"/>
      <c r="F10" s="7"/>
      <c r="G10" s="17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17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 ht="21">
      <c r="A20" s="7" t="s">
        <v>14</v>
      </c>
      <c r="B20" s="7" t="s">
        <v>15</v>
      </c>
      <c r="C20" s="7" t="s">
        <v>16</v>
      </c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4" orientation="landscape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6" sqref="B6"/>
    </sheetView>
  </sheetViews>
  <sheetFormatPr defaultColWidth="11" defaultRowHeight="16.5"/>
  <cols>
    <col min="1" max="1" width="29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28</v>
      </c>
      <c r="I2" s="55"/>
      <c r="J2" s="55"/>
      <c r="K2" s="56"/>
    </row>
    <row r="3" spans="1:11" ht="20.25" thickBot="1">
      <c r="A3" s="2" t="s">
        <v>32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3" t="s">
        <v>2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18"/>
      <c r="H5" s="19"/>
      <c r="I5" s="47" t="s">
        <v>9</v>
      </c>
      <c r="J5" s="48"/>
      <c r="K5" s="49"/>
    </row>
    <row r="6" spans="1:11">
      <c r="A6" s="20" t="s">
        <v>24</v>
      </c>
      <c r="B6" s="20" t="s">
        <v>34</v>
      </c>
      <c r="C6" s="5" t="s">
        <v>18</v>
      </c>
      <c r="D6" s="5" t="s">
        <v>18</v>
      </c>
      <c r="E6" s="5" t="s">
        <v>22</v>
      </c>
      <c r="F6" s="5" t="s">
        <v>21</v>
      </c>
      <c r="G6" s="17"/>
      <c r="H6" s="17"/>
      <c r="I6" s="17"/>
      <c r="J6" s="17"/>
      <c r="K6" s="17"/>
    </row>
    <row r="7" spans="1:11">
      <c r="A7" s="6"/>
      <c r="B7" s="7"/>
      <c r="C7" s="8"/>
      <c r="D7" s="9"/>
      <c r="E7" s="10"/>
      <c r="F7" s="7"/>
      <c r="G7" s="5"/>
      <c r="H7" s="5"/>
      <c r="I7" s="5"/>
      <c r="J7" s="5"/>
      <c r="K7" s="17"/>
    </row>
    <row r="8" spans="1:11">
      <c r="A8" s="9"/>
      <c r="B8" s="10"/>
      <c r="C8" s="11"/>
      <c r="D8" s="10"/>
      <c r="E8" s="10"/>
      <c r="F8" s="12"/>
      <c r="G8" s="17"/>
      <c r="H8" s="17"/>
      <c r="I8" s="17"/>
      <c r="J8" s="17"/>
      <c r="K8" s="17"/>
    </row>
    <row r="9" spans="1:11">
      <c r="A9" s="9"/>
      <c r="B9" s="13"/>
      <c r="C9" s="11"/>
      <c r="D9" s="10"/>
      <c r="E9" s="10"/>
      <c r="F9" s="12"/>
      <c r="G9" s="17"/>
      <c r="H9" s="17"/>
      <c r="I9" s="17"/>
      <c r="J9" s="17"/>
      <c r="K9" s="17"/>
    </row>
    <row r="10" spans="1:11">
      <c r="A10" s="13"/>
      <c r="B10" s="13"/>
      <c r="C10" s="13"/>
      <c r="D10" s="13"/>
      <c r="E10" s="13"/>
      <c r="F10" s="7"/>
      <c r="G10" s="17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17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 ht="21">
      <c r="A20" s="7" t="s">
        <v>14</v>
      </c>
      <c r="B20" s="7" t="s">
        <v>15</v>
      </c>
      <c r="C20" s="7" t="s">
        <v>16</v>
      </c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4" orientation="landscape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H7" sqref="H7"/>
    </sheetView>
  </sheetViews>
  <sheetFormatPr defaultColWidth="11" defaultRowHeight="16.5"/>
  <cols>
    <col min="1" max="1" width="39.37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39.75" customHeight="1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40</v>
      </c>
      <c r="I2" s="55"/>
      <c r="J2" s="55"/>
      <c r="K2" s="56"/>
    </row>
    <row r="3" spans="1:11" ht="20.25" thickBot="1">
      <c r="A3" s="2" t="s">
        <v>29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5" t="s">
        <v>43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28" t="s">
        <v>19</v>
      </c>
      <c r="F5" s="19" t="s">
        <v>20</v>
      </c>
      <c r="G5" s="19" t="s">
        <v>36</v>
      </c>
      <c r="H5" s="19" t="s">
        <v>35</v>
      </c>
      <c r="I5" s="47" t="s">
        <v>9</v>
      </c>
      <c r="J5" s="48"/>
      <c r="K5" s="49"/>
    </row>
    <row r="6" spans="1:11">
      <c r="A6" s="40" t="s">
        <v>41</v>
      </c>
      <c r="B6" s="37" t="s">
        <v>39</v>
      </c>
      <c r="C6" s="5">
        <v>265</v>
      </c>
      <c r="D6" s="31">
        <v>265</v>
      </c>
      <c r="E6" s="5" t="s">
        <v>37</v>
      </c>
      <c r="F6" s="5" t="s">
        <v>37</v>
      </c>
      <c r="G6" s="26">
        <v>124</v>
      </c>
      <c r="H6" s="38">
        <f>124/265</f>
        <v>0.4679245283018868</v>
      </c>
      <c r="I6" s="60"/>
      <c r="J6" s="48"/>
      <c r="K6" s="49"/>
    </row>
    <row r="7" spans="1:11">
      <c r="A7" s="33"/>
      <c r="B7" s="37"/>
      <c r="C7" s="5"/>
      <c r="D7" s="31"/>
      <c r="E7" s="5"/>
      <c r="F7" s="5"/>
      <c r="G7" s="5"/>
      <c r="H7" s="17"/>
      <c r="I7" s="27"/>
      <c r="J7" s="24"/>
      <c r="K7" s="25"/>
    </row>
    <row r="8" spans="1:11">
      <c r="A8" s="34"/>
      <c r="B8" s="37"/>
      <c r="C8" s="5"/>
      <c r="D8" s="31"/>
      <c r="E8" s="5"/>
      <c r="F8" s="5"/>
      <c r="G8" s="17"/>
      <c r="H8" s="17"/>
      <c r="I8" s="27"/>
      <c r="J8" s="24"/>
      <c r="K8" s="25"/>
    </row>
    <row r="9" spans="1:11">
      <c r="A9" s="34"/>
      <c r="B9" s="37"/>
      <c r="C9" s="5"/>
      <c r="D9" s="31"/>
      <c r="E9" s="5"/>
      <c r="F9" s="5"/>
      <c r="G9" s="17"/>
      <c r="H9" s="17"/>
      <c r="I9" s="27"/>
      <c r="J9" s="24"/>
      <c r="K9" s="25"/>
    </row>
    <row r="10" spans="1:11">
      <c r="A10" s="35"/>
      <c r="B10" s="37"/>
      <c r="C10" s="5"/>
      <c r="D10" s="31"/>
      <c r="E10" s="5"/>
      <c r="F10" s="5"/>
      <c r="G10" s="17"/>
      <c r="H10" s="17"/>
      <c r="I10" s="27"/>
      <c r="J10" s="24"/>
      <c r="K10" s="25"/>
    </row>
    <row r="11" spans="1:11">
      <c r="A11" s="36"/>
      <c r="B11" s="37"/>
      <c r="C11" s="5"/>
      <c r="D11" s="31"/>
      <c r="E11" s="5"/>
      <c r="F11" s="5"/>
      <c r="G11" s="17"/>
      <c r="H11" s="17"/>
      <c r="I11" s="27"/>
      <c r="J11" s="24"/>
      <c r="K11" s="25"/>
    </row>
    <row r="12" spans="1:11">
      <c r="A12" s="36"/>
      <c r="B12" s="37"/>
      <c r="C12" s="5"/>
      <c r="D12" s="31"/>
      <c r="E12" s="5"/>
      <c r="F12" s="5"/>
      <c r="G12" s="17"/>
      <c r="H12" s="17"/>
      <c r="I12" s="27"/>
      <c r="J12" s="24"/>
      <c r="K12" s="25"/>
    </row>
    <row r="13" spans="1:11">
      <c r="A13" s="35"/>
      <c r="B13" s="37"/>
      <c r="C13" s="5"/>
      <c r="D13" s="31"/>
      <c r="E13" s="5"/>
      <c r="F13" s="5"/>
      <c r="G13" s="17"/>
      <c r="H13" s="17"/>
      <c r="I13" s="27"/>
      <c r="J13" s="24"/>
      <c r="K13" s="25"/>
    </row>
    <row r="14" spans="1:11">
      <c r="A14" s="36"/>
      <c r="B14" s="37"/>
      <c r="C14" s="5"/>
      <c r="D14" s="31"/>
      <c r="E14" s="5"/>
      <c r="F14" s="5"/>
      <c r="G14" s="17"/>
      <c r="H14" s="17"/>
      <c r="I14" s="27"/>
      <c r="J14" s="24"/>
      <c r="K14" s="25"/>
    </row>
    <row r="15" spans="1:11">
      <c r="A15" s="35"/>
      <c r="B15" s="37"/>
      <c r="C15" s="5"/>
      <c r="D15" s="31"/>
      <c r="E15" s="5"/>
      <c r="F15" s="5"/>
      <c r="G15" s="17"/>
      <c r="H15" s="17"/>
      <c r="I15" s="27"/>
      <c r="J15" s="24"/>
      <c r="K15" s="25"/>
    </row>
    <row r="16" spans="1:11">
      <c r="A16" s="36"/>
      <c r="B16" s="37"/>
      <c r="C16" s="5"/>
      <c r="D16" s="31"/>
      <c r="E16" s="5"/>
      <c r="F16" s="5"/>
      <c r="G16" s="17"/>
      <c r="H16" s="17"/>
      <c r="I16" s="27"/>
      <c r="J16" s="24"/>
      <c r="K16" s="25"/>
    </row>
    <row r="17" spans="1:11">
      <c r="A17" s="36"/>
      <c r="B17" s="37"/>
      <c r="C17" s="5"/>
      <c r="D17" s="31"/>
      <c r="E17" s="5"/>
      <c r="F17" s="5"/>
      <c r="G17" s="17"/>
      <c r="H17" s="17"/>
      <c r="I17" s="27"/>
      <c r="J17" s="24"/>
      <c r="K17" s="25"/>
    </row>
    <row r="18" spans="1:11">
      <c r="A18" s="13"/>
      <c r="B18" s="13"/>
      <c r="C18" s="8"/>
      <c r="D18" s="32"/>
      <c r="E18" s="15"/>
      <c r="F18" s="12"/>
      <c r="G18" s="26"/>
      <c r="H18" s="29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>
      <c r="A20" s="7"/>
      <c r="B20" s="7"/>
      <c r="C20" s="7"/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9">
    <mergeCell ref="I6:K6"/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79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A6" sqref="A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42</v>
      </c>
      <c r="I2" s="55"/>
      <c r="J2" s="55"/>
      <c r="K2" s="56"/>
    </row>
    <row r="3" spans="1:11" ht="20.25" thickBot="1">
      <c r="A3" s="2" t="s">
        <v>30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5" t="s">
        <v>43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21" t="s">
        <v>36</v>
      </c>
      <c r="H5" s="22" t="s">
        <v>35</v>
      </c>
      <c r="I5" s="47" t="s">
        <v>9</v>
      </c>
      <c r="J5" s="48"/>
      <c r="K5" s="49"/>
    </row>
    <row r="6" spans="1:11">
      <c r="A6" s="40" t="s">
        <v>41</v>
      </c>
      <c r="B6" s="37" t="s">
        <v>39</v>
      </c>
      <c r="C6" s="5">
        <v>94</v>
      </c>
      <c r="D6" s="5">
        <v>94</v>
      </c>
      <c r="E6" s="5" t="s">
        <v>37</v>
      </c>
      <c r="F6" s="5" t="s">
        <v>37</v>
      </c>
      <c r="G6" s="26">
        <v>42</v>
      </c>
      <c r="H6" s="38">
        <f>42/94</f>
        <v>0.44680851063829785</v>
      </c>
      <c r="I6" s="17"/>
      <c r="J6" s="17"/>
      <c r="K6" s="17"/>
    </row>
    <row r="7" spans="1:11">
      <c r="A7" s="6"/>
      <c r="B7" s="23"/>
      <c r="C7" s="5"/>
      <c r="D7" s="5"/>
      <c r="E7" s="5"/>
      <c r="F7" s="5"/>
      <c r="G7" s="5"/>
      <c r="H7" s="29"/>
      <c r="I7" s="5"/>
      <c r="J7" s="5"/>
      <c r="K7" s="17"/>
    </row>
    <row r="8" spans="1:11">
      <c r="A8" s="9"/>
      <c r="B8" s="23"/>
      <c r="C8" s="5"/>
      <c r="D8" s="5"/>
      <c r="E8" s="5"/>
      <c r="F8" s="5"/>
      <c r="G8" s="26"/>
      <c r="H8" s="30"/>
      <c r="I8" s="17"/>
      <c r="J8" s="17"/>
      <c r="K8" s="17"/>
    </row>
    <row r="9" spans="1:11">
      <c r="A9" s="9"/>
      <c r="B9" s="23"/>
      <c r="C9" s="5"/>
      <c r="D9" s="5"/>
      <c r="E9" s="5"/>
      <c r="F9" s="5"/>
      <c r="G9" s="26"/>
      <c r="H9" s="30"/>
      <c r="I9" s="17"/>
      <c r="J9" s="17"/>
      <c r="K9" s="17"/>
    </row>
    <row r="10" spans="1:11">
      <c r="A10" s="13"/>
      <c r="B10" s="13"/>
      <c r="C10" s="13"/>
      <c r="D10" s="5"/>
      <c r="E10" s="5"/>
      <c r="F10" s="5"/>
      <c r="G10" s="26"/>
      <c r="H10" s="29"/>
      <c r="I10" s="17"/>
      <c r="J10" s="17"/>
      <c r="K10" s="17"/>
    </row>
    <row r="11" spans="1:11">
      <c r="A11" s="7"/>
      <c r="B11" s="7"/>
      <c r="C11" s="7"/>
      <c r="D11" s="7"/>
      <c r="E11" s="5"/>
      <c r="F11" s="5"/>
      <c r="G11" s="17"/>
      <c r="H11" s="30"/>
      <c r="I11" s="17"/>
      <c r="J11" s="17"/>
      <c r="K11" s="17"/>
    </row>
    <row r="12" spans="1:11">
      <c r="A12" s="7"/>
      <c r="B12" s="7"/>
      <c r="C12" s="8"/>
      <c r="D12" s="7"/>
      <c r="E12" s="5"/>
      <c r="F12" s="5"/>
      <c r="G12" s="17"/>
      <c r="H12" s="30"/>
      <c r="I12" s="17"/>
      <c r="J12" s="17"/>
      <c r="K12" s="17"/>
    </row>
    <row r="13" spans="1:11">
      <c r="A13" s="13"/>
      <c r="B13" s="7"/>
      <c r="C13" s="8"/>
      <c r="D13" s="7"/>
      <c r="E13" s="5"/>
      <c r="F13" s="5"/>
      <c r="G13" s="17"/>
      <c r="H13" s="30"/>
      <c r="I13" s="17"/>
      <c r="J13" s="17"/>
      <c r="K13" s="17"/>
    </row>
    <row r="14" spans="1:11">
      <c r="A14" s="7"/>
      <c r="B14" s="7"/>
      <c r="C14" s="8"/>
      <c r="D14" s="13"/>
      <c r="E14" s="5"/>
      <c r="F14" s="5"/>
      <c r="G14" s="17"/>
      <c r="H14" s="30"/>
      <c r="I14" s="17"/>
      <c r="J14" s="17"/>
      <c r="K14" s="17"/>
    </row>
    <row r="15" spans="1:11">
      <c r="A15" s="13"/>
      <c r="B15" s="13"/>
      <c r="C15" s="8"/>
      <c r="D15" s="7"/>
      <c r="E15" s="5"/>
      <c r="F15" s="5"/>
      <c r="G15" s="17"/>
      <c r="H15" s="30"/>
      <c r="I15" s="17"/>
      <c r="J15" s="17"/>
      <c r="K15" s="17"/>
    </row>
    <row r="16" spans="1:11">
      <c r="A16" s="7"/>
      <c r="B16" s="13"/>
      <c r="C16" s="8"/>
      <c r="D16" s="7"/>
      <c r="E16" s="5"/>
      <c r="F16" s="5"/>
      <c r="G16" s="17"/>
      <c r="H16" s="30"/>
      <c r="I16" s="17"/>
      <c r="J16" s="17"/>
      <c r="K16" s="17"/>
    </row>
    <row r="17" spans="1:11">
      <c r="A17" s="7"/>
      <c r="B17" s="7"/>
      <c r="C17" s="8"/>
      <c r="D17" s="7"/>
      <c r="E17" s="5"/>
      <c r="F17" s="5"/>
      <c r="G17" s="17"/>
      <c r="H17" s="30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30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30"/>
      <c r="I19" s="17"/>
      <c r="J19" s="17"/>
      <c r="K19" s="17"/>
    </row>
    <row r="20" spans="1:11">
      <c r="A20" s="7"/>
      <c r="B20" s="7"/>
      <c r="C20" s="7"/>
      <c r="D20" s="7"/>
      <c r="E20" s="9"/>
      <c r="F20" s="14"/>
      <c r="G20" s="17"/>
      <c r="H20" s="30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30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A8" sqref="A8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38</v>
      </c>
      <c r="I2" s="55"/>
      <c r="J2" s="55"/>
      <c r="K2" s="56"/>
    </row>
    <row r="3" spans="1:11" ht="20.25" thickBot="1">
      <c r="A3" s="2" t="s">
        <v>31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5" t="s">
        <v>43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21" t="s">
        <v>36</v>
      </c>
      <c r="H5" s="22" t="s">
        <v>35</v>
      </c>
      <c r="I5" s="47" t="s">
        <v>9</v>
      </c>
      <c r="J5" s="48"/>
      <c r="K5" s="49"/>
    </row>
    <row r="6" spans="1:11">
      <c r="A6" s="40" t="s">
        <v>41</v>
      </c>
      <c r="B6" s="37" t="s">
        <v>39</v>
      </c>
      <c r="C6" s="5">
        <v>72</v>
      </c>
      <c r="D6" s="5">
        <v>72</v>
      </c>
      <c r="E6" s="5" t="s">
        <v>37</v>
      </c>
      <c r="F6" s="5" t="s">
        <v>37</v>
      </c>
      <c r="G6" s="26">
        <v>32</v>
      </c>
      <c r="H6" s="39">
        <f>32/72</f>
        <v>0.44444444444444442</v>
      </c>
      <c r="I6" s="17"/>
      <c r="J6" s="17"/>
      <c r="K6" s="17"/>
    </row>
    <row r="7" spans="1:11">
      <c r="A7" s="6"/>
      <c r="B7" s="23"/>
      <c r="C7" s="5"/>
      <c r="D7" s="5"/>
      <c r="E7" s="5"/>
      <c r="F7" s="5"/>
      <c r="G7" s="5"/>
      <c r="H7" s="5"/>
      <c r="I7" s="5"/>
      <c r="J7" s="5"/>
      <c r="K7" s="17"/>
    </row>
    <row r="8" spans="1:11">
      <c r="A8" s="9"/>
      <c r="B8" s="23"/>
      <c r="C8" s="5"/>
      <c r="D8" s="5"/>
      <c r="E8" s="5"/>
      <c r="F8" s="5"/>
      <c r="G8" s="26"/>
      <c r="H8" s="17"/>
      <c r="I8" s="17"/>
      <c r="J8" s="17"/>
      <c r="K8" s="17"/>
    </row>
    <row r="9" spans="1:11">
      <c r="A9" s="9"/>
      <c r="B9" s="23"/>
      <c r="C9" s="5"/>
      <c r="D9" s="5"/>
      <c r="E9" s="5"/>
      <c r="F9" s="5"/>
      <c r="G9" s="26"/>
      <c r="H9" s="17"/>
      <c r="I9" s="17"/>
      <c r="J9" s="17"/>
      <c r="K9" s="17"/>
    </row>
    <row r="10" spans="1:11">
      <c r="A10" s="13"/>
      <c r="B10" s="23"/>
      <c r="C10" s="5"/>
      <c r="D10" s="5"/>
      <c r="E10" s="5"/>
      <c r="F10" s="5"/>
      <c r="G10" s="26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29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>
      <c r="A20" s="7"/>
      <c r="B20" s="7"/>
      <c r="C20" s="7"/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E6" sqref="E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50" t="s">
        <v>17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20.25" thickTop="1">
      <c r="A2" s="1" t="s">
        <v>0</v>
      </c>
      <c r="B2" s="51" t="s">
        <v>10</v>
      </c>
      <c r="C2" s="52"/>
      <c r="D2" s="52"/>
      <c r="E2" s="52"/>
      <c r="F2" s="52"/>
      <c r="G2" s="53"/>
      <c r="H2" s="54" t="s">
        <v>38</v>
      </c>
      <c r="I2" s="55"/>
      <c r="J2" s="55"/>
      <c r="K2" s="56"/>
    </row>
    <row r="3" spans="1:11" ht="20.25" thickBot="1">
      <c r="A3" s="2" t="s">
        <v>31</v>
      </c>
      <c r="B3" s="51"/>
      <c r="C3" s="52"/>
      <c r="D3" s="52"/>
      <c r="E3" s="52"/>
      <c r="F3" s="52"/>
      <c r="G3" s="53"/>
      <c r="H3" s="57" t="s">
        <v>1</v>
      </c>
      <c r="I3" s="58"/>
      <c r="J3" s="58"/>
      <c r="K3" s="59"/>
    </row>
    <row r="4" spans="1:11" ht="17.25" thickTop="1">
      <c r="A4" s="5" t="s">
        <v>43</v>
      </c>
      <c r="B4" s="41"/>
      <c r="C4" s="42"/>
      <c r="D4" s="42"/>
      <c r="E4" s="42"/>
      <c r="F4" s="43"/>
      <c r="G4" s="43"/>
      <c r="H4" s="4" t="s">
        <v>3</v>
      </c>
      <c r="I4" s="44" t="s">
        <v>11</v>
      </c>
      <c r="J4" s="45"/>
      <c r="K4" s="46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19</v>
      </c>
      <c r="F5" s="19" t="s">
        <v>20</v>
      </c>
      <c r="G5" s="21" t="s">
        <v>36</v>
      </c>
      <c r="H5" s="22" t="s">
        <v>35</v>
      </c>
      <c r="I5" s="47" t="s">
        <v>9</v>
      </c>
      <c r="J5" s="48"/>
      <c r="K5" s="49"/>
    </row>
    <row r="6" spans="1:11">
      <c r="A6" s="40" t="s">
        <v>41</v>
      </c>
      <c r="B6" s="37" t="s">
        <v>39</v>
      </c>
      <c r="C6" s="5">
        <v>225</v>
      </c>
      <c r="D6" s="5">
        <v>225</v>
      </c>
      <c r="E6" s="5" t="s">
        <v>37</v>
      </c>
      <c r="F6" s="5" t="s">
        <v>37</v>
      </c>
      <c r="G6" s="26">
        <v>32</v>
      </c>
      <c r="H6" s="39">
        <f>32/72</f>
        <v>0.44444444444444442</v>
      </c>
      <c r="I6" s="17"/>
      <c r="J6" s="17"/>
      <c r="K6" s="17"/>
    </row>
    <row r="7" spans="1:11">
      <c r="A7" s="6"/>
      <c r="B7" s="23"/>
      <c r="C7" s="5"/>
      <c r="D7" s="5"/>
      <c r="E7" s="5"/>
      <c r="F7" s="5"/>
      <c r="G7" s="5"/>
      <c r="H7" s="5"/>
      <c r="I7" s="5"/>
      <c r="J7" s="5"/>
      <c r="K7" s="17"/>
    </row>
    <row r="8" spans="1:11">
      <c r="A8" s="9"/>
      <c r="B8" s="23"/>
      <c r="C8" s="5"/>
      <c r="D8" s="5"/>
      <c r="E8" s="5"/>
      <c r="F8" s="5"/>
      <c r="G8" s="26"/>
      <c r="H8" s="17"/>
      <c r="I8" s="17"/>
      <c r="J8" s="17"/>
      <c r="K8" s="17"/>
    </row>
    <row r="9" spans="1:11">
      <c r="A9" s="9"/>
      <c r="B9" s="23"/>
      <c r="C9" s="5"/>
      <c r="D9" s="5"/>
      <c r="E9" s="5"/>
      <c r="F9" s="5"/>
      <c r="G9" s="26"/>
      <c r="H9" s="17"/>
      <c r="I9" s="17"/>
      <c r="J9" s="17"/>
      <c r="K9" s="17"/>
    </row>
    <row r="10" spans="1:11">
      <c r="A10" s="13"/>
      <c r="B10" s="23"/>
      <c r="C10" s="5"/>
      <c r="D10" s="5"/>
      <c r="E10" s="5"/>
      <c r="F10" s="5"/>
      <c r="G10" s="26"/>
      <c r="H10" s="17"/>
      <c r="I10" s="17"/>
      <c r="J10" s="17"/>
      <c r="K10" s="17"/>
    </row>
    <row r="11" spans="1:11">
      <c r="A11" s="7"/>
      <c r="B11" s="7"/>
      <c r="C11" s="7"/>
      <c r="D11" s="7"/>
      <c r="E11" s="9"/>
      <c r="F11" s="14"/>
      <c r="G11" s="17"/>
      <c r="H11" s="29"/>
      <c r="I11" s="17"/>
      <c r="J11" s="17"/>
      <c r="K11" s="17"/>
    </row>
    <row r="12" spans="1:11">
      <c r="A12" s="7"/>
      <c r="B12" s="7"/>
      <c r="C12" s="8"/>
      <c r="D12" s="7"/>
      <c r="E12" s="7"/>
      <c r="F12" s="7"/>
      <c r="G12" s="17"/>
      <c r="H12" s="17"/>
      <c r="I12" s="17"/>
      <c r="J12" s="17"/>
      <c r="K12" s="17"/>
    </row>
    <row r="13" spans="1:11">
      <c r="A13" s="13"/>
      <c r="B13" s="7"/>
      <c r="C13" s="8"/>
      <c r="D13" s="7"/>
      <c r="E13" s="7"/>
      <c r="F13" s="12"/>
      <c r="G13" s="17"/>
      <c r="H13" s="17"/>
      <c r="I13" s="17"/>
      <c r="J13" s="17"/>
      <c r="K13" s="17"/>
    </row>
    <row r="14" spans="1:11">
      <c r="A14" s="7"/>
      <c r="B14" s="7"/>
      <c r="C14" s="8"/>
      <c r="D14" s="13"/>
      <c r="E14" s="15"/>
      <c r="F14" s="16"/>
      <c r="G14" s="17"/>
      <c r="H14" s="17"/>
      <c r="I14" s="17"/>
      <c r="J14" s="17"/>
      <c r="K14" s="17"/>
    </row>
    <row r="15" spans="1:11">
      <c r="A15" s="13"/>
      <c r="B15" s="13"/>
      <c r="C15" s="8"/>
      <c r="D15" s="7"/>
      <c r="E15" s="13"/>
      <c r="F15" s="12"/>
      <c r="G15" s="17"/>
      <c r="H15" s="17"/>
      <c r="I15" s="17"/>
      <c r="J15" s="17"/>
      <c r="K15" s="17"/>
    </row>
    <row r="16" spans="1:11">
      <c r="A16" s="7"/>
      <c r="B16" s="13"/>
      <c r="C16" s="8"/>
      <c r="D16" s="7"/>
      <c r="E16" s="13"/>
      <c r="F16" s="12"/>
      <c r="G16" s="17"/>
      <c r="H16" s="17"/>
      <c r="I16" s="17"/>
      <c r="J16" s="17"/>
      <c r="K16" s="17"/>
    </row>
    <row r="17" spans="1:11">
      <c r="A17" s="7"/>
      <c r="B17" s="7"/>
      <c r="C17" s="8"/>
      <c r="D17" s="7"/>
      <c r="E17" s="9"/>
      <c r="F17" s="14"/>
      <c r="G17" s="17"/>
      <c r="H17" s="17"/>
      <c r="I17" s="17"/>
      <c r="J17" s="17"/>
      <c r="K17" s="17"/>
    </row>
    <row r="18" spans="1:11">
      <c r="A18" s="13"/>
      <c r="B18" s="13"/>
      <c r="C18" s="8"/>
      <c r="D18" s="13"/>
      <c r="E18" s="15"/>
      <c r="F18" s="12"/>
      <c r="G18" s="17"/>
      <c r="H18" s="17"/>
      <c r="I18" s="17"/>
      <c r="J18" s="17"/>
      <c r="K18" s="17"/>
    </row>
    <row r="19" spans="1:11">
      <c r="A19" s="7"/>
      <c r="B19" s="7"/>
      <c r="C19" s="7"/>
      <c r="D19" s="7"/>
      <c r="E19" s="9"/>
      <c r="F19" s="14"/>
      <c r="G19" s="17"/>
      <c r="H19" s="17"/>
      <c r="I19" s="17"/>
      <c r="J19" s="17"/>
      <c r="K19" s="17"/>
    </row>
    <row r="20" spans="1:11">
      <c r="A20" s="7"/>
      <c r="B20" s="7"/>
      <c r="C20" s="7"/>
      <c r="D20" s="7"/>
      <c r="E20" s="9"/>
      <c r="F20" s="14"/>
      <c r="G20" s="17"/>
      <c r="H20" s="17"/>
      <c r="I20" s="17"/>
      <c r="J20" s="17"/>
      <c r="K20" s="17"/>
    </row>
    <row r="21" spans="1:11">
      <c r="A21" s="7"/>
      <c r="B21" s="7"/>
      <c r="C21" s="7"/>
      <c r="D21" s="7"/>
      <c r="E21" s="9"/>
      <c r="F21" s="14"/>
      <c r="G21" s="17"/>
      <c r="H21" s="17"/>
      <c r="I21" s="17"/>
      <c r="J21" s="17"/>
      <c r="K21" s="17"/>
    </row>
    <row r="24" spans="1:11">
      <c r="A24" t="s">
        <v>8</v>
      </c>
      <c r="C24" t="s">
        <v>12</v>
      </c>
      <c r="F24" t="s">
        <v>13</v>
      </c>
    </row>
  </sheetData>
  <mergeCells count="8">
    <mergeCell ref="I5:K5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2025年07月17日</vt:lpstr>
      <vt:lpstr>2025年07月18日 </vt:lpstr>
      <vt:lpstr>2025年08月19日 </vt:lpstr>
      <vt:lpstr>2025年08月20日 </vt:lpstr>
      <vt:lpstr>美光20251110(300片)</vt:lpstr>
      <vt:lpstr>美光20251112(100片)</vt:lpstr>
      <vt:lpstr>美光20251113(125片)</vt:lpstr>
      <vt:lpstr>美光20260121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2025-11-25T06:48:44Z</cp:lastPrinted>
  <dcterms:created xsi:type="dcterms:W3CDTF">2022-03-11T06:46:40Z</dcterms:created>
  <dcterms:modified xsi:type="dcterms:W3CDTF">2026-01-27T09:02:44Z</dcterms:modified>
</cp:coreProperties>
</file>